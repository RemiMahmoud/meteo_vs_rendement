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0" windowWidth="5055" windowHeight="12135" tabRatio="875" firstSheet="5" activeTab="16"/>
  </bookViews>
  <sheets>
    <sheet name="README" sheetId="1" r:id="rId1"/>
    <sheet name="Trial" sheetId="2" r:id="rId2"/>
    <sheet name="Site" sheetId="3" r:id="rId3"/>
    <sheet name="Contact" sheetId="4" r:id="rId4"/>
    <sheet name="Variable" sheetId="5" r:id="rId5"/>
    <sheet name="PlantMaterial" sheetId="6" r:id="rId6"/>
    <sheet name="Treatment" sheetId="7" r:id="rId7"/>
    <sheet name="Level" sheetId="8" r:id="rId8"/>
    <sheet name="Data" sheetId="9" r:id="rId9"/>
    <sheet name="Files" sheetId="10" r:id="rId10"/>
    <sheet name="ForestComplementaryInfo" sheetId="11" r:id="rId11"/>
    <sheet name="StaticData" sheetId="12" r:id="rId12"/>
    <sheet name="Meteo_data" sheetId="13" r:id="rId13"/>
    <sheet name="Soil_data" sheetId="14" r:id="rId14"/>
    <sheet name="INN_data" sheetId="15" r:id="rId15"/>
    <sheet name="Parcellaire_data" sheetId="16" r:id="rId16"/>
    <sheet name="ITK_data" sheetId="17" r:id="rId17"/>
  </sheets>
  <definedNames>
    <definedName name="_xlnm._FilterDatabase" localSheetId="8" hidden="1">Data!$A$1:$CM$865</definedName>
    <definedName name="HoldingInstitution">StaticData!$C$1:$C$21</definedName>
    <definedName name="InstitutionName">StaticData!$B$1:$B$1457</definedName>
    <definedName name="ProjectAcronym">StaticData!$D$1:$D$225</definedName>
    <definedName name="SiteName">StaticData!$E$1:$E$24</definedName>
    <definedName name="TaxonScientificName">StaticData!$A$1:$A$5470</definedName>
  </definedNames>
  <calcPr calcId="145621"/>
</workbook>
</file>

<file path=xl/calcChain.xml><?xml version="1.0" encoding="utf-8"?>
<calcChain xmlns="http://schemas.openxmlformats.org/spreadsheetml/2006/main">
  <c r="Y12" i="15" l="1"/>
  <c r="Y13" i="15"/>
  <c r="Y14" i="15"/>
  <c r="Y15" i="15"/>
  <c r="Y16" i="15"/>
  <c r="Y17" i="15"/>
  <c r="Y18" i="15"/>
  <c r="Y19" i="15"/>
  <c r="Y20" i="15"/>
  <c r="Y21" i="15"/>
  <c r="Y22" i="15"/>
  <c r="Y23" i="15"/>
  <c r="Y24" i="15"/>
  <c r="Y25" i="15"/>
  <c r="Y26" i="15"/>
  <c r="Y11" i="15"/>
  <c r="Y4" i="15"/>
  <c r="Y5" i="15"/>
  <c r="Y6" i="15"/>
  <c r="Y7" i="15"/>
  <c r="Y8" i="15"/>
  <c r="Y9" i="15"/>
  <c r="Y10" i="15"/>
  <c r="Y3" i="15"/>
  <c r="W11" i="15"/>
  <c r="W3" i="15"/>
  <c r="W26" i="15" l="1"/>
  <c r="R26" i="15"/>
  <c r="O26" i="15"/>
  <c r="W25" i="15"/>
  <c r="R25" i="15"/>
  <c r="O25" i="15"/>
  <c r="W24" i="15"/>
  <c r="R24" i="15"/>
  <c r="O24" i="15"/>
  <c r="L24" i="15"/>
  <c r="J24" i="15" s="1"/>
  <c r="S24" i="15" s="1"/>
  <c r="T24" i="15" s="1"/>
  <c r="W23" i="15"/>
  <c r="X23" i="15" s="1"/>
  <c r="R23" i="15"/>
  <c r="L23" i="15" s="1"/>
  <c r="J23" i="15" s="1"/>
  <c r="S23" i="15" s="1"/>
  <c r="T23" i="15" s="1"/>
  <c r="O23" i="15"/>
  <c r="W22" i="15"/>
  <c r="R22" i="15"/>
  <c r="O22" i="15"/>
  <c r="L22" i="15"/>
  <c r="J22" i="15"/>
  <c r="W21" i="15"/>
  <c r="X21" i="15" s="1"/>
  <c r="R21" i="15"/>
  <c r="O21" i="15"/>
  <c r="L21" i="15"/>
  <c r="J21" i="15" s="1"/>
  <c r="W20" i="15"/>
  <c r="R20" i="15"/>
  <c r="O20" i="15"/>
  <c r="W19" i="15"/>
  <c r="X19" i="15" s="1"/>
  <c r="R19" i="15"/>
  <c r="O19" i="15"/>
  <c r="W18" i="15"/>
  <c r="R18" i="15"/>
  <c r="O18" i="15"/>
  <c r="W17" i="15"/>
  <c r="R17" i="15"/>
  <c r="L17" i="15" s="1"/>
  <c r="J17" i="15" s="1"/>
  <c r="O17" i="15"/>
  <c r="W16" i="15"/>
  <c r="R16" i="15"/>
  <c r="O16" i="15"/>
  <c r="L16" i="15"/>
  <c r="J16" i="15" s="1"/>
  <c r="S16" i="15" s="1"/>
  <c r="T16" i="15" s="1"/>
  <c r="W15" i="15"/>
  <c r="X15" i="15" s="1"/>
  <c r="R15" i="15"/>
  <c r="L15" i="15" s="1"/>
  <c r="J15" i="15" s="1"/>
  <c r="S15" i="15" s="1"/>
  <c r="T15" i="15" s="1"/>
  <c r="O15" i="15"/>
  <c r="W14" i="15"/>
  <c r="X14" i="15" s="1"/>
  <c r="R14" i="15"/>
  <c r="O14" i="15"/>
  <c r="L14" i="15"/>
  <c r="J14" i="15" s="1"/>
  <c r="W13" i="15"/>
  <c r="X13" i="15" s="1"/>
  <c r="R13" i="15"/>
  <c r="O13" i="15"/>
  <c r="L13" i="15"/>
  <c r="J13" i="15" s="1"/>
  <c r="W12" i="15"/>
  <c r="R12" i="15"/>
  <c r="O12" i="15"/>
  <c r="X11" i="15"/>
  <c r="R11" i="15"/>
  <c r="O11" i="15"/>
  <c r="W10" i="15"/>
  <c r="R10" i="15"/>
  <c r="O10" i="15"/>
  <c r="W9" i="15"/>
  <c r="R9" i="15"/>
  <c r="O9" i="15"/>
  <c r="W8" i="15"/>
  <c r="R8" i="15"/>
  <c r="O8" i="15"/>
  <c r="L8" i="15"/>
  <c r="J8" i="15" s="1"/>
  <c r="S8" i="15" s="1"/>
  <c r="T8" i="15" s="1"/>
  <c r="W7" i="15"/>
  <c r="X7" i="15" s="1"/>
  <c r="R7" i="15"/>
  <c r="L7" i="15" s="1"/>
  <c r="J7" i="15" s="1"/>
  <c r="S7" i="15" s="1"/>
  <c r="T7" i="15" s="1"/>
  <c r="O7" i="15"/>
  <c r="W6" i="15"/>
  <c r="X6" i="15" s="1"/>
  <c r="R6" i="15"/>
  <c r="O6" i="15"/>
  <c r="L6" i="15"/>
  <c r="J6" i="15"/>
  <c r="W5" i="15"/>
  <c r="X5" i="15" s="1"/>
  <c r="R5" i="15"/>
  <c r="O5" i="15"/>
  <c r="L5" i="15"/>
  <c r="J5" i="15" s="1"/>
  <c r="W4" i="15"/>
  <c r="R4" i="15"/>
  <c r="O4" i="15"/>
  <c r="R3" i="15"/>
  <c r="O3" i="15"/>
  <c r="X25" i="15" l="1"/>
  <c r="X10" i="15"/>
  <c r="X3" i="15"/>
  <c r="X8" i="15"/>
  <c r="X16" i="15"/>
  <c r="X24" i="15"/>
  <c r="X9" i="15"/>
  <c r="X17" i="15"/>
  <c r="X18" i="15"/>
  <c r="X22" i="15"/>
  <c r="X26" i="15"/>
  <c r="L25" i="15"/>
  <c r="J25" i="15" s="1"/>
  <c r="S25" i="15" s="1"/>
  <c r="T25" i="15" s="1"/>
  <c r="S5" i="15"/>
  <c r="T5" i="15" s="1"/>
  <c r="L3" i="15"/>
  <c r="J3" i="15" s="1"/>
  <c r="S3" i="15" s="1"/>
  <c r="T3" i="15" s="1"/>
  <c r="L19" i="15"/>
  <c r="J19" i="15" s="1"/>
  <c r="S19" i="15" s="1"/>
  <c r="T19" i="15" s="1"/>
  <c r="L9" i="15"/>
  <c r="J9" i="15" s="1"/>
  <c r="S9" i="15" s="1"/>
  <c r="T9" i="15" s="1"/>
  <c r="L18" i="15"/>
  <c r="J18" i="15" s="1"/>
  <c r="S18" i="15" s="1"/>
  <c r="T18" i="15" s="1"/>
  <c r="S22" i="15"/>
  <c r="T22" i="15" s="1"/>
  <c r="S14" i="15"/>
  <c r="T14" i="15" s="1"/>
  <c r="L26" i="15"/>
  <c r="J26" i="15" s="1"/>
  <c r="S26" i="15" s="1"/>
  <c r="T26" i="15" s="1"/>
  <c r="L10" i="15"/>
  <c r="J10" i="15" s="1"/>
  <c r="S10" i="15" s="1"/>
  <c r="T10" i="15" s="1"/>
  <c r="S6" i="15"/>
  <c r="T6" i="15" s="1"/>
  <c r="S13" i="15"/>
  <c r="T13" i="15" s="1"/>
  <c r="S21" i="15"/>
  <c r="T21" i="15" s="1"/>
  <c r="X4" i="15"/>
  <c r="X12" i="15"/>
  <c r="X20" i="15"/>
  <c r="L11" i="15"/>
  <c r="J11" i="15" s="1"/>
  <c r="S11" i="15" s="1"/>
  <c r="T11" i="15" s="1"/>
  <c r="L4" i="15"/>
  <c r="J4" i="15" s="1"/>
  <c r="S4" i="15" s="1"/>
  <c r="T4" i="15" s="1"/>
  <c r="L12" i="15"/>
  <c r="J12" i="15" s="1"/>
  <c r="S12" i="15" s="1"/>
  <c r="T12" i="15" s="1"/>
  <c r="S17" i="15"/>
  <c r="T17" i="15" s="1"/>
  <c r="L20" i="15"/>
  <c r="J20" i="15" s="1"/>
  <c r="S20" i="15" s="1"/>
  <c r="T20" i="15" s="1"/>
  <c r="Y322" i="9" l="1"/>
  <c r="Y562" i="9" l="1"/>
  <c r="Y113" i="9"/>
  <c r="Y433" i="9"/>
  <c r="Y341" i="9"/>
  <c r="Y202" i="9"/>
  <c r="Y86" i="9"/>
  <c r="Y717" i="9"/>
  <c r="Y266" i="9"/>
  <c r="Y109" i="9"/>
  <c r="Y135" i="9"/>
  <c r="Y260" i="9"/>
  <c r="Y98" i="9"/>
  <c r="Y827" i="9"/>
  <c r="Y280" i="9"/>
  <c r="Y142" i="9"/>
  <c r="Y124" i="9"/>
  <c r="Y608" i="9"/>
  <c r="Y591" i="9"/>
  <c r="Y217" i="9"/>
  <c r="Y747" i="9"/>
  <c r="Y585" i="9"/>
  <c r="Y354" i="9"/>
  <c r="Y673" i="9"/>
  <c r="Y607" i="9"/>
  <c r="Y323" i="9"/>
  <c r="Y713" i="9"/>
  <c r="Y381" i="9"/>
  <c r="Y365" i="9"/>
  <c r="Y851" i="9"/>
  <c r="Y163" i="9"/>
  <c r="Y836" i="9"/>
  <c r="Y221" i="9"/>
  <c r="Y707" i="9"/>
  <c r="Y499" i="9"/>
  <c r="Y68" i="9"/>
  <c r="Y751" i="9"/>
  <c r="Y513" i="9"/>
  <c r="Y665" i="9"/>
  <c r="Y335" i="9"/>
  <c r="Y437" i="9"/>
  <c r="Y61" i="9"/>
  <c r="Y328" i="9"/>
  <c r="Y501" i="9"/>
  <c r="Y319" i="9"/>
  <c r="Y152" i="9"/>
  <c r="Y494" i="9"/>
  <c r="Y310" i="9"/>
  <c r="Y820" i="9"/>
  <c r="Y85" i="9"/>
  <c r="Y259" i="9"/>
  <c r="Y789" i="9"/>
  <c r="Y391" i="9"/>
  <c r="Y492" i="9"/>
  <c r="Y835" i="9"/>
  <c r="Y620" i="9"/>
  <c r="Y196" i="9"/>
  <c r="Y778" i="9"/>
  <c r="Y279" i="9"/>
  <c r="Y94" i="9"/>
  <c r="Y50" i="9"/>
  <c r="Y705" i="9"/>
  <c r="Y64" i="9"/>
  <c r="Y861" i="9"/>
  <c r="Y556" i="9"/>
  <c r="Y756" i="9"/>
  <c r="Y737" i="9"/>
  <c r="Y550" i="9"/>
  <c r="Y78" i="9"/>
  <c r="Y752" i="9"/>
  <c r="Y186" i="9"/>
  <c r="Y309" i="9"/>
  <c r="Y6" i="9"/>
  <c r="Y800" i="9"/>
  <c r="Y112" i="9"/>
  <c r="Y453" i="9"/>
  <c r="Y292" i="9"/>
  <c r="Y201" i="9"/>
  <c r="Y763" i="9"/>
  <c r="Y72" i="9"/>
  <c r="Y245" i="9"/>
  <c r="Y611" i="9"/>
  <c r="Y375" i="9"/>
  <c r="Y600" i="9"/>
  <c r="Y461" i="9"/>
  <c r="Y728" i="9"/>
  <c r="Y403" i="9"/>
  <c r="Y647" i="9"/>
  <c r="Y293" i="9"/>
  <c r="Y803" i="9"/>
  <c r="Y427" i="9"/>
  <c r="Y529" i="9"/>
  <c r="Y55" i="9"/>
  <c r="Y515" i="9"/>
  <c r="Y858" i="9"/>
  <c r="Y596" i="9"/>
  <c r="Y627" i="9"/>
  <c r="Y229" i="9"/>
  <c r="Y787" i="9"/>
  <c r="Y455" i="9"/>
  <c r="Y314" i="9"/>
  <c r="Y36" i="9"/>
  <c r="Y42" i="9"/>
  <c r="Y526" i="9"/>
  <c r="Y794" i="9"/>
  <c r="Y465" i="9"/>
  <c r="Y782" i="9"/>
  <c r="Y262" i="9"/>
  <c r="Y795" i="9"/>
  <c r="Y538" i="9"/>
  <c r="Y283" i="9"/>
  <c r="Y552" i="9"/>
  <c r="Y819" i="9"/>
  <c r="Y561" i="9"/>
  <c r="Y162" i="9"/>
  <c r="Y457" i="9"/>
  <c r="Y412" i="9"/>
  <c r="Y516" i="9"/>
  <c r="Y619" i="9"/>
  <c r="Y721" i="9"/>
  <c r="Y774" i="9"/>
  <c r="Y584" i="9"/>
  <c r="Y88" i="9"/>
  <c r="Y646" i="9"/>
  <c r="Y507" i="9"/>
  <c r="Y371" i="9"/>
  <c r="Y736" i="9"/>
  <c r="Y476" i="9"/>
  <c r="Y511" i="9"/>
  <c r="Y10" i="9"/>
  <c r="Y497" i="9"/>
  <c r="Y792" i="9"/>
  <c r="Y414" i="9"/>
  <c r="Y661" i="9"/>
  <c r="Y187" i="9"/>
  <c r="Y839" i="9"/>
  <c r="Y362" i="9"/>
  <c r="Y81" i="9"/>
  <c r="Y662" i="9"/>
  <c r="Y452" i="9"/>
  <c r="Y726" i="9"/>
  <c r="Y539" i="9"/>
  <c r="Y545" i="9"/>
  <c r="Y70" i="9"/>
  <c r="Y629" i="9"/>
  <c r="Y299" i="9"/>
  <c r="Y426" i="9"/>
  <c r="Y720" i="9"/>
  <c r="Y171" i="9"/>
  <c r="Y852" i="9"/>
  <c r="Y158" i="9"/>
  <c r="Y289" i="9"/>
  <c r="Y580" i="9"/>
  <c r="Y801" i="9"/>
  <c r="Y810" i="9"/>
  <c r="Y312" i="9"/>
  <c r="Y486" i="9"/>
  <c r="Y274" i="9"/>
  <c r="Y663" i="9"/>
  <c r="Y357" i="9"/>
  <c r="Y222" i="9"/>
  <c r="Y684" i="9"/>
  <c r="Y374" i="9"/>
  <c r="Y145" i="9"/>
  <c r="Y558" i="9"/>
  <c r="Y419" i="9"/>
  <c r="Y855" i="9"/>
  <c r="Y239" i="9"/>
  <c r="Y823" i="9"/>
  <c r="Y536" i="9"/>
  <c r="Y834" i="9"/>
  <c r="Y502" i="9"/>
  <c r="Y340" i="9"/>
  <c r="Y80" i="9"/>
  <c r="Y689" i="9"/>
  <c r="Y284" i="9"/>
  <c r="Y148" i="9"/>
  <c r="Y681" i="9"/>
  <c r="Y327" i="9"/>
  <c r="Y766" i="9"/>
  <c r="Y28" i="9"/>
  <c r="Y490" i="9"/>
  <c r="Y206" i="9"/>
  <c r="Y333" i="9"/>
  <c r="Y26" i="9"/>
  <c r="Y729" i="9"/>
  <c r="Y161" i="9"/>
  <c r="Y478" i="9"/>
  <c r="Y845" i="9"/>
  <c r="Y610" i="9"/>
  <c r="Y235" i="9"/>
  <c r="Y480" i="9"/>
  <c r="Y653" i="9"/>
  <c r="Y635" i="9"/>
  <c r="Y207" i="9"/>
  <c r="Y744" i="9"/>
  <c r="Y676" i="9"/>
  <c r="Y444" i="9"/>
  <c r="Y785" i="9"/>
  <c r="Y573" i="9"/>
  <c r="Y727" i="9"/>
  <c r="Y491" i="9"/>
  <c r="Y230" i="9"/>
  <c r="Y22" i="9"/>
  <c r="Y799" i="9"/>
  <c r="Y612" i="9"/>
  <c r="Y254" i="9"/>
  <c r="Y189" i="9"/>
  <c r="Y698" i="9"/>
  <c r="Y517" i="9"/>
  <c r="Y617" i="9"/>
  <c r="Y431" i="9"/>
  <c r="Y411" i="9"/>
  <c r="Y777" i="9"/>
  <c r="Y710" i="9"/>
  <c r="Y527" i="9"/>
  <c r="Y630" i="9"/>
  <c r="Y32" i="9"/>
  <c r="Y15" i="9"/>
  <c r="Y624" i="9"/>
  <c r="Y555" i="9"/>
  <c r="Y133" i="9"/>
  <c r="Y91" i="9"/>
  <c r="Y237" i="9"/>
  <c r="Y485" i="9"/>
  <c r="Y249" i="9"/>
  <c r="Y305" i="9"/>
  <c r="Y456" i="9"/>
  <c r="Y243" i="9"/>
  <c r="Y804" i="9"/>
  <c r="Y711" i="9"/>
  <c r="Y214" i="9"/>
  <c r="Y604" i="9"/>
  <c r="Y154" i="9"/>
  <c r="Y447" i="9"/>
  <c r="Y121" i="9"/>
  <c r="Y842" i="9"/>
  <c r="Y369" i="9"/>
  <c r="Y110" i="9"/>
  <c r="Y863" i="9"/>
  <c r="Y268" i="9"/>
  <c r="Y632" i="9"/>
  <c r="Y496" i="9"/>
  <c r="Y358" i="9"/>
  <c r="Y459" i="9"/>
  <c r="Y394" i="9"/>
  <c r="Y758" i="9"/>
  <c r="Y286" i="9"/>
  <c r="Y603" i="9"/>
  <c r="Y224" i="9"/>
  <c r="Y65" i="9"/>
  <c r="Y788" i="9"/>
  <c r="Y434" i="9"/>
  <c r="Y250" i="9"/>
  <c r="Y89" i="9"/>
  <c r="Y574" i="9"/>
  <c r="Y146" i="9"/>
  <c r="Y757" i="9"/>
  <c r="Y518" i="9"/>
  <c r="Y408" i="9"/>
  <c r="Y31" i="9"/>
  <c r="Y420" i="9"/>
  <c r="Y423" i="9"/>
  <c r="Y743" i="9"/>
  <c r="Y677" i="9"/>
  <c r="Y129" i="9"/>
  <c r="Y809" i="9"/>
  <c r="Y481" i="9"/>
  <c r="Y364" i="9"/>
  <c r="Y467" i="9"/>
  <c r="Y43" i="9"/>
  <c r="Y598" i="9"/>
  <c r="Y748" i="9"/>
  <c r="Y464" i="9"/>
  <c r="Y138" i="9"/>
  <c r="Y815" i="9"/>
  <c r="Y149" i="9"/>
  <c r="Y613" i="9"/>
  <c r="Y233" i="9"/>
  <c r="Y812" i="9"/>
  <c r="Y535" i="9"/>
  <c r="Y709" i="9"/>
  <c r="Y399" i="9"/>
  <c r="Y23" i="9"/>
  <c r="Y701" i="9"/>
  <c r="Y296" i="9"/>
  <c r="Y231" i="9"/>
  <c r="Y865" i="9"/>
  <c r="Y749" i="9"/>
  <c r="Y33" i="9"/>
  <c r="Y714" i="9"/>
  <c r="Y505" i="9"/>
  <c r="Y652" i="9"/>
  <c r="Y205" i="9"/>
  <c r="Y739" i="9"/>
  <c r="Y576" i="9"/>
  <c r="Y79" i="9"/>
  <c r="Y779" i="9"/>
  <c r="Y137" i="9"/>
  <c r="Y718" i="9"/>
  <c r="Y482" i="9"/>
  <c r="Y82" i="9"/>
  <c r="Y329" i="9"/>
  <c r="Y24" i="9"/>
  <c r="Y462" i="9"/>
  <c r="Y128" i="9"/>
  <c r="Y159" i="9"/>
  <c r="Y716" i="9"/>
  <c r="Y389" i="9"/>
  <c r="Y850" i="9"/>
  <c r="Y17" i="9"/>
  <c r="Y745" i="9"/>
  <c r="Y532" i="9"/>
  <c r="Y226" i="9"/>
  <c r="Y687" i="9"/>
  <c r="Y337" i="9"/>
  <c r="Y127" i="9"/>
  <c r="Y732" i="9"/>
  <c r="Y378" i="9"/>
  <c r="Y860" i="9"/>
  <c r="Y605" i="9"/>
  <c r="Y275" i="9"/>
  <c r="Y811" i="9"/>
  <c r="Y118" i="9"/>
  <c r="Y388" i="9"/>
  <c r="Y37" i="9"/>
  <c r="Y350" i="9"/>
  <c r="Y73" i="9"/>
  <c r="Y271" i="9"/>
  <c r="Y753" i="9"/>
  <c r="Y209" i="9"/>
  <c r="Y597" i="9"/>
  <c r="Y771" i="9"/>
  <c r="Y418" i="9"/>
  <c r="Y640" i="9"/>
  <c r="Y96" i="9"/>
  <c r="Y699" i="9"/>
  <c r="Y251" i="9"/>
  <c r="Y451" i="9"/>
  <c r="Y241" i="9"/>
  <c r="Y125" i="9"/>
  <c r="Y780" i="9"/>
  <c r="Y642" i="9"/>
  <c r="Y385" i="9"/>
  <c r="Y199" i="9"/>
  <c r="Y253" i="9"/>
  <c r="Y402" i="9"/>
  <c r="Y166" i="9"/>
  <c r="Y655" i="9"/>
  <c r="Y512" i="9"/>
  <c r="Y234" i="9"/>
  <c r="Y69" i="9"/>
  <c r="Y413" i="9"/>
  <c r="Y131" i="9"/>
  <c r="Y666" i="9"/>
  <c r="Y190" i="9"/>
  <c r="Y722" i="9"/>
  <c r="Y347" i="9"/>
  <c r="Y111" i="9"/>
  <c r="Y767" i="9"/>
  <c r="Y151" i="9"/>
  <c r="Y659" i="9"/>
  <c r="Y856" i="9"/>
  <c r="Y313" i="9"/>
  <c r="Y772" i="9"/>
  <c r="Y325" i="9"/>
  <c r="Y833" i="9"/>
  <c r="Y479" i="9"/>
  <c r="Y460" i="9"/>
  <c r="Y106" i="9"/>
  <c r="Y738" i="9"/>
  <c r="Y45" i="9"/>
  <c r="Y438" i="9"/>
  <c r="Y11" i="9"/>
  <c r="Y521" i="9"/>
  <c r="Y668" i="9"/>
  <c r="Y367" i="9"/>
  <c r="Y180" i="9"/>
  <c r="Y115" i="9"/>
  <c r="Y669" i="9"/>
  <c r="Y223" i="9"/>
  <c r="Y34" i="9"/>
  <c r="Y208" i="9"/>
  <c r="Y671" i="9"/>
  <c r="Y483" i="9"/>
  <c r="Y107" i="9"/>
  <c r="Y544" i="9"/>
  <c r="Y264" i="9"/>
  <c r="Y674" i="9"/>
  <c r="Y252" i="9"/>
  <c r="Y470" i="9"/>
  <c r="Y405" i="9"/>
  <c r="Y220" i="9"/>
  <c r="Y104" i="9"/>
  <c r="Y808" i="9"/>
  <c r="Y645" i="9"/>
  <c r="Y338" i="9"/>
  <c r="Y59" i="9"/>
  <c r="Y472" i="9"/>
  <c r="Y382" i="9"/>
  <c r="Y295" i="9"/>
  <c r="Y105" i="9"/>
  <c r="Y41" i="9"/>
  <c r="Y840" i="9"/>
  <c r="Y29" i="9"/>
  <c r="Y685" i="9"/>
  <c r="Y379" i="9"/>
  <c r="Y47" i="9"/>
  <c r="Y122" i="9"/>
  <c r="Y272" i="9"/>
  <c r="Y448" i="9"/>
  <c r="Y742" i="9"/>
  <c r="Y267" i="9"/>
  <c r="Y8" i="9"/>
  <c r="Y570" i="9"/>
  <c r="Y407" i="9"/>
  <c r="Y650" i="9"/>
  <c r="Y346" i="9"/>
  <c r="Y593" i="9"/>
  <c r="Y428" i="9"/>
  <c r="Y581" i="9"/>
  <c r="Y248" i="9"/>
  <c r="Y783" i="9"/>
  <c r="Y404" i="9"/>
  <c r="Y602" i="9"/>
  <c r="Y826" i="9"/>
  <c r="Y18" i="9"/>
  <c r="Y648" i="9"/>
  <c r="Y626" i="9"/>
  <c r="Y781" i="9"/>
  <c r="Y425" i="9"/>
  <c r="Y165" i="9"/>
  <c r="Y390" i="9"/>
  <c r="Y204" i="9"/>
  <c r="Y134" i="9"/>
  <c r="Y549" i="9"/>
  <c r="Y387" i="9"/>
  <c r="Y828" i="9"/>
  <c r="Y449" i="9"/>
  <c r="Y25" i="9"/>
  <c r="Y316" i="9"/>
  <c r="Y9" i="9"/>
  <c r="Y859" i="9"/>
  <c r="Y551" i="9"/>
  <c r="Y530" i="9"/>
  <c r="Y200" i="9"/>
  <c r="Y569" i="9"/>
  <c r="Y816" i="9"/>
  <c r="Y675" i="9"/>
  <c r="Y636" i="9"/>
  <c r="Y616" i="9"/>
  <c r="Y21" i="9"/>
  <c r="Y102" i="9"/>
  <c r="Y656" i="9"/>
  <c r="Y211" i="9"/>
  <c r="Y791" i="9"/>
  <c r="Y678" i="9"/>
  <c r="Y468" i="9"/>
  <c r="Y424" i="9"/>
  <c r="Y192" i="9"/>
  <c r="Y821" i="9"/>
  <c r="Y392" i="9"/>
  <c r="Y590" i="9"/>
  <c r="Y265" i="9"/>
  <c r="Y198" i="9"/>
  <c r="Y589" i="9"/>
  <c r="Y136" i="9"/>
  <c r="Y670" i="9"/>
  <c r="Y5" i="9"/>
  <c r="Y755" i="9"/>
  <c r="Y401" i="9"/>
  <c r="Y672" i="9"/>
  <c r="Y579" i="9"/>
  <c r="Y373" i="9"/>
  <c r="Y520" i="9"/>
  <c r="Y212" i="9"/>
  <c r="Y242" i="9"/>
  <c r="Y13" i="9"/>
  <c r="Y667" i="9"/>
  <c r="Y644" i="9"/>
  <c r="Y126" i="9"/>
  <c r="Y853" i="9"/>
  <c r="Y759" i="9"/>
  <c r="Y503" i="9"/>
  <c r="Y170" i="9"/>
  <c r="Y658" i="9"/>
  <c r="Y355" i="9"/>
  <c r="Y694" i="9"/>
  <c r="Y318" i="9"/>
  <c r="Y537" i="9"/>
  <c r="Y495" i="9"/>
  <c r="Y380" i="9"/>
  <c r="Y7" i="9"/>
  <c r="Y848" i="9"/>
  <c r="Y183" i="9"/>
  <c r="Y741" i="9"/>
  <c r="Y173" i="9"/>
  <c r="Y586" i="9"/>
  <c r="Y595" i="9"/>
  <c r="Y164" i="9"/>
  <c r="Y175" i="9"/>
  <c r="Y300" i="9"/>
  <c r="Y39" i="9"/>
  <c r="Y361" i="9"/>
  <c r="Y218" i="9"/>
  <c r="Y565" i="9"/>
  <c r="Y592" i="9"/>
  <c r="Y696" i="9"/>
  <c r="Y557" i="9"/>
  <c r="Y156" i="9"/>
  <c r="Y664" i="9"/>
  <c r="Y553" i="9"/>
  <c r="Y99" i="9"/>
  <c r="Y466" i="9"/>
  <c r="Y87" i="9"/>
  <c r="Y793" i="9"/>
  <c r="Y583" i="9"/>
  <c r="Y35" i="9"/>
  <c r="Y566" i="9"/>
  <c r="Y238" i="9"/>
  <c r="Y606" i="9"/>
  <c r="Y56" i="9"/>
  <c r="Y615" i="9"/>
  <c r="Y332" i="9"/>
  <c r="Y843" i="9"/>
  <c r="Y588" i="9"/>
  <c r="Y857" i="9"/>
  <c r="Y622" i="9"/>
  <c r="Y343" i="9"/>
  <c r="Y733" i="9"/>
  <c r="Y307" i="9"/>
  <c r="Y92" i="9"/>
  <c r="Y435" i="9"/>
  <c r="Y849" i="9"/>
  <c r="Y330" i="9"/>
  <c r="Y48" i="9"/>
  <c r="Y463" i="9"/>
  <c r="Y298" i="9"/>
  <c r="Y542" i="9"/>
  <c r="Y334" i="9"/>
  <c r="Y290" i="9"/>
  <c r="Y442" i="9"/>
  <c r="Y523" i="9"/>
  <c r="Y287" i="9"/>
  <c r="Y628" i="9"/>
  <c r="Y345" i="9"/>
  <c r="Y182" i="9"/>
  <c r="Y572" i="9"/>
  <c r="Y269" i="9"/>
  <c r="Y181" i="9"/>
  <c r="Y807" i="9"/>
  <c r="Y528" i="9"/>
  <c r="Y554" i="9"/>
  <c r="Y344" i="9"/>
  <c r="Y255" i="9"/>
  <c r="Y841" i="9"/>
  <c r="Y436" i="9"/>
  <c r="Y393" i="9"/>
  <c r="Y830" i="9"/>
  <c r="Y356" i="9"/>
  <c r="Y510" i="9"/>
  <c r="Y301" i="9"/>
  <c r="Y806" i="9"/>
  <c r="Y263" i="9"/>
  <c r="Y100" i="9"/>
  <c r="Y563" i="9"/>
  <c r="Y686" i="9"/>
  <c r="Y144" i="9"/>
  <c r="Y723" i="9"/>
  <c r="Y276" i="9"/>
  <c r="Y232" i="9"/>
  <c r="Y216" i="9"/>
  <c r="Y773" i="9"/>
  <c r="Y564" i="9"/>
  <c r="Y568" i="9"/>
  <c r="Y432" i="9"/>
  <c r="Y172" i="9"/>
  <c r="Y704" i="9"/>
  <c r="Y257" i="9"/>
  <c r="Y120" i="9"/>
  <c r="Y52" i="9"/>
  <c r="Y370" i="9"/>
  <c r="Y854" i="9"/>
  <c r="Y167" i="9"/>
  <c r="Y822" i="9"/>
  <c r="Y372" i="9"/>
  <c r="Y351" i="9"/>
  <c r="Y575" i="9"/>
  <c r="Y244" i="9"/>
  <c r="Y706" i="9"/>
  <c r="Y256" i="9"/>
  <c r="Y623" i="9"/>
  <c r="Y30" i="9"/>
  <c r="Y633" i="9"/>
  <c r="Y734" i="9"/>
  <c r="Y429" i="9"/>
  <c r="Y194" i="9"/>
  <c r="Y683" i="9"/>
  <c r="Y400" i="9"/>
  <c r="Y838" i="9"/>
  <c r="Y246" i="9"/>
  <c r="Y130" i="9"/>
  <c r="Y376" i="9"/>
  <c r="Y719" i="9"/>
  <c r="Y775" i="9"/>
  <c r="Y445" i="9"/>
  <c r="Y19" i="9"/>
  <c r="Y693" i="9"/>
  <c r="Y487" i="9"/>
  <c r="Y421" i="9"/>
  <c r="Y715" i="9"/>
  <c r="Y236" i="9"/>
  <c r="Y174" i="9"/>
  <c r="Y634" i="9"/>
  <c r="Y594" i="9"/>
  <c r="Y359" i="9"/>
  <c r="Y506" i="9"/>
  <c r="Y203" i="9"/>
  <c r="Y643" i="9"/>
  <c r="Y862" i="9"/>
  <c r="Y150" i="9"/>
  <c r="Y440" i="9"/>
  <c r="Y712" i="9"/>
  <c r="Y454" i="9"/>
  <c r="Y746" i="9"/>
  <c r="Y395" i="9"/>
  <c r="Y688" i="9"/>
  <c r="Y524" i="9"/>
  <c r="Y4" i="9"/>
  <c r="Y541" i="9"/>
  <c r="Y522" i="9"/>
  <c r="Y44" i="9"/>
  <c r="Y51" i="9"/>
  <c r="Y731" i="9"/>
  <c r="Y40" i="9"/>
  <c r="Y765" i="9"/>
  <c r="Y195" i="9"/>
  <c r="Y824" i="9"/>
  <c r="Y62" i="9"/>
  <c r="Y697" i="9"/>
  <c r="Y75" i="9"/>
  <c r="Y469" i="9"/>
  <c r="Y14" i="9"/>
  <c r="Y813" i="9"/>
  <c r="Y291" i="9"/>
  <c r="Y157" i="9"/>
  <c r="Y760" i="9"/>
  <c r="Y601" i="9"/>
  <c r="Y147" i="9"/>
  <c r="Y397" i="9"/>
  <c r="Y353" i="9"/>
  <c r="Y117" i="9"/>
  <c r="Y197" i="9"/>
  <c r="Y540" i="9"/>
  <c r="Y446" i="9"/>
  <c r="Y288" i="9"/>
  <c r="Y3" i="9"/>
  <c r="Y227" i="9"/>
  <c r="Y90" i="9"/>
  <c r="Y769" i="9"/>
  <c r="Y750" i="9"/>
  <c r="Y277" i="9"/>
  <c r="Y139" i="9"/>
  <c r="Y504" i="9"/>
  <c r="Y270" i="9"/>
  <c r="Y829" i="9"/>
  <c r="Y473" i="9"/>
  <c r="Y336" i="9"/>
  <c r="Y101" i="9"/>
  <c r="Y349" i="9"/>
  <c r="Y326" i="9"/>
  <c r="Y695" i="9"/>
  <c r="Y725" i="9"/>
  <c r="Y176" i="9"/>
  <c r="Y114" i="9"/>
  <c r="Y625" i="9"/>
  <c r="Y846" i="9"/>
  <c r="Y493" i="9"/>
  <c r="Y303" i="9"/>
  <c r="Y790" i="9"/>
  <c r="Y844" i="9"/>
  <c r="Y228" i="9"/>
  <c r="Y761" i="9"/>
  <c r="Y430" i="9"/>
  <c r="Y651" i="9"/>
  <c r="Y609" i="9"/>
  <c r="Y16" i="9"/>
  <c r="Y384" i="9"/>
  <c r="Y797" i="9"/>
  <c r="Y58" i="9"/>
  <c r="Y547" i="9"/>
  <c r="Y837" i="9"/>
  <c r="Y2" i="9"/>
  <c r="Y514" i="9"/>
  <c r="Y498" i="9"/>
  <c r="Y143" i="9"/>
  <c r="Y315" i="9"/>
  <c r="Y730" i="9"/>
  <c r="Y475" i="9"/>
  <c r="Y764" i="9"/>
  <c r="Y533" i="9"/>
  <c r="Y178" i="9"/>
  <c r="Y832" i="9"/>
  <c r="Y409" i="9"/>
  <c r="Y582" i="9"/>
  <c r="Y177" i="9"/>
  <c r="Y377" i="9"/>
  <c r="Y119" i="9"/>
  <c r="Y770" i="9"/>
  <c r="Y12" i="9"/>
  <c r="Y352" i="9"/>
  <c r="Y95" i="9"/>
  <c r="Y796" i="9"/>
  <c r="Y297" i="9"/>
  <c r="Y398" i="9"/>
  <c r="Y140" i="9"/>
  <c r="Y508" i="9"/>
  <c r="Y273" i="9"/>
  <c r="Y784" i="9"/>
  <c r="Y20" i="9"/>
  <c r="Y484" i="9"/>
  <c r="Y657" i="9"/>
  <c r="Y278" i="9"/>
  <c r="Y215" i="9"/>
  <c r="Y339" i="9"/>
  <c r="Y587" i="9"/>
  <c r="Y638" i="9"/>
  <c r="Y261" i="9"/>
  <c r="Y439" i="9"/>
  <c r="Y348" i="9"/>
  <c r="Y618" i="9"/>
  <c r="Y311" i="9"/>
  <c r="Y247" i="9"/>
  <c r="Y84" i="9"/>
  <c r="Y331" i="9"/>
  <c r="Y191" i="9"/>
  <c r="Y531" i="9"/>
  <c r="Y416" i="9"/>
  <c r="Y691" i="9"/>
  <c r="Y577" i="9"/>
  <c r="Y103" i="9"/>
  <c r="Y805" i="9"/>
  <c r="Y67" i="9"/>
  <c r="Y525" i="9"/>
  <c r="Y53" i="9"/>
  <c r="Y825" i="9"/>
  <c r="Y160" i="9"/>
  <c r="Y692" i="9"/>
  <c r="Y366" i="9"/>
  <c r="Y682" i="9"/>
  <c r="Y210" i="9"/>
  <c r="Y477" i="9"/>
  <c r="Y317" i="9"/>
  <c r="Y660" i="9"/>
  <c r="Y185" i="9"/>
  <c r="Y500" i="9"/>
  <c r="Y798" i="9"/>
  <c r="Y417" i="9"/>
  <c r="Y614" i="9"/>
  <c r="Y97" i="9"/>
  <c r="Y631" i="9"/>
  <c r="Y83" i="9"/>
  <c r="Y471" i="9"/>
  <c r="Y116" i="9"/>
  <c r="Y534" i="9"/>
  <c r="Y396" i="9"/>
  <c r="Y422" i="9"/>
  <c r="Y71" i="9"/>
  <c r="Y76" i="9"/>
  <c r="Y708" i="9"/>
  <c r="Y639" i="9"/>
  <c r="Y193" i="9"/>
  <c r="Y559" i="9"/>
  <c r="Y368" i="9"/>
  <c r="Y184" i="9"/>
  <c r="Y864" i="9"/>
  <c r="Y702" i="9"/>
  <c r="Y153" i="9"/>
  <c r="Y66" i="9"/>
  <c r="Y548" i="9"/>
  <c r="Y818" i="9"/>
  <c r="Y637" i="9"/>
  <c r="Y735" i="9"/>
  <c r="Y383" i="9"/>
  <c r="Y294" i="9"/>
  <c r="Y776" i="9"/>
  <c r="Y786" i="9"/>
  <c r="Y599" i="9"/>
  <c r="Y724" i="9"/>
  <c r="Y441" i="9"/>
  <c r="Y281" i="9"/>
  <c r="Y768" i="9"/>
  <c r="Y342" i="9"/>
  <c r="Y754" i="9"/>
  <c r="Y762" i="9"/>
  <c r="Y649" i="9"/>
  <c r="Y410" i="9"/>
  <c r="Y60" i="9"/>
  <c r="Y282" i="9"/>
  <c r="Y740" i="9"/>
  <c r="Y54" i="9"/>
  <c r="Y443" i="9"/>
  <c r="Y474" i="9"/>
  <c r="Y169" i="9"/>
  <c r="Y700" i="9"/>
  <c r="Y488" i="9"/>
  <c r="Y543" i="9"/>
  <c r="Y49" i="9"/>
  <c r="Y578" i="9"/>
  <c r="Y320" i="9"/>
  <c r="Y690" i="9"/>
  <c r="Y621" i="9"/>
  <c r="Y679" i="9"/>
  <c r="Y225" i="9"/>
  <c r="Y38" i="9"/>
  <c r="Y817" i="9"/>
  <c r="Y458" i="9"/>
  <c r="Y321" i="9"/>
  <c r="Y519" i="9"/>
  <c r="Y308" i="9"/>
  <c r="Y74" i="9"/>
  <c r="Y489" i="9"/>
  <c r="Y571" i="9"/>
  <c r="Y141" i="9"/>
  <c r="Y654" i="9"/>
  <c r="Y567" i="9"/>
  <c r="Y188" i="9"/>
  <c r="Y847" i="9"/>
  <c r="Y108" i="9"/>
  <c r="Y546" i="9"/>
  <c r="Y240" i="9"/>
  <c r="Y509" i="9"/>
  <c r="Y680" i="9"/>
  <c r="Y450" i="9"/>
  <c r="Y360" i="9"/>
  <c r="Y386" i="9"/>
  <c r="Y132" i="9"/>
  <c r="Y831" i="9"/>
  <c r="Y93" i="9"/>
  <c r="Y77" i="9"/>
  <c r="Y324" i="9"/>
  <c r="Y302" i="9"/>
  <c r="Y814" i="9"/>
  <c r="Y363" i="9"/>
  <c r="Y155" i="9"/>
  <c r="Y306" i="9"/>
  <c r="Y168" i="9"/>
  <c r="Y703" i="9"/>
  <c r="Y560" i="9"/>
  <c r="Y258" i="9"/>
  <c r="Y213" i="9"/>
  <c r="Y219" i="9"/>
  <c r="Y57" i="9"/>
  <c r="Y304" i="9"/>
  <c r="Y46" i="9"/>
  <c r="Y415" i="9"/>
  <c r="Y179" i="9"/>
  <c r="Y641" i="9"/>
  <c r="Y285" i="9"/>
  <c r="Y27" i="9"/>
  <c r="Y802" i="9"/>
  <c r="Y63" i="9"/>
  <c r="Y406" i="9"/>
  <c r="Y123" i="9"/>
</calcChain>
</file>

<file path=xl/comments1.xml><?xml version="1.0" encoding="utf-8"?>
<comments xmlns="http://schemas.openxmlformats.org/spreadsheetml/2006/main">
  <authors>
    <author/>
  </authors>
  <commentList>
    <comment ref="E68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2.xml><?xml version="1.0" encoding="utf-8"?>
<comments xmlns="http://schemas.openxmlformats.org/spreadsheetml/2006/main">
  <authors>
    <author>Tyfanie Bourlet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Adonis : modalité</t>
        </r>
      </text>
    </comment>
  </commentList>
</comments>
</file>

<file path=xl/comments4.xml><?xml version="1.0" encoding="utf-8"?>
<comments xmlns="http://schemas.openxmlformats.org/spreadsheetml/2006/main">
  <authors>
    <author>Tyfanie Bourlet</author>
    <author/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LotNames (RAPSO003,,,,)</t>
        </r>
      </text>
    </comment>
    <comment ref="E1" authorId="1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  <comment ref="F1" authorId="0">
      <text>
        <r>
          <rPr>
            <b/>
            <sz val="9"/>
            <color indexed="81"/>
            <rFont val="Tahoma"/>
            <charset val="1"/>
          </rPr>
          <t>Tyfanie Bourlet:</t>
        </r>
        <r>
          <rPr>
            <sz val="9"/>
            <color indexed="81"/>
            <rFont val="Tahoma"/>
            <charset val="1"/>
          </rPr>
          <t xml:space="preserve">
Les x/y étant inversés dans le fichier d'origine, ici les x correspondent aux y du fichier initial</t>
        </r>
      </text>
    </comment>
    <comment ref="CI1" authorId="0">
      <text>
        <r>
          <rPr>
            <b/>
            <sz val="9"/>
            <color indexed="81"/>
            <rFont val="Tahoma"/>
            <charset val="1"/>
          </rPr>
          <t>Tyfanie Bourlet:</t>
        </r>
        <r>
          <rPr>
            <sz val="9"/>
            <color indexed="81"/>
            <rFont val="Tahoma"/>
            <charset val="1"/>
          </rPr>
          <t xml:space="preserve">
Pieds sec (1 : sensible)</t>
        </r>
      </text>
    </comment>
  </commentList>
</comments>
</file>

<file path=xl/comments5.xml><?xml version="1.0" encoding="utf-8"?>
<comments xmlns="http://schemas.openxmlformats.org/spreadsheetml/2006/main">
  <authors>
    <author>Tyfanie Bourlet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Insérer les fichiers comme : 
ITK, INN, Dispositif expérimental, Météo, Tensiométrie</t>
        </r>
      </text>
    </comment>
  </commentList>
</comments>
</file>

<file path=xl/sharedStrings.xml><?xml version="1.0" encoding="utf-8"?>
<sst xmlns="http://schemas.openxmlformats.org/spreadsheetml/2006/main" count="11022" uniqueCount="8247">
  <si>
    <t>GnpISVersionNumber</t>
  </si>
  <si>
    <t>14_1</t>
  </si>
  <si>
    <t>StaticDataExtraction</t>
  </si>
  <si>
    <t>SubmissionType</t>
  </si>
  <si>
    <t>Ephesis</t>
  </si>
  <si>
    <t>This worksheet is used for submit phenotyping data.</t>
  </si>
  <si>
    <t>SUBMIT NOTE</t>
  </si>
  <si>
    <r>
      <t>RED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required</t>
    </r>
    <r>
      <rPr>
        <sz val="10"/>
        <rFont val="Arial"/>
        <family val="2"/>
        <charset val="1"/>
      </rPr>
      <t xml:space="preserve"> for submission, must not be empty.</t>
    </r>
  </si>
  <si>
    <r>
      <t>BLACK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that are optional</t>
    </r>
    <r>
      <rPr>
        <sz val="10"/>
        <rFont val="Arial"/>
        <family val="2"/>
        <charset val="1"/>
      </rPr>
      <t xml:space="preserve"> for submission, may be empty.</t>
    </r>
  </si>
  <si>
    <r>
      <t>BLUE</t>
    </r>
    <r>
      <rPr>
        <sz val="10"/>
        <color indexed="4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>names indicate</t>
    </r>
    <r>
      <rPr>
        <b/>
        <sz val="10"/>
        <rFont val="Arial"/>
        <family val="2"/>
        <charset val="1"/>
      </rPr>
      <t xml:space="preserve"> specific fields / sheets </t>
    </r>
    <r>
      <rPr>
        <sz val="10"/>
        <rFont val="Arial"/>
        <family val="2"/>
        <charset val="1"/>
      </rPr>
      <t>for submission. Column can be empty but must not be deleted.</t>
    </r>
  </si>
  <si>
    <t>DOCUMENTATION</t>
  </si>
  <si>
    <t>TRIAL</t>
  </si>
  <si>
    <t>General information on the trial</t>
  </si>
  <si>
    <t>TrialName</t>
  </si>
  <si>
    <t>TrialCode</t>
  </si>
  <si>
    <t>DateBegin</t>
  </si>
  <si>
    <t>DateEnd</t>
  </si>
  <si>
    <t>TrialGoal</t>
  </si>
  <si>
    <t>TrialComments</t>
  </si>
  <si>
    <t>PhenotypingCampain</t>
  </si>
  <si>
    <t>PMID</t>
  </si>
  <si>
    <t>X</t>
  </si>
  <si>
    <t>Y</t>
  </si>
  <si>
    <t>PreviousCrop</t>
  </si>
  <si>
    <t>TrialDesign</t>
  </si>
  <si>
    <t>TrialHistory</t>
  </si>
  <si>
    <t>ProjectAcronym</t>
  </si>
  <si>
    <t>TrialSet</t>
  </si>
  <si>
    <t>TrialSetType</t>
  </si>
  <si>
    <t>Description</t>
  </si>
  <si>
    <t>Free naming of the trial/assay</t>
  </si>
  <si>
    <t>Trial identification. Used for data integrity and update so must be unique</t>
  </si>
  <si>
    <t>Beginning date of this trial</t>
  </si>
  <si>
    <t>End date of this trial</t>
  </si>
  <si>
    <t>The main objectives of this experimentation</t>
  </si>
  <si>
    <t>Comments on this trial</t>
  </si>
  <si>
    <t>Name/Tag of a group of observations within the Trial. For instance all 2012 observations for a multiannual perenial plant trial.</t>
  </si>
  <si>
    <t>Comma separated list of publication's PMID.</t>
  </si>
  <si>
    <r>
      <t xml:space="preserve">Description of the </t>
    </r>
    <r>
      <rPr>
        <b/>
        <sz val="10"/>
        <rFont val="Arial"/>
        <family val="2"/>
        <charset val="1"/>
      </rPr>
      <t>X</t>
    </r>
    <r>
      <rPr>
        <sz val="10"/>
        <rFont val="Arial"/>
        <family val="2"/>
        <charset val="1"/>
      </rPr>
      <t xml:space="preserve"> of the</t>
    </r>
    <r>
      <rPr>
        <b/>
        <sz val="10"/>
        <rFont val="Arial"/>
        <family val="2"/>
        <charset val="1"/>
      </rPr>
      <t xml:space="preserve"> Data sheet</t>
    </r>
  </si>
  <si>
    <r>
      <t>Description of the</t>
    </r>
    <r>
      <rPr>
        <b/>
        <sz val="10"/>
        <rFont val="Arial"/>
        <family val="2"/>
        <charset val="1"/>
      </rPr>
      <t xml:space="preserve"> Y</t>
    </r>
    <r>
      <rPr>
        <sz val="10"/>
        <rFont val="Arial"/>
        <family val="2"/>
        <charset val="1"/>
      </rPr>
      <t xml:space="preserve"> of the </t>
    </r>
    <r>
      <rPr>
        <b/>
        <sz val="10"/>
        <rFont val="Arial"/>
        <family val="2"/>
        <charset val="1"/>
      </rPr>
      <t>Data sheet</t>
    </r>
  </si>
  <si>
    <t>Crop installed on this site before this trial</t>
  </si>
  <si>
    <t>Design of the trial</t>
  </si>
  <si>
    <t>Identification of previous contacts and/or owners</t>
  </si>
  <si>
    <t>Acronym of the project in which the experiment was made</t>
  </si>
  <si>
    <t>Name of the trial group</t>
  </si>
  <si>
    <t>Type of the trial group</t>
  </si>
  <si>
    <t>Example</t>
  </si>
  <si>
    <t>mon test</t>
  </si>
  <si>
    <t>MON_TEST</t>
  </si>
  <si>
    <t>22/03/2013</t>
  </si>
  <si>
    <t>2014</t>
  </si>
  <si>
    <t>Diversity analysis</t>
  </si>
  <si>
    <t>Essai test</t>
  </si>
  <si>
    <t>15608279,2052071</t>
  </si>
  <si>
    <t>row</t>
  </si>
  <si>
    <t>column</t>
  </si>
  <si>
    <t>Come from BORDEAUX (Louvet)</t>
  </si>
  <si>
    <t>myGroup</t>
  </si>
  <si>
    <t>Replication</t>
  </si>
  <si>
    <t>Data type</t>
  </si>
  <si>
    <t>String</t>
  </si>
  <si>
    <t>Date: dd/mm/yyyy
Date: mm/yyyy
Date: yyyy</t>
  </si>
  <si>
    <t>Number</t>
  </si>
  <si>
    <t>SITE</t>
  </si>
  <si>
    <t>General information on the experimental site</t>
  </si>
  <si>
    <t>SiteName</t>
  </si>
  <si>
    <t>Latitude</t>
  </si>
  <si>
    <t>Longitude</t>
  </si>
  <si>
    <t>Elevation</t>
  </si>
  <si>
    <t>Exposure</t>
  </si>
  <si>
    <t>Slope</t>
  </si>
  <si>
    <t>CityOrRegionOrCountry</t>
  </si>
  <si>
    <t>SiteStatus</t>
  </si>
  <si>
    <t>Landowner</t>
  </si>
  <si>
    <t>Comment</t>
  </si>
  <si>
    <t>MeteoStationCode</t>
  </si>
  <si>
    <t>MeteoStationNetwork</t>
  </si>
  <si>
    <t>Name of the experimental site (Plateform name, Field identification, etc…)</t>
  </si>
  <si>
    <t>Latitude of the experimental site (GPS).
Use decimal version of the coordinate (cf. http://www.lexilogos.com/calcul_distances.htm)</t>
  </si>
  <si>
    <t>Longitude of the experimental site (GPS).
Use decimal version of the coordinate (cf. http://www.lexilogos.com/calcul_distances.htm)</t>
  </si>
  <si>
    <t>Altitude of the experimental site</t>
  </si>
  <si>
    <t>Principal exposure of the experimental site</t>
  </si>
  <si>
    <t>Principal type of the slope of the experimental site</t>
  </si>
  <si>
    <t>Nearest city, region or country from the experimental site</t>
  </si>
  <si>
    <t>Property status of the experimental site</t>
  </si>
  <si>
    <t>Landowner of the experimental site</t>
  </si>
  <si>
    <t>Comment about the experimental site</t>
  </si>
  <si>
    <t>Code of the meteo station</t>
  </si>
  <si>
    <t>Name of the meteo station network</t>
  </si>
  <si>
    <t>Examples</t>
  </si>
  <si>
    <t>Bordeaux</t>
  </si>
  <si>
    <t>FRA</t>
  </si>
  <si>
    <t>S</t>
  </si>
  <si>
    <t>Forêt domaniale</t>
  </si>
  <si>
    <t>P (= Private property)
I (= INRA)
S (= Under a specific regime)</t>
  </si>
  <si>
    <t>CONTACT</t>
  </si>
  <si>
    <t>List of persons involved in this trial (scientific, submiter, landowner…)</t>
  </si>
  <si>
    <t>Type</t>
  </si>
  <si>
    <t>LastName</t>
  </si>
  <si>
    <t>FirstName</t>
  </si>
  <si>
    <t>Phone</t>
  </si>
  <si>
    <t>Fax</t>
  </si>
  <si>
    <t>Email</t>
  </si>
  <si>
    <t>Institution</t>
  </si>
  <si>
    <t>Laboratory</t>
  </si>
  <si>
    <t>Type of the contact.</t>
  </si>
  <si>
    <t>Contact name, in upper case.</t>
  </si>
  <si>
    <t>Contact first name, first letter in upper case.</t>
  </si>
  <si>
    <t>Following international phone number convention.</t>
  </si>
  <si>
    <t>Following international fax number convention</t>
  </si>
  <si>
    <t>Electronic mail.</t>
  </si>
  <si>
    <t>Institution name.</t>
  </si>
  <si>
    <t>Laboratory name.</t>
  </si>
  <si>
    <t>Submiter</t>
  </si>
  <si>
    <t>DUPOND</t>
  </si>
  <si>
    <t>Jacques</t>
  </si>
  <si>
    <t>+33 (0) 1 30 83 38 99</t>
  </si>
  <si>
    <t>+33 (0) 1 30 83 38 90</t>
  </si>
  <si>
    <t>jacques.dupond@email.com</t>
  </si>
  <si>
    <t>INRA</t>
  </si>
  <si>
    <t>URGI</t>
  </si>
  <si>
    <t>Phone number</t>
  </si>
  <si>
    <t>Fax number</t>
  </si>
  <si>
    <t>VARIABLE</t>
  </si>
  <si>
    <t>List of variables observed in this trial. Idealy they are part of a well identified ontology.</t>
  </si>
  <si>
    <t>Each variable is reused as a column in the Data sheet.</t>
  </si>
  <si>
    <t>OntologyName</t>
  </si>
  <si>
    <t>VariableCode</t>
  </si>
  <si>
    <t>VariableName</t>
  </si>
  <si>
    <t>MeasurmentUnit</t>
  </si>
  <si>
    <t>MeasurmentProtocol</t>
  </si>
  <si>
    <t>ParentVariable</t>
  </si>
  <si>
    <t>Full name of the ontology holding this variable</t>
  </si>
  <si>
    <r>
      <t>Identification of the variable. Unique within the ontology declared in O</t>
    </r>
    <r>
      <rPr>
        <b/>
        <sz val="10"/>
        <rFont val="Arial"/>
        <family val="2"/>
        <charset val="1"/>
      </rPr>
      <t>ntologyName</t>
    </r>
    <r>
      <rPr>
        <sz val="10"/>
        <rFont val="Arial"/>
        <family val="2"/>
        <charset val="1"/>
      </rPr>
      <t xml:space="preserve">. This code is used as header in the </t>
    </r>
    <r>
      <rPr>
        <b/>
        <sz val="10"/>
        <rFont val="Arial"/>
        <family val="2"/>
        <charset val="1"/>
      </rPr>
      <t>Data sheet</t>
    </r>
  </si>
  <si>
    <t>Name of the variable</t>
  </si>
  <si>
    <t>Full description of the variable</t>
  </si>
  <si>
    <t>Unit of the mesured variable</t>
  </si>
  <si>
    <t>Reference measurment protocol of the variable</t>
  </si>
  <si>
    <r>
      <t>VariableCode</t>
    </r>
    <r>
      <rPr>
        <sz val="10"/>
        <rFont val="Arial"/>
        <family val="2"/>
        <charset val="1"/>
      </rPr>
      <t xml:space="preserve"> of this variable's parent</t>
    </r>
  </si>
  <si>
    <t>Comments on the variable</t>
  </si>
  <si>
    <t>trait ontology</t>
  </si>
  <si>
    <t>haut</t>
  </si>
  <si>
    <t>hauteur</t>
  </si>
  <si>
    <t>cm</t>
  </si>
  <si>
    <t>PLANT MATERIAL</t>
  </si>
  <si>
    <t>List of genotypes. Should be preexisting in GnpIS. If not sure contact us.</t>
  </si>
  <si>
    <t>TaxonScientificName</t>
  </si>
  <si>
    <t>AccessionNumber</t>
  </si>
  <si>
    <t>AccessionName</t>
  </si>
  <si>
    <t>HoldingInstitution</t>
  </si>
  <si>
    <t>LotName</t>
  </si>
  <si>
    <t>Scientific name of the taxon</t>
  </si>
  <si>
    <t>Unique identification of the accession/genotype</t>
  </si>
  <si>
    <t>Full name of the accession</t>
  </si>
  <si>
    <t>Institution holding this accession</t>
  </si>
  <si>
    <r>
      <t xml:space="preserve">Identification of the physical plant(s) used in the trial : seeds, tree, ….
Used in the first column of the </t>
    </r>
    <r>
      <rPr>
        <b/>
        <sz val="10"/>
        <rFont val="Arial"/>
        <family val="2"/>
        <charset val="1"/>
      </rPr>
      <t>Data sheet</t>
    </r>
  </si>
  <si>
    <t>Triticum aestivum</t>
  </si>
  <si>
    <t>274Col49</t>
  </si>
  <si>
    <t>chargeur</t>
  </si>
  <si>
    <t>ch</t>
  </si>
  <si>
    <t>TREATMENT</t>
  </si>
  <si>
    <t>List of factor and modalities used in this trial. Treatments are  combination of modalities.</t>
  </si>
  <si>
    <t>Each factor is reused as a column in the Data sheet. The modalities of each factor are the authorised value for this factor/column.</t>
  </si>
  <si>
    <t>Factor</t>
  </si>
  <si>
    <t>ModeCode</t>
  </si>
  <si>
    <t>ModeName</t>
  </si>
  <si>
    <t>ModeDescription</t>
  </si>
  <si>
    <r>
      <t xml:space="preserve">Name of the factor.
This name is used as header in the </t>
    </r>
    <r>
      <rPr>
        <b/>
        <sz val="10"/>
        <rFont val="Arial"/>
        <family val="2"/>
        <charset val="1"/>
      </rPr>
      <t>Data sheet</t>
    </r>
  </si>
  <si>
    <r>
      <t xml:space="preserve">Unique identifier of the modality.
This code is used as value in the </t>
    </r>
    <r>
      <rPr>
        <b/>
        <sz val="10"/>
        <rFont val="Arial"/>
        <family val="2"/>
        <charset val="1"/>
      </rPr>
      <t>Data sheet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factor</t>
    </r>
    <r>
      <rPr>
        <sz val="10"/>
        <rFont val="Arial"/>
        <family val="2"/>
        <charset val="1"/>
      </rPr>
      <t>'s column</t>
    </r>
  </si>
  <si>
    <t>Full name of the modality</t>
  </si>
  <si>
    <t>Full description of the modality, possibly with a short description of its caracteristics like phenologic stade for a given treatment</t>
  </si>
  <si>
    <t>engrais</t>
  </si>
  <si>
    <t>N0</t>
  </si>
  <si>
    <t>azote 0</t>
  </si>
  <si>
    <t>ajout de 0 kilog/hectar de produitA a x concentration tous les mois.</t>
  </si>
  <si>
    <t>LEVEL</t>
  </si>
  <si>
    <t xml:space="preserve">Structure of the trial, for instance bloc &gt; plot &gt; plant. Can be empty if you want to store only genotype x factor data and no plot data. </t>
  </si>
  <si>
    <t>Each level is reused as a column in the Data sheet.</t>
  </si>
  <si>
    <t>Code</t>
  </si>
  <si>
    <t>Name</t>
  </si>
  <si>
    <t>ParentLevel</t>
  </si>
  <si>
    <r>
      <t xml:space="preserve">Unique identification of the level (plot, bloc, plant, …) within the trial.
This code is used as header in the </t>
    </r>
    <r>
      <rPr>
        <b/>
        <sz val="10"/>
        <rFont val="Arial"/>
        <family val="2"/>
        <charset val="1"/>
      </rPr>
      <t>Data sheet</t>
    </r>
  </si>
  <si>
    <t>Full name of the level</t>
  </si>
  <si>
    <t>Description of the level</t>
  </si>
  <si>
    <r>
      <t>Code</t>
    </r>
    <r>
      <rPr>
        <sz val="10"/>
        <rFont val="Arial"/>
        <family val="2"/>
        <charset val="1"/>
      </rPr>
      <t xml:space="preserve"> of this level parents. If you have X levels, this column must be filled for X-1 levels</t>
    </r>
  </si>
  <si>
    <t>Rep</t>
  </si>
  <si>
    <t>Repetition</t>
  </si>
  <si>
    <t>Bloc</t>
  </si>
  <si>
    <t>DATA</t>
  </si>
  <si>
    <t>Data matrix: hold any type of observation (phenotype, env, etc…)</t>
  </si>
  <si>
    <t>&lt;factors&gt;</t>
  </si>
  <si>
    <t>&lt;levels&gt;</t>
  </si>
  <si>
    <t>X(m)</t>
  </si>
  <si>
    <t>Y(m)</t>
  </si>
  <si>
    <t>&lt;variables&gt;_value</t>
  </si>
  <si>
    <t>&lt;variables&gt;_date</t>
  </si>
  <si>
    <r>
      <t xml:space="preserve">Identification of the genotype of the observed object.
Must be found in the </t>
    </r>
    <r>
      <rPr>
        <b/>
        <sz val="10"/>
        <rFont val="Arial"/>
        <family val="2"/>
        <charset val="1"/>
      </rPr>
      <t>VarietalList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</si>
  <si>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factors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Treatments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</si>
  <si>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levels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StudySubjectLevels sheet</t>
    </r>
  </si>
  <si>
    <t>X position of the observed object</t>
  </si>
  <si>
    <t>Y position of the observed object</t>
  </si>
  <si>
    <t>X position of the observed object in meters</t>
  </si>
  <si>
    <t>Y position of the observed object in meters</t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</si>
  <si>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variables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Variables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</si>
  <si>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mode_code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</si>
  <si>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levels identifiers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</si>
  <si>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value of the variable for the observed object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</si>
  <si>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observation date of the variable</t>
    </r>
  </si>
  <si>
    <r>
      <t>header</t>
    </r>
    <r>
      <rPr>
        <sz val="10"/>
        <rFont val="Arial"/>
        <family val="2"/>
        <charset val="1"/>
      </rPr>
      <t xml:space="preserve">: engrais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N0</t>
    </r>
  </si>
  <si>
    <r>
      <t>header</t>
    </r>
    <r>
      <rPr>
        <sz val="10"/>
        <rFont val="Arial"/>
        <family val="2"/>
        <charset val="1"/>
      </rPr>
      <t xml:space="preserve">: bloc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bloc1</t>
    </r>
  </si>
  <si>
    <r>
      <t>header</t>
    </r>
    <r>
      <rPr>
        <sz val="10"/>
        <rFont val="Arial"/>
        <family val="2"/>
        <charset val="1"/>
      </rPr>
      <t xml:space="preserve">: haut_value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15</t>
    </r>
  </si>
  <si>
    <r>
      <t>header</t>
    </r>
    <r>
      <rPr>
        <sz val="10"/>
        <rFont val="Arial"/>
        <family val="2"/>
        <charset val="1"/>
      </rPr>
      <t xml:space="preserve">: haut_date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</t>
    </r>
  </si>
  <si>
    <t>String or Number</t>
  </si>
  <si>
    <t>Date</t>
  </si>
  <si>
    <t>FILES</t>
  </si>
  <si>
    <t>FileName</t>
  </si>
  <si>
    <t>Link</t>
  </si>
  <si>
    <t>FileType</t>
  </si>
  <si>
    <t>FileSize</t>
  </si>
  <si>
    <t>CreationDate</t>
  </si>
  <si>
    <t>Name of the file</t>
  </si>
  <si>
    <t>URL where the file can be found (file repository)</t>
  </si>
  <si>
    <t>File type</t>
  </si>
  <si>
    <t>File size</t>
  </si>
  <si>
    <t>Creation date of the file</t>
  </si>
  <si>
    <t>Description of the file</t>
  </si>
  <si>
    <t>MeteoWholeTrial.txt
ITK.xls
Plan.xls</t>
  </si>
  <si>
    <t>http://urgi.versailles.inra.fr/Species/Wheat/Sequence-Repository</t>
  </si>
  <si>
    <t>xls</t>
  </si>
  <si>
    <t>xls
csv
txt</t>
  </si>
  <si>
    <t>Date: dd/mm/yyyy</t>
  </si>
  <si>
    <t>FOREST COMPLEMENTARY INFO</t>
  </si>
  <si>
    <r>
      <t xml:space="preserve">Additional fields. </t>
    </r>
    <r>
      <rPr>
        <b/>
        <sz val="10"/>
        <color indexed="10"/>
        <rFont val="Arial"/>
        <family val="2"/>
        <charset val="1"/>
      </rPr>
      <t>Mandatory</t>
    </r>
    <r>
      <rPr>
        <b/>
        <sz val="10"/>
        <rFont val="Arial"/>
        <family val="2"/>
        <charset val="1"/>
      </rPr>
      <t xml:space="preserve"> tab for forest submissions.</t>
    </r>
  </si>
  <si>
    <t>TrialType</t>
  </si>
  <si>
    <t>TrialStatus</t>
  </si>
  <si>
    <t>DataFormat</t>
  </si>
  <si>
    <t>Type of this trial</t>
  </si>
  <si>
    <t>State and monitoring level of this trial</t>
  </si>
  <si>
    <t>Which format is used to store the data ?</t>
  </si>
  <si>
    <t>Digital</t>
  </si>
  <si>
    <t>1 (= provenances comparison)
2 (= maternal descendants comparison)
3 (= two-parents descendants comparison)
4 (= species comparison)
5 (=clones seeds orchard)
6 (=clonal comparison)
7 (= clonal park)
8 (= juveniles comparison)
9 (= other)</t>
  </si>
  <si>
    <t>A (= abandoned/ruined)
1 (= weakly active)
2 (= moderately active)
3 (= active)
4 (= very active)
9 (= unknown)</t>
  </si>
  <si>
    <t>Paper
Scan
Digital
Unknown</t>
  </si>
  <si>
    <t>Rapsodyn</t>
  </si>
  <si>
    <t>Nesi</t>
  </si>
  <si>
    <t>Nathalie</t>
  </si>
  <si>
    <t>nathalie.nesi@rennes.inra.fr</t>
  </si>
  <si>
    <t>IGEPP</t>
  </si>
  <si>
    <t>INRA Brassica Experimental Ontology</t>
  </si>
  <si>
    <t>m2</t>
  </si>
  <si>
    <t>kg</t>
  </si>
  <si>
    <t>%</t>
  </si>
  <si>
    <t>SY</t>
  </si>
  <si>
    <t>TSW</t>
  </si>
  <si>
    <t>g</t>
  </si>
  <si>
    <t>SN</t>
  </si>
  <si>
    <t>O</t>
  </si>
  <si>
    <t>PrY</t>
  </si>
  <si>
    <t>OY</t>
  </si>
  <si>
    <t>Brassica napus L.</t>
  </si>
  <si>
    <t>Warzanwski</t>
  </si>
  <si>
    <t>Forto</t>
  </si>
  <si>
    <t>Colvert</t>
  </si>
  <si>
    <t>Pacific</t>
  </si>
  <si>
    <t>Mikado</t>
  </si>
  <si>
    <t>Contact</t>
  </si>
  <si>
    <t>Express</t>
  </si>
  <si>
    <t>Nain de Hambourg</t>
  </si>
  <si>
    <t>Azote</t>
  </si>
  <si>
    <t>N1</t>
  </si>
  <si>
    <t>azote limitant</t>
  </si>
  <si>
    <t>N2</t>
  </si>
  <si>
    <t>azote optimal</t>
  </si>
  <si>
    <t>bloc</t>
  </si>
  <si>
    <t>plot</t>
  </si>
  <si>
    <t>parcelle</t>
  </si>
  <si>
    <t>Parcelle</t>
  </si>
  <si>
    <t>SY_value</t>
  </si>
  <si>
    <t>TSW_value</t>
  </si>
  <si>
    <t>TSW_date</t>
  </si>
  <si>
    <t>SN_value</t>
  </si>
  <si>
    <t>SN_date</t>
  </si>
  <si>
    <t>O_value</t>
  </si>
  <si>
    <t>O_date</t>
  </si>
  <si>
    <t>PrY_value</t>
  </si>
  <si>
    <t>PrY_date</t>
  </si>
  <si>
    <t>OY_value</t>
  </si>
  <si>
    <t>OY_date</t>
  </si>
  <si>
    <t>InstitutionName</t>
  </si>
  <si>
    <t>Acareosperma Gagnep.</t>
  </si>
  <si>
    <t>A &amp; I University</t>
  </si>
  <si>
    <t>Conservatoire Botanique National Méditerranéen de Porquerolles</t>
  </si>
  <si>
    <t>AF 1999 018</t>
  </si>
  <si>
    <t>Arvalis-Chalons</t>
  </si>
  <si>
    <t>Acareosperma spireanum Gagnep.</t>
  </si>
  <si>
    <t>Abed Plant Breeding Station</t>
  </si>
  <si>
    <t>Gautier Semences</t>
  </si>
  <si>
    <t>AF 1999 046</t>
  </si>
  <si>
    <t>Arvalis-Greoux</t>
  </si>
  <si>
    <t>Acyrthosiphon magnoliae</t>
  </si>
  <si>
    <t>Abteilung Biochemie</t>
  </si>
  <si>
    <t>Institut Jean-Pierre Bourgin</t>
  </si>
  <si>
    <t>AF 1999 064</t>
  </si>
  <si>
    <t>Bergheim</t>
  </si>
  <si>
    <t>Acyrthosiphon pisum</t>
  </si>
  <si>
    <t>Abteilung Traub</t>
  </si>
  <si>
    <t>Pépinière du Mas d'Auge</t>
  </si>
  <si>
    <t>AF 2001 001</t>
  </si>
  <si>
    <t>BGAMDV</t>
  </si>
  <si>
    <t>Aegilops</t>
  </si>
  <si>
    <t>ADIS DNA core facility at MPIZ</t>
  </si>
  <si>
    <t>Pépinières Rey</t>
  </si>
  <si>
    <t>AF 2001 009</t>
  </si>
  <si>
    <t>Aegilops aucheri Boiss.</t>
  </si>
  <si>
    <t>ADT</t>
  </si>
  <si>
    <t>UE Ressources Génétiques végétales en Conditions Océaniques, INRA-Rennes, Site de Ploudaniel</t>
  </si>
  <si>
    <t>AF 2001 019-031</t>
  </si>
  <si>
    <t>Clermont-Ferrand</t>
  </si>
  <si>
    <t>Aegilops bicornis</t>
  </si>
  <si>
    <t>Agricultural and Agri-Food Canada</t>
  </si>
  <si>
    <t>UMR Amélioration Génétique et Adaptation des Plantes, INRA-Montpellier</t>
  </si>
  <si>
    <t>AF 2001 024</t>
  </si>
  <si>
    <t>Colmar</t>
  </si>
  <si>
    <t>Aegilops bicornis (Forsk.) Jaub. &amp; Spach.</t>
  </si>
  <si>
    <t>Agricultural and Technological Research Centre</t>
  </si>
  <si>
    <t>UMR Développement et Amélioration des Plantes, INRA-Montpellier</t>
  </si>
  <si>
    <t>AF 2001 030</t>
  </si>
  <si>
    <t>Dijon</t>
  </si>
  <si>
    <t>Aegilops comosa</t>
  </si>
  <si>
    <t>Agricultural Biotechnology R&amp;D,  Life Technologies,  Inc.</t>
  </si>
  <si>
    <t>UMR Écophysiologie et Génomique Fonctionnelle de la Vigne, INRA-Bordeaux</t>
  </si>
  <si>
    <t>AF 2001 032</t>
  </si>
  <si>
    <t>Estrees-Mons</t>
  </si>
  <si>
    <t>Aegilops comosa Sibth. &amp; Sm.</t>
  </si>
  <si>
    <t>Agricultural Experiment Station University of the District of Columbia</t>
  </si>
  <si>
    <t>UMR Génétique, Diversité et Ecophysiologie des Céréales, INRA-Clermont</t>
  </si>
  <si>
    <t>AF 2001 047</t>
  </si>
  <si>
    <t>Estrées-Mons</t>
  </si>
  <si>
    <t>Aegilops crassa Boiss.</t>
  </si>
  <si>
    <t>Agricultural Genomics</t>
  </si>
  <si>
    <t>UMR Génétique et Écophysiologie des Légumineuses à Graines, INRA-Dijon</t>
  </si>
  <si>
    <t>AF 2001 051</t>
  </si>
  <si>
    <t>Fertreve - Foret de Vincence</t>
  </si>
  <si>
    <t>Aegilops crassa Boiss. subsp. vavilovi Zhuk.</t>
  </si>
  <si>
    <t>Agricultural Institute Krizevci</t>
  </si>
  <si>
    <t>UMR Institut de Génétique, Environnement et Protection des Plantes, INRA-Rennes, Site de Ploudaniel</t>
  </si>
  <si>
    <t>AF 2001 073</t>
  </si>
  <si>
    <t>FLORIMOND DESPREZ</t>
  </si>
  <si>
    <t>Aegilops crassa var. palaestina</t>
  </si>
  <si>
    <t>Agricultural Institute Osijek</t>
  </si>
  <si>
    <t>UMR Santé de la Vigne et Qualité du Vin, INRA-Colmar</t>
  </si>
  <si>
    <t>Ag_EST</t>
  </si>
  <si>
    <t>IPGPAS</t>
  </si>
  <si>
    <t>Aegilops crassa var. vavilovi</t>
  </si>
  <si>
    <t>Agricultural Research &amp; Advisory Station, Dept. of Agriculture</t>
  </si>
  <si>
    <t>Unité Expérimentale du Domaine de Vassal, INRA-Montpellier</t>
  </si>
  <si>
    <t>AIP_P00272</t>
  </si>
  <si>
    <t>Le Moulon</t>
  </si>
  <si>
    <t>Aegilops cylindrica Host</t>
  </si>
  <si>
    <t>Agricultural Research Centre - Mtwapa</t>
  </si>
  <si>
    <t>Unité Expérimentale Vigne et Vin, INRA-Montreuil Bellay</t>
  </si>
  <si>
    <t>ANR-06- GPLA-016</t>
  </si>
  <si>
    <t>LLC</t>
  </si>
  <si>
    <t>Aegilops juvenalis (Thell.) Eig</t>
  </si>
  <si>
    <t>Agricultural Research Institute for East Brazil</t>
  </si>
  <si>
    <t>UR AgroSystèmes TROpicaux, INRA Antilles-Guyane</t>
  </si>
  <si>
    <t>Ap_EST_Riken</t>
  </si>
  <si>
    <t>Lusignan</t>
  </si>
  <si>
    <t>Aegilops longissima</t>
  </si>
  <si>
    <t>Agricultural Research Institute Hungarian Academy of Sciences</t>
  </si>
  <si>
    <t>UR Espèces Fruitières, INRA-Bordeaux</t>
  </si>
  <si>
    <t>AS-2005</t>
  </si>
  <si>
    <t>Maule</t>
  </si>
  <si>
    <t>Aegilops longissima Schweinf. &amp; Muschli in Muschli</t>
  </si>
  <si>
    <t>Agricultural Research Institute Kromeriz, Co. Ltd.</t>
  </si>
  <si>
    <t>UR Génétique et Amélioration des Fruits et Légumes, INRA-Avignon</t>
  </si>
  <si>
    <t>ATH_AfNO1999032</t>
  </si>
  <si>
    <t>MOMONT</t>
  </si>
  <si>
    <t>Aegilops lorentii</t>
  </si>
  <si>
    <t>Agricultural Research Institute of Taihu Prefecture</t>
  </si>
  <si>
    <t>UR Génétique et Écophysiologie de la Qualité des Agrumes, INRA-Corse</t>
  </si>
  <si>
    <t>ATH_RI_NASC</t>
  </si>
  <si>
    <t>Orgeval</t>
  </si>
  <si>
    <t>Aegilops mutica Boiss.</t>
  </si>
  <si>
    <t>Agricultural Research Institute, Uyole</t>
  </si>
  <si>
    <t>URP Prairies et Plantes Fourragères, INRA-Lusignan</t>
  </si>
  <si>
    <t>AtPhy</t>
  </si>
  <si>
    <t>Reclainville</t>
  </si>
  <si>
    <t>Aegilops ovata L.</t>
  </si>
  <si>
    <t>Agricultural Research Organization Volcani Centre</t>
  </si>
  <si>
    <t>BcLTF1</t>
  </si>
  <si>
    <t>Rennes</t>
  </si>
  <si>
    <t>Aegilops ovata var. anatolica Eig</t>
  </si>
  <si>
    <t>Agricultural Research Station - Ghana</t>
  </si>
  <si>
    <t>BCVEL1</t>
  </si>
  <si>
    <t>Saint-Laurent - Foret domaniale de Vierzon</t>
  </si>
  <si>
    <t>Aegilops peregrina</t>
  </si>
  <si>
    <t>Agricultural Research Station - Greece</t>
  </si>
  <si>
    <t>BcYOH1</t>
  </si>
  <si>
    <t>Saint-Symphorien - Foret domaniale de la Petite Charnie</t>
  </si>
  <si>
    <t>Aegilops recta</t>
  </si>
  <si>
    <t>Agricultural Research Station Lovrin-Timis</t>
  </si>
  <si>
    <t>BerrySize</t>
  </si>
  <si>
    <t>Aegilops searsii Feldman &amp; Kislev</t>
  </si>
  <si>
    <t>Agriculture &amp; Animal Production State Research Farm</t>
  </si>
  <si>
    <t>BGI_EST_OS</t>
  </si>
  <si>
    <t>Aegilops sharonensis</t>
  </si>
  <si>
    <t>Agri-obtentions Clermont-Ferrand</t>
  </si>
  <si>
    <t>BIEP</t>
  </si>
  <si>
    <t>Aegilops speltoides</t>
  </si>
  <si>
    <t>Agri-Obtentions, Guyancourt</t>
  </si>
  <si>
    <t>BotPathoINRA</t>
  </si>
  <si>
    <t>Aegilops squarrosa auct., p. p., non. L.</t>
  </si>
  <si>
    <t>Agripro Seeds Inc.</t>
  </si>
  <si>
    <t>Botrytis_on_Sunflower_2008</t>
  </si>
  <si>
    <t>Aegilops squarrosa L.</t>
  </si>
  <si>
    <t>Agrogene</t>
  </si>
  <si>
    <t>B1</t>
  </si>
  <si>
    <t>Aegilops subulata Pomel</t>
  </si>
  <si>
    <t>Agrolit S.A.</t>
  </si>
  <si>
    <t>Cabomba_EST</t>
  </si>
  <si>
    <t>Aegilops tauschii</t>
  </si>
  <si>
    <t>Agronomy</t>
  </si>
  <si>
    <t>CANDIDATE_GENES_BIOGECO</t>
  </si>
  <si>
    <t>Aegilops tauschii subsp. tauschii x Triticum turgidum subsp.</t>
  </si>
  <si>
    <t>A.H. Whitmore Foundation Farm</t>
  </si>
  <si>
    <t>Chlorose</t>
  </si>
  <si>
    <t>Aegilops triuncialis L.</t>
  </si>
  <si>
    <t>Alata Horticultural Research Institute</t>
  </si>
  <si>
    <t>CI1999 076</t>
  </si>
  <si>
    <t>Aegilops turcomanica</t>
  </si>
  <si>
    <t>Alibert</t>
  </si>
  <si>
    <t>CI1999 088</t>
  </si>
  <si>
    <t>Aegilops variabilis Eig</t>
  </si>
  <si>
    <t>All-Union Institute for Vegetable Breeding and Seed Production</t>
  </si>
  <si>
    <t>CI2000 005</t>
  </si>
  <si>
    <t>Aegilops vavilovi</t>
  </si>
  <si>
    <t>Alternate Crops and  Systems Laboratory</t>
  </si>
  <si>
    <t>CI2001 002</t>
  </si>
  <si>
    <t>Aegilops ventricosa Tausch</t>
  </si>
  <si>
    <t>Amélioration des plantes et biotechnologies végétales</t>
  </si>
  <si>
    <t>CM2006-var4</t>
  </si>
  <si>
    <t>Allium cepa L.</t>
  </si>
  <si>
    <t>Amélioration des Semences Légumières</t>
  </si>
  <si>
    <t>CNVmaize</t>
  </si>
  <si>
    <t>Allium cepa L. groupe aggregatum</t>
  </si>
  <si>
    <t>Amelioration et Sante des Plantes</t>
  </si>
  <si>
    <t>CP1</t>
  </si>
  <si>
    <t>Allium L.</t>
  </si>
  <si>
    <t>AMIS/BIOTROP</t>
  </si>
  <si>
    <t>CP1P1</t>
  </si>
  <si>
    <t>Allium sativum L.</t>
  </si>
  <si>
    <t>André Pichot</t>
  </si>
  <si>
    <t>CP1p2</t>
  </si>
  <si>
    <t>Allium sativum longicuspis</t>
  </si>
  <si>
    <t>Applied Biotechnology Center,  CIMMYT</t>
  </si>
  <si>
    <t>CP1p3</t>
  </si>
  <si>
    <t>Allium sativum sativum</t>
  </si>
  <si>
    <t>ARC Interfruitec - Nietvoorbij, Stellenbosch - South Africa</t>
  </si>
  <si>
    <t>CP1p4</t>
  </si>
  <si>
    <t>Ampelopsis aconitifolia Bunge</t>
  </si>
  <si>
    <t>ARCHIVE</t>
  </si>
  <si>
    <t>CP1p5</t>
  </si>
  <si>
    <t>Ampelopsis aegirophylla Planch.</t>
  </si>
  <si>
    <t>Arizona Genomics Institute</t>
  </si>
  <si>
    <t>CP1p7</t>
  </si>
  <si>
    <t>Ampelopsis bipinnata Michx.</t>
  </si>
  <si>
    <t>Arkansas Agricultural Experiment Station, University of Arkansas</t>
  </si>
  <si>
    <t>CP2p1</t>
  </si>
  <si>
    <t>Ampelopsis bodinieri (H.Lév. &amp; Vaniot) Rehder</t>
  </si>
  <si>
    <t>Armenian Institute of Agriculture Armanskaja SSR</t>
  </si>
  <si>
    <t>CP3</t>
  </si>
  <si>
    <t>Ampelopsis brevipedunculata (Maxim.) Trautv.</t>
  </si>
  <si>
    <t>Arvalis-Institut du végétal</t>
  </si>
  <si>
    <t>CP4</t>
  </si>
  <si>
    <t>Ampelopsis chaffanjonii (H.Lév.) Rehder</t>
  </si>
  <si>
    <t>ASGROW</t>
  </si>
  <si>
    <t>CP4P2</t>
  </si>
  <si>
    <t>Ampelopsis citrulloïdes Lebas</t>
  </si>
  <si>
    <t>Asociacion de Nuevos Alquimistas</t>
  </si>
  <si>
    <t>CSIRO</t>
  </si>
  <si>
    <t>Ampelopsis cordata Michx.</t>
  </si>
  <si>
    <t>Association Cap Vert</t>
  </si>
  <si>
    <t>CSIRO-INRA_1</t>
  </si>
  <si>
    <t>Ampelopsis delavayana Planch.</t>
  </si>
  <si>
    <t>Association des Créateurs de Variétés Fourragères</t>
  </si>
  <si>
    <t>C2008-14-RGA</t>
  </si>
  <si>
    <t>Ampelopsis heterophylla Blume</t>
  </si>
  <si>
    <t>Association française interprofessionnelle de l'olive</t>
  </si>
  <si>
    <t>DayLength</t>
  </si>
  <si>
    <t>Ampelopsis megalophylla Diels &amp; Gilg</t>
  </si>
  <si>
    <t>Association Fruits Oubliés</t>
  </si>
  <si>
    <t>DBESTARABI</t>
  </si>
  <si>
    <t>Ampelopsis Michx.</t>
  </si>
  <si>
    <t>Association Les Croqueurs de Pommes du territoire du Jarez</t>
  </si>
  <si>
    <t>DBESTMAIZE</t>
  </si>
  <si>
    <t>Ampelopsis orientalis Planch.</t>
  </si>
  <si>
    <t>Association Les Croqueurs de Pommes du territoire du Jarez, Domaine de la Cantonnière</t>
  </si>
  <si>
    <t>DBESTPEA</t>
  </si>
  <si>
    <t>Ampelopsis serjaniifolia Bunge</t>
  </si>
  <si>
    <t>Association Les Croqueurs de Pommes du territoire du Jarez, Verger de Pleyne</t>
  </si>
  <si>
    <t>DBESTPOPLAR</t>
  </si>
  <si>
    <t>Ampelopsis vitifolia Planch.</t>
  </si>
  <si>
    <t>Association Technique Viticole de Bourgogne</t>
  </si>
  <si>
    <t>DBESTRAPE</t>
  </si>
  <si>
    <t>Aphis fabae</t>
  </si>
  <si>
    <t>ATAV Hérault</t>
  </si>
  <si>
    <t>DBESTRICE</t>
  </si>
  <si>
    <t>Aphis gossypii</t>
  </si>
  <si>
    <t>ATAV Val de Loire</t>
  </si>
  <si>
    <t>DBESTSUNFLOWER</t>
  </si>
  <si>
    <t>Aphis nerii</t>
  </si>
  <si>
    <t>Australian Medicago Genetic Resource Center</t>
  </si>
  <si>
    <t>DBESTWHEAT</t>
  </si>
  <si>
    <t>Apium graveolens</t>
  </si>
  <si>
    <t>Australian Winter Cereals Collection Agricultural Research Centre</t>
  </si>
  <si>
    <t>DBESTZINNIA</t>
  </si>
  <si>
    <t>Arabidopsis Heynh.</t>
  </si>
  <si>
    <t>Aventis CropScience</t>
  </si>
  <si>
    <t>D_noxia_KU</t>
  </si>
  <si>
    <t>Arabidopsis thaliana</t>
  </si>
  <si>
    <t>Ballard's Nurseries</t>
  </si>
  <si>
    <t>EGRAM</t>
  </si>
  <si>
    <t>Asteraceae</t>
  </si>
  <si>
    <t>Banco de Germoplasm de Trigo, Centro Internacional de Mejoramiento de Maíz y Trigo</t>
  </si>
  <si>
    <t>eIF4E</t>
  </si>
  <si>
    <t>Atalantia ceylanica (Arn.) Oliv.</t>
  </si>
  <si>
    <t>Banco de Germoplasma de El Encín</t>
  </si>
  <si>
    <t>ERECTA</t>
  </si>
  <si>
    <t>Atalantia Corrêa</t>
  </si>
  <si>
    <t>Banglasdesh Agricultural Research Institute</t>
  </si>
  <si>
    <t>EXEGESE-BLE</t>
  </si>
  <si>
    <t>Aurantioideae</t>
  </si>
  <si>
    <t>Barajev Kazakhstan Sciences Research Institute</t>
  </si>
  <si>
    <t>Fleshless</t>
  </si>
  <si>
    <t>Avena sativa</t>
  </si>
  <si>
    <t>Barani Agricultural Research Institute</t>
  </si>
  <si>
    <t>GABI-PLANT</t>
  </si>
  <si>
    <t>Botryotinia fuckeliana</t>
  </si>
  <si>
    <t>Bavaria Saat Muenchen BGB GmbH</t>
  </si>
  <si>
    <t>GCP 2006-02</t>
  </si>
  <si>
    <t>Brachypodium distachyon</t>
  </si>
  <si>
    <t>BAYER CROP SCIENCE</t>
  </si>
  <si>
    <t>Genoble</t>
  </si>
  <si>
    <t>Brassica carinata A. Braun</t>
  </si>
  <si>
    <t>Bayer CropScience</t>
  </si>
  <si>
    <t>GEN107_PTGS</t>
  </si>
  <si>
    <t>Brassica juncea (L.) Czern.</t>
  </si>
  <si>
    <t>Bayerische Pflanzenzuchtgesellschaft eG &amp; Co. KG</t>
  </si>
  <si>
    <t>GnpSeq</t>
  </si>
  <si>
    <t>Brassica L.</t>
  </si>
  <si>
    <t>Beatson RA, Nelson - New Zealand</t>
  </si>
  <si>
    <t>GNP05013C</t>
  </si>
  <si>
    <t>Beijing Academy of Agriculture and Forestry Sciences</t>
  </si>
  <si>
    <t>GNP3-B4</t>
  </si>
  <si>
    <t>Brassica napus var. napobrassica (L.) Rchb</t>
  </si>
  <si>
    <t>Beijing Agricultural University - Departement of Agriculture</t>
  </si>
  <si>
    <t>GOP A1</t>
  </si>
  <si>
    <t>Brassica napus var. napus L.</t>
  </si>
  <si>
    <t>Bejo</t>
  </si>
  <si>
    <t>GOP PEA-A</t>
  </si>
  <si>
    <t>Brassica nigra (L.) W. D. J. Koch</t>
  </si>
  <si>
    <t>Belloy et Compagnie</t>
  </si>
  <si>
    <t>GOP PEA-B</t>
  </si>
  <si>
    <t>Brassica oleracea L.</t>
  </si>
  <si>
    <t>Benito Poggiali, Faenza - Italy</t>
  </si>
  <si>
    <t>GOP PEA-C</t>
  </si>
  <si>
    <t>Brassica oleracea var. acephala DC.</t>
  </si>
  <si>
    <t>Bergeron Gabrielle, St-Cyr-au-Mont-d'Or Lyon - France</t>
  </si>
  <si>
    <t>GOP PEA-G</t>
  </si>
  <si>
    <t>Brassica oleracea var. botrytis L.</t>
  </si>
  <si>
    <t>BGI</t>
  </si>
  <si>
    <t>GOP Q5</t>
  </si>
  <si>
    <t>Brassica oleracea var. capitata f. capitata</t>
  </si>
  <si>
    <t>Biochemistry</t>
  </si>
  <si>
    <t>GOP T6</t>
  </si>
  <si>
    <t>Brassica oleracea var. capitata f. pyramidalis</t>
  </si>
  <si>
    <t>Biochemistry,  Department of Natural Sciences</t>
  </si>
  <si>
    <t>GPiDB</t>
  </si>
  <si>
    <t>Brassica oleracea var. capitata f. rubra</t>
  </si>
  <si>
    <t>Biochemistry and  Biophysics,  Department of Chemistry, Lundberg Laboratory</t>
  </si>
  <si>
    <t>GPLA06027C</t>
  </si>
  <si>
    <t>Brassica oleracea var. capitata L.</t>
  </si>
  <si>
    <t>Biochemistry Department</t>
  </si>
  <si>
    <t>GrainGenes</t>
  </si>
  <si>
    <t>Brassica oleracea var. costata DC.</t>
  </si>
  <si>
    <t>Biochimie et Physiologie Moleculaire des plantes</t>
  </si>
  <si>
    <t>GRAPEGEN06</t>
  </si>
  <si>
    <t>Brassica oleracea var. gemmifera (DC.) Zenker</t>
  </si>
  <si>
    <t>BIOGECO</t>
  </si>
  <si>
    <t>GrapeReSeq</t>
  </si>
  <si>
    <t>Brassica oleracea var. gongylodes L.</t>
  </si>
  <si>
    <t>BIOGEMMA</t>
  </si>
  <si>
    <t>GRAPESEQ</t>
  </si>
  <si>
    <t>Brassica oleracea var. italica Plenck</t>
  </si>
  <si>
    <t>Biogemma</t>
  </si>
  <si>
    <t>GRMap</t>
  </si>
  <si>
    <t>Brassica oleracea var. medullosa Thell.</t>
  </si>
  <si>
    <t>BIOGEMMA Mondonville</t>
  </si>
  <si>
    <t>GTPases</t>
  </si>
  <si>
    <t>Brassica oleracea var. oleracea L.</t>
  </si>
  <si>
    <t>BIOGEMMA SAS</t>
  </si>
  <si>
    <t>HA_HG1_EST</t>
  </si>
  <si>
    <t>Brassica oleracea var. ramosa DC.</t>
  </si>
  <si>
    <t>BIOGER</t>
  </si>
  <si>
    <t>Hcyl</t>
  </si>
  <si>
    <t>Brassica oleracea var. sabauda L.</t>
  </si>
  <si>
    <t>BIOGER - Equipe Analyse Fonctionnelle du genome de Botrytis cinerea</t>
  </si>
  <si>
    <t>HG1</t>
  </si>
  <si>
    <t>Brassica rapa L.</t>
  </si>
  <si>
    <t>BioInformatics</t>
  </si>
  <si>
    <t>Brassica rapa subsp. chinensis (L.) Hanelt</t>
  </si>
  <si>
    <t>Bioinformatics</t>
  </si>
  <si>
    <t>INRA_AFGBC</t>
  </si>
  <si>
    <t>Brassica rapa subsp. dichotoma (Roxb.) Hanelt</t>
  </si>
  <si>
    <t>Bioinformatics Department</t>
  </si>
  <si>
    <t>INRA_BBSRC_NUEtraits</t>
  </si>
  <si>
    <t>Brassica rapa subsp. oleifera (DC.) Metzg</t>
  </si>
  <si>
    <t>Bioinformatics Team</t>
  </si>
  <si>
    <t>INRA_CIS</t>
  </si>
  <si>
    <t>Brassica rapa subsp. pekinensis (Lour.) Hanelt</t>
  </si>
  <si>
    <t>Biological Resources Division</t>
  </si>
  <si>
    <t>INRA_EVOL</t>
  </si>
  <si>
    <t>Brassica rapa subsp. rapa L.</t>
  </si>
  <si>
    <t>Biological Sciences</t>
  </si>
  <si>
    <t>INRA_mapping</t>
  </si>
  <si>
    <t>Brassica rapa subsp. ruvo L. H. Bailey</t>
  </si>
  <si>
    <t>Biologie Cellulaire</t>
  </si>
  <si>
    <t>INRA_nitrate</t>
  </si>
  <si>
    <t>Brassica rapa subsp. trilocularis (Roxb.) Hanelt</t>
  </si>
  <si>
    <t>Biologie cellulaire</t>
  </si>
  <si>
    <t>INRA_PEA_GAP</t>
  </si>
  <si>
    <t>Bromus secalinus</t>
  </si>
  <si>
    <t>Biologie Vegetale</t>
  </si>
  <si>
    <t>INRA_POPYOMICS1</t>
  </si>
  <si>
    <t>Cabomba aquatica</t>
  </si>
  <si>
    <t>Biology</t>
  </si>
  <si>
    <t>INRA_split</t>
  </si>
  <si>
    <t>Canis lupus familiaris</t>
  </si>
  <si>
    <t>Biology Department and  Biotechnology Institute</t>
  </si>
  <si>
    <t>INRA_URLEG_IPK</t>
  </si>
  <si>
    <t>Capsicum annuum L.</t>
  </si>
  <si>
    <t>Biometrics and  Bioinformatics Unit</t>
  </si>
  <si>
    <t>INRA_Wheat_Breeding_Network</t>
  </si>
  <si>
    <t>Capsicum baccatum L.</t>
  </si>
  <si>
    <t>BioPia</t>
  </si>
  <si>
    <t>INRA_Zm</t>
  </si>
  <si>
    <t>Capsicum cardenasii L.</t>
  </si>
  <si>
    <t>Bioplante</t>
  </si>
  <si>
    <t>INRA01</t>
  </si>
  <si>
    <t>Capsicum chacoense Heiser &amp; Sm.</t>
  </si>
  <si>
    <t>Biotech Research Center</t>
  </si>
  <si>
    <t>INRA02</t>
  </si>
  <si>
    <t>Capsicum chinense</t>
  </si>
  <si>
    <t>Biotechnology</t>
  </si>
  <si>
    <t>INRA03</t>
  </si>
  <si>
    <t>Capsicum eximium Jacq.</t>
  </si>
  <si>
    <t>Biotechnology Division</t>
  </si>
  <si>
    <t>INRA04</t>
  </si>
  <si>
    <t>Capsicum frutescens Hunziker</t>
  </si>
  <si>
    <t>Biotechnology Institute</t>
  </si>
  <si>
    <t>INRA05</t>
  </si>
  <si>
    <t>Capsicum galapagoense L.</t>
  </si>
  <si>
    <t>Biotechnology Section,  Agricultural Experiment Station</t>
  </si>
  <si>
    <t>INRA06</t>
  </si>
  <si>
    <t>Capsicum L.</t>
  </si>
  <si>
    <t>Biotechnology Team</t>
  </si>
  <si>
    <t>INRA07</t>
  </si>
  <si>
    <t>Capsicum microcarpum</t>
  </si>
  <si>
    <t>Biotrop</t>
  </si>
  <si>
    <t>IN_SILICO_INFINIUM_OAK</t>
  </si>
  <si>
    <t>Capsicum praetermissum Cav.</t>
  </si>
  <si>
    <t>BiO3P</t>
  </si>
  <si>
    <t>Interop</t>
  </si>
  <si>
    <t>Capsicum pubescens</t>
  </si>
  <si>
    <t>Blanc Marie Thérèse et Jean-Claude Beaumont, Monteux - France</t>
  </si>
  <si>
    <t>IN_VITRO_INFINIUM_OAK</t>
  </si>
  <si>
    <t>Carica papaya</t>
  </si>
  <si>
    <t>BLONDEAU (ETS A)</t>
  </si>
  <si>
    <t>IN_VITRO_PETRAEA_SNP</t>
  </si>
  <si>
    <t>Castanea crenata</t>
  </si>
  <si>
    <t>BMAS</t>
  </si>
  <si>
    <t>ITEC</t>
  </si>
  <si>
    <t>Castanea crenata x dentata</t>
  </si>
  <si>
    <t>Bois Marie France, St Gilles - France</t>
  </si>
  <si>
    <t>IWGSC Wheat Survey</t>
  </si>
  <si>
    <t>Castanea crenata x henryi</t>
  </si>
  <si>
    <t>Bolivian Institute for Agricultural Technology - Chinoli Experiment Station</t>
  </si>
  <si>
    <t>Map4</t>
  </si>
  <si>
    <t>Castanea crenata x mollissima</t>
  </si>
  <si>
    <t>Bonté H. et Cie, S.A.</t>
  </si>
  <si>
    <t>Melon-GAFL</t>
  </si>
  <si>
    <t>Castanea crenata x pumila</t>
  </si>
  <si>
    <t>Boreal Plant Breeding Ltd</t>
  </si>
  <si>
    <t>Muscares</t>
  </si>
  <si>
    <t>Castanea crenata x sativa</t>
  </si>
  <si>
    <t>Boret-Godineau (bought by Vilmorin)</t>
  </si>
  <si>
    <t>NO 2001 027</t>
  </si>
  <si>
    <t>Castanea crenata x seguinii</t>
  </si>
  <si>
    <t>Botany</t>
  </si>
  <si>
    <t>NoBi2001029</t>
  </si>
  <si>
    <t>Castanea dentata</t>
  </si>
  <si>
    <t>Botany and  Plant Genetics</t>
  </si>
  <si>
    <t>NovelTree</t>
  </si>
  <si>
    <t>Castanea dentata pumila</t>
  </si>
  <si>
    <t>Boulet Luc-Pierre,  Meynes - France</t>
  </si>
  <si>
    <t>NSF</t>
  </si>
  <si>
    <t>Castanea dentata seguinii</t>
  </si>
  <si>
    <t>Boyce Thompson Institute for Plant Research</t>
  </si>
  <si>
    <t>NSF DBI Grant</t>
  </si>
  <si>
    <t>Castanea dentata x henryi</t>
  </si>
  <si>
    <t>Bretagne Plants</t>
  </si>
  <si>
    <t>Okayama University Project</t>
  </si>
  <si>
    <t>Castanea dentata x mollissima</t>
  </si>
  <si>
    <t>Bretagne Plants &amp; Syndicat des Producteur de Plants de Pontivy</t>
  </si>
  <si>
    <t>OsChip</t>
  </si>
  <si>
    <t>Castanea dentata x sativa</t>
  </si>
  <si>
    <t>Bundesversuchswirtschaft Wieselburg</t>
  </si>
  <si>
    <t>OSCRGF</t>
  </si>
  <si>
    <t>Castanea henryi</t>
  </si>
  <si>
    <t>Bureau National Interprofessionnel du Cognac</t>
  </si>
  <si>
    <t>OSCRR1</t>
  </si>
  <si>
    <t>Castanea henryi  x seguinii</t>
  </si>
  <si>
    <t>Buryat Republican State Agricultural Experiment Station</t>
  </si>
  <si>
    <t>OSEST</t>
  </si>
  <si>
    <t>Castanea henryi x mollissima</t>
  </si>
  <si>
    <t>Bvumbwe Agricultural Research Station</t>
  </si>
  <si>
    <t>OsIRD</t>
  </si>
  <si>
    <t>Castanea henryi x pumila</t>
  </si>
  <si>
    <t>Cabel Hall Citrus Ltd.</t>
  </si>
  <si>
    <t>OsMU1</t>
  </si>
  <si>
    <t>Castanea henryi x sativa</t>
  </si>
  <si>
    <t>CACBA Avenue Gaston Phoebus</t>
  </si>
  <si>
    <t>Pea Consensus</t>
  </si>
  <si>
    <t>Castanea mollissima</t>
  </si>
  <si>
    <t>Cadoux (F)</t>
  </si>
  <si>
    <t>Pea_Aphid_EST</t>
  </si>
  <si>
    <t>Castanea mollissima x pumila</t>
  </si>
  <si>
    <t>CAES Genome Facility</t>
  </si>
  <si>
    <t>PeaPql</t>
  </si>
  <si>
    <t>Castanea mollissima x sativa</t>
  </si>
  <si>
    <t>CAILLARD</t>
  </si>
  <si>
    <t>Phyto_EST_INRA</t>
  </si>
  <si>
    <t>Castanea mollissima x seguinii</t>
  </si>
  <si>
    <t>Caillard</t>
  </si>
  <si>
    <t>PlantaComp</t>
  </si>
  <si>
    <t>Castanea P. Mill.</t>
  </si>
  <si>
    <t>California Agricultural Experiment Station, University of California</t>
  </si>
  <si>
    <t>PN40024</t>
  </si>
  <si>
    <t>Castanea pumila</t>
  </si>
  <si>
    <t>California Citrus Exp. Sta.</t>
  </si>
  <si>
    <t>PoplarMap</t>
  </si>
  <si>
    <t>Castanea pumila x sativa</t>
  </si>
  <si>
    <t>California nursery</t>
  </si>
  <si>
    <t>POPSEC</t>
  </si>
  <si>
    <t>Castanea pumila x seguinii</t>
  </si>
  <si>
    <t>California State University</t>
  </si>
  <si>
    <t>private_mRNA</t>
  </si>
  <si>
    <t>Castanea sativa</t>
  </si>
  <si>
    <t>CAMBIER FRERES</t>
  </si>
  <si>
    <t>private_mRNA_WH</t>
  </si>
  <si>
    <t>Castanea sativa x seguinii</t>
  </si>
  <si>
    <t>Cambridge Science Park</t>
  </si>
  <si>
    <t>private_mRNA_ZE</t>
  </si>
  <si>
    <t>Castanea seguinii</t>
  </si>
  <si>
    <t>Canadian Clonal Genebank, Greenhouse and Processing Crops Research Centre, Agriculture and Agri-Food Canada</t>
  </si>
  <si>
    <t>priv_ATH_mRNA</t>
  </si>
  <si>
    <t>Cissus aralioides Planch.</t>
  </si>
  <si>
    <t>Canterbury Agriculture and Science Centre - DSIR - Crop Research Division</t>
  </si>
  <si>
    <t>Priv01</t>
  </si>
  <si>
    <t>Cissus cactiformis Gilg</t>
  </si>
  <si>
    <t>Caussade Semences</t>
  </si>
  <si>
    <t>pub_ATH_mRNA</t>
  </si>
  <si>
    <t>Cissus L.</t>
  </si>
  <si>
    <t>Caussade semences</t>
  </si>
  <si>
    <t>Pub_Frag_EST</t>
  </si>
  <si>
    <t>Cissus quadrangularis L.</t>
  </si>
  <si>
    <t>C.C. Benoist</t>
  </si>
  <si>
    <t>Pub_Frag_mRNA</t>
  </si>
  <si>
    <t>Cissus rotundifolia Blume</t>
  </si>
  <si>
    <t>Cebeco Hande lsraad (Commercial Section)</t>
  </si>
  <si>
    <t>Pub_Hargo_EST</t>
  </si>
  <si>
    <t>Cissus sicyoides L.</t>
  </si>
  <si>
    <t>Cebeco Seed Innovations Ltd</t>
  </si>
  <si>
    <t>Pub_Hpara_EST</t>
  </si>
  <si>
    <t>(Citrange x Citrus paradisi Macf.)</t>
  </si>
  <si>
    <t>CeBiTec</t>
  </si>
  <si>
    <t>Public</t>
  </si>
  <si>
    <t>(Citrange x (Citrus reticulata var. austera ? x Fortunella sp))</t>
  </si>
  <si>
    <t>CEFEL</t>
  </si>
  <si>
    <t>Public EST Hcy1</t>
  </si>
  <si>
    <t>(Citrange x Citrus sinensis (L.) Osb.)</t>
  </si>
  <si>
    <t>Celera AgGen</t>
  </si>
  <si>
    <t>Public mRNA Hcy</t>
  </si>
  <si>
    <t>(Citrange x Eremocitrus glauca (Lindl.) Swing.)</t>
  </si>
  <si>
    <t>Celera Aggen</t>
  </si>
  <si>
    <t>public_Est_Ap</t>
  </si>
  <si>
    <t>(Citrange x Fortunella sp.)</t>
  </si>
  <si>
    <t>Cell Biology</t>
  </si>
  <si>
    <t>public_Est_Vn</t>
  </si>
  <si>
    <t>(Citrange x Poncirus trifoliata (L.) Raf.)</t>
  </si>
  <si>
    <t>Cell Physiology</t>
  </si>
  <si>
    <t>public_mRNA</t>
  </si>
  <si>
    <t>Citreae</t>
  </si>
  <si>
    <t>Cell Technologies</t>
  </si>
  <si>
    <t>public_mRNA_Ap</t>
  </si>
  <si>
    <t>Citrinae</t>
  </si>
  <si>
    <t>Center for Biotechnology</t>
  </si>
  <si>
    <t>public_mRNA_BN</t>
  </si>
  <si>
    <t>Citropsis daweana Swingle &amp; M. Kellerm.</t>
  </si>
  <si>
    <t>Center For Genetic Resource Information</t>
  </si>
  <si>
    <t>public_mRNA_Bot</t>
  </si>
  <si>
    <t>Citropsis Swingle &amp; Kellerm.</t>
  </si>
  <si>
    <t>Center of Forest Research</t>
  </si>
  <si>
    <t>public_mRNA_OS</t>
  </si>
  <si>
    <t>Citrus alata Tan.</t>
  </si>
  <si>
    <t>Central Agricultural Research Institute</t>
  </si>
  <si>
    <t>public_mRNA_Vn</t>
  </si>
  <si>
    <t>Citrus amblycarpa (Hassk.) Ochse</t>
  </si>
  <si>
    <t>Central Res. Lab.,  Life Sci. Res. Cent.</t>
  </si>
  <si>
    <t>public_mRNA_WH</t>
  </si>
  <si>
    <t>Citrus ampullacea Hort. ex Tan.</t>
  </si>
  <si>
    <t>Centre de coopération Internationale en Recherche Agronomique pour le Développement</t>
  </si>
  <si>
    <t>public_mRNA_ZE</t>
  </si>
  <si>
    <t>Citrus anonyma Hort. ex Y. Tan.</t>
  </si>
  <si>
    <t>Centre de Genetique Moleculaire</t>
  </si>
  <si>
    <t>public_PS_mRNA</t>
  </si>
  <si>
    <t>Citrus asahikan Hort. ex Tan.</t>
  </si>
  <si>
    <t>Centre de Montpellier</t>
  </si>
  <si>
    <t>Public_Rose_EST</t>
  </si>
  <si>
    <t>Citrus assamensis Dutta &amp; Bhatt.</t>
  </si>
  <si>
    <t>centre de montpellier</t>
  </si>
  <si>
    <t>public_SB_mRNA</t>
  </si>
  <si>
    <t>Citrus aurantiaca Hort. ex Tan.</t>
  </si>
  <si>
    <t>Centre de Recherche Agronomique de l'Etat, Station d'Amelioration des Plantes</t>
  </si>
  <si>
    <t>pub_MT_EST</t>
  </si>
  <si>
    <t>Citrus aurantifolia (Christm.) Swing</t>
  </si>
  <si>
    <t>Centre de Recherches Agronomiques,  Departement deBiotechnologie</t>
  </si>
  <si>
    <t>pub_MT_mRNA</t>
  </si>
  <si>
    <t>(Citrus aurantifolia (Christm.) Swing. x Fortunella sp.)</t>
  </si>
  <si>
    <t>Centre de Recherches Agronomiques d'Alsace</t>
  </si>
  <si>
    <t>Pub_Rose_mRNA</t>
  </si>
  <si>
    <t>Citrus aurantium L.</t>
  </si>
  <si>
    <t>Centre de recherches sur les cultures abritées et industrielles</t>
  </si>
  <si>
    <t>pub_SB_EST</t>
  </si>
  <si>
    <t>(Citrus aurantium L. x Poncirus trifoliata (L.) Raf.)</t>
  </si>
  <si>
    <t>Centre d'Etudes Techniques Agricoles (CETA), Domaine de M. Genier</t>
  </si>
  <si>
    <t>pub_SUNF_mRNA</t>
  </si>
  <si>
    <t>Citrus aurata Risso</t>
  </si>
  <si>
    <t>Centre for Forest Biology and Department of Biology</t>
  </si>
  <si>
    <t>QTL_LR4_QLS</t>
  </si>
  <si>
    <t>Citrus aurea Hort. ex Tan.</t>
  </si>
  <si>
    <t>Centre for Genetic Resources, the Netherlands</t>
  </si>
  <si>
    <t>QualityLegSeed</t>
  </si>
  <si>
    <t>Citrus balincolong Tan.</t>
  </si>
  <si>
    <t>Centre for Plant Conservation Genetics</t>
  </si>
  <si>
    <t>Resequencing of  S15 mutant</t>
  </si>
  <si>
    <t>Citrus balotina Poit. &amp; Turpin</t>
  </si>
  <si>
    <t>Centre for Plant Conservation Genetics,  Southern CrossUniversity</t>
  </si>
  <si>
    <t>RIL2</t>
  </si>
  <si>
    <t>Citrus benikoji Hort. ex Tan.</t>
  </si>
  <si>
    <t>Centre for Plant Molecular Biology</t>
  </si>
  <si>
    <t>RIL345</t>
  </si>
  <si>
    <t>Citrus bergamia Risso &amp; Poit.</t>
  </si>
  <si>
    <t>Centre National de Contôle et de Certification des Semences et Plants</t>
  </si>
  <si>
    <t>RIL9</t>
  </si>
  <si>
    <t>Citrus boholensis Tan.</t>
  </si>
  <si>
    <t>Centre National de la Recherche Scientifique</t>
  </si>
  <si>
    <t>ROOTEST-SSR</t>
  </si>
  <si>
    <t>Citrus canaliculata Hort. ex Y. Tan</t>
  </si>
  <si>
    <t>Centre Régional de Ressources Génétiques du Nord-Pas-de-Calais</t>
  </si>
  <si>
    <t>Rosa_EST_INRA</t>
  </si>
  <si>
    <t>Citrus celebica Koord.</t>
  </si>
  <si>
    <t>Centre Technique de l'Olivier</t>
  </si>
  <si>
    <t>Rose_Flowering_Genes</t>
  </si>
  <si>
    <t>Citrus chuana Hort. ex Tseng</t>
  </si>
  <si>
    <t>Centro Agronomico Tropical de Investigación y Enseñanza</t>
  </si>
  <si>
    <t>Rp_EST</t>
  </si>
  <si>
    <t>Citrus clementina Hort. ex Tan.</t>
  </si>
  <si>
    <t>Centro de Edafologia y Biologia Aplicada del Segura</t>
  </si>
  <si>
    <t>Sclerotinia_on_Sunflower_2008</t>
  </si>
  <si>
    <t>(Citrus clementina Hort. ex Tan. x Poncirus trifoliata (L.) Raf.)</t>
  </si>
  <si>
    <t>Centro de Edafologia y Biologia Aplicada del Segura - Caballero Jose Egea</t>
  </si>
  <si>
    <t>SCU</t>
  </si>
  <si>
    <t>Citrus combara Raf.</t>
  </si>
  <si>
    <t>Centro de Edafologia y Biologia Aplicada del Segura - Martinez Gomez Pedro</t>
  </si>
  <si>
    <t>Seedlessness</t>
  </si>
  <si>
    <t>Citrus crenatifolia Lush.</t>
  </si>
  <si>
    <t>Centro de Investigacion Palmira Corp. Colombiana Invest. Agropec</t>
  </si>
  <si>
    <t>SNPGrapeMap</t>
  </si>
  <si>
    <t>Citrus daoxianensis S.W. He &amp; G.F. Liu</t>
  </si>
  <si>
    <t>Centro de Investigaciones Agricolas 'Alberto Boerger'</t>
  </si>
  <si>
    <t>SSRGrapeIntMap</t>
  </si>
  <si>
    <t>Citrus davaoensis Tan.</t>
  </si>
  <si>
    <t>Centro de Investigaciones Agrícolas del Pacifico-Norte, INIA</t>
  </si>
  <si>
    <t>TACP1P3</t>
  </si>
  <si>
    <t>Citrus deliciosa Ten.</t>
  </si>
  <si>
    <t>Centro di Studio per il Miglioramento Genetico degli Agrumi</t>
  </si>
  <si>
    <t>TG</t>
  </si>
  <si>
    <t>Citrus depressa Hay.</t>
  </si>
  <si>
    <t>Centro Internacional de Mejoram de Maiz y Trigo - Turkey</t>
  </si>
  <si>
    <t>TomatoDive</t>
  </si>
  <si>
    <t>Citrus duttae Tan.</t>
  </si>
  <si>
    <t>Centro Internacional de Mejoramiento de Maiz y Trigo</t>
  </si>
  <si>
    <t>TRILAT-027</t>
  </si>
  <si>
    <t>Citrus erythrosa Hort. ex Tan.</t>
  </si>
  <si>
    <t>Centro Nacional de Investigaciones Agropecuarias, FONAIAP</t>
  </si>
  <si>
    <t>Triticarte</t>
  </si>
  <si>
    <t>Citrus excelsa Wester</t>
  </si>
  <si>
    <t>Centro Nacional de Pesquisa de Mandioca e Fruticultura</t>
  </si>
  <si>
    <t>Tritipol</t>
  </si>
  <si>
    <t>Citrus flavicarpa Hort. ex Tan.</t>
  </si>
  <si>
    <t>Centro Nacional de Recursos Geneticos e Biotecnologia</t>
  </si>
  <si>
    <t>TRI017</t>
  </si>
  <si>
    <t>Citrus funadoko Hort. ex Y. Tan.</t>
  </si>
  <si>
    <t>Centro regional andino Mendoza Argentina (Centro Regional de Investigaciones Científicas y Tecnológicas)</t>
  </si>
  <si>
    <t>Udine_SSR</t>
  </si>
  <si>
    <t>Citrus genshokan Hort. ex Tan.</t>
  </si>
  <si>
    <t>Centro Regional de Investigacion INIA La Platina</t>
  </si>
  <si>
    <t>UMR5667-PREST03</t>
  </si>
  <si>
    <t>Citrus glaberrima Hort. ex Tan.</t>
  </si>
  <si>
    <t>Cereal Crops Unit</t>
  </si>
  <si>
    <t>unknown</t>
  </si>
  <si>
    <t>Citrus hainanensis Tan.</t>
  </si>
  <si>
    <t>Cereal Institute, National Agricultural Research Foundation</t>
  </si>
  <si>
    <t>USDA CSREES-NRI Grant</t>
  </si>
  <si>
    <t>Citrus halimii Stone</t>
  </si>
  <si>
    <t>Cereal Research Centre,  Agriculture &amp; Agri-Foods Canada</t>
  </si>
  <si>
    <t>VAST</t>
  </si>
  <si>
    <t>Citrus hanaju Siebold ex Shirai</t>
  </si>
  <si>
    <t>Cereal Research Centre,  Agriculture and  Agri-food Canada</t>
  </si>
  <si>
    <t>VITAROMA</t>
  </si>
  <si>
    <t>Citrus haniana Hort. ex Tseng</t>
  </si>
  <si>
    <t>Cereal Research Centre, Agriculture and Agri-Food Canada</t>
  </si>
  <si>
    <t>VMC</t>
  </si>
  <si>
    <t>Citrus hassaku Hort. ex Tan.</t>
  </si>
  <si>
    <t>Cereal Research Institute</t>
  </si>
  <si>
    <t>VO0271V</t>
  </si>
  <si>
    <t>Citrus himekitsu Hort. ex Y. Tan.</t>
  </si>
  <si>
    <t>Cereals Group,  John Innes Centre</t>
  </si>
  <si>
    <t>VTP</t>
  </si>
  <si>
    <t>Citrus hiroshimana Hort. ex Y. Tan.</t>
  </si>
  <si>
    <t>Chair of Genome Research</t>
  </si>
  <si>
    <t>VVBACLib</t>
  </si>
  <si>
    <t>Citrus honghoensis Y. M. Ye et al.</t>
  </si>
  <si>
    <t>Chambre d'Agriculture de Dordogne</t>
  </si>
  <si>
    <t>VVMD</t>
  </si>
  <si>
    <t>Citrus hyalopulpa Tan.</t>
  </si>
  <si>
    <t>Chambre d'Agriculture de la Drôme</t>
  </si>
  <si>
    <t>VVPM</t>
  </si>
  <si>
    <t>Citrus hystrix DC.</t>
  </si>
  <si>
    <t>Chambre d'Agriculture de la Gironde</t>
  </si>
  <si>
    <t>VVS</t>
  </si>
  <si>
    <t>Citrus ichangensis Swing.</t>
  </si>
  <si>
    <t>Chambre d'Agriculture de la Haute-Garonne</t>
  </si>
  <si>
    <t>Wheat_ISBP_Markers</t>
  </si>
  <si>
    <t>(Citrus ichangensis Swing. x Citrus unshiu (Mak.) Marc.)</t>
  </si>
  <si>
    <t>Chambre d'Agriculture de l'Ardèche</t>
  </si>
  <si>
    <t>Wheat_SSR_Markers</t>
  </si>
  <si>
    <t>Citrus indica Tan.</t>
  </si>
  <si>
    <t>Chambre d'Agriculture de l'Aude</t>
  </si>
  <si>
    <t>WH_EST_resist</t>
  </si>
  <si>
    <t>Citrus inflata Hort. ex Tan.</t>
  </si>
  <si>
    <t>Chambre d'Agriculture de l'Hérault</t>
  </si>
  <si>
    <t>WMC</t>
  </si>
  <si>
    <t>Citrus inflato-rugosa Hort. ex Tan.</t>
  </si>
  <si>
    <t>Chambre d'Agriculture de Loire-Atlantique</t>
  </si>
  <si>
    <t>ZM_cornsensus</t>
  </si>
  <si>
    <t>Citrus intermedia Hort. ex Tan.</t>
  </si>
  <si>
    <t>Chambre d'Agriculture de l'Yonne</t>
  </si>
  <si>
    <t>ZMS1P1_DGT</t>
  </si>
  <si>
    <t>Citrus iriomotensis Hort. ex Tan.</t>
  </si>
  <si>
    <t>Chambre d'Agriculture de Saône-et-Loire</t>
  </si>
  <si>
    <t>ZmS1P2</t>
  </si>
  <si>
    <t>Citrus iwaikan Hort. ex Y. Tan.</t>
  </si>
  <si>
    <t>Chambre d'Agriculture de Savoie</t>
  </si>
  <si>
    <t>ZMS1P8</t>
  </si>
  <si>
    <t>Citrus iyo Hort. ex Tan.</t>
  </si>
  <si>
    <t>Chambre d'Agriculture des Bouches-du-Rhône</t>
  </si>
  <si>
    <t>ZmS1P9</t>
  </si>
  <si>
    <t>Citrus jambhiri Lush.</t>
  </si>
  <si>
    <t>Chambre d'Agriculture des Landes</t>
  </si>
  <si>
    <t>ZmS2P1</t>
  </si>
  <si>
    <t>Citrus javanica Blume</t>
  </si>
  <si>
    <t>Chambre d'Agriculture des Pyrénées-Atlantiques</t>
  </si>
  <si>
    <t>ZmS2P2</t>
  </si>
  <si>
    <t>Citrus junos Siebold ex Tan.</t>
  </si>
  <si>
    <t>Chambre d'Agriculture des Pyrénées-Orientales</t>
  </si>
  <si>
    <t>ZmS2P3</t>
  </si>
  <si>
    <t>Citrus karna Raf.</t>
  </si>
  <si>
    <t>Chambre d'Agriculture d'Indre-et-Loire</t>
  </si>
  <si>
    <t>ZMS3P1</t>
  </si>
  <si>
    <t>Citrus keraji Hort. ex Tan.</t>
  </si>
  <si>
    <t>Chambre d'Agriculture du Gard</t>
  </si>
  <si>
    <t>ZMS3P2</t>
  </si>
  <si>
    <t>Citrus kerrii Tan.</t>
  </si>
  <si>
    <t>Chambre d'Agriculture du Gers</t>
  </si>
  <si>
    <t>ZMS3P2-ZmDIGEST</t>
  </si>
  <si>
    <t>Citrus kinokuni Hort. ex Tan.</t>
  </si>
  <si>
    <t>Chambre d'Agriculture du Jura</t>
  </si>
  <si>
    <t>Citrus kotokan Hayata</t>
  </si>
  <si>
    <t>Chambre d'Agriculture du Loir-et-Cher</t>
  </si>
  <si>
    <t>Citrus L.</t>
  </si>
  <si>
    <t>Chambre d'Agriculture du Lot</t>
  </si>
  <si>
    <t>Citrus latifolia Tan.</t>
  </si>
  <si>
    <t>Chambre d'Agriculture du Lot-et-Garonne</t>
  </si>
  <si>
    <t>Citrus latipes (Swing.) Tan.</t>
  </si>
  <si>
    <t>Chambre d'Agriculture du Maine-et-Loire</t>
  </si>
  <si>
    <t>Citrus leiocarpa Hort. ex Tan.</t>
  </si>
  <si>
    <t>Chambre d'Agriculture du Puy-de-Dôme</t>
  </si>
  <si>
    <t>Citrus limetta Risso</t>
  </si>
  <si>
    <t>Chambre d'Agriculture du Tarn</t>
  </si>
  <si>
    <t>Citrus limettioides Tan.</t>
  </si>
  <si>
    <t>Chambre d'Agriculture du Tarn-et-Garonne</t>
  </si>
  <si>
    <t>Citrus limon (L.) Burm.</t>
  </si>
  <si>
    <t>Chambre d'Agriculture du Var</t>
  </si>
  <si>
    <t>(Citrus limon (L.) Burm. x Citrus aurantifolia (Christm.) Swing.)</t>
  </si>
  <si>
    <t>Chambre d'Agriculture du Vaucluse</t>
  </si>
  <si>
    <t>(Citrus limon (L.) Burm. x Citrus reticulata Blanco)</t>
  </si>
  <si>
    <t>Chambre Régionale d'Agriculture d'Auvergne</t>
  </si>
  <si>
    <t>(Citrus limon (L.) Burm. x Citrus sinensis (L.) Osb.)</t>
  </si>
  <si>
    <t>Chaozhou Fruit Research Institute</t>
  </si>
  <si>
    <t>(Citrus limon (L.) Burm. x Fortunella sp.)</t>
  </si>
  <si>
    <t>Charlottetown Research Centre, Agriculture and Agri-Food Canada</t>
  </si>
  <si>
    <t>(Citrus limon (L.) Burm. x Poncirus trifoliata (L.) Raf.)</t>
  </si>
  <si>
    <t>Chiayi Agricultural Experiment Station</t>
  </si>
  <si>
    <t>Citrus limonia Osb.</t>
  </si>
  <si>
    <t>Chinese Academy of Agriculture Sciences</t>
  </si>
  <si>
    <t>Citrus limonimedica Lush.</t>
  </si>
  <si>
    <t>CIAT</t>
  </si>
  <si>
    <t>Citrus longilimon Tan.</t>
  </si>
  <si>
    <t>CIP</t>
  </si>
  <si>
    <t>Citrus longispina Wester</t>
  </si>
  <si>
    <t>CIRAD-FLHOR</t>
  </si>
  <si>
    <t>Citrus lumia Risso &amp; Poit.</t>
  </si>
  <si>
    <t>CIRAD-FLHOR - Guadeloupe</t>
  </si>
  <si>
    <t>Citrus luteo-turgida Hort. ex Tan.</t>
  </si>
  <si>
    <t>CIRAD-FLHOR - Réunion</t>
  </si>
  <si>
    <t>Citrus lycopersicaeformis (Lush.) Hort. ex Tan.</t>
  </si>
  <si>
    <t>CIRAD-FLHOR Martinique</t>
  </si>
  <si>
    <t>Citrus macrolimon Tan.</t>
  </si>
  <si>
    <t>Citrus &amp; Subtropical Fruit Research Institute</t>
  </si>
  <si>
    <t>Citrus macrophylla Wester</t>
  </si>
  <si>
    <t>Citrus &amp; Subtropical Hort. Research Station</t>
  </si>
  <si>
    <t>Citrus macroptera Montr.</t>
  </si>
  <si>
    <t>Citrus Budwood Registration Bureau</t>
  </si>
  <si>
    <t>Citrus maderaspatana Hort. ex Tan.</t>
  </si>
  <si>
    <t>Citrus Clonal Protection Program</t>
  </si>
  <si>
    <t>Citrus madurensis Lour.</t>
  </si>
  <si>
    <t>Citrus Experimental Station</t>
  </si>
  <si>
    <t>Citrus mangshanensis</t>
  </si>
  <si>
    <t>Citrus Research Center</t>
  </si>
  <si>
    <t>Citrus maxima (Burm.) Merr.</t>
  </si>
  <si>
    <t>Citrus Research Institute</t>
  </si>
  <si>
    <t>(Citrus maxima (Burm.) Merr. x Citrus ichangensis Swing.)</t>
  </si>
  <si>
    <t>Citrus Research Institute - Turquie</t>
  </si>
  <si>
    <t>Citrus medica L.</t>
  </si>
  <si>
    <t>CIVAM Région Corse</t>
  </si>
  <si>
    <t>Citrus medioglobosa Hort. ex Tan.</t>
  </si>
  <si>
    <t>Claeys-Luck</t>
  </si>
  <si>
    <t>Citrus megaloxycarpa Lush.</t>
  </si>
  <si>
    <t>Clause</t>
  </si>
  <si>
    <t>Citrus mellarosa Risso</t>
  </si>
  <si>
    <t>Clause semences</t>
  </si>
  <si>
    <t>Citrus meyeri Y. Tan.</t>
  </si>
  <si>
    <t>Clause Vegetable Seeds St Rémy</t>
  </si>
  <si>
    <t>Citrus miaray Wester</t>
  </si>
  <si>
    <t>Clause Vegetable Seeds Valence</t>
  </si>
  <si>
    <t>Citrus micrantha Wester</t>
  </si>
  <si>
    <t>Clemson University Genomics Institute</t>
  </si>
  <si>
    <t>Citrus mitsuharu Hort. ex Y. Tan.</t>
  </si>
  <si>
    <t>CNB</t>
  </si>
  <si>
    <t>Citrus montana Tan.</t>
  </si>
  <si>
    <t>CNB-CSIC</t>
  </si>
  <si>
    <t>Citrus myrtifolia Raf.</t>
  </si>
  <si>
    <t>CNRGV</t>
  </si>
  <si>
    <t>Citrus nana Tan.</t>
  </si>
  <si>
    <t>C.N.R.S.,  Institut des Sciences du Vegetal</t>
  </si>
  <si>
    <t>Citrus natsudaidai Hay.</t>
  </si>
  <si>
    <t>CNRS ALIMENTEC</t>
  </si>
  <si>
    <t>Citrus neo-aurantium Tan.</t>
  </si>
  <si>
    <t>CNRS ERS</t>
  </si>
  <si>
    <t>Citrus nippokoreana Tan.</t>
  </si>
  <si>
    <t>CNRS UMR 5096</t>
  </si>
  <si>
    <t>Citrus nobilis Lour.</t>
  </si>
  <si>
    <t>Coker's Pedigree Seed Co.</t>
  </si>
  <si>
    <t>Citrus oblonga Hort. ex Y. Tan.</t>
  </si>
  <si>
    <t>College of life science</t>
  </si>
  <si>
    <t>Citrus obovoidea Hort. ex Tak.</t>
  </si>
  <si>
    <t>Colorado Agricultural Experiment Station, Colorado State University</t>
  </si>
  <si>
    <t>Citrus obversa Hassk.</t>
  </si>
  <si>
    <t>Comité Interprofessionnel de Sélection de la Vigne de Savoie</t>
  </si>
  <si>
    <t>Citrus odorata Wester ex. Tan.</t>
  </si>
  <si>
    <t>Comité Interprofessionnel des Vins d'Alsace</t>
  </si>
  <si>
    <t>Citrus oleocarpa Hort. ex Tan.</t>
  </si>
  <si>
    <t>Comité Interprofessionnel des Vins de Champagne</t>
  </si>
  <si>
    <t>Citrus omikanto Hort. ex Y. Tan.</t>
  </si>
  <si>
    <t>Commonwealth Scientific and  Industrial Research OrganisationDivision of Plant Industry</t>
  </si>
  <si>
    <t>Citrus otachibana Hort. ex Y. Tan.</t>
  </si>
  <si>
    <t>Commonwealth Scientific and Industrial Research Organisation</t>
  </si>
  <si>
    <t>Citrus oto Hort. ex Y. Tan.</t>
  </si>
  <si>
    <t>Comparative Genetics Unit</t>
  </si>
  <si>
    <t>Citrus ovata Hassk.</t>
  </si>
  <si>
    <t>Complex Carbohydrate Research Center</t>
  </si>
  <si>
    <t>Citrus panuban (Wester) Tan.</t>
  </si>
  <si>
    <t>Consejo Superior de Investigaciones Científicas</t>
  </si>
  <si>
    <t>Citrus papaya Hassk.</t>
  </si>
  <si>
    <t>Conservatoire Botanique National de Bailleul</t>
  </si>
  <si>
    <t>Citrus papillaris Blanco</t>
  </si>
  <si>
    <t>Citrus paradisi Macf.</t>
  </si>
  <si>
    <t>Conservatoire Botanique National Méditerranéen de Porquerolles + INRA Montpellier</t>
  </si>
  <si>
    <t>(Citrus paradisi Macf. x Citrus sinensis (L.) Osb.)</t>
  </si>
  <si>
    <t>Conservatoire du Vignoble Charentais - IREO</t>
  </si>
  <si>
    <t>(Citrus paradisi Macf. x Poncirus trifoliata (L.) Raf.)</t>
  </si>
  <si>
    <t>Conservatoire Régional des Cépages de Midi-Pyrénées</t>
  </si>
  <si>
    <t>Citrus paratangerina Hort. ex Tan.</t>
  </si>
  <si>
    <t>Conservatoire Régional d'Espèces Fruitières Anciennes et de Vignes de Midi-Pyrénées</t>
  </si>
  <si>
    <t>Citrus pennivesiculata (Lush.) Tan.</t>
  </si>
  <si>
    <t>Conservatoire Végétal Régional d'Aquitaine</t>
  </si>
  <si>
    <t>Citrus peretta Risso</t>
  </si>
  <si>
    <t>Coopérative Agricole AGORA</t>
  </si>
  <si>
    <t>Citrus platymamma Hort. ex Tan.</t>
  </si>
  <si>
    <t>Coopérative Agricole Provence Languedoc</t>
  </si>
  <si>
    <t>Citrus ponki (Hayata) Hort. ex Tan.</t>
  </si>
  <si>
    <t>Coopérative de Lennon</t>
  </si>
  <si>
    <t>Citrus pseudo-aurantium Hort. ex Y. Tan.</t>
  </si>
  <si>
    <t>Coopérative Fleuron d'Anjou</t>
  </si>
  <si>
    <t>Citrus pseudograndis Hort. ex Shirai</t>
  </si>
  <si>
    <t>Cornell Agricultural Experiment Station, University of Cornell</t>
  </si>
  <si>
    <t>Citrus pseudogulgul Hort. ex Shirai</t>
  </si>
  <si>
    <t>Corporacion Colombiana de Investigacion Agropecuaria Tibaitata, CORPOICA</t>
  </si>
  <si>
    <t>Citrus pseudolimon Tan.</t>
  </si>
  <si>
    <t>Cowra Experiment Farm</t>
  </si>
  <si>
    <t>Citrus pseudolimonum Wester</t>
  </si>
  <si>
    <t>CRA-Unitá di Ricerca per la Maiscoltura</t>
  </si>
  <si>
    <t>Citrus pseudopapillaris Tan.</t>
  </si>
  <si>
    <t>CRA-Unitá di Ricerca per la Valorizzazione Qualitativa dei Cereali</t>
  </si>
  <si>
    <t>Citrus pseudoparadisi Hort. ex Y. Tan.</t>
  </si>
  <si>
    <t>Criadero Klein S.A.</t>
  </si>
  <si>
    <t>Citrus pseudosunki Hort. ex Tan.</t>
  </si>
  <si>
    <t>C.R.I.D.A.</t>
  </si>
  <si>
    <t>Citrus pyriformis Hassk.</t>
  </si>
  <si>
    <t>Crop &amp; Food Research</t>
  </si>
  <si>
    <t>Citrus reshni Hort. ex Tan.</t>
  </si>
  <si>
    <t>Crop Breeding Institute</t>
  </si>
  <si>
    <t>Citrus reticulata Blanco</t>
  </si>
  <si>
    <t>Crop Development Centre, University of Saskatchewan</t>
  </si>
  <si>
    <t>(Citrus reticulata Blanco x Citrus aurantium L.)</t>
  </si>
  <si>
    <t>Crop Experimental Station Rural Development Administration</t>
  </si>
  <si>
    <t>(Citrus reticulata Blanco x Citrus paradisi Macf.)</t>
  </si>
  <si>
    <t>Crop Genetics</t>
  </si>
  <si>
    <t>(Citrus reticulata Blanco x Citrus sinensis (L.) Osb.)</t>
  </si>
  <si>
    <t>Crop Performance and  Improvement Department</t>
  </si>
  <si>
    <t>(Citrus reticulata Blanco x Fortunella sp.)</t>
  </si>
  <si>
    <t>Crop Production &amp; Pest Control Research Unit</t>
  </si>
  <si>
    <t>(Citrus reticulata Blanco x Poncirus trifoliata (L.) Raf.)</t>
  </si>
  <si>
    <t>Crop Research Institute, Olomouc</t>
  </si>
  <si>
    <t>Citrus rissoi Risso</t>
  </si>
  <si>
    <t>Crop Research Institute Plant Genetic Resources Unit</t>
  </si>
  <si>
    <t>Citrus rokugatsu Hort. ex Y. Tan.</t>
  </si>
  <si>
    <t>Crop Science</t>
  </si>
  <si>
    <t>Citrus rugulosa Hort. ex Tan.</t>
  </si>
  <si>
    <t>Citrus sarbati Tan.</t>
  </si>
  <si>
    <t>CSIRO Plant Industry</t>
  </si>
  <si>
    <t>Citrus semperflorens Lush.</t>
  </si>
  <si>
    <t>CSIRO Production and Processing</t>
  </si>
  <si>
    <t>Citrus shunkokan Hort. ex Tan.</t>
  </si>
  <si>
    <t>CTIFL Centre Technique Interprofessionnel des Fruits et Légumes, Centre de Lanxade</t>
  </si>
  <si>
    <t>Citrus sinensis (L.) Osb.</t>
  </si>
  <si>
    <t>Danko Hodowla Ro'slin sp. z o.o.</t>
  </si>
  <si>
    <t>(Citrus sinensis (L.) Osb. x Poncirus trifoliata (L.) Raf.)</t>
  </si>
  <si>
    <t>Davao Experimental Station</t>
  </si>
  <si>
    <t>Citrus sinograndis Hort. ex Y. Tan.</t>
  </si>
  <si>
    <t>De Groot en Slot BV</t>
  </si>
  <si>
    <t>Citrus southwickii Wester</t>
  </si>
  <si>
    <t>De Regibus Christian,  Saxon - Suisse</t>
  </si>
  <si>
    <t>Citrus sp.</t>
  </si>
  <si>
    <t>De Voetakker BV</t>
  </si>
  <si>
    <t>Citrus sphaerocarpa Tan.</t>
  </si>
  <si>
    <t>DeKalb AgResearch Inc.</t>
  </si>
  <si>
    <t>Citrus suavissima Hort. ex Tan.</t>
  </si>
  <si>
    <t>Delaware Biotechnology Institute</t>
  </si>
  <si>
    <t>Citrus succosa Hort. ex Tan.</t>
  </si>
  <si>
    <t>Delley Samen und Pflanzen AG</t>
  </si>
  <si>
    <t>Citrus sudachi Hort. ex Shirai</t>
  </si>
  <si>
    <t>Denaiffe et Fils</t>
  </si>
  <si>
    <t>Citrus suhuiensis Hort. ex Tan.</t>
  </si>
  <si>
    <t>Dep. of Biological Science</t>
  </si>
  <si>
    <t>Citrus suizabon Tan.</t>
  </si>
  <si>
    <t>Departamento de Citricultura, Estação N. Fruticultura 'Vieira Natividade'</t>
  </si>
  <si>
    <t>Citrus sulcata Hort. ex Tak.</t>
  </si>
  <si>
    <t>Departamento Genetica Evolutiva</t>
  </si>
  <si>
    <t>Citrus sunki Hort. ex Tan.</t>
  </si>
  <si>
    <t>Departement de phytologie, Universite Laval</t>
  </si>
  <si>
    <t>Citrus tachibana (Mak.) Tan.</t>
  </si>
  <si>
    <t>Departement des Sciences biologiques</t>
  </si>
  <si>
    <t>Citrus taiwanica Tan. &amp; Shim.</t>
  </si>
  <si>
    <t>Department of Agricultural Botany</t>
  </si>
  <si>
    <t>Citrus takuma-sudachi Hort. ex Tan.</t>
  </si>
  <si>
    <t>Department of Agriculture</t>
  </si>
  <si>
    <t>Citrus tamurana Hort. ex Tan.</t>
  </si>
  <si>
    <t>Department of Agronomy</t>
  </si>
  <si>
    <t>Citrus tangerina Hort. ex Tan.</t>
  </si>
  <si>
    <t>Department of Agronomy and  Plant Genetics</t>
  </si>
  <si>
    <t>Citrus tankan Hay.</t>
  </si>
  <si>
    <t>Department of Agronomy and  Plant Genetics,  University ofMinnesota</t>
  </si>
  <si>
    <t>Citrus tardiferax Hort. ex Tan.</t>
  </si>
  <si>
    <t>Department of Agronomy and Range Science</t>
  </si>
  <si>
    <t>Citrus tardiva Hort. ex Shirai</t>
  </si>
  <si>
    <t>Department of Biochemistry</t>
  </si>
  <si>
    <t>Citrus tarogayo Hort. ex Y. Tan.</t>
  </si>
  <si>
    <t>Department of Biochemistry and  Biophysics</t>
  </si>
  <si>
    <t>Citrus temple Hort. ex Y. Tan.</t>
  </si>
  <si>
    <t>Department of Biological Sciences</t>
  </si>
  <si>
    <t>(Citrus temple Hort. ex Y. Tan. x Citrus paradisi Macf.)</t>
  </si>
  <si>
    <t>Department of Biological Sciences and  Howard Hughes MedicalInstitute</t>
  </si>
  <si>
    <t>Citrus tengu Hort. ex Tan.</t>
  </si>
  <si>
    <t>Department of Biology</t>
  </si>
  <si>
    <t>Citrus tosa-asahi Hort. ex Y. Tan.</t>
  </si>
  <si>
    <t>Department of Biology,  Faculty of Science</t>
  </si>
  <si>
    <t>Citrus truncata Hort. ex Tan.</t>
  </si>
  <si>
    <t>Department of Biology and Biocenter Oulu</t>
  </si>
  <si>
    <t>Citrus tumida Hort. ex Tan.</t>
  </si>
  <si>
    <t>Department of Biology/Plant Genetics Group</t>
  </si>
  <si>
    <t>Citrus ujukitsu Tan.</t>
  </si>
  <si>
    <t>Department of Biosciences, Plant Physiology</t>
  </si>
  <si>
    <t>Citrus unshiu (Mak.) Mar.</t>
  </si>
  <si>
    <t>Department of Biotechnology</t>
  </si>
  <si>
    <t>(Citrus unshiu (Mak.) Marc. x (F. japonica x F. margarita 'Meiwa'))</t>
  </si>
  <si>
    <t>Department of Biotechnology Graduate School of Engineering</t>
  </si>
  <si>
    <t>Citrus vitiensis Tan.</t>
  </si>
  <si>
    <t>Department of Botany and  Plant Pathology</t>
  </si>
  <si>
    <t>Citrus webberii Wester</t>
  </si>
  <si>
    <t>Department of Botany, Faculty of Science, Chulalongkorn University</t>
  </si>
  <si>
    <t>Citrus westeri Tan.</t>
  </si>
  <si>
    <t>Department of Cell biology</t>
  </si>
  <si>
    <t>Citrus wilsonii Tan.</t>
  </si>
  <si>
    <t>Department of Crop Science,  division of Biotechnology and Genetic Engineering</t>
  </si>
  <si>
    <t>Citrus yamabuki Hort. ex Y. Tan.</t>
  </si>
  <si>
    <t>Department of Crop Science Agricultural University of Norway</t>
  </si>
  <si>
    <t>Citrus yanbaruensis Hort. ex Tan.</t>
  </si>
  <si>
    <t>Department of Cytogenetics</t>
  </si>
  <si>
    <t>Citrus yatsushiro Hort. ex Tan.</t>
  </si>
  <si>
    <t>Department of Ecology &amp; Evolutionary Biology</t>
  </si>
  <si>
    <t>Citrus yuge-hyokan Hort. ex Y. Tan.</t>
  </si>
  <si>
    <t>Department of Ecology and  Evolutionary Biology</t>
  </si>
  <si>
    <t>Citrus yuko Hort. ex Tan.</t>
  </si>
  <si>
    <t>Department of Enthomology,  plant protection Institute</t>
  </si>
  <si>
    <t>Clausena Burm. f.</t>
  </si>
  <si>
    <t>Department of Entomology</t>
  </si>
  <si>
    <t>Clausena excavata Burm. f.</t>
  </si>
  <si>
    <t>Department of Forest Genetics and Plant Physiology</t>
  </si>
  <si>
    <t>Clausena lansium (Lour.) Skeels</t>
  </si>
  <si>
    <t>Department of Forestry</t>
  </si>
  <si>
    <t>Clauseneae</t>
  </si>
  <si>
    <t>Department of Genetics</t>
  </si>
  <si>
    <t>Clauseninae</t>
  </si>
  <si>
    <t>Department of Genetics and  Forestry and  AgriculturalBiotechnology Institute</t>
  </si>
  <si>
    <t>Clematicissus angustissima (F.Muell.) Planch.</t>
  </si>
  <si>
    <t>Department of Genetics and  Genomics - Trisaia ResearchCentre</t>
  </si>
  <si>
    <t>Clematicissus Planch.</t>
  </si>
  <si>
    <t>Department of Genetics and Plant Breeding, University of Agricultural Sciences</t>
  </si>
  <si>
    <t>Cucumis L.</t>
  </si>
  <si>
    <t>Department of Genomics,  evolution and  development</t>
  </si>
  <si>
    <t>Cucumis melo L.</t>
  </si>
  <si>
    <t>Department of Horticultural Sciences, Saga University</t>
  </si>
  <si>
    <t>Cucumis melo ssp. agrestis</t>
  </si>
  <si>
    <t>Department of Horticulture</t>
  </si>
  <si>
    <t>Cucumis melo ssp. agrestis f. Acidulus</t>
  </si>
  <si>
    <t>Department of Plant Biology</t>
  </si>
  <si>
    <t>Cucumis melo ssp. agrestis f. Chinensis</t>
  </si>
  <si>
    <t>Department of Plant Biotechnology</t>
  </si>
  <si>
    <t>Cucumis melo ssp. agrestis f. Conomon</t>
  </si>
  <si>
    <t>Department of Plant Genetics</t>
  </si>
  <si>
    <t>Cucumis melo ssp. agrestis f. Makuwa</t>
  </si>
  <si>
    <t>Department of Plant Molecular Biology</t>
  </si>
  <si>
    <t>Cucumis melo ssp. agrestis f. Momordica</t>
  </si>
  <si>
    <t>Department of Plant Pathology</t>
  </si>
  <si>
    <t>Cucumis melo ssp. agrestis f. Tibish</t>
  </si>
  <si>
    <t>Department of Plant Science</t>
  </si>
  <si>
    <t>Cucumis melo ssp. melo</t>
  </si>
  <si>
    <t>Department of Plant Sciences</t>
  </si>
  <si>
    <t>Cucumis melo ssp. melo f. Ameri</t>
  </si>
  <si>
    <t>Department of Plant Sciences,  School of Life Sciences</t>
  </si>
  <si>
    <t>Cucumis melo ssp. melo f. Cantalupensis</t>
  </si>
  <si>
    <t>Department of Primary Industries</t>
  </si>
  <si>
    <t>Cucumis melo ssp. melo f. Cantalupensis gr. Charentais</t>
  </si>
  <si>
    <t>Department of Scientific and Industrial Research</t>
  </si>
  <si>
    <t>Cucumis melo ssp. melo f. Chandalak</t>
  </si>
  <si>
    <t>Department of Soil&amp;Crops</t>
  </si>
  <si>
    <t>Cucumis melo ssp. melo f. Chate</t>
  </si>
  <si>
    <t>Department of Vegetable Crops,  R.W.Michelmore Lab</t>
  </si>
  <si>
    <t>Cucumis melo ssp. melo f. Dudaim</t>
  </si>
  <si>
    <t>Department of Viticulture and Enology</t>
  </si>
  <si>
    <t>Cucumis melo ssp. melo f. Flexuosus</t>
  </si>
  <si>
    <t>Dept. of Biochemistry &amp; Molecular Biology</t>
  </si>
  <si>
    <t>Cucumis melo ssp. melo f. Inodorus</t>
  </si>
  <si>
    <t>Dept. of Horticulture</t>
  </si>
  <si>
    <t>Cucumis melo ssp. melo f. Inodorus gr. Canari</t>
  </si>
  <si>
    <t>Dept of Molecular Biosciences</t>
  </si>
  <si>
    <t>Cucumis melo ssp. melo f. Inodorus gr. Honeydew</t>
  </si>
  <si>
    <t>Dept. of Plant and  Soil Science,  Montana State University</t>
  </si>
  <si>
    <t>Cucumis melo ssp. melo f. Inodorus gr. Piel de sapo</t>
  </si>
  <si>
    <t>Dept. of Plant Pathology</t>
  </si>
  <si>
    <t>Cucumis melo ssp. melo f. Inodorus gr. Rochet</t>
  </si>
  <si>
    <t>Dept Plant Breeding</t>
  </si>
  <si>
    <t>Cucumis melo ssp. melo f. Inodorus gr. Tendral</t>
  </si>
  <si>
    <t>Desprez</t>
  </si>
  <si>
    <t>Cucumis melo ssp. melo f. Reticulatus</t>
  </si>
  <si>
    <t>Deutsche Saatveredelung Lippstadt - France</t>
  </si>
  <si>
    <t>Cynara L.</t>
  </si>
  <si>
    <t>Deutsche Saatveredelung Lippstadt-Bremen GmbH</t>
  </si>
  <si>
    <t>Dactylis glomerata L.</t>
  </si>
  <si>
    <t>Deutsche Saatzucht-Gesellschaft Salzmuende (G. Riebesel)</t>
  </si>
  <si>
    <t>Dactylis glomerata subsp. castellata Stebbins &amp; Zohary</t>
  </si>
  <si>
    <t>DEVM</t>
  </si>
  <si>
    <t>Dactylis glomerata subsp. glomerata L.</t>
  </si>
  <si>
    <t>Devon Botanic Garden and Field Laboratory, Department of Botany, University of Alberta</t>
  </si>
  <si>
    <t>Dactylis glomerata subsp. hispanica (Roth) Nyman</t>
  </si>
  <si>
    <t>DiaPC</t>
  </si>
  <si>
    <t>Dactylis glomerata subsp. izcoi S.Ortiz &amp; J.Rodríguez_Oubina</t>
  </si>
  <si>
    <t>Dipartimento di Colture Arboree - C.M.V.F.- Università di Bologna (ITA)</t>
  </si>
  <si>
    <t>Dactylis glomerata subsp. lusitanica Stebbins &amp; Zohary</t>
  </si>
  <si>
    <t>Dipartimento di Colture Arboree - C.M.V.F.- Università di Bologna (ITA) - Bassi Daniele</t>
  </si>
  <si>
    <t>Dactylis glomerata subsp. mairei Zohary &amp; Stebbins</t>
  </si>
  <si>
    <t>Dipartimento di Scienze Agrarie e Ambientali</t>
  </si>
  <si>
    <t>Dactylis L.</t>
  </si>
  <si>
    <t>Dipartimento di Scienze Agrarie e Ambientali - Genetica</t>
  </si>
  <si>
    <t>Dioscorea</t>
  </si>
  <si>
    <t>Dipartimento Innovazione, Divisione Biotecnologie e Agricoltura, ENEA</t>
  </si>
  <si>
    <t>Dioscorea alata</t>
  </si>
  <si>
    <t>Direction Départementale de l'Agriculture, Service du Génie Rural des Eaux et des Forêts</t>
  </si>
  <si>
    <t>Dioscorea altissima</t>
  </si>
  <si>
    <t>Direction Scientifique des Productions Végétales, INRA</t>
  </si>
  <si>
    <t>Dioscorea bulbifera</t>
  </si>
  <si>
    <t>Div. of Plant Industry,  CSIRO</t>
  </si>
  <si>
    <t>Dioscorea burkiliana</t>
  </si>
  <si>
    <t>Diversity Arrays Technology P/L - Triticarte P/L</t>
  </si>
  <si>
    <t>Dioscorea cayenensis rotundata</t>
  </si>
  <si>
    <t>Division Agronomique-Génétique et Amélioration des Plantes</t>
  </si>
  <si>
    <t>Dioscorea cordata</t>
  </si>
  <si>
    <t>Division of Applied Bioscience,  Graduate School ofAgriculture</t>
  </si>
  <si>
    <t>Dioscorea esculenta</t>
  </si>
  <si>
    <t>Division of Biological Sciences</t>
  </si>
  <si>
    <t>Dioscorea hurtiflora</t>
  </si>
  <si>
    <t>Division of Biology</t>
  </si>
  <si>
    <t>Dioscorea minutiflora</t>
  </si>
  <si>
    <t>Division of Plant Industry</t>
  </si>
  <si>
    <t>Dioscorea numularia</t>
  </si>
  <si>
    <t>Domaine de Sainte-Marguerite</t>
  </si>
  <si>
    <t>Dioscorea pilosiuscula</t>
  </si>
  <si>
    <t>Domaines Agricoles</t>
  </si>
  <si>
    <t>Dioscorea polygonoïdes</t>
  </si>
  <si>
    <t>Domaines Royaux</t>
  </si>
  <si>
    <t>Dioscorea transversa</t>
  </si>
  <si>
    <t>Domaines Sunset</t>
  </si>
  <si>
    <t>Dioscorea trifida</t>
  </si>
  <si>
    <t>Doneczkij institut agropromyshlennogo proizvodstva NAAN, GP</t>
  </si>
  <si>
    <t>Diuraphis noxia</t>
  </si>
  <si>
    <t>Donneur inconnu à Escolives-Sainte-Camille</t>
  </si>
  <si>
    <t>Equus caballus</t>
  </si>
  <si>
    <t>Donneur inconnu à Remoulins</t>
  </si>
  <si>
    <t>Eremocitrus glauca (Lindl.) Swing.</t>
  </si>
  <si>
    <t>Dr. J. Ackermann &amp; Co Saatzucht Irlbach</t>
  </si>
  <si>
    <t>(Eremocitrus glauca (Lindl.) Swing. x Citrus aurantium L.)</t>
  </si>
  <si>
    <t>Dr. Joachim Messing s lab</t>
  </si>
  <si>
    <t>(Eremocitrus glauca (Lindl.) Swing. x Citrus limon (L.) Burm. ?)</t>
  </si>
  <si>
    <t>D.S.A. Vaucluse (84) - France</t>
  </si>
  <si>
    <t>(Eremocitrus glauca (Lindl.) Swing. x Citrus sinensis(L.) Osb.)</t>
  </si>
  <si>
    <t>DuPont Hybrinova</t>
  </si>
  <si>
    <t>Eremocitrus Swingle</t>
  </si>
  <si>
    <t>East Malling Research</t>
  </si>
  <si>
    <t>Fabaceae</t>
  </si>
  <si>
    <t>Eastern Cereal and  Oilseed Research Centre</t>
  </si>
  <si>
    <t>Festuca arundinacea  subsp. arundinacea var. letourneuxiana St.-Yves. (10x)</t>
  </si>
  <si>
    <t>École Nationale d'Ingénieurs de l'Horticulture et du Paysage de l'Institut National d'Horticulture</t>
  </si>
  <si>
    <t>Festuca arundinacea Schreb.</t>
  </si>
  <si>
    <t>Ecole Nationale Supérieure Agronomique de Montpellier</t>
  </si>
  <si>
    <t>Festuca arundinacea subsp. arundinacea Schreb.</t>
  </si>
  <si>
    <t>Ecole Nationale Supérieure Agronomique de Toulouse</t>
  </si>
  <si>
    <t>Festuca arundinacea subsp. arundinacea var. atlantigena sensu Markgr.Dann. (8x)</t>
  </si>
  <si>
    <t>Ecomusée de la Grande Lande (Marquèze)</t>
  </si>
  <si>
    <t>Festuca arundinacea subsp. arundinacea var. genuina Schreb. (6x)</t>
  </si>
  <si>
    <t>Ecophysiologie des Plantes sous Stress Environnementaux (LEPSE)</t>
  </si>
  <si>
    <t>Festuca arundinacea subsp. arundinacea var. glaucescens Boiss. (4x)</t>
  </si>
  <si>
    <t>Einsenhut Vivaio</t>
  </si>
  <si>
    <t>Festuca filiformis Pourret</t>
  </si>
  <si>
    <t>EMBRAPA Brazil</t>
  </si>
  <si>
    <t>Festuca L.</t>
  </si>
  <si>
    <t>Empresa Brasileira de Pesquisa Agropecuaria</t>
  </si>
  <si>
    <t>Festuca nigrescens Lam.</t>
  </si>
  <si>
    <t>Empresa Citricola Victoria</t>
  </si>
  <si>
    <t>Festuca nigrescens subsp. nigrescens Lam.</t>
  </si>
  <si>
    <t>ENSA - INRA Unité de Formation en Botanique et Pathologie Végétale, INRA-Montpellier</t>
  </si>
  <si>
    <t>Festuca ovina L. (2x)</t>
  </si>
  <si>
    <t>Environmental Biology Group/ Research School of Biological Sciences</t>
  </si>
  <si>
    <t>Festuca ovina L. (4x)</t>
  </si>
  <si>
    <t>Environmental Molecular Biology Laboratory</t>
  </si>
  <si>
    <t>Festuca ovina L. (6x)</t>
  </si>
  <si>
    <t>Environmental Sciences Division</t>
  </si>
  <si>
    <t>Festuca ovina L. (8x)</t>
  </si>
  <si>
    <t>Enza Zaden France</t>
  </si>
  <si>
    <t>Festuca ovina subsp. guestfalica (Reichenb.) K. Richter</t>
  </si>
  <si>
    <t>EPGV</t>
  </si>
  <si>
    <t>Festuca rubra L.</t>
  </si>
  <si>
    <t>EPLEFPA Poitiers-Venours, Etablissement d'enseignement général et technologique agricole</t>
  </si>
  <si>
    <t>Festuca rubra subsp. arenaria (Osbeck) Aresh</t>
  </si>
  <si>
    <t>Equipe Genetique Vigne UMR DiaPC</t>
  </si>
  <si>
    <t>Festuca rubra subsp. fallax (Thuill.) Nyman</t>
  </si>
  <si>
    <t>Equipe Genomique Ble et Mais</t>
  </si>
  <si>
    <t>Festuca rubra subsp. litoralis (G. Meyer) Auquier</t>
  </si>
  <si>
    <t>Equipe Ginomique de la vigne (URGV)</t>
  </si>
  <si>
    <t>Festuca rubra subsp. pruinosa (Hackel) Piper</t>
  </si>
  <si>
    <t>Escola Superior de Agricultura 'Luiz de Quiroz'</t>
  </si>
  <si>
    <t>Festuca rubra subsp. rubra L.</t>
  </si>
  <si>
    <t>Estaçao Experimental de Itajaí</t>
  </si>
  <si>
    <t>Festuca stricta Host.</t>
  </si>
  <si>
    <t>Estaçao Experimental Fitotécnica de Taquari</t>
  </si>
  <si>
    <t>Festuca stricta subsp. trachyphylla (hackel) Patzke</t>
  </si>
  <si>
    <t>Estacao Nacional Melhoramento</t>
  </si>
  <si>
    <t>Festuca trichophylla (Gaudin) K.Richter</t>
  </si>
  <si>
    <t>Estacion Exp. Fabio Baudrit Moreno</t>
  </si>
  <si>
    <t>Festuca trichophylla subsp. trichophylla Hackel</t>
  </si>
  <si>
    <t>Estacion Experimental</t>
  </si>
  <si>
    <t>Fortunella crassifolia Swing.</t>
  </si>
  <si>
    <t>Estacion Experimental Agroindustrial 'Obispo Colombres'</t>
  </si>
  <si>
    <t>Fortunella hindsii (Champ.) Swing.</t>
  </si>
  <si>
    <t>Estacion Experimental Agropecuaria Rafaela</t>
  </si>
  <si>
    <t>Fortunella japonica (Thunb.) Swing.</t>
  </si>
  <si>
    <t>Estacion Experimental 'Aula Dei' - Consejo Superior de Investigaciones Científicas</t>
  </si>
  <si>
    <t>Fortunella margarita (Lour.) Swing.</t>
  </si>
  <si>
    <t>Estación Experimental de la Facultad de Agronomia en Salto</t>
  </si>
  <si>
    <t>Fortunella obovata Hort. ex Tan.</t>
  </si>
  <si>
    <t>Estacion Experimental 'La Estanzuela'</t>
  </si>
  <si>
    <t>Fortunella polyandra (Ridl.) Tan.</t>
  </si>
  <si>
    <t>Estacion Experimental La Platina</t>
  </si>
  <si>
    <t>(Fortunella sp. x Poncirus trifoliata (L.) Raf.)</t>
  </si>
  <si>
    <t>Estacion Experimental Los Diamantes</t>
  </si>
  <si>
    <t>Fortunella Swingle</t>
  </si>
  <si>
    <t>Estacion Experimental Santa Catalina DENAREF, INIAP</t>
  </si>
  <si>
    <t>Fortunella swinglei Tan.</t>
  </si>
  <si>
    <t>Etablissements Leblond</t>
  </si>
  <si>
    <t>Fragaria grandiflora</t>
  </si>
  <si>
    <t>Etablissements Lemaire-Deffontaines</t>
  </si>
  <si>
    <t>Fragaria vesca</t>
  </si>
  <si>
    <t>Eteve Lambertin Marie-Laure, Bouillargues - France</t>
  </si>
  <si>
    <t>Fragaria vesca subsp. vesca</t>
  </si>
  <si>
    <t>Ets A Bataille</t>
  </si>
  <si>
    <t>Fragaria x ananassa</t>
  </si>
  <si>
    <t>Ets George Laurent</t>
  </si>
  <si>
    <t>Gallus gallus</t>
  </si>
  <si>
    <t>Ets Tharreau</t>
  </si>
  <si>
    <t>Glycine</t>
  </si>
  <si>
    <t>Etude du polymorphisme des genomes vegetaux</t>
  </si>
  <si>
    <t>Glycine max</t>
  </si>
  <si>
    <t>Euralis génétique</t>
  </si>
  <si>
    <t>Glycosmis Corrêa</t>
  </si>
  <si>
    <t>EURALIS SEMENCES</t>
  </si>
  <si>
    <t>Glycosmis pentaphylla (Retz.) Corrêa</t>
  </si>
  <si>
    <t>Eversole Associates</t>
  </si>
  <si>
    <t>Gossypium spp.</t>
  </si>
  <si>
    <t>Evolutionary Biology Centre</t>
  </si>
  <si>
    <t>Hebeloma cylindrosporum</t>
  </si>
  <si>
    <t>Experimental Breeding Station Choryn</t>
  </si>
  <si>
    <t>Helianthus annuus</t>
  </si>
  <si>
    <t>Experimental Institute of Cereal Research</t>
  </si>
  <si>
    <t>Helianthus argophyllus</t>
  </si>
  <si>
    <t>F. Levieil</t>
  </si>
  <si>
    <t>Helianthus L.</t>
  </si>
  <si>
    <t>F. Von Lochow-Petkus GmbH</t>
  </si>
  <si>
    <t>Helianthus paradoxus</t>
  </si>
  <si>
    <t>Fabre</t>
  </si>
  <si>
    <t>Hordeum</t>
  </si>
  <si>
    <t>Fac.of Agri.</t>
  </si>
  <si>
    <t>Hordeum agriocrithon Aberg</t>
  </si>
  <si>
    <t>Facoltà di Agraria</t>
  </si>
  <si>
    <t>Hordeum andicola Griseb.</t>
  </si>
  <si>
    <t>Faculdad de Agronomia</t>
  </si>
  <si>
    <t>Hordeum andinum Trin.</t>
  </si>
  <si>
    <t>Facultad de Ciencias Agropecuarias, Universidad de Panamá</t>
  </si>
  <si>
    <t>Hordeum bogdani</t>
  </si>
  <si>
    <t>Faculté d'Agronomie</t>
  </si>
  <si>
    <t>Hordeum bogdanii</t>
  </si>
  <si>
    <t>Faculty of Agriculture - Institute of Field Crops</t>
  </si>
  <si>
    <t>Hordeum brachyantherum Nevski s.l.</t>
  </si>
  <si>
    <t>Faculty of Agriculture,  Laboratory of Plant Breeding</t>
  </si>
  <si>
    <t>Hordeum brachyantherum ssp. brachyantherum Nevski</t>
  </si>
  <si>
    <t>Faculty of Agriculture, University of Manitoba</t>
  </si>
  <si>
    <t>Hordeum brevisubulatum ssp. brevisubulatum</t>
  </si>
  <si>
    <t>Faculty of Bioresources</t>
  </si>
  <si>
    <t>Hordeum brevisubulatum ssp. iranicum</t>
  </si>
  <si>
    <t>Fear CD, Cain DW, Mowrey BD, CA - USA</t>
  </si>
  <si>
    <t>Hordeum brevisubulatum ssp. nevskianum</t>
  </si>
  <si>
    <t>Fédération des Syndicats Bretons</t>
  </si>
  <si>
    <t>Hordeum brevisubulatum ssp. turkestani</t>
  </si>
  <si>
    <t>Fédération des Syndicats Bretons &amp; A. Person</t>
  </si>
  <si>
    <t>Hordeum brevisubulatum ssp. turkestanicum</t>
  </si>
  <si>
    <t>Fédération des Syndicats Bretons &amp; Bretagne Plants</t>
  </si>
  <si>
    <t>Hordeum brevisubulatum ssp. violaceum</t>
  </si>
  <si>
    <t>Fédération des Syndicats Bretons &amp; Coopérative de Pleyber-Christ</t>
  </si>
  <si>
    <t>Hordeum brevisubulatum (Trin.) Link ssp. brevisubulatum s.l.</t>
  </si>
  <si>
    <t>Fédération des Syndicats Bretons &amp; Coopérative des Agriculteurs de Bretagne</t>
  </si>
  <si>
    <t>Hordeum brevisubulatum (Trin.) Link ssp. iranicum Bothmer</t>
  </si>
  <si>
    <t>Fédération des Vins de Savoie</t>
  </si>
  <si>
    <t>Hordeum brevisubulatum (Trin.) Link ssp. nevskianum (Bowden) Tzvel.</t>
  </si>
  <si>
    <t>Fédération des Vins du Puy de Dôme</t>
  </si>
  <si>
    <t>Hordeum brevisubulatum (Trin.) Link ssp. turkestanicum (Nevski) Tzvel.</t>
  </si>
  <si>
    <t>Ferme de moulon</t>
  </si>
  <si>
    <t>Hordeum brevisubulatum (Trin.) Link ssp. violaceum (Boiss. &amp; Hohen.) Tzvel.</t>
  </si>
  <si>
    <t>Ferme d'Etat de Pucheng</t>
  </si>
  <si>
    <t>Hordeum bulbosum L.</t>
  </si>
  <si>
    <t>FERME ECOLE DE BESPLAS</t>
  </si>
  <si>
    <t>Hordeum caespitosum Scribn.</t>
  </si>
  <si>
    <t>Ferme Expérimentale de Grignon</t>
  </si>
  <si>
    <t>Hordeum californicum Covas &amp; Stebbins</t>
  </si>
  <si>
    <t>Firma H. O. Luebeck, Magdeburg</t>
  </si>
  <si>
    <t>Hordeum chilense Roem. &amp; Schult.</t>
  </si>
  <si>
    <t>Fleck Jacqueline / L626</t>
  </si>
  <si>
    <t>Hordeum comosum J. Presl</t>
  </si>
  <si>
    <t>Fleischmann Rudolph Agricultural Research Institute, University of Agricultural Sciences</t>
  </si>
  <si>
    <t>Hordeum compressum</t>
  </si>
  <si>
    <t>Florimond Desprez</t>
  </si>
  <si>
    <t>Hordeum compressum Griseb.</t>
  </si>
  <si>
    <t>Fontaine (bought by Jouffray-Drillaud)</t>
  </si>
  <si>
    <t>Hordeum cordobense Bothmer, N. Jacobsen &amp; Nicora</t>
  </si>
  <si>
    <t>Food Science Institute</t>
  </si>
  <si>
    <t>Hordeum deficiens</t>
  </si>
  <si>
    <t>Forschungsanstalt Agroscope Reckenholz-Tänikon</t>
  </si>
  <si>
    <t>Hordeum deficiens Steud.</t>
  </si>
  <si>
    <t>Fr. Strube Saatzucht KG Soellingen</t>
  </si>
  <si>
    <t>Hordeum depressum (Scribn. &amp; J.G. Sm.) Rydb.</t>
  </si>
  <si>
    <t>Fruit Tree Laboratory</t>
  </si>
  <si>
    <t>Hordeum europaeum</t>
  </si>
  <si>
    <t>Fruit Tree Research Station</t>
  </si>
  <si>
    <t>Hordeum flexuosum Steud.</t>
  </si>
  <si>
    <t>Fruit Trees Research Station, Kuchinotsu Branch</t>
  </si>
  <si>
    <t>Hordeum geniculatum</t>
  </si>
  <si>
    <t>FR2424, Station Biologique</t>
  </si>
  <si>
    <t>Hordeum gussoneanum</t>
  </si>
  <si>
    <t>Fudan University</t>
  </si>
  <si>
    <t>Hordeum gussoneanum Parl.</t>
  </si>
  <si>
    <t>Fungal Genomics Lab</t>
  </si>
  <si>
    <t>Hordeum hexaploidum</t>
  </si>
  <si>
    <t>G. Geertsema-Groningen B.V.</t>
  </si>
  <si>
    <t>Hordeum hexaploidum Covas</t>
  </si>
  <si>
    <t>GA</t>
  </si>
  <si>
    <t>Hordeum hexastichon L.</t>
  </si>
  <si>
    <t>Gautier</t>
  </si>
  <si>
    <t>Hordeum hrasdanicum Gandilyan</t>
  </si>
  <si>
    <t>Hordeum irregulare</t>
  </si>
  <si>
    <t>Genavenir</t>
  </si>
  <si>
    <t>Hordeum ithaburense Boiss.</t>
  </si>
  <si>
    <t>Gene Function and Maize Traits Group</t>
  </si>
  <si>
    <t>Hordeum jubatum</t>
  </si>
  <si>
    <t>Genebank, Leibniz Institute of Plant Genetics and Crop Plant Research</t>
  </si>
  <si>
    <t>Hordeum jubatum breviaristatum</t>
  </si>
  <si>
    <t>Genetic Resources and Mediterranean Medicago Plant Breeding Laboratory, INRA-Montpellier</t>
  </si>
  <si>
    <t>Hordeum jubatum jubatum</t>
  </si>
  <si>
    <t>Genetic Resources Department - Research Institute for Cereals and Industrial Crops</t>
  </si>
  <si>
    <t>Hordeum jubatum ssp. breviaristatum Bowden</t>
  </si>
  <si>
    <t>Genetics</t>
  </si>
  <si>
    <t>Hordeum jubatum ssp. intermedium Bowden</t>
  </si>
  <si>
    <t>Genetics of Environmental Stress Tolerance</t>
  </si>
  <si>
    <t>Hordeum kaufmannii Regel</t>
  </si>
  <si>
    <t>Genetique et Amelioration des Plantes</t>
  </si>
  <si>
    <t>Hordeum L.</t>
  </si>
  <si>
    <t>Genetique et amelioration des plantes</t>
  </si>
  <si>
    <t>Hordeum lechleri (Steud.) Schenck</t>
  </si>
  <si>
    <t>Genetique et ecophysiologie des legumineuses</t>
  </si>
  <si>
    <t>Hordeum leporinum var. simulans Bowden</t>
  </si>
  <si>
    <t>Genetique fonctionnelle des maladies des Epitheliums, U563, CPIP, CHU Purpan</t>
  </si>
  <si>
    <t>Hordeum macilentum Steud.</t>
  </si>
  <si>
    <t>Genetique Moleculaire d'Arabidopsis</t>
  </si>
  <si>
    <t>Hordeum marinum Huds. ssp. gussoneanum (Parl.) Thell.</t>
  </si>
  <si>
    <t>Genome BC Conifer Forest Health</t>
  </si>
  <si>
    <t>Hordeum marinum Huds. ssp. marinum</t>
  </si>
  <si>
    <t>Genome et developpement des plantes</t>
  </si>
  <si>
    <t>Hordeum marinum ssp. gussoneanum</t>
  </si>
  <si>
    <t>GENOME express</t>
  </si>
  <si>
    <t>Hordeum marinum ssp. gussoneanum (Parl.) Thell.</t>
  </si>
  <si>
    <t>Genome Express</t>
  </si>
  <si>
    <t>Hordeum marinum ssp. marinum</t>
  </si>
  <si>
    <t>Genome Science Laboratory</t>
  </si>
  <si>
    <t>Hordeum maritimum</t>
  </si>
  <si>
    <t>Genome Systems,  Inc.,  a wholly owned subsidiary of IncytePharmaceuticals,  Inc.</t>
  </si>
  <si>
    <t>Hordeum maritimum gussonianum</t>
  </si>
  <si>
    <t>Genomics and  Genetics Institute,  GreenGene Biotech Inc.;Division of Bioscience and  Bioinformatics,  MyongJiUniversity</t>
  </si>
  <si>
    <t>Hordeum murinum</t>
  </si>
  <si>
    <t>Genomique</t>
  </si>
  <si>
    <t>Hordeum murinum L. ssp. glaucum (Steud.) Tzvelev</t>
  </si>
  <si>
    <t>Genomique Ble et Mais</t>
  </si>
  <si>
    <t>Hordeum murinum L. ssp. leporinum (Link) Arcang.</t>
  </si>
  <si>
    <t>Genoplante-Info</t>
  </si>
  <si>
    <t>Hordeum murinum L. ssp. murinum</t>
  </si>
  <si>
    <t>GENOSCOPE</t>
  </si>
  <si>
    <t>Hordeum murinum murinum</t>
  </si>
  <si>
    <t>Genoscope</t>
  </si>
  <si>
    <t>Hordeum murinum ssp. glaucum</t>
  </si>
  <si>
    <t>Genoscope - Centre National de Sequencage</t>
  </si>
  <si>
    <t>Hordeum murinum ssp. glaucum (Steud.) Tzvelev</t>
  </si>
  <si>
    <t>Georgia State Agricultural Experiment Station</t>
  </si>
  <si>
    <t>Hordeum murinum ssp. leporinum</t>
  </si>
  <si>
    <t>Germicopa SA</t>
  </si>
  <si>
    <t>Hordeum murinum ssp. murinum</t>
  </si>
  <si>
    <t>Germicopa SAS</t>
  </si>
  <si>
    <t>Hordeum muticum J. Presl</t>
  </si>
  <si>
    <t>GGO</t>
  </si>
  <si>
    <t>Hordeum nevskianum Bowden</t>
  </si>
  <si>
    <t>GIE Ail Dromois</t>
  </si>
  <si>
    <t>Hordeum nodosum</t>
  </si>
  <si>
    <t>GIE Epi de France</t>
  </si>
  <si>
    <t>Hordeum nodosum L.</t>
  </si>
  <si>
    <t>GIE Legland</t>
  </si>
  <si>
    <t>Hordeum parodii Covas</t>
  </si>
  <si>
    <t>Gigot Claude / L512</t>
  </si>
  <si>
    <t>Hordeum patagonicum (Haum.) Covas s.l.</t>
  </si>
  <si>
    <t>Gilbert-Fayol</t>
  </si>
  <si>
    <t>Hordeum persicum</t>
  </si>
  <si>
    <t>Ginitique Diversiti Ecophysiologie des Ciriales</t>
  </si>
  <si>
    <t>Hordeum pratense Huds.</t>
  </si>
  <si>
    <t>Giza Agricultural Research Station</t>
  </si>
  <si>
    <t>Hordeum pubescens Guss.</t>
  </si>
  <si>
    <t>Glen Saint Mary Nursery Co.</t>
  </si>
  <si>
    <t>Hordeum pusillum Nutt.</t>
  </si>
  <si>
    <t>Glenellen Pty Ltd.</t>
  </si>
  <si>
    <t>Hordeum pussilum</t>
  </si>
  <si>
    <t>Gnts VNII Rastenievodstva Im.N.I.Vavilova</t>
  </si>
  <si>
    <t>Hordeum sativum</t>
  </si>
  <si>
    <t>Goggi</t>
  </si>
  <si>
    <t>Hordeum sibiricum Rosh.</t>
  </si>
  <si>
    <t>Grad. Sch. Agric. Life Sci.</t>
  </si>
  <si>
    <t>Hordeum spp</t>
  </si>
  <si>
    <t>Graduate School of Biological Sciences</t>
  </si>
  <si>
    <t>Hordeum strictum Desf.</t>
  </si>
  <si>
    <t>Grand Anse Experimental Centre, Ministry of Agriculture and Marine Resources</t>
  </si>
  <si>
    <t>Hordeum tetraploidum Covas</t>
  </si>
  <si>
    <t>Grand Island Nurseries, Inc.</t>
  </si>
  <si>
    <t>Hordeum tetrastichum</t>
  </si>
  <si>
    <t>Greenhouse for Trop. Crops, Inst. Prod/Nutr. Wordls Crops, Un. Kassel</t>
  </si>
  <si>
    <t>Hordeum vulgare</t>
  </si>
  <si>
    <t>Grocep</t>
  </si>
  <si>
    <t>Hordeum vulgare convar. distichon (L.) Alefeld</t>
  </si>
  <si>
    <t>Group 305</t>
  </si>
  <si>
    <t>Hordeum vulgare L.</t>
  </si>
  <si>
    <t>Groupe d'Etude et de Contrôle des Variétés et des Semences, Cavaillon</t>
  </si>
  <si>
    <t>Hordeum vulgare L. ssp. distichon (L.) Koernicke</t>
  </si>
  <si>
    <t>Groupement Agricole Essonnois</t>
  </si>
  <si>
    <t>Hordeum vulgare L. ssp. spontaneum (K. Koch) A. &amp; Gr.</t>
  </si>
  <si>
    <t>Groupement Interprofessionnel des Fleurs et Plantes A Parfun</t>
  </si>
  <si>
    <t>Hordeum vulgare L. ssp. vulgare</t>
  </si>
  <si>
    <t>Gruntzig Maria, Fuchs Egon Halle/Saale - Allemagne</t>
  </si>
  <si>
    <t>Hordeum vulgare spontaneum</t>
  </si>
  <si>
    <t>GTZ, German Fruit Tree Project</t>
  </si>
  <si>
    <t>Hordeum vulgare ssp. distichon var. spontaneum Kornicke</t>
  </si>
  <si>
    <t>Guangxi Citrus Research Institute</t>
  </si>
  <si>
    <t>Hordeum vulgare var. distichon</t>
  </si>
  <si>
    <t>Gyumri Breeding Station</t>
  </si>
  <si>
    <t>Hordeum vulgare vulgare</t>
  </si>
  <si>
    <t>H Blas JM Malmonté</t>
  </si>
  <si>
    <t>Juglans L.</t>
  </si>
  <si>
    <t>H. Demesmay</t>
  </si>
  <si>
    <t>Lactuca L.</t>
  </si>
  <si>
    <t>H. L. Hall &amp; Sons, Ltd.</t>
  </si>
  <si>
    <t>Lactuca sativa f. Laitue à couper</t>
  </si>
  <si>
    <t>Hankkija Plant Breeding Institute</t>
  </si>
  <si>
    <t>Lactuca sativa f. Laitue à couper gr. Feuille de chêne</t>
  </si>
  <si>
    <t>Harpool Seed Inc.</t>
  </si>
  <si>
    <t>Lactuca sativa f. Laitue à couper gr. Laitue multi-feuilles</t>
  </si>
  <si>
    <t>Head of Genomic Information</t>
  </si>
  <si>
    <t>Lactuca sativa f. Laitue à couper gr. Lollo</t>
  </si>
  <si>
    <t>Hebei Germplasm Resources Genebank Cereal &amp; Oil Crops Research Institute</t>
  </si>
  <si>
    <t>Lactuca sativa f. Laitue pommée</t>
  </si>
  <si>
    <t>Heine Peragis Getreidezucht GmbH</t>
  </si>
  <si>
    <t>Lactuca sativa f. Laitue pommée gr. Batavia</t>
  </si>
  <si>
    <t>Hirla Henri, Toulouges - France</t>
  </si>
  <si>
    <t>Lactuca sativa f. Laitue pommée gr. Batavia sgr. Batavia européenne</t>
  </si>
  <si>
    <t>Hodowla Roslin Polniczych 'Nasiona Kobierzyc'</t>
  </si>
  <si>
    <t>Lactuca sativa f. Laitue pommée gr. Batavia sgr. Iceberg</t>
  </si>
  <si>
    <t>Hodowla Roslin Pustkow</t>
  </si>
  <si>
    <t>Lactuca sativa f. Laitue pommée gr. Laitue beurre</t>
  </si>
  <si>
    <t>Hodowla Roslin Strzelce Sp. z o.o. Grupa IHAR</t>
  </si>
  <si>
    <t>Lactuca sativa f. Laitue pommée gr. Romaine/grasse</t>
  </si>
  <si>
    <t>Hort Research</t>
  </si>
  <si>
    <t>Lactuca sativa f. Laitue pommée gr. Romaine/grasse sgr. Grasse</t>
  </si>
  <si>
    <t>Horticultural Research &amp; Advisory Station, Dept. of Agriculture</t>
  </si>
  <si>
    <t>Lactuca sativa f. Laitue pommée gr. Romaine/grasse sgr. Romaine</t>
  </si>
  <si>
    <t>Horticultural Research Section Agricultural Research Corporation</t>
  </si>
  <si>
    <t>Lactuca sativa f. Laitue tige</t>
  </si>
  <si>
    <t>Horticultural Research Station</t>
  </si>
  <si>
    <t>Lactuca sativa L.</t>
  </si>
  <si>
    <t>Horticultural Sciences Department,  Plant Molecular and Cellular Biology Program</t>
  </si>
  <si>
    <t>Lepidium L.</t>
  </si>
  <si>
    <t>Horticulture Department</t>
  </si>
  <si>
    <t>Lepidium sativum L.</t>
  </si>
  <si>
    <t>HortResearch, Havelock North Research Centre - Malone M. Havelock North and  Davidson J. Tuamarina Blenheim - New Zealand</t>
  </si>
  <si>
    <t>(Limequat x Fortunella hindsii(Champ.) Swing.)</t>
  </si>
  <si>
    <t>HortResearch, Mt. Albert Research Centre</t>
  </si>
  <si>
    <t>Linum usitatissinum</t>
  </si>
  <si>
    <t>HybriTech Seed</t>
  </si>
  <si>
    <t>Lolium L.</t>
  </si>
  <si>
    <t>HYBRO Saatzucht GmbH &amp; Co. KG c/o Saaten-Union GmbH</t>
  </si>
  <si>
    <t>Lolium multiflorum Lam.</t>
  </si>
  <si>
    <t>IBP</t>
  </si>
  <si>
    <t>Lolium perenne</t>
  </si>
  <si>
    <t>IBVB</t>
  </si>
  <si>
    <t>Lolium perenne L.</t>
  </si>
  <si>
    <t>ICARDA</t>
  </si>
  <si>
    <t>Lolium xhybridum Hausskn.</t>
  </si>
  <si>
    <t>ICRISAT</t>
  </si>
  <si>
    <t>Lotus alpinus</t>
  </si>
  <si>
    <t>Idaho Agricultural Experiment Station, University of Idaho</t>
  </si>
  <si>
    <t>Lupinus L.</t>
  </si>
  <si>
    <t>Illinois Agricultural Experiment Station, University of Illinois</t>
  </si>
  <si>
    <t>Malus domestica</t>
  </si>
  <si>
    <t>Indian Agricultural Research Institute</t>
  </si>
  <si>
    <t>Malus P. Mill.</t>
  </si>
  <si>
    <t>Indian Institute of Horticultural Research</t>
  </si>
  <si>
    <t>Manihot esculenta</t>
  </si>
  <si>
    <t>Indiana Agricultural Experiment Station, Purdue University</t>
  </si>
  <si>
    <t>Medicago aculeata</t>
  </si>
  <si>
    <t>Indo-American Hybrid Seeds</t>
  </si>
  <si>
    <t>Medicago aculeata aculeata</t>
  </si>
  <si>
    <t>Medicago aculeata inermis</t>
  </si>
  <si>
    <t>INRA - Mauguio</t>
  </si>
  <si>
    <t>Medicago arabica (L.) Huds.</t>
  </si>
  <si>
    <t>INRA - Tours</t>
  </si>
  <si>
    <t>Medicago arborea L.</t>
  </si>
  <si>
    <t>INRA - UMR BIOGECO</t>
  </si>
  <si>
    <t>Medicago asiatica</t>
  </si>
  <si>
    <t>INRA, Cirad/Amis</t>
  </si>
  <si>
    <t>Medicago blancheana Boiss.</t>
  </si>
  <si>
    <t>INRA de Crouel</t>
  </si>
  <si>
    <t>Medicago bonarotiana</t>
  </si>
  <si>
    <t>INRA, Domaine de Vassal (T. Lacombe) + IFV Institut Français de la Vigne et du Vin (L. Audeguin)</t>
  </si>
  <si>
    <t>Medicago cancellata Bieb.</t>
  </si>
  <si>
    <t>INRA GAFL Avignon + SICA Centrex</t>
  </si>
  <si>
    <t>Medicago carstiensis Jacq.</t>
  </si>
  <si>
    <t>INRA Guadeloupe</t>
  </si>
  <si>
    <t>Medicago constricta</t>
  </si>
  <si>
    <t>INRA Montpellier</t>
  </si>
  <si>
    <t>Medicago coronata</t>
  </si>
  <si>
    <t>INRA Rennes</t>
  </si>
  <si>
    <t>Medicago cretacea</t>
  </si>
  <si>
    <t>INRA Versailles</t>
  </si>
  <si>
    <t>Medicago daghestanica</t>
  </si>
  <si>
    <t>INRA-MycSA, UPR-1264</t>
  </si>
  <si>
    <t>Medicago disciformis</t>
  </si>
  <si>
    <t>INRAT, Tunisie + UR Génétique et Amélioration des Fruits et Légumes, INRA-Avignon</t>
  </si>
  <si>
    <t>Medicago dzhawakhetica</t>
  </si>
  <si>
    <t>Insect Biocontrol Lab</t>
  </si>
  <si>
    <t>Medicago eusativa</t>
  </si>
  <si>
    <t>INSIBIO</t>
  </si>
  <si>
    <t>Medicago glutinosa Bieb.</t>
  </si>
  <si>
    <t>Inst. Biologia Molecular y Celular de Plantas</t>
  </si>
  <si>
    <t>Medicago granadensis Willd.</t>
  </si>
  <si>
    <t>Institut Amélioration Plantes Cultivées Berlin</t>
  </si>
  <si>
    <t>Medicago heyniana</t>
  </si>
  <si>
    <t>Institut de Biologie Moleculair des Plantes du CNRS (IBMP)</t>
  </si>
  <si>
    <t>Medicago hybrida (Pourr.) Trautv.</t>
  </si>
  <si>
    <t>Institut de Biologie Moleculaire des Plantes</t>
  </si>
  <si>
    <t>Medicago intertexta ciliaris</t>
  </si>
  <si>
    <t>Institut de biologie moleculaire des plantes</t>
  </si>
  <si>
    <t>Medicago intertexta intertexta</t>
  </si>
  <si>
    <t>Institut de biotechnologie des plantes</t>
  </si>
  <si>
    <t>Medicago intertexta (L.) Mill.</t>
  </si>
  <si>
    <t>Institut de Recherche pour le Développement</t>
  </si>
  <si>
    <t>Medicago L.</t>
  </si>
  <si>
    <t>Institut de Recherches Agronomique</t>
  </si>
  <si>
    <t>Medicago laciniata (L.) Mill.</t>
  </si>
  <si>
    <t>Institut de Recherches Agronomiques et Forestières</t>
  </si>
  <si>
    <t>Medicago lanigera</t>
  </si>
  <si>
    <t>Institut de Recherches Agronomiques Tropicales et des cultures vivrières</t>
  </si>
  <si>
    <t>Medicago littoralis</t>
  </si>
  <si>
    <t>Institut de Recherches de Beibei</t>
  </si>
  <si>
    <t>Medicago lupulina L.</t>
  </si>
  <si>
    <t>Institut des forêts-Département Fruits et Agrumes</t>
  </si>
  <si>
    <t>Medicago marina L.</t>
  </si>
  <si>
    <t>Institut des Sciences du Vegetal (ISV)</t>
  </si>
  <si>
    <t>Medicago minima brevispina</t>
  </si>
  <si>
    <t>Institut des Sciences Vegetales</t>
  </si>
  <si>
    <t>Medicago minima (L.) L. ex Bartal.</t>
  </si>
  <si>
    <t>Institut for bioteknologi</t>
  </si>
  <si>
    <t>Medicago minima minima</t>
  </si>
  <si>
    <t>Institut Français de la Vigne et du Vin</t>
  </si>
  <si>
    <t>Medicago monantha (C.A. Mey.) Trautv.</t>
  </si>
  <si>
    <t>Institut Francais de Recherches Fruitières</t>
  </si>
  <si>
    <t>Medicago monspeliaca (L.) Trautv.</t>
  </si>
  <si>
    <t>Institut Francais de Recherches Fruitières - Martinique</t>
  </si>
  <si>
    <t>Medicago murex lesinsii</t>
  </si>
  <si>
    <t>Institut Francais de Recherches Fruitières - Réunion</t>
  </si>
  <si>
    <t>Medicago murex sphaerocarpos</t>
  </si>
  <si>
    <t>Institut fuer Entwicklungsbiologie und Molekularbiologie derPflanzen</t>
  </si>
  <si>
    <t>Medicago murex Willd.</t>
  </si>
  <si>
    <t>Institut für Biologie und Biotechnologie der Pflanzen (IBBP)</t>
  </si>
  <si>
    <t>Medicago muricoleptis</t>
  </si>
  <si>
    <t>Institut fur Pflanzengenetik und Kulturpflanzenforschung</t>
  </si>
  <si>
    <t>Medicago noeana Boiss.</t>
  </si>
  <si>
    <t>Institut für Pflanzengenetik und Kulturpflanzenforschung</t>
  </si>
  <si>
    <t>Medicago orbicularis biancae</t>
  </si>
  <si>
    <t>Medicago orbicularis (L.) Bartal.</t>
  </si>
  <si>
    <t>Institut National Agronomique Paris-Grignon</t>
  </si>
  <si>
    <t>Medicago orbicularis marginata</t>
  </si>
  <si>
    <t>Institut National de la Recherche Agronomique</t>
  </si>
  <si>
    <t>Medicago orthoceras</t>
  </si>
  <si>
    <t>Institut National de la Recherche Agronomique - Centre de Clermont-Ferrand</t>
  </si>
  <si>
    <t>Medicago papillosa Boiss.</t>
  </si>
  <si>
    <t>Institut National de la Recherche Agronomique - Centre de Montpellier</t>
  </si>
  <si>
    <t>Medicago pironae</t>
  </si>
  <si>
    <t>Institut National de la Recherche Agronomique d'Algerie</t>
  </si>
  <si>
    <t>Medicago platycarpa</t>
  </si>
  <si>
    <t>Institut National de la Recherche Agronomique de Tunisie</t>
  </si>
  <si>
    <t>Medicago polychroa Grossh.</t>
  </si>
  <si>
    <t>Institut National de la Recherche Agronomique du Maroc</t>
  </si>
  <si>
    <t>Medicago polymorpha brevispina</t>
  </si>
  <si>
    <t>Institut of Corn</t>
  </si>
  <si>
    <t>Medicago polymorpha L.</t>
  </si>
  <si>
    <t>Institut of Crop Germplasm Resources, Chinese Academy of Agricultural Sciences</t>
  </si>
  <si>
    <t>Medicago polymorpha polymorpha</t>
  </si>
  <si>
    <t>Institut of Subtropical Plants</t>
  </si>
  <si>
    <t>Medicago polymorpha vulgaris</t>
  </si>
  <si>
    <t>Institut ZA Povrtarstvo</t>
  </si>
  <si>
    <t>Medicago praecox DC.</t>
  </si>
  <si>
    <t>Institute Crop and Food Research Ltd. East Coast Technology Centre</t>
  </si>
  <si>
    <t>Medicago prostrata Jacq.</t>
  </si>
  <si>
    <t>Institute for Agrobotany</t>
  </si>
  <si>
    <t>Medicago quasifalcata</t>
  </si>
  <si>
    <t>Institute for Breeding and Production of Field Crops</t>
  </si>
  <si>
    <t>Medicago radiata</t>
  </si>
  <si>
    <t>Institute for Field and Vegetable Crops Novi Sad</t>
  </si>
  <si>
    <t>Medicago rhodopea Velen.</t>
  </si>
  <si>
    <t>Institute for Genome Research and Systems Biology / CeBiTec</t>
  </si>
  <si>
    <t>Medicago rigidula agrestis</t>
  </si>
  <si>
    <t>Institute for Grapevine Breeding</t>
  </si>
  <si>
    <t>Medicago rigidula cinerascens</t>
  </si>
  <si>
    <t>Institute for Plant Genetic Resources 'K. Malkov'</t>
  </si>
  <si>
    <t>Medicago rigidula (L.) All.</t>
  </si>
  <si>
    <t>Institute for Tropical ans Subtropical Crops</t>
  </si>
  <si>
    <t>Medicago rigidula rigidula</t>
  </si>
  <si>
    <t>Institute of Agriculture of the NAAS</t>
  </si>
  <si>
    <t>Medicago rigidula submitis</t>
  </si>
  <si>
    <t>Institute of Arable Crop Research</t>
  </si>
  <si>
    <t>Medicago rigiduloides</t>
  </si>
  <si>
    <t>Institute of Botany</t>
  </si>
  <si>
    <t>Medicago rotata Boiss.</t>
  </si>
  <si>
    <t>Institute of Citrus Research Chinese Academy of Agric. Sciences</t>
  </si>
  <si>
    <t>Medicago rugosa Desr.</t>
  </si>
  <si>
    <t>Institute of Crop Breeding and Cultivation, Chinese Academy of Agricultural Sciences</t>
  </si>
  <si>
    <t>Medicago rupestris</t>
  </si>
  <si>
    <t>Institute of Crop Research, Jilin Academy of Agricultural Sciences</t>
  </si>
  <si>
    <t>Medicago ruthenica (L.) Trautv.</t>
  </si>
  <si>
    <t>Institute of Crop Science, Federal Research Center for Agricult.(FAL)</t>
  </si>
  <si>
    <t>Medicago sativa caelurea</t>
  </si>
  <si>
    <t>Institute of Experimental Botany</t>
  </si>
  <si>
    <t>Medicago sativa falcata (L.) Arcang.</t>
  </si>
  <si>
    <t>Institute of Field Crops and Viticulture</t>
  </si>
  <si>
    <t>Medicago sativa gaetula</t>
  </si>
  <si>
    <t>Institute of forest genetics</t>
  </si>
  <si>
    <t>Medicago sativa glomerata (Balb.) Rouy</t>
  </si>
  <si>
    <t>Institute of Genetics,  Fudan University</t>
  </si>
  <si>
    <t>Medicago sativa L.</t>
  </si>
  <si>
    <t>Institute of Husbandry and Breeding of the National Academy of Sciences of Belarus</t>
  </si>
  <si>
    <t>Medicago sativa type mielga L.</t>
  </si>
  <si>
    <t>Institute of Mol. &amp; Cell. Bioscience,  Department of CellularFunction</t>
  </si>
  <si>
    <t>Medicago sauvagei</t>
  </si>
  <si>
    <t>Institute of Plant Breeding and Agricultural Research 'Nazareno Strampelli'</t>
  </si>
  <si>
    <t>Medicago saxatilis</t>
  </si>
  <si>
    <t>Institute of Plant Breeding, College of Agriculture, University of the Philippines, Los Baños College</t>
  </si>
  <si>
    <t>Medicago scutellata (L.) Mill.</t>
  </si>
  <si>
    <t>Institute of Plant Production n.a. V.Y. Yurjev of UAAS</t>
  </si>
  <si>
    <t>Medicago secundiflora</t>
  </si>
  <si>
    <t>Institute of Pomology, Jiangxi Academy of Agricultural Sciences</t>
  </si>
  <si>
    <t>Medicago shepardii Post ex Boiss.</t>
  </si>
  <si>
    <t>Institute of Wheat and Sunflower Dobroudja</t>
  </si>
  <si>
    <t>Medicago soleirolii Duby</t>
  </si>
  <si>
    <t>Institute Plant Biotechnology</t>
  </si>
  <si>
    <t>Medicago suffruticosa leiocarpa (Benth.) Urb</t>
  </si>
  <si>
    <t>InstitutionX</t>
  </si>
  <si>
    <t>Medicago suffruticosa Ramond ex DC.</t>
  </si>
  <si>
    <t>Instituto Agronomico de Campinas</t>
  </si>
  <si>
    <t>Medicago suffruticosa suffruticosa</t>
  </si>
  <si>
    <t>Instituto Agronomico de Parana</t>
  </si>
  <si>
    <t>Medicago tenoreana</t>
  </si>
  <si>
    <t>Instituto Canario de Investigaciones Agrarias</t>
  </si>
  <si>
    <t>Medicago tornata</t>
  </si>
  <si>
    <t>Instituto Colombiano Agropecuario</t>
  </si>
  <si>
    <t>Medicago tornata rugolosa</t>
  </si>
  <si>
    <t>Instituto de Biologia y Biotecnologia Vegetal</t>
  </si>
  <si>
    <t>Medicago tornata spinulosa</t>
  </si>
  <si>
    <t>Instituto de Biotecnologia,  CICVyA-CNIA</t>
  </si>
  <si>
    <t>Medicago tornata tornata</t>
  </si>
  <si>
    <t>Instituto de Investigacao Agronomica</t>
  </si>
  <si>
    <t>Medicago truncatula</t>
  </si>
  <si>
    <t>Instituto de Investigaciones de Citricos y otros Frutales</t>
  </si>
  <si>
    <t>Medicago truncatula longispina</t>
  </si>
  <si>
    <t>Instituto de Investigaciones Fundamentales en Agr. Tropical</t>
  </si>
  <si>
    <t>Medicago truncatula tricycla</t>
  </si>
  <si>
    <t>Instituto de Protecçao da Produçao Agro-Alimentar</t>
  </si>
  <si>
    <t>Medicago truncatula truncatula</t>
  </si>
  <si>
    <t>Instituto Fitogenetico 'Santa Catalina'</t>
  </si>
  <si>
    <t>Medicago turbinata (L.) All.</t>
  </si>
  <si>
    <t>Instituto Nacional de Ciencas Agr.</t>
  </si>
  <si>
    <t>Medicago varia Martyn</t>
  </si>
  <si>
    <t>Instituto Nacional de Investigação Agronomica</t>
  </si>
  <si>
    <t>Microcitrus australasica (F. Muell.) Swingle</t>
  </si>
  <si>
    <t>Instituto Nacional de Investigacion Agropecuaria</t>
  </si>
  <si>
    <t>(Microcitrus australasica (F. Muell.) Swingle x (Fortunella sp. x Citrus mitis))</t>
  </si>
  <si>
    <t>Instituto nacional de Investigaciones Agricolas Celaya Mexique</t>
  </si>
  <si>
    <t>(Microcitrus australasica (F. Muell.) Swingle x Microcitrus australis (Planch.) Swing.)</t>
  </si>
  <si>
    <t>Instituto Nacional de Investigaciones Forestales, Agrícolas y Pecuarias</t>
  </si>
  <si>
    <t>Microcitrus australis (A. Cunn. ex Mudie) Swingle</t>
  </si>
  <si>
    <t>Instituto Nacional de Tecnología Agropecuaria</t>
  </si>
  <si>
    <t>Microcitrus Swingle</t>
  </si>
  <si>
    <t>Instituto Nacional de Tecnología Agropecuaria Estacion Experimental Marcos Juárez</t>
  </si>
  <si>
    <t>Monodelphis domestica</t>
  </si>
  <si>
    <t>Instituto Nacional de Tecnología Agropecuaria Estacion Experimental Pergamino</t>
  </si>
  <si>
    <t>Murraya J. Koenig ex L.</t>
  </si>
  <si>
    <t>Instituto Valenciano de Investigaciones Agrarias</t>
  </si>
  <si>
    <t>Murraya paniculata (L.) Jack</t>
  </si>
  <si>
    <t>INTA</t>
  </si>
  <si>
    <t>Mus musculus</t>
  </si>
  <si>
    <t>INTA Estacion Experimental</t>
  </si>
  <si>
    <t>Muscadinia munsoniana Small</t>
  </si>
  <si>
    <t>Interactions Arbres/Microorganismes</t>
  </si>
  <si>
    <t>Muscadinia popenoei Fennell</t>
  </si>
  <si>
    <t>International Centre for Agricultural Research in Dry Areas</t>
  </si>
  <si>
    <t>Muscadinia rotundifolia cv. Carlos</t>
  </si>
  <si>
    <t>International Institute of Tropical Agriculture</t>
  </si>
  <si>
    <t>Muscadinia rotundifolia cv. Dulcet</t>
  </si>
  <si>
    <t>IPK</t>
  </si>
  <si>
    <t>Muscadinia rotundifolia cv. Fry</t>
  </si>
  <si>
    <t>IPMSV</t>
  </si>
  <si>
    <t>Muscadinia rotundifolia cv. Regale</t>
  </si>
  <si>
    <t>IRD</t>
  </si>
  <si>
    <t>Muscadinia rotundifolia cv. Trayshed</t>
  </si>
  <si>
    <t>IRISA</t>
  </si>
  <si>
    <t>Muscadinia rotundifolia cv. Yuga x Carlos</t>
  </si>
  <si>
    <t>IRRI</t>
  </si>
  <si>
    <t>Muscadinia rotundifolia Mchx.</t>
  </si>
  <si>
    <t>Istituto di Agronomia e Coltivazioni - Universita di Bologna</t>
  </si>
  <si>
    <t>Muscadinia Small</t>
  </si>
  <si>
    <t>Istituto di Genetica Vegetale, Consiglio Nazionale delle Richerche</t>
  </si>
  <si>
    <t>Myzus persicae</t>
  </si>
  <si>
    <t>Istituto di Scienze Biochimiche</t>
  </si>
  <si>
    <t>Olea europaea L.</t>
  </si>
  <si>
    <t>Istituto Sperimentale per lAgrumicoltura</t>
  </si>
  <si>
    <t>Onobrychis Hill.</t>
  </si>
  <si>
    <t>ISV-CNRS</t>
  </si>
  <si>
    <t>Onobrychis viciifolia Scop.</t>
  </si>
  <si>
    <t>J. Berthélémé</t>
  </si>
  <si>
    <t>Oryza barthii</t>
  </si>
  <si>
    <t>Jardin Botanico, Wilson Popenoe de Lancetilla</t>
  </si>
  <si>
    <t>Oryza glaberrima</t>
  </si>
  <si>
    <t>Jardin botanique de Bordeaux</t>
  </si>
  <si>
    <t>Oryza longistaminata</t>
  </si>
  <si>
    <t>Jiangsu Academy of Agricultural Sciences</t>
  </si>
  <si>
    <t>Oryza nivara</t>
  </si>
  <si>
    <t>JKI Julius Kühn-Institut</t>
  </si>
  <si>
    <t>Oryza rufipogon</t>
  </si>
  <si>
    <t>John Innes CentreNorwich Research Park</t>
  </si>
  <si>
    <t>Oryza sativa</t>
  </si>
  <si>
    <t>Jorion</t>
  </si>
  <si>
    <t>Oryzias latipes</t>
  </si>
  <si>
    <t>Jose Buck S.A.</t>
  </si>
  <si>
    <t>Pan troglodytes</t>
  </si>
  <si>
    <t>Joseph Nickerson Research Centre</t>
  </si>
  <si>
    <t>Parthenocissus henryana Graebn. ex Diels</t>
  </si>
  <si>
    <t>Jourdan Pierre,  Tain - France</t>
  </si>
  <si>
    <t>Parthenocissus Planch.</t>
  </si>
  <si>
    <t>Julius Kühn-Institut</t>
  </si>
  <si>
    <t>Parthenocissus quinquefolia (L.) Planch.</t>
  </si>
  <si>
    <t>Kaerntner Saatbaugenossenschaft/Carinthian Agricultural Company</t>
  </si>
  <si>
    <t>Parthenocissus tricuspidata Planch.</t>
  </si>
  <si>
    <t>Kagoshima University, Faculty of Agriculture, Laboratory of Horticultural Science</t>
  </si>
  <si>
    <t>Parthenocissus voineriana</t>
  </si>
  <si>
    <t>Kansas Agricultural Experiment Station, Kansas State University</t>
  </si>
  <si>
    <t>Phaseolus vulgaris</t>
  </si>
  <si>
    <t>Kansas State University</t>
  </si>
  <si>
    <t>Phleum L.</t>
  </si>
  <si>
    <t>Karaganda State Agricultural Experiment Station</t>
  </si>
  <si>
    <t>Phleum pratense L.</t>
  </si>
  <si>
    <t>Kazakh Research Institute of Agriculture</t>
  </si>
  <si>
    <t>Phytophthora parasitica</t>
  </si>
  <si>
    <t>Key Lab. of Crop Germplasm &amp; Biotechnology</t>
  </si>
  <si>
    <t>Picea abies</t>
  </si>
  <si>
    <t>Key Laboratory of Crop Germplasm &amp; Biotechnology</t>
  </si>
  <si>
    <t>Pinus pinaster</t>
  </si>
  <si>
    <t>Key Laboratory of Ministry of Education for PlantDevelopmental Biology</t>
  </si>
  <si>
    <t>Pinus sylvestris</t>
  </si>
  <si>
    <t>Key Laboratory Tree Genetic Engineering of Nanjing Forestry</t>
  </si>
  <si>
    <t>Pisum fulvum</t>
  </si>
  <si>
    <t>Kihara Institute for Biological Research,  Yokohama CityUniversity</t>
  </si>
  <si>
    <t>Pisum L.</t>
  </si>
  <si>
    <t>Kihara Institute for Biological Research, Yokohama City University</t>
  </si>
  <si>
    <t>Pisum sativum L.</t>
  </si>
  <si>
    <t>Kleinwanzlebener Saatzucht AG</t>
  </si>
  <si>
    <t>Pisum sativum subsp. abyssinicum</t>
  </si>
  <si>
    <t>Krasnyy Kut breeding station</t>
  </si>
  <si>
    <t>Pisum sativum subsp. elatius</t>
  </si>
  <si>
    <t>Kumho Life &amp; Environmental Science Laboratory (KLESL)</t>
  </si>
  <si>
    <t>Pisum sativum subsp. sativum</t>
  </si>
  <si>
    <t>KWS France</t>
  </si>
  <si>
    <t>Pisum sativum var. arvense</t>
  </si>
  <si>
    <t>KWS UK Ltd</t>
  </si>
  <si>
    <t>Pisum sativum var. choresmicum</t>
  </si>
  <si>
    <t>La. Agr. Exp. Sta.</t>
  </si>
  <si>
    <t>Pisum sativum var. pumilio</t>
  </si>
  <si>
    <t>Lab. Biol. Developpement des Plantes</t>
  </si>
  <si>
    <t>Pisum sativum var. tibetanicum</t>
  </si>
  <si>
    <t>Lab. Biotech. et Amelior. Plantes - Pole de Biotechnologie Vegetale</t>
  </si>
  <si>
    <t>Poncirus polyandra S. Q. Ding et al.</t>
  </si>
  <si>
    <t>Lab de Biochimie</t>
  </si>
  <si>
    <t>Poncirus Raf.</t>
  </si>
  <si>
    <t>Lab of Biotechnology</t>
  </si>
  <si>
    <t>Poncirus trifoliata (L.) Raf.</t>
  </si>
  <si>
    <t>Lab of Molecular Biology</t>
  </si>
  <si>
    <t>Populus alba</t>
  </si>
  <si>
    <t>Lab. of Plant Development Physiology and  Molecular Biology</t>
  </si>
  <si>
    <t>Populus alba x populus tremula var. glandulosa</t>
  </si>
  <si>
    <t>Lab of Plant Molecular Physiology</t>
  </si>
  <si>
    <t>Populus deltoides</t>
  </si>
  <si>
    <t>Laboratoire BAP</t>
  </si>
  <si>
    <t>Populus deltoides x Populus nigra</t>
  </si>
  <si>
    <t>Laboratoire de Biologie du Developpement des Plantes</t>
  </si>
  <si>
    <t>Populus deltoides x populus trichocarpa</t>
  </si>
  <si>
    <t>Laboratoire de Biologie du developpement des plantes</t>
  </si>
  <si>
    <t>Populus euphratica</t>
  </si>
  <si>
    <t>Laboratoire de Biologie Moleculaire</t>
  </si>
  <si>
    <t>Populus fremontii</t>
  </si>
  <si>
    <t>Laboratoire de Biotechnologie et Amelioration des Plantes</t>
  </si>
  <si>
    <t>Populus fremontii x populus angustifolia</t>
  </si>
  <si>
    <t>Laboratoire de Biotechnologie et d'amélioration des plantes</t>
  </si>
  <si>
    <t>Populus nigra</t>
  </si>
  <si>
    <t>Laboratoire de Génétique et Amélioration des Plantes, INRA-Lille</t>
  </si>
  <si>
    <t>Populus tomentiglandulosa</t>
  </si>
  <si>
    <t>Laboratoire de Genetique Moleculaire</t>
  </si>
  <si>
    <t>Populus tremula</t>
  </si>
  <si>
    <t>Laboratoire de Genomique et Bioinformatique</t>
  </si>
  <si>
    <t>Populus tremula x populus alba</t>
  </si>
  <si>
    <t>Laboratoire de Génomique et Bioinformatique</t>
  </si>
  <si>
    <t>Populus tremula x populus tremuloides</t>
  </si>
  <si>
    <t>Laboratoire de Mondonville</t>
  </si>
  <si>
    <t>Populus tremuloides</t>
  </si>
  <si>
    <t>Laboratoire de Nutrition Azotee des Plantes</t>
  </si>
  <si>
    <t>Populus trichocarpa</t>
  </si>
  <si>
    <t>Laboratoire de Pathologie Vegetale</t>
  </si>
  <si>
    <t>Populus trichocarpa x populus deltoides</t>
  </si>
  <si>
    <t>Laboratoire de Physiologie et Biologie MoleculairesVegetales,  URA CNRS 565</t>
  </si>
  <si>
    <t>Populus trichocarpa x Populus nigra</t>
  </si>
  <si>
    <t>Laboratoire de Phytoparasitologie</t>
  </si>
  <si>
    <t>Populus x canadensis</t>
  </si>
  <si>
    <t>Laboratoire de Phytopathologie Moleculaire ; SainsburyLaboratory</t>
  </si>
  <si>
    <t>Prunus armeniaca L.</t>
  </si>
  <si>
    <t>Laboratoire de Phytopathologie Moleculaire (LPPM)</t>
  </si>
  <si>
    <t>Prunus avium L.</t>
  </si>
  <si>
    <t>Laboratoire d'Organogenese Moleculaire Vegetale</t>
  </si>
  <si>
    <t>Prunus cerasus L.</t>
  </si>
  <si>
    <t>Laboratoire genome et developpement des plantes LGDP</t>
  </si>
  <si>
    <t>Prunus domestica L.</t>
  </si>
  <si>
    <t>Laboratoire Ginome et Diveloppement des Plantes</t>
  </si>
  <si>
    <t>Prunus dulcis (P. Mill.) D.A. Webber</t>
  </si>
  <si>
    <t>Laboratorio di Genetica Molecolare</t>
  </si>
  <si>
    <t>Prunus insititia L.</t>
  </si>
  <si>
    <t>Laboratory for Genomics and  Bioinformatics</t>
  </si>
  <si>
    <t>Prunus L.</t>
  </si>
  <si>
    <t>Laboratory of Biochemistry,  Department of Molecular Geneticsand</t>
  </si>
  <si>
    <t>Prunus semperflorens Ehrh.</t>
  </si>
  <si>
    <t>Laboratory of Functional Genetics</t>
  </si>
  <si>
    <t>Prunus x gondouinii (Poit. &amp; Turpin.) Schneid.</t>
  </si>
  <si>
    <t>Laboratory of Molecular Biology</t>
  </si>
  <si>
    <t>Pterocissus mirabilis Urb. &amp; Ekman</t>
  </si>
  <si>
    <t>Laboratory of Plant Biotechnology</t>
  </si>
  <si>
    <t>Pterocissus Urb. &amp; Ekman</t>
  </si>
  <si>
    <t>Laboratory of Plant Molecular Biology</t>
  </si>
  <si>
    <t>Pyrus L.</t>
  </si>
  <si>
    <t>Laboratory of Plant Molecular Breeding</t>
  </si>
  <si>
    <t>Quercus petraea</t>
  </si>
  <si>
    <t>Laboratory of Tropical Crop Improvement, Katholieke Universiteit Leuven</t>
  </si>
  <si>
    <t>Quercus robur</t>
  </si>
  <si>
    <t>Lacombe Research Centre Agriculture and Agri-Food Canada</t>
  </si>
  <si>
    <t>Rhopalosiphum padi</t>
  </si>
  <si>
    <t>Lafite, Ferme des Anglais</t>
  </si>
  <si>
    <t>Rosa chinensis</t>
  </si>
  <si>
    <t>Landbrugets Kornforaedling Sejet</t>
  </si>
  <si>
    <t>Rosa hybrida</t>
  </si>
  <si>
    <t>Landwirtschaftliche Lehranstalten Triesdorf</t>
  </si>
  <si>
    <t>Rosa wichuraiana</t>
  </si>
  <si>
    <t>Landwirtschaftsbetrieb Neuhof Rohrau, Pflanzenzucht</t>
  </si>
  <si>
    <t>Rutaceae</t>
  </si>
  <si>
    <t>Layne David - Summerland BC - Canada</t>
  </si>
  <si>
    <t>Saccharum officinarum</t>
  </si>
  <si>
    <t>LCB</t>
  </si>
  <si>
    <t>Saccharum spontaneum</t>
  </si>
  <si>
    <t>Lehrstuhl fuer Genetik</t>
  </si>
  <si>
    <t>Sclerotinia sclerotorium</t>
  </si>
  <si>
    <t>Leshan Citrus Association</t>
  </si>
  <si>
    <t>Secale cereale</t>
  </si>
  <si>
    <t>Lethbridge Research Station, Agriculture Canada</t>
  </si>
  <si>
    <t>Severinia buxifolia (Poir.) Ten.</t>
  </si>
  <si>
    <t>Letianxi Special Produce Station</t>
  </si>
  <si>
    <t>Severinia Ten. ex Endl.</t>
  </si>
  <si>
    <t>LG Molekulargenetik</t>
  </si>
  <si>
    <t>Solanum alandiae Cardenas</t>
  </si>
  <si>
    <t>Limagrain</t>
  </si>
  <si>
    <t>Solanum albicans Ochoa</t>
  </si>
  <si>
    <t>Limagrain Europe Riom</t>
  </si>
  <si>
    <t>Solanum andreanum Baker</t>
  </si>
  <si>
    <t>Limagrain Genetics</t>
  </si>
  <si>
    <t>Solanum avilesii Hawkes &amp; Hjert.</t>
  </si>
  <si>
    <t>Limagrain Iberica</t>
  </si>
  <si>
    <t>Solanum berthaultii Hawkes</t>
  </si>
  <si>
    <t>Limagrain UK Ltd</t>
  </si>
  <si>
    <t>Solanum brachistotrichum Rydb.</t>
  </si>
  <si>
    <t>Limagrain Verneuil Holding</t>
  </si>
  <si>
    <t>Solanum brevidens Phil.</t>
  </si>
  <si>
    <t>Limagrain-Nickerson GmbH</t>
  </si>
  <si>
    <t>Solanum bulbocastanum Dunal</t>
  </si>
  <si>
    <t>Lincoln University</t>
  </si>
  <si>
    <t>Solanum cardiophyllum Lindl.</t>
  </si>
  <si>
    <t>LIPM,  CNRS/INRA</t>
  </si>
  <si>
    <t>Solanum chacoense Bitter</t>
  </si>
  <si>
    <t>Lita Annenberg Hazen Genome Sequencing Center</t>
  </si>
  <si>
    <t>Solanum cheesmaniae</t>
  </si>
  <si>
    <t>Lithuanian Institute of Agriculture</t>
  </si>
  <si>
    <t>Solanum chmielewskii</t>
  </si>
  <si>
    <t>London Horticultural Society</t>
  </si>
  <si>
    <t>Solanum comersonii Poir.</t>
  </si>
  <si>
    <t>Louisiana State University USA</t>
  </si>
  <si>
    <t>Solanum demissum Lindl.</t>
  </si>
  <si>
    <t>Luigi Samoggia</t>
  </si>
  <si>
    <t>Solanum etuberosum Lindl.</t>
  </si>
  <si>
    <t>Luk'janenko Krasnodar Agricultural Research Institute</t>
  </si>
  <si>
    <t>Solanum fendleri A. Gray</t>
  </si>
  <si>
    <t>M. Alain Marcel</t>
  </si>
  <si>
    <t>Solanum gourlayi Hawkes</t>
  </si>
  <si>
    <t>M. Anderson Fred, CA - USA</t>
  </si>
  <si>
    <t>Solanum habrochaites</t>
  </si>
  <si>
    <t>M. Ballot</t>
  </si>
  <si>
    <t>Solanum hougasii Correll</t>
  </si>
  <si>
    <t>M. Bordes, Rivesaltes Pyrénées Orientales - France</t>
  </si>
  <si>
    <t>Solanum kurtzianum Bitter &amp; Wittm.</t>
  </si>
  <si>
    <t>M. Bouchot</t>
  </si>
  <si>
    <t>Solanum L.</t>
  </si>
  <si>
    <t>M. Boyat</t>
  </si>
  <si>
    <t>Solanum lycopersicum</t>
  </si>
  <si>
    <t>M. Briot</t>
  </si>
  <si>
    <t>Solanum lycopersicum var. cerasiforme</t>
  </si>
  <si>
    <t>M. Brun</t>
  </si>
  <si>
    <t>Solanum oplocense Hawkes</t>
  </si>
  <si>
    <t>M. Canino, Spain</t>
  </si>
  <si>
    <t>Solanum pennellii</t>
  </si>
  <si>
    <t>M. Carraut</t>
  </si>
  <si>
    <t>Solanum phureja Juz. &amp; Bukasov</t>
  </si>
  <si>
    <t>M. Chazotier</t>
  </si>
  <si>
    <t>Solanum pimpinellifolium</t>
  </si>
  <si>
    <t>M. Chorozé, pépiniériste</t>
  </si>
  <si>
    <t>Solanum polyadenium Greenm.</t>
  </si>
  <si>
    <t>M. Clanet</t>
  </si>
  <si>
    <t>Solanum polytrichon Rydb.</t>
  </si>
  <si>
    <t>M. Coste, Pyrénées Orientales - France</t>
  </si>
  <si>
    <t>Solanum schenckii Bitter</t>
  </si>
  <si>
    <t>M. Cunty</t>
  </si>
  <si>
    <t>Solanum sparsipilum Juz. &amp; Bukasov</t>
  </si>
  <si>
    <t>M. Duquesne</t>
  </si>
  <si>
    <t>Solanum spegazzinii Bitter</t>
  </si>
  <si>
    <t>M. Escudier, Aramon, Gard - France</t>
  </si>
  <si>
    <t>Solanum stenotonum Juz. &amp; Bukasov</t>
  </si>
  <si>
    <t>M. Flandin, pépiniériste</t>
  </si>
  <si>
    <t>Solanum stoloniferum Schltdl. &amp; Bouché</t>
  </si>
  <si>
    <t>M. Gidouin</t>
  </si>
  <si>
    <t>Solanum sucrense Hawkes</t>
  </si>
  <si>
    <t>M. Goepfert</t>
  </si>
  <si>
    <t>Solanum tarijense Hawkes</t>
  </si>
  <si>
    <t>M. Grassely</t>
  </si>
  <si>
    <t>Solanum trifidum Correll</t>
  </si>
  <si>
    <t>M. Guillaume</t>
  </si>
  <si>
    <t>Solanum tuberosum andigenum Juz. &amp; Bukasov</t>
  </si>
  <si>
    <t>M. Jaboulay</t>
  </si>
  <si>
    <t>Solanum tuberosum L.</t>
  </si>
  <si>
    <t>M. Kupper, arboriculteur</t>
  </si>
  <si>
    <t>Solanum tuberosum tuberosum L.</t>
  </si>
  <si>
    <t>M. Laboulfié</t>
  </si>
  <si>
    <t>Solanum vernei Bitter &amp; Wittm.</t>
  </si>
  <si>
    <t>M. Lerouzic</t>
  </si>
  <si>
    <t>Sorghum bicolor</t>
  </si>
  <si>
    <t>M. Luizet, Ecully, Rhone - France</t>
  </si>
  <si>
    <t>(Tangelo x Citrus paradisi Macf.)</t>
  </si>
  <si>
    <t>M. Malauzat, rue Château Trompette</t>
  </si>
  <si>
    <t>(Tangor x Citrus temple Hort. ex Y. Tan.)</t>
  </si>
  <si>
    <t>M. Maray-Meuilley</t>
  </si>
  <si>
    <t>Tetrastigma K.Schum.</t>
  </si>
  <si>
    <t>M. Merrand, St Etienne de Valoux, Ardeche - France</t>
  </si>
  <si>
    <t>Tetrastigma lanceolarium Planch.</t>
  </si>
  <si>
    <t>M. Moll</t>
  </si>
  <si>
    <t>Tetrastigma voinearium Pierre ex Gagnep.</t>
  </si>
  <si>
    <t>M. Murat</t>
  </si>
  <si>
    <t>Theobroma cacao</t>
  </si>
  <si>
    <t>M. Pejouan, Toulouges, Pyrénées Orientales  - France</t>
  </si>
  <si>
    <t>Thinopyrum ponticum (Podp.) Barkworth &amp; D.R. Dewey</t>
  </si>
  <si>
    <t>M. Pérès</t>
  </si>
  <si>
    <t>Toxoptera citricida</t>
  </si>
  <si>
    <t>M. Pierre Renoux</t>
  </si>
  <si>
    <t>Trifolium L.</t>
  </si>
  <si>
    <t>M. Poncet</t>
  </si>
  <si>
    <t>Trifolium pratense L.</t>
  </si>
  <si>
    <t>M. Popon</t>
  </si>
  <si>
    <t>Trifolium repens L.</t>
  </si>
  <si>
    <t>M. Ribelaygue, Pyrénées Orientales - France</t>
  </si>
  <si>
    <t>Trifolium resupinatum L.</t>
  </si>
  <si>
    <t>M. Riou Pierre, Francia</t>
  </si>
  <si>
    <t>Trifolium subterraneum</t>
  </si>
  <si>
    <t>M. Rohn</t>
  </si>
  <si>
    <t>Trifolium subterraneum brachicalycinum</t>
  </si>
  <si>
    <t>M. Roth</t>
  </si>
  <si>
    <t>Trifolium subterraneum subterraneum</t>
  </si>
  <si>
    <t>M. Roudier, Larnage - France</t>
  </si>
  <si>
    <t>Trifolium subterraneum yanninicum</t>
  </si>
  <si>
    <t>M. Rouget, Sernhac - France</t>
  </si>
  <si>
    <t>Triticeae</t>
  </si>
  <si>
    <t>M. Royère à 'Le Bicout'</t>
  </si>
  <si>
    <t>Triticum</t>
  </si>
  <si>
    <t>M. Saint-Germain</t>
  </si>
  <si>
    <t>Triticum aaronshii</t>
  </si>
  <si>
    <t>M. Schmidt</t>
  </si>
  <si>
    <t>Triticum aaronshii aaronshii</t>
  </si>
  <si>
    <t>M. Sigalas Antoine, Bordes-Hautes</t>
  </si>
  <si>
    <t>Triticum abyssinicum</t>
  </si>
  <si>
    <t>M. Soupa</t>
  </si>
  <si>
    <t>Triticum aegilopoides (Link) Bal.</t>
  </si>
  <si>
    <t>M. Stentzel</t>
  </si>
  <si>
    <t>M. Thomas</t>
  </si>
  <si>
    <t>Triticum aestivum aestivum</t>
  </si>
  <si>
    <t>M. Tisseyre, St Hyppolite Pyrénées Orientales - France</t>
  </si>
  <si>
    <t>Triticum aestivum compactum</t>
  </si>
  <si>
    <t>M. Wouters - Argentine</t>
  </si>
  <si>
    <t>Triticum aestivum fongicidum</t>
  </si>
  <si>
    <t>M. Zimandl</t>
  </si>
  <si>
    <t>Triticum aestivum group aestivum Bowden</t>
  </si>
  <si>
    <t>Maillard Arsène et Laurence, Elne - France</t>
  </si>
  <si>
    <t>Triticum aestivum group macha</t>
  </si>
  <si>
    <t>Maïsadour semences</t>
  </si>
  <si>
    <t>Triticum aestivum hisbis</t>
  </si>
  <si>
    <t>Maison Fernand Le Peuple</t>
  </si>
  <si>
    <t>Triticum aestivum L.</t>
  </si>
  <si>
    <t>Maize Group of National Key Labortory of Crop GeneticImprovement</t>
  </si>
  <si>
    <t>Triticum aestivum L. em. Thell.</t>
  </si>
  <si>
    <t>Maize Research Institute 'Zemin Polje'</t>
  </si>
  <si>
    <t>Triticum aestivum L. em. Thell. group aestivum</t>
  </si>
  <si>
    <t>Malang Research Institute for Food Crops, BALITAN</t>
  </si>
  <si>
    <t>Triticum aestivum L. em. Thell. group compactum (Host) Thell.</t>
  </si>
  <si>
    <t>Maliani Genetica di Maliani Cesare</t>
  </si>
  <si>
    <t>Triticum aestivum L. em. Thell. group spelta (L.) Thell.</t>
  </si>
  <si>
    <t>MAP</t>
  </si>
  <si>
    <t>Triticum aestivum L. em. Thell. group sphaerococcum (Perc.) Mac Key</t>
  </si>
  <si>
    <t>Marc CREPIN</t>
  </si>
  <si>
    <t>Triticum aestivum L. em. Thell. group vavilovii (Jakubz.) A. Love, stat. &amp; comb. nov</t>
  </si>
  <si>
    <t>Maryland Agricultural Experiment Station, University of Maryland</t>
  </si>
  <si>
    <t>Triticum aestivum L. em. Thell. subsp. compactum (Host.) MK.</t>
  </si>
  <si>
    <t>McNair Seed Company</t>
  </si>
  <si>
    <t>Triticum aestivum L. em. Thell. subsp. spelta (L.) Thell.</t>
  </si>
  <si>
    <t>Merckling</t>
  </si>
  <si>
    <t>Triticum aestivum L. em. Thell. subsp. sphaerococcum (Perc.) MK.</t>
  </si>
  <si>
    <t>Michigan Agricultural Experiment Station, Michigan State University</t>
  </si>
  <si>
    <t>Triticum aestivum L. em. Thell. subsp. vavilovi (Tuman.) Sears</t>
  </si>
  <si>
    <t>Microbiology and  Cell Biology</t>
  </si>
  <si>
    <t>Triticum aestivum L. group macha Bowden</t>
  </si>
  <si>
    <t>Microbiology and  Plant Phisiology</t>
  </si>
  <si>
    <t>Triticum aestivum L. ssp. hadropyrum (Flaksb.) Tzvelev</t>
  </si>
  <si>
    <t>Miln Masters Group Ltd</t>
  </si>
  <si>
    <t>Triticum aestivum L. ssp. macha (Dekapr. &amp; Menabde) Mac Key</t>
  </si>
  <si>
    <t>Minnesota Agricultural Experiment Station, University of Minnesota</t>
  </si>
  <si>
    <t>Triticum aestivum macha</t>
  </si>
  <si>
    <t>Minstry of Agriculture</t>
  </si>
  <si>
    <t>Triticum aestivum oasiculum</t>
  </si>
  <si>
    <t>Missouri Agricultural Experiment Station, University of Missouri</t>
  </si>
  <si>
    <t>Triticum aestivum petropavlovskyi</t>
  </si>
  <si>
    <t>Molecular and  Developmental Genetics</t>
  </si>
  <si>
    <t>Triticum aestivum spelta</t>
  </si>
  <si>
    <t>Molecular and Cell Biology</t>
  </si>
  <si>
    <t>Triticum aestivum sphaerococcum</t>
  </si>
  <si>
    <t>Molecular Biology</t>
  </si>
  <si>
    <t>Triticum aestivum ssp. aestivum</t>
  </si>
  <si>
    <t>Molecular Genetics</t>
  </si>
  <si>
    <t>Triticum aestivum ssp. hadropyrum</t>
  </si>
  <si>
    <t>Molecular Host plant resistance lab-Dr. C. Mike Smith</t>
  </si>
  <si>
    <t>Triticum aestivum var. compactum</t>
  </si>
  <si>
    <t>Molecular Plant Genetics</t>
  </si>
  <si>
    <t>Triticum aestivum var. compactum Bowden</t>
  </si>
  <si>
    <t>Triticum aestivum var. spelta</t>
  </si>
  <si>
    <t>Mons</t>
  </si>
  <si>
    <t>Triticum aestivum var. spelta Bowden</t>
  </si>
  <si>
    <t>Monsanto Company</t>
  </si>
  <si>
    <t>Triticum aestivum var. sphaerococcum</t>
  </si>
  <si>
    <t>Monsanto (Nîmes)</t>
  </si>
  <si>
    <t>Triticum aestivum var. sphaerococcum Bowden</t>
  </si>
  <si>
    <t>Monsanto semences</t>
  </si>
  <si>
    <t>Triticum aestivum var. vavilovii Bowden</t>
  </si>
  <si>
    <t>Monsanto (St Andiol)</t>
  </si>
  <si>
    <t>Triticum aestivum vavilovi</t>
  </si>
  <si>
    <t>Montana Agricultural Experiment Station, Montana State University</t>
  </si>
  <si>
    <t>Triticum amyleum</t>
  </si>
  <si>
    <t>Montanari Domenico, Faenza - Italy</t>
  </si>
  <si>
    <t>Triticum araraticum</t>
  </si>
  <si>
    <t>Monteux Caillet René, Mouries - France</t>
  </si>
  <si>
    <t>Triticum araraticum Jakubz.</t>
  </si>
  <si>
    <t>Montpellier SupAgro</t>
  </si>
  <si>
    <t>Triticum armeniacum (Jakubz.) A. Loeve &amp; D. Loeve</t>
  </si>
  <si>
    <t>Morphogenesis Research Group</t>
  </si>
  <si>
    <t>Triticum asiaticum Kudr.</t>
  </si>
  <si>
    <t>Morstar a.s., Breeding Station</t>
  </si>
  <si>
    <t>Triticum baeoticum</t>
  </si>
  <si>
    <t>Mr. Mazéas</t>
  </si>
  <si>
    <t>Triticum boeoticum ssp. boeoticum</t>
  </si>
  <si>
    <t>MSU-DOE Plant Research Laboratory</t>
  </si>
  <si>
    <t>Triticum boeoticum ssp. thaoudar</t>
  </si>
  <si>
    <t>MUCL Culture Collection</t>
  </si>
  <si>
    <t>Triticum cereale Schrank</t>
  </si>
  <si>
    <t>Murdoch University</t>
  </si>
  <si>
    <t>Triticum columnare</t>
  </si>
  <si>
    <t>Muséum d'histoire naturelle de Grenoble</t>
  </si>
  <si>
    <t>Triticum comosum</t>
  </si>
  <si>
    <t>Museum National d'Histoire Naturelle de Paris</t>
  </si>
  <si>
    <t>Triticum compositum</t>
  </si>
  <si>
    <t>Mutation breeding</t>
  </si>
  <si>
    <t>Triticum compositum L.</t>
  </si>
  <si>
    <t>NARO Hokkaido Agricultural Research Center</t>
  </si>
  <si>
    <t>Triticum crassum</t>
  </si>
  <si>
    <t>NARO Tohoku Agricultural Research Center</t>
  </si>
  <si>
    <t>Triticum cylindricum</t>
  </si>
  <si>
    <t>NASC</t>
  </si>
  <si>
    <t>Triticum dichasians</t>
  </si>
  <si>
    <t>National Biological Institute</t>
  </si>
  <si>
    <t>Triticum dicoccoides (Korn. ex Aschers. &amp; Graebn.) Aarons</t>
  </si>
  <si>
    <t>National Bureau of Plant Genetic Resources</t>
  </si>
  <si>
    <t>Triticum dicoccoides (Korn. ex Aschers. et Graebn.) Schweinf.</t>
  </si>
  <si>
    <t>National Center for Agricultural research and Technology Transfer</t>
  </si>
  <si>
    <t>Triticum dicoccoides Korn. ex Schweinf.</t>
  </si>
  <si>
    <t>National Center for Gene Research</t>
  </si>
  <si>
    <t>Triticum dicoccoides Korn. in litt. in Schweinf.</t>
  </si>
  <si>
    <t>National Citrus Research Programme</t>
  </si>
  <si>
    <t>Triticum dicoccoides race orientale Percival</t>
  </si>
  <si>
    <t>National Clonal Germplasm Repository - Orlando, USDA-ARS</t>
  </si>
  <si>
    <t>Triticum dicoccoides var. nudiglumis</t>
  </si>
  <si>
    <t>National Crop Experiment Station Seodundong</t>
  </si>
  <si>
    <t>Triticum dicoccoides var. nudiglumis Nabalek</t>
  </si>
  <si>
    <t>National Genebank of Kenya, Crop Plant Genetic Resources Centre - Muguga</t>
  </si>
  <si>
    <t>Triticum dicoccoides var. pyramidale Percival</t>
  </si>
  <si>
    <t>National Horticultural Research Institute</t>
  </si>
  <si>
    <t>Triticum dicoccoides var. timopheevii Zhuk.</t>
  </si>
  <si>
    <t>National Institute of Agrobiological Resources</t>
  </si>
  <si>
    <t>Triticum dicoccon</t>
  </si>
  <si>
    <t>National Institute of Agrobiological Sciences</t>
  </si>
  <si>
    <t>Triticum dicoccon Schrank</t>
  </si>
  <si>
    <t>National Institute of Agro-Environmental Sciences</t>
  </si>
  <si>
    <t>Triticum dicoccon (Schrank) A. Love, comb. nov.</t>
  </si>
  <si>
    <t>National Institute of Fruit Tree Science</t>
  </si>
  <si>
    <t>Triticum dicoccum Schrank</t>
  </si>
  <si>
    <t>National Key Laboratory of Crop Genetic Improvement</t>
  </si>
  <si>
    <t>Triticum dimococcum</t>
  </si>
  <si>
    <t>National Plant Breeding Research Station</t>
  </si>
  <si>
    <t>Triticum durum (Desf.) A. Love, comb. nov.</t>
  </si>
  <si>
    <t>National Plant Genetic Resources Centre</t>
  </si>
  <si>
    <t>Triticum farrum Bayle-Bar.</t>
  </si>
  <si>
    <t>National Plant Germplasm Quarantine Laboratory, USDA-ARS</t>
  </si>
  <si>
    <t>Triticum fungicidum</t>
  </si>
  <si>
    <t>National Research Centre for Citrus</t>
  </si>
  <si>
    <t>Triticum fungicidum subsp. nigrum</t>
  </si>
  <si>
    <t>National Research Centre on Plant Biotechnology</t>
  </si>
  <si>
    <t>Triticum georgicum</t>
  </si>
  <si>
    <t>National White Clover Impr. Prog. Agricultural Research &amp; Adv. Stat.</t>
  </si>
  <si>
    <t>Triticum hybernum L.</t>
  </si>
  <si>
    <t>Natural Resource Sciences and Landscape Architecture</t>
  </si>
  <si>
    <t>Triticum ibericum Menabde</t>
  </si>
  <si>
    <t>Nebraska Agricultural Experiment Station, University of Nebraska</t>
  </si>
  <si>
    <t>Triticum jakubzineri</t>
  </si>
  <si>
    <t>NEIKER-Tecnalia</t>
  </si>
  <si>
    <t>Triticum junceum L.</t>
  </si>
  <si>
    <t>New Mexico State University USA</t>
  </si>
  <si>
    <t>Triticum juvenale</t>
  </si>
  <si>
    <t>New South Wales Agriculture</t>
  </si>
  <si>
    <t>Triticum juvenale Thell.</t>
  </si>
  <si>
    <t>New York State Agricultural Experiment Station, Cornell University</t>
  </si>
  <si>
    <t>Triticum karamyschevii Nevski</t>
  </si>
  <si>
    <t>New Zealand Institute for Crop and Food Research, Ltd.</t>
  </si>
  <si>
    <t>Triticum kiharae</t>
  </si>
  <si>
    <t>Newhall Land and Water Compagny</t>
  </si>
  <si>
    <t>Triticum kotschyi</t>
  </si>
  <si>
    <t>N.I. Vavilov All-Russian Scientific Research Institute of Plant Industry</t>
  </si>
  <si>
    <t>Triticum L.</t>
  </si>
  <si>
    <t>N.I. Vavilov Research Instituteof Plant Industry</t>
  </si>
  <si>
    <t>Triticum macrochaetum</t>
  </si>
  <si>
    <t>Nickerson</t>
  </si>
  <si>
    <t>Triticum monococcum</t>
  </si>
  <si>
    <t>Nimblegen Systems Inc</t>
  </si>
  <si>
    <t>Triticum monococcum boeoticum</t>
  </si>
  <si>
    <t>nite de Genetique et d'Amelioration des Fruits et Legumes</t>
  </si>
  <si>
    <t>Triticum monococcum L. subsp. boeoticum (Boiss.) MK.</t>
  </si>
  <si>
    <t>Njala University College</t>
  </si>
  <si>
    <t>Triticum monococcum monococcum</t>
  </si>
  <si>
    <t>Noiton Dominique, Hamilton - New Zealand</t>
  </si>
  <si>
    <t>Triticum monococcum ssp. boeoticum</t>
  </si>
  <si>
    <t>Nordic Genetic Resource Center</t>
  </si>
  <si>
    <t>Triticum monococcum urartu</t>
  </si>
  <si>
    <t>Nordostbayerischer Saatbauverband</t>
  </si>
  <si>
    <t>Triticum muticum</t>
  </si>
  <si>
    <t>North American Plant Breeders, Inc.</t>
  </si>
  <si>
    <t>Triticum neglectum</t>
  </si>
  <si>
    <t>North Carolina Agricultural Experiment Station, North Carolina State University</t>
  </si>
  <si>
    <t>Triticum orientale</t>
  </si>
  <si>
    <t>North Dakota Agricultural Experiment Station, North Dakota State University</t>
  </si>
  <si>
    <t>Triticum orientale Percival</t>
  </si>
  <si>
    <t>Northrup King &amp; Co.</t>
  </si>
  <si>
    <t>Triticum ovatum</t>
  </si>
  <si>
    <t>Northwest A&amp;F University</t>
  </si>
  <si>
    <t>Triticum palaeocolchicum Menabde</t>
  </si>
  <si>
    <t>Norwegian University for Life Sciences</t>
  </si>
  <si>
    <t>Triticum peregrinum</t>
  </si>
  <si>
    <t>Novodonskaya - Donetsk State Agricultural Experiment Station</t>
  </si>
  <si>
    <t>Triticum peregrinum Hackel</t>
  </si>
  <si>
    <t>Nunhems Spain (El Ejido)</t>
  </si>
  <si>
    <t>Triticum persicum</t>
  </si>
  <si>
    <t>Nunhems Spain (La Palma)</t>
  </si>
  <si>
    <t>Triticum persicum (Percival) Vavilov ex Zhukovsky</t>
  </si>
  <si>
    <t>Nutrition azote des plantes</t>
  </si>
  <si>
    <t>Triticum persicum Vav.</t>
  </si>
  <si>
    <t>N.V. Clovis Matton Plant Breeding Station, Kerkhove</t>
  </si>
  <si>
    <t>Triticum pyramidale Perc.</t>
  </si>
  <si>
    <t>N.V. Clovis Matton Plant Breeding Station, Tiegem</t>
  </si>
  <si>
    <t>Triticum rectum</t>
  </si>
  <si>
    <t>Occitane des Semences</t>
  </si>
  <si>
    <t>Triticum repens L.</t>
  </si>
  <si>
    <t>Odesa State Regional Agricultural Experimental Station</t>
  </si>
  <si>
    <t>Triticum sativum Lam.</t>
  </si>
  <si>
    <t>Ohio Agricultural Reasearch and Development Center, Ohio State University</t>
  </si>
  <si>
    <t>Triticum searsii</t>
  </si>
  <si>
    <t>Oklahoma Agricultural Experiment Station, Division of Agricultural Sciences &amp; Natural Resources</t>
  </si>
  <si>
    <t>Triticum secale Link</t>
  </si>
  <si>
    <t>Ontario Agricultural College, University of Guelph</t>
  </si>
  <si>
    <t>Triticum spelta</t>
  </si>
  <si>
    <t>Oregon Agricultural Experimental Sation, Oregon State University</t>
  </si>
  <si>
    <t>Triticum speltiforme</t>
  </si>
  <si>
    <t>Organisation Bretonne de Sélection</t>
  </si>
  <si>
    <t>Triticum speltoides</t>
  </si>
  <si>
    <t>Orsem S.A.</t>
  </si>
  <si>
    <t>Triticum speltoides (Tausch) Gre. ex Richter var. aucheri</t>
  </si>
  <si>
    <t>Osmab Tosum Gene Bank - Ankara University</t>
  </si>
  <si>
    <t>Triticum speltoides (Tausch) Gre. ex Richter var. ligustica</t>
  </si>
  <si>
    <t>Pajbjergfonden</t>
  </si>
  <si>
    <t>Triticum speltoides (Tausch) Gren. ex Richter var. aucheri</t>
  </si>
  <si>
    <t>Palais Carnolés</t>
  </si>
  <si>
    <t>Triticum speltoides (Tausch) Gren. ex Richter var. ligustica</t>
  </si>
  <si>
    <t>Parc Naturel Régional du Haut-Languedoc</t>
  </si>
  <si>
    <t>Triticum sphaerococcum Perc.</t>
  </si>
  <si>
    <t>Parc Naturel Régional du Luberon</t>
  </si>
  <si>
    <t>Triticum syriacum</t>
  </si>
  <si>
    <t>Parc Naturel Régional du Queyras</t>
  </si>
  <si>
    <t>Triticum syriacum Bowden</t>
  </si>
  <si>
    <t>PARTNERCHIP</t>
  </si>
  <si>
    <t>Triticum tauschii</t>
  </si>
  <si>
    <t>Peltier Graines (don't exist anymore)</t>
  </si>
  <si>
    <t>Triticum thaoudar</t>
  </si>
  <si>
    <t>Pennsylvania Agricultural Experiment Station, Pennsylvania State University</t>
  </si>
  <si>
    <t>Triticum timococcum</t>
  </si>
  <si>
    <t>Pépinière A. Pays</t>
  </si>
  <si>
    <t>Triticum timonovum</t>
  </si>
  <si>
    <t>Pépinière Burlat</t>
  </si>
  <si>
    <t>Triticum timopheevii</t>
  </si>
  <si>
    <t>Pépinière Cadoux</t>
  </si>
  <si>
    <t>Triticum timopheevii araraticum</t>
  </si>
  <si>
    <t>Pépinière Delbard</t>
  </si>
  <si>
    <t>Triticum timopheevii armeniacum</t>
  </si>
  <si>
    <t>Pépinière Dieudonné</t>
  </si>
  <si>
    <t>Triticum timopheevii L. var. zhukovskyi</t>
  </si>
  <si>
    <t>Pépinière Domingo Orero</t>
  </si>
  <si>
    <t>Triticum timopheevii ssp. araraticum</t>
  </si>
  <si>
    <t>Triticum timopheevii ssp. armeniacum</t>
  </si>
  <si>
    <t>Pépinière ESAT LEnvol</t>
  </si>
  <si>
    <t>Triticum timopheevii ssp. armeniacum (Jakubz.) van Slageren</t>
  </si>
  <si>
    <t>Pépinière Escande Benoit, Saint Vite - France</t>
  </si>
  <si>
    <t>Triticum timopheevii ssp. timopheevii</t>
  </si>
  <si>
    <t>Pépinière Fabre, Villeneuve s/Lot - France</t>
  </si>
  <si>
    <t>Triticum timopheevii timopheevii</t>
  </si>
  <si>
    <t>Pépinière Jouve-Racamond</t>
  </si>
  <si>
    <t>Triticum timopheevii var. zhukovskyi</t>
  </si>
  <si>
    <t>Pépinière Lambertin</t>
  </si>
  <si>
    <t>Triticum timopheevii Zhuk.</t>
  </si>
  <si>
    <t>Pépinière Lambertin - Nîmes - France</t>
  </si>
  <si>
    <t>Triticum timopheevii (Zhuk.) Zhuk.</t>
  </si>
  <si>
    <t>Pépinière Leroy</t>
  </si>
  <si>
    <t>Triticum timopheevii (Zhuk.) Zhuk. var. timopheevii</t>
  </si>
  <si>
    <t>Pépinière Martre</t>
  </si>
  <si>
    <t>Triticum timopheevii (Zhuk.) Zhuk. var. zhukovskii (Men. &amp; Er.) Morris &amp; Sears</t>
  </si>
  <si>
    <t>Pépinière Moreau</t>
  </si>
  <si>
    <t>Triticum timopheevii (Zhuk.) Zhuk. var. zhukovskii (Men. &amp; Er.) Morris &amp; Sears comb. nov.</t>
  </si>
  <si>
    <t>Pépinière Pinguet-Guindon</t>
  </si>
  <si>
    <t>Triticum timopheevii zhukovskyi</t>
  </si>
  <si>
    <t>Pépinière Taliani,  Garons - France</t>
  </si>
  <si>
    <t>Triticum triaristatum</t>
  </si>
  <si>
    <t>Pépinière Thuilleaux</t>
  </si>
  <si>
    <t>Triticum tripsacoides</t>
  </si>
  <si>
    <t>Pépinière Valla Georges SCEA, Valence - France</t>
  </si>
  <si>
    <t>Triticum turgidum</t>
  </si>
  <si>
    <t>Pépinière Veauvy</t>
  </si>
  <si>
    <t>Triticum turgidum aethiopicum</t>
  </si>
  <si>
    <t>Pépinières Bachelet-Charvot</t>
  </si>
  <si>
    <t>Triticum turgidum carthlicum</t>
  </si>
  <si>
    <t>Pépinières Baltet</t>
  </si>
  <si>
    <t>Triticum turgidum dicoccoïdes</t>
  </si>
  <si>
    <t>Pépinières Croux</t>
  </si>
  <si>
    <t>Triticum turgidum dicoccum</t>
  </si>
  <si>
    <t>Pépinières de La Tronche</t>
  </si>
  <si>
    <t>Triticum turgidum durum</t>
  </si>
  <si>
    <t>Pépinières Fabre</t>
  </si>
  <si>
    <t>Triticum turgidum group aethiopicum</t>
  </si>
  <si>
    <t>Pépinières Garbaye et Gravier</t>
  </si>
  <si>
    <t>Triticum turgidum group palaeocolchicum</t>
  </si>
  <si>
    <t>Pépinières L. Pin</t>
  </si>
  <si>
    <t>Triticum turgidum group turgidum</t>
  </si>
  <si>
    <t>Pépinières Lafitte</t>
  </si>
  <si>
    <t>Triticum turgidum ispahanicum</t>
  </si>
  <si>
    <t>Pépinières Levavasseur</t>
  </si>
  <si>
    <t>Triticum turgidum L. em. Bowden var. timopheevii (Zhuk.) Bowden f. timopheevii Bowden</t>
  </si>
  <si>
    <t>Pépinières Nomblot</t>
  </si>
  <si>
    <t>Triticum turgidum L. em. Bowden var. timopheevii (Zhuk.) Bowden f. zhukovskyi (Mem. &amp; Er.) Bowden</t>
  </si>
  <si>
    <t>Triticum turgidum L. em. Bowden var. tumanianii (Jakubz.) Bowden</t>
  </si>
  <si>
    <t>Pépinières Rolland Crosse</t>
  </si>
  <si>
    <t>Triticum turgidum L. em. Thell.</t>
  </si>
  <si>
    <t>Pépinières Simon</t>
  </si>
  <si>
    <t>Triticum turgidum L. group aethiopicum Bowden</t>
  </si>
  <si>
    <t>Petal Genomics</t>
  </si>
  <si>
    <t>Triticum turgidum L. group dicoccon (Schrank) Thell.</t>
  </si>
  <si>
    <t>Peter Henderson &amp; Co</t>
  </si>
  <si>
    <t>Triticum turgidum L. group durum (Desf.) Husnot</t>
  </si>
  <si>
    <t>Petoseed</t>
  </si>
  <si>
    <t>Triticum turgidum L. group palaeocolchicum Bowden</t>
  </si>
  <si>
    <t>Pflanzenzucht Dr. h.c. Carsten Inh. Erhardt Eger KG</t>
  </si>
  <si>
    <t>Triticum turgidum L. group polonicum Bowden</t>
  </si>
  <si>
    <t>Phu Guy Fruit Research Centre</t>
  </si>
  <si>
    <t>Triticum turgidum L. group turgidum Bowden</t>
  </si>
  <si>
    <t>Phu Ho Fruit Crops Research Centre</t>
  </si>
  <si>
    <t>Triticum turgidum L. (Nevski) group carthlicum Bowden</t>
  </si>
  <si>
    <t>Phytopathologie und Pflanzenschutz</t>
  </si>
  <si>
    <t>Triticum turgidum L. ssp. dicoccoides (Korn. ex Schweinf.) A. Love, comb. nov.</t>
  </si>
  <si>
    <t>Piast Hodowla Roslin Lagiewniki Sp. z o.o.</t>
  </si>
  <si>
    <t>Triticum turgidum L. ssp. dicoccoides (Korn.) Thell.</t>
  </si>
  <si>
    <t>Pioneer génétique</t>
  </si>
  <si>
    <t>Triticum turgidum L. ssp. palaeocolchicum (A. Love &amp; D. Love) A. Love, comb. nov.</t>
  </si>
  <si>
    <t>Pioneer Seed Co. Ltd.</t>
  </si>
  <si>
    <t>Triticum turgidum L. ssp. timopheevii (Zhuk.) A. Love &amp; D. Love</t>
  </si>
  <si>
    <t>Plant Biochemistry and  Molecular Biology Group,  Division ofBiochemical Sciences</t>
  </si>
  <si>
    <t>Triticum turgidum L. ssp. turanicum (Jakubz.) A. Love &amp; D. Love</t>
  </si>
  <si>
    <t>Plant Biology Division</t>
  </si>
  <si>
    <t>Triticum turgidum L. ssp. turanicum (Jakubz.) A. Love, comb. nov.</t>
  </si>
  <si>
    <t>Plant Biotech Research Center</t>
  </si>
  <si>
    <t>Triticum turgidum L. ssp. turgidum (L.) A. Love, comb. nov.</t>
  </si>
  <si>
    <t>Plant Biotechnology Institute,  National Research Council ofCanada</t>
  </si>
  <si>
    <t>Triticum turgidum (L.) Thell.</t>
  </si>
  <si>
    <t>Plant Biotechnology Institute,  National Research CouncilCanada</t>
  </si>
  <si>
    <t>Triticum turgidum (L.) Thell. subsp. carthlicum (Nevski) MK.</t>
  </si>
  <si>
    <t>Plant Biotechnology Key Laboratory</t>
  </si>
  <si>
    <t>Triticum turgidum (L.) Thell. subsp. dicoccoides (Korn.) Thell.</t>
  </si>
  <si>
    <t>Plant Breeding and Acclimatization Institute at Radzikow</t>
  </si>
  <si>
    <t>Triticum turgidum L. Thell. subsp. dicoccon (Schrank) Thell.</t>
  </si>
  <si>
    <t>Plant Breeding and Genetics Institute</t>
  </si>
  <si>
    <t>Triticum turgidum (L.) Thell. subsp. paleocolchicum Men.</t>
  </si>
  <si>
    <t>Plant Breeding Institute,  University of Sydney</t>
  </si>
  <si>
    <t>Triticum turgidum (L.) Thell. subsp. turgidum convar aethiopicum Jakubz.</t>
  </si>
  <si>
    <t>Plant Breeding International</t>
  </si>
  <si>
    <t>Triticum turgidum L. Thell. subsp. turgidum convar durum (Desf.) MK.</t>
  </si>
  <si>
    <t>Plant Breeding Station Laski</t>
  </si>
  <si>
    <t>Triticum turgidum L. Thell. subsp. turgidum convar polonicum (L.) MK.</t>
  </si>
  <si>
    <t>plant cellular biology laboratory/ Dr. STEINMETZ</t>
  </si>
  <si>
    <t>Triticum turgidum (L.) Thell. subsp. turgidum convar turanicum (Jakubz.) MK.</t>
  </si>
  <si>
    <t>Plant culture institute - Tammisto</t>
  </si>
  <si>
    <t>Triticum turgidum L. var. carthlicum (Nevski) A. Love &amp; D. Love</t>
  </si>
  <si>
    <t>Plant Development Biology</t>
  </si>
  <si>
    <t>Triticum turgidum L. var. dicoccoides (Korn. in litt. in Schweinf.) Bowden</t>
  </si>
  <si>
    <t>Plant Development Molecular Biology Lab</t>
  </si>
  <si>
    <t>Triticum turgidum L. var. polonicum (L.) A. Love &amp; D. Love</t>
  </si>
  <si>
    <t>Plant development molecular biology lab</t>
  </si>
  <si>
    <t>Triticum turgidum L. var. timopheevii</t>
  </si>
  <si>
    <t>Plant Developmental Genetics</t>
  </si>
  <si>
    <t>Triticum turgidum L. var. tumanianii</t>
  </si>
  <si>
    <t>Plant Functional Genomics Research Group</t>
  </si>
  <si>
    <t>Triticum turgidum paleocolchicum</t>
  </si>
  <si>
    <t>Plant Gene Expression Center</t>
  </si>
  <si>
    <t>Triticum turgidum polonicum</t>
  </si>
  <si>
    <t>Plant Gene Resources of Canada Central Exper. Farm, Agri. Canada</t>
  </si>
  <si>
    <t>Triticum turgidum ssp. carthlicum</t>
  </si>
  <si>
    <t>Plant Gene Resources of Canada, Saskatoon Research Centre, Agriculture and Agri-Food Canada</t>
  </si>
  <si>
    <t>Triticum turgidum ssp. dicoccoides</t>
  </si>
  <si>
    <t>Plant Genetic Resources Department</t>
  </si>
  <si>
    <t>Triticum turgidum ssp. dicoccon</t>
  </si>
  <si>
    <t>Plant Genetic Resources Unit</t>
  </si>
  <si>
    <t>Triticum turgidum ssp. durum</t>
  </si>
  <si>
    <t>Plant Genetics</t>
  </si>
  <si>
    <t>Triticum turgidum ssp. palaeocolchicum A. Love &amp; D. Love</t>
  </si>
  <si>
    <t>Plant Genetics and  Breeding</t>
  </si>
  <si>
    <t>Triticum turgidum ssp. paleocolchicum</t>
  </si>
  <si>
    <t>Plant Genome Center Co.,  Ltd</t>
  </si>
  <si>
    <t>Triticum turgidum ssp. polonicum</t>
  </si>
  <si>
    <t>Plant Genome Mapping Laboratory</t>
  </si>
  <si>
    <t>Triticum turgidum ssp. turanicum</t>
  </si>
  <si>
    <t>Plant Genomics Lab.,  Department of Crop,  Soil and Environmental Sciences</t>
  </si>
  <si>
    <t>Triticum turgidum ssp. turgidum</t>
  </si>
  <si>
    <t>Plant Molecular and Cellular Biology Program</t>
  </si>
  <si>
    <t>Triticum turgidum subsp. carthlicum x Secale strictum subsp.</t>
  </si>
  <si>
    <t>Plant Molecular Biology</t>
  </si>
  <si>
    <t>Triticum turgidum turanicum</t>
  </si>
  <si>
    <t>Plant Molecular Genetic Laboratory</t>
  </si>
  <si>
    <t>Triticum turgidum turgidum</t>
  </si>
  <si>
    <t>Plant Molecular Genetics</t>
  </si>
  <si>
    <t>Triticum turgidum var. carthlicum</t>
  </si>
  <si>
    <t>Plant Molecular Genetics Laboratory</t>
  </si>
  <si>
    <t>Triticum turgidum var. dicoccon</t>
  </si>
  <si>
    <t>Plant Molecular Physiology and  Functional Genomics</t>
  </si>
  <si>
    <t>Triticum turgidum var. dicoccon Bowden</t>
  </si>
  <si>
    <t>Plant Natural Products</t>
  </si>
  <si>
    <t>Triticum turgidum var. durum</t>
  </si>
  <si>
    <t>Plant Nematode Genetics Group</t>
  </si>
  <si>
    <t>Triticum turgidum var. durum Bowden</t>
  </si>
  <si>
    <t>Plant Pathology</t>
  </si>
  <si>
    <t>Triticum turgidum var. polonicum</t>
  </si>
  <si>
    <t>Plant Pathology Department</t>
  </si>
  <si>
    <t>Triticum umbellulatum</t>
  </si>
  <si>
    <t>Plant Protection Division I.C.I.</t>
  </si>
  <si>
    <t>Triticum uniaristatum</t>
  </si>
  <si>
    <t>Plant Research Institute</t>
  </si>
  <si>
    <t>Triticum urartu</t>
  </si>
  <si>
    <t>Plant Research International</t>
  </si>
  <si>
    <t>Triticum urartu Thumanian ex Gandilyan</t>
  </si>
  <si>
    <t>Plant Sciences</t>
  </si>
  <si>
    <t>Triticum vaillantianum</t>
  </si>
  <si>
    <t>PLANT SELECT, Ltd.</t>
  </si>
  <si>
    <t>Triticum vavilovii Jakubz.</t>
  </si>
  <si>
    <t>Plant Systems Biology</t>
  </si>
  <si>
    <t>Triticum vulgare ssp. hadropyrum Flaksb.</t>
  </si>
  <si>
    <t>plantechno srl</t>
  </si>
  <si>
    <t>Triticum vulgare ssp. irano-asiaticum Flaksb.</t>
  </si>
  <si>
    <t>Plantes legumineuses, DGAP</t>
  </si>
  <si>
    <t>Triticum vulgare var. dicoccon (Schrank) Korn</t>
  </si>
  <si>
    <t>PlantTec Biotechnologie</t>
  </si>
  <si>
    <t>Triticum vulgare Villars</t>
  </si>
  <si>
    <t>Plate-Forme de cytogÃ©nÃ©tique MolÃ©culaire</t>
  </si>
  <si>
    <t>Triticum zhukovskyi Menabde &amp; Ericzjan</t>
  </si>
  <si>
    <t>Plew Horticultural Experimental Station</t>
  </si>
  <si>
    <t>Vicia faba L.</t>
  </si>
  <si>
    <t>PMDV - Equipe Analyse fonctionnelle du genome de Botrytis cinerea</t>
  </si>
  <si>
    <t>Vicia faba subsp. equina</t>
  </si>
  <si>
    <t>Pole de biotechnologie vegetales UMR5546</t>
  </si>
  <si>
    <t>Vicia faba subsp. major</t>
  </si>
  <si>
    <t>Povolzhskii NII Selektsii i Semenovodstva Im. P.N. Konstantinova Ran</t>
  </si>
  <si>
    <t>Vicia faba subsp. minor</t>
  </si>
  <si>
    <t>Practical Scientific Institute of Plant Growing 'SELECTIA'</t>
  </si>
  <si>
    <t>Vicia faba subsp. paucijuga</t>
  </si>
  <si>
    <t>Probsdorfer Plant Breeding</t>
  </si>
  <si>
    <t>Vicia L.</t>
  </si>
  <si>
    <t>Programa de Recursos Genéticos Nicaragüenses  (REGEN)</t>
  </si>
  <si>
    <t>Vicia sativa L.</t>
  </si>
  <si>
    <t>Projet Arborea, Centre d'Etude de la Foret</t>
  </si>
  <si>
    <t>Vitaceae</t>
  </si>
  <si>
    <t>Propriété Saint Jean</t>
  </si>
  <si>
    <t>Vitis</t>
  </si>
  <si>
    <t>PROSEA Headquarters, Wageningen Agricultural University</t>
  </si>
  <si>
    <t>Vitis aestivalis Mchx.</t>
  </si>
  <si>
    <t>proteomique</t>
  </si>
  <si>
    <t>Vitis affinis Gagnep. ex Osmaston</t>
  </si>
  <si>
    <t>PSB Produccion Vegetal, Murcia - Spain</t>
  </si>
  <si>
    <t>Vitis amurensis Ruprecht</t>
  </si>
  <si>
    <t>Punjab Agricultural University</t>
  </si>
  <si>
    <t>Vitis apliniana Collett &amp; Hemsl.</t>
  </si>
  <si>
    <t>Queensland Wheat Research Institut Department of Primary Industries</t>
  </si>
  <si>
    <t>Vitis arizonica Engelm.</t>
  </si>
  <si>
    <t>RAGT</t>
  </si>
  <si>
    <t>Vitis armata Diels &amp; Gilg</t>
  </si>
  <si>
    <t>R.A.G.T. 2N</t>
  </si>
  <si>
    <t>Vitis aubertiana Gage</t>
  </si>
  <si>
    <t>Rapillard Charly, Conthey - Suisse</t>
  </si>
  <si>
    <t>Vitis austrokoreana Hatus.</t>
  </si>
  <si>
    <t>RDP (UMR5667 INRA/CNRS/ENSL/UCBL)</t>
  </si>
  <si>
    <t>Vitis baileyana Munson</t>
  </si>
  <si>
    <t>Redblush Nursery</t>
  </si>
  <si>
    <t>Vitis balansaeana Planch.</t>
  </si>
  <si>
    <t>Regional Fruit Research Station, PAU</t>
  </si>
  <si>
    <t>Vitis berlandieri Planch.</t>
  </si>
  <si>
    <t>Regional Station Shillong, NBPGR</t>
  </si>
  <si>
    <t>Vitis betulifolia Diels &amp; Gilg</t>
  </si>
  <si>
    <t>Reproduction et Developpement des Plantes</t>
  </si>
  <si>
    <t>Vitis bicolor Le Conte</t>
  </si>
  <si>
    <t>Research and Development Division</t>
  </si>
  <si>
    <t>Vitis blancoii Munson</t>
  </si>
  <si>
    <t>Research Branch Agriculture Canada</t>
  </si>
  <si>
    <t>Vitis bourgeana Planch.</t>
  </si>
  <si>
    <t>Research Institute for Bioresources</t>
  </si>
  <si>
    <t>Vitis bourquina Munson</t>
  </si>
  <si>
    <t>Research Institute for Cereals and Technical Plants Fundulea</t>
  </si>
  <si>
    <t>Vitis bryoniifolia Bunge</t>
  </si>
  <si>
    <t>Research Institute for Olive and Citrus Trees</t>
  </si>
  <si>
    <t>Vitis burmanica Collett &amp; Hemsl.</t>
  </si>
  <si>
    <t>Research Institute of Agricultural for South-East Region</t>
  </si>
  <si>
    <t>Vitis californica Bentham</t>
  </si>
  <si>
    <t>Research Institute of Crop Production</t>
  </si>
  <si>
    <t>Vitis candicans Engelm.</t>
  </si>
  <si>
    <t>Research Institute of Village Services</t>
  </si>
  <si>
    <t>Vitis caribaea D.C.</t>
  </si>
  <si>
    <t>Resistance des Plantes aux Bioagresseurs (RPB)</t>
  </si>
  <si>
    <t>Vitis champinii Planch.</t>
  </si>
  <si>
    <t>Resources Botany Research Center</t>
  </si>
  <si>
    <t>Vitis choii Hatus.</t>
  </si>
  <si>
    <t>Revol Jean-Pierre, Larnage - France</t>
  </si>
  <si>
    <t>Vitis chrysobotrys H.Lév. &amp; Vaniot</t>
  </si>
  <si>
    <t>RhoBio</t>
  </si>
  <si>
    <t>Vitis chunganensis Hu</t>
  </si>
  <si>
    <t>Rice Research Institute</t>
  </si>
  <si>
    <t>Vitis chungii F.P.Metcalf</t>
  </si>
  <si>
    <t>RICP Praha-Ruzyne Agricultural Research Station</t>
  </si>
  <si>
    <t>Vitis cinerea Engelm.</t>
  </si>
  <si>
    <t>Rijk Zwaan</t>
  </si>
  <si>
    <t>Vitis coignetiae cv. Ishikari</t>
  </si>
  <si>
    <t>Ringot</t>
  </si>
  <si>
    <t>Vitis coignetiae Pulliat</t>
  </si>
  <si>
    <t>Roberts WL, Grandview Washington - USA</t>
  </si>
  <si>
    <t>Vitis cordifolia cv. n°9 Couderc</t>
  </si>
  <si>
    <t>Roseworthy Agricultural College</t>
  </si>
  <si>
    <t>Vitis cordifolia Mchx.</t>
  </si>
  <si>
    <t>Royal Palm Nurseries</t>
  </si>
  <si>
    <t>Vitis coriacea Shuttl.</t>
  </si>
  <si>
    <t>Rubidoux laboratory</t>
  </si>
  <si>
    <t>Vitis davidii Romanet du Caillaud</t>
  </si>
  <si>
    <t>Rustica Prograin Genetique</t>
  </si>
  <si>
    <t>Vitis del rioi Galet</t>
  </si>
  <si>
    <t>Rutgers University - NJ - USA</t>
  </si>
  <si>
    <t>Vitis doaniana Munson</t>
  </si>
  <si>
    <t>Rutgers University - NJ - USA - M. Vinson P</t>
  </si>
  <si>
    <t>Vitis embergeri Galet</t>
  </si>
  <si>
    <t>Saatbau Linz / Oberoesterreichische Landessaatbaugenossenschaft</t>
  </si>
  <si>
    <t>Vitis ficifolioides Wang</t>
  </si>
  <si>
    <t>Saaten-Union France s.a.r.l - Saaten-Union Recherche s.a.s</t>
  </si>
  <si>
    <t>Vitis flexuosa Thunb.</t>
  </si>
  <si>
    <t>Saatzucht Bauer GmbH &amp; Co KG</t>
  </si>
  <si>
    <t>Vitis gigas Fennell</t>
  </si>
  <si>
    <t>Saatzucht Donau GesmbH. &amp; CoKG</t>
  </si>
  <si>
    <t>Vitis girdiana Munson</t>
  </si>
  <si>
    <t>Saatzucht Engelen Büchling Ohg</t>
  </si>
  <si>
    <t>Vitis glabrescens Fritsch</t>
  </si>
  <si>
    <t>Saatzucht Hans Schweiger &amp; Co. Ohg</t>
  </si>
  <si>
    <t>Vitis hancockii Hance</t>
  </si>
  <si>
    <t>Saatzucht Josef Breun GdbR</t>
  </si>
  <si>
    <t>Vitis helleri Small</t>
  </si>
  <si>
    <t>Saatzucht Piatti</t>
  </si>
  <si>
    <t>Vitis hexamera Gagnep.</t>
  </si>
  <si>
    <t>Saatzucht Streng GmbH &amp; Co. KG</t>
  </si>
  <si>
    <t>Vitis hissarica Vassilcz.</t>
  </si>
  <si>
    <t>Saatzuchtgesellschaft Nordsaat GmbH</t>
  </si>
  <si>
    <t>Vitis illex Bailey</t>
  </si>
  <si>
    <t>Saatzuchtwirtschaft Johann Firlbeck KG</t>
  </si>
  <si>
    <t>Vitis kelemgensis Momiyama</t>
  </si>
  <si>
    <t>Saatzuchtwirtschaft Lang-Doerfler</t>
  </si>
  <si>
    <t>Vitis kiusiama Momiyama</t>
  </si>
  <si>
    <t>Saatzuchtwirtschaft Otto Breustedt GmbH</t>
  </si>
  <si>
    <t>Vitis L.</t>
  </si>
  <si>
    <t>Sakata Seed France</t>
  </si>
  <si>
    <t>Vitis labrusca cv. Cambridge</t>
  </si>
  <si>
    <t>Samarskij Niish Im.N.M. Tulajkova</t>
  </si>
  <si>
    <t>Vitis labrusca cv. Caroline</t>
  </si>
  <si>
    <t>SantÃ© de la Vigne et QualitÃ© du Vin</t>
  </si>
  <si>
    <t>Vitis labrusca cv. Caywood</t>
  </si>
  <si>
    <t>Santé de la Vigne et Qualité du Vin</t>
  </si>
  <si>
    <t>Vitis labrusca cv. Concord</t>
  </si>
  <si>
    <t>S.A.S. Florimond Desprez</t>
  </si>
  <si>
    <t>Vitis labrusca cv. Creveling</t>
  </si>
  <si>
    <t>Satten-Ring Pfeuffer - Von Ruemker oHG</t>
  </si>
  <si>
    <t>Vitis labrusca cv. Early Victor</t>
  </si>
  <si>
    <t>SBAT El Ariana, Tunisie</t>
  </si>
  <si>
    <t>Vitis labrusca cv. Isabelle</t>
  </si>
  <si>
    <t>SCA - Agricultural Research Station Turda-Cluj</t>
  </si>
  <si>
    <t>Vitis labrusca cv. Israella</t>
  </si>
  <si>
    <t>SCA Adrien Momont et fils, S.A.</t>
  </si>
  <si>
    <t>Vitis labrusca cv. Ive's seedling</t>
  </si>
  <si>
    <t>Schnable Laboratory</t>
  </si>
  <si>
    <t>Vitis labrusca cv. Miles</t>
  </si>
  <si>
    <t>Schnable laboratory</t>
  </si>
  <si>
    <t>Vitis labrusca cv. Muncy</t>
  </si>
  <si>
    <t>School of Biological Sciences</t>
  </si>
  <si>
    <t>Vitis labrusca cv. North America</t>
  </si>
  <si>
    <t>Science de l'Horticulture, Rabat, Maroc</t>
  </si>
  <si>
    <t>Vitis labrusca cv. North Carolina</t>
  </si>
  <si>
    <t>Scott Research Farm</t>
  </si>
  <si>
    <t>Vitis labrusca cv. Pierce = California Concord</t>
  </si>
  <si>
    <t>SDR Fruit LLC, Boulder- CO - USA</t>
  </si>
  <si>
    <t>Vitis labrusca cv. Rentz</t>
  </si>
  <si>
    <t>Seagaga Research Station</t>
  </si>
  <si>
    <t>Vitis labrusca cv. Scarlett</t>
  </si>
  <si>
    <t>Seager Wheeler</t>
  </si>
  <si>
    <t>Vitis labrusca L.</t>
  </si>
  <si>
    <t>Secobra Saatzucht GmbH</t>
  </si>
  <si>
    <t>Vitis lanata Roxburgh</t>
  </si>
  <si>
    <t>Seed and Plant Improvement Institute</t>
  </si>
  <si>
    <t>Vitis lanceolata Roxb.</t>
  </si>
  <si>
    <t>Selekt Research and Breeding Institute</t>
  </si>
  <si>
    <t>Vitis leucocarpa Hayata</t>
  </si>
  <si>
    <t>SELGEN, Breeding Station Chlumec</t>
  </si>
  <si>
    <t>Vitis lincecumii Buckley</t>
  </si>
  <si>
    <t>SELGEN, Breeding Station Stupice</t>
  </si>
  <si>
    <t>Vitis longii Prince</t>
  </si>
  <si>
    <t>SELGEN, Breeding Station Uhretice</t>
  </si>
  <si>
    <t>Vitis monticola Buckley</t>
  </si>
  <si>
    <t>Semences Cargill, Centre de Recherches Céréales à Pailles et Colza</t>
  </si>
  <si>
    <t>Vitis novisinensis Vassilcz.</t>
  </si>
  <si>
    <t>Semences de Provence</t>
  </si>
  <si>
    <t>Vitis pedicellata M.A.Lawson</t>
  </si>
  <si>
    <t>Semiarid Prairie Agricultural Research Centre, Agriculture and Agri-Food Canada</t>
  </si>
  <si>
    <t>Vitis pentagona Diels &amp; Gilg</t>
  </si>
  <si>
    <t>Semillas Falco</t>
  </si>
  <si>
    <t>Vitis piasezkii cv. pagnuccii</t>
  </si>
  <si>
    <t>Seminis</t>
  </si>
  <si>
    <t>Vitis piasezkii Maximowicz</t>
  </si>
  <si>
    <t>Seoul National University</t>
  </si>
  <si>
    <t>Vitis piloso-nerva F.P.Metcalf</t>
  </si>
  <si>
    <t>SERASEM</t>
  </si>
  <si>
    <t>Vitis potanini Maxim.</t>
  </si>
  <si>
    <t>Servien Norbert et Pierre-Gilles - Granges lès Beaumont - France</t>
  </si>
  <si>
    <t>Vitis pseudoreticulata W.T.Wang</t>
  </si>
  <si>
    <t>Settore Biotecnologie e Agricoltura, Dipartimento Innovazione, ENEA</t>
  </si>
  <si>
    <t>Vitis punctata Raf.</t>
  </si>
  <si>
    <t>Seva Flora SRO, Valtice - République Tchèque</t>
  </si>
  <si>
    <t>Vitis reticulata Pamp.</t>
  </si>
  <si>
    <t>Shanghai Institute of Plant Physiology and  Ecology</t>
  </si>
  <si>
    <t>Vitis retordii Romanet du Caill. ex Planch.</t>
  </si>
  <si>
    <t>Shanxi Academy of Agricultural Sciences</t>
  </si>
  <si>
    <t>Vitis riparia cv. Riparia Gloire de Montpellier</t>
  </si>
  <si>
    <t>Shulaev's Lab</t>
  </si>
  <si>
    <t>Vitis riparia cv. Riparia grand glabre</t>
  </si>
  <si>
    <t>Siberian Research Institute of Agriculture</t>
  </si>
  <si>
    <t>Vitis riparia Mchx.</t>
  </si>
  <si>
    <t>SICA Centrex, Torreilles, France</t>
  </si>
  <si>
    <t>Vitis romanetii Romanet du Caillaud</t>
  </si>
  <si>
    <t>Sica La Tapy</t>
  </si>
  <si>
    <t>Vitis rubra cv. palmata</t>
  </si>
  <si>
    <t>Sica SE.CO.CE. Semences Dromigny et Hamel</t>
  </si>
  <si>
    <t>Vitis rubra Mchx.</t>
  </si>
  <si>
    <t>Sicarex Beaujolais</t>
  </si>
  <si>
    <t>Vitis rufotomentosa Small</t>
  </si>
  <si>
    <t>Sicarex du Sud-Ouest</t>
  </si>
  <si>
    <t>Vitis rupestris cv. Rupestris du Lot</t>
  </si>
  <si>
    <t>Signaling and  Plant Metabolism</t>
  </si>
  <si>
    <t>Vitis rupestris Sheele</t>
  </si>
  <si>
    <t>Signaux et messages cellulaires chez les vegetaux</t>
  </si>
  <si>
    <t>Vitis schumanniana Kuntze</t>
  </si>
  <si>
    <t>SIS - Societa Italiana Sementi</t>
  </si>
  <si>
    <t>Vitis seguinii H.Lév.</t>
  </si>
  <si>
    <t>Sladkovicovo Plant Breeding Station</t>
  </si>
  <si>
    <t>Vitis serroniana Glaz.</t>
  </si>
  <si>
    <t>Small Grains Research Centre, Agricultural Research Institute 'Serbia'</t>
  </si>
  <si>
    <t>Vitis shiragai Makino</t>
  </si>
  <si>
    <t>Societa Produttori Sementi</t>
  </si>
  <si>
    <t>Vitis silvestrii Pamp.</t>
  </si>
  <si>
    <t>Société de Viticulture du Jura</t>
  </si>
  <si>
    <t>Vitis simpsonii Munson</t>
  </si>
  <si>
    <t>Société Pomologique du Berry</t>
  </si>
  <si>
    <t>Vitis thunbergii Siebold &amp; Zucc.</t>
  </si>
  <si>
    <t>Société pour l'Encouragement de l'Orge de Brasserie</t>
  </si>
  <si>
    <t>Vitis treleasei Munson</t>
  </si>
  <si>
    <t>SOGROUP</t>
  </si>
  <si>
    <t>Vitis tsoii Merr.</t>
  </si>
  <si>
    <t>Solanum</t>
  </si>
  <si>
    <t>Vitis vicaryana Kurz</t>
  </si>
  <si>
    <t>Solanum Tourneur</t>
  </si>
  <si>
    <t>Vitis vinifera L.</t>
  </si>
  <si>
    <t>Solary Plant Breeding Station</t>
  </si>
  <si>
    <t>Vitis vinifera subsp sylvestris cv. Lambrusque métisse</t>
  </si>
  <si>
    <t>Sorghum genetics and  molecular biology lab</t>
  </si>
  <si>
    <t>Vitis vinifera subsp sylvestris cv. Lambrusque vraie</t>
  </si>
  <si>
    <t>South Dakota Agricultural Experiment Station, South Dakota State University</t>
  </si>
  <si>
    <t>Vitis vinifera subsp sylvestris L.</t>
  </si>
  <si>
    <t>Southwick Steve, El Macero, CA - USA</t>
  </si>
  <si>
    <t>Vitis vinifera subsp vinifera cv. A Kalatchel</t>
  </si>
  <si>
    <t>Special Research Centre,  Basic and  Applied Plant MolecularBiology</t>
  </si>
  <si>
    <t>Vitis vinifera subsp vinifera cv. A 406 SRLH</t>
  </si>
  <si>
    <t>SRA  INRA-CIRAD</t>
  </si>
  <si>
    <t>Vitis vinifera subsp vinifera cv. Abbuoto</t>
  </si>
  <si>
    <t>Star Fruit</t>
  </si>
  <si>
    <t>Vitis vinifera subsp vinifera cv. Abdjouch</t>
  </si>
  <si>
    <t>State Key Lab of Genetics</t>
  </si>
  <si>
    <t>Vitis vinifera subsp vinifera cv. Abondance</t>
  </si>
  <si>
    <t>State Lab of Plant Physiology and  Biochemistry</t>
  </si>
  <si>
    <t>Vitis vinifera subsp vinifera cv. Abondant</t>
  </si>
  <si>
    <t>State Lab of plant physiology and  biochemistry</t>
  </si>
  <si>
    <t>Vitis vinifera subsp vinifera cv. Abouhou</t>
  </si>
  <si>
    <t>Station Agrumicole de Lipa</t>
  </si>
  <si>
    <t>Vitis vinifera subsp vinifera cv. Abouriou</t>
  </si>
  <si>
    <t>Station Agrumicole de Nan</t>
  </si>
  <si>
    <t>Vitis vinifera subsp vinifera cv. Achlamiche</t>
  </si>
  <si>
    <t>Station Centrale de la Recherche sur les Agrumes, Institut National de la Recherche Agronomique du Maroc</t>
  </si>
  <si>
    <t>Vitis vinifera subsp vinifera cv. Adissi</t>
  </si>
  <si>
    <t>Station d'amelioration des arbres forestiers</t>
  </si>
  <si>
    <t>Vitis vinifera subsp vinifera cv. Admirable de Courtiller</t>
  </si>
  <si>
    <t>Station d'amelioration des plantes</t>
  </si>
  <si>
    <t>Vitis vinifera subsp vinifera cv. Aetoniki</t>
  </si>
  <si>
    <t>Station d'arboriculture de Poros - Trizinias (Grèce)</t>
  </si>
  <si>
    <t>Vitis vinifera subsp vinifera cv. Aetonychi kokkino</t>
  </si>
  <si>
    <t>Station de Betanimena</t>
  </si>
  <si>
    <t>Vitis vinifera subsp vinifera cv. Aetonychi mavro</t>
  </si>
  <si>
    <t>Station de cultures fruitières de Foulaya</t>
  </si>
  <si>
    <t>Vitis vinifera subsp vinifera cv. Aetonyki</t>
  </si>
  <si>
    <t>Station de Génétique et Amélioration des Plantes, INRA-Versailles</t>
  </si>
  <si>
    <t>Vitis vinifera subsp vinifera cv. Afarta pobres</t>
  </si>
  <si>
    <t>Station de Genetique et d'Amelioration des Plantes</t>
  </si>
  <si>
    <t>Vitis vinifera subsp vinifera cv. Affenthaler</t>
  </si>
  <si>
    <t>Station de Genetique et d'Amelioration des plantes</t>
  </si>
  <si>
    <t>Vitis vinifera subsp vinifera cv. Ag isioum</t>
  </si>
  <si>
    <t>Station de Génétique et d'Amélioration des Plantes, INRA-Dijon</t>
  </si>
  <si>
    <t>Vitis vinifera subsp vinifera cv. Ag Kiourdach</t>
  </si>
  <si>
    <t>Station de Genetique et dÕAmelioration des Plantes</t>
  </si>
  <si>
    <t>Vitis vinifera subsp vinifera cv. Agadaï</t>
  </si>
  <si>
    <t>Station de Genetique et dUAmelioration des Plantes</t>
  </si>
  <si>
    <t>Vitis vinifera subsp vinifera cv. Agapanthe</t>
  </si>
  <si>
    <t>Station de Genetique Vegetale</t>
  </si>
  <si>
    <t>Vitis vinifera subsp vinifera cv. Aghianniotico</t>
  </si>
  <si>
    <t>Station de Genetique Vegetale du Moulon</t>
  </si>
  <si>
    <t>Vitis vinifera subsp vinifera cv. Aghiorgitiko</t>
  </si>
  <si>
    <t>Station de Pathologie Vegetale</t>
  </si>
  <si>
    <t>Vitis vinifera subsp vinifera cv. Aglianico</t>
  </si>
  <si>
    <t>Station de Pathologie Végétale, INRA-Avignon</t>
  </si>
  <si>
    <t>Vitis vinifera subsp vinifera cv. Agostenga noir</t>
  </si>
  <si>
    <t>Station de recherche Agroscope Changins-Wädenswil</t>
  </si>
  <si>
    <t>Vitis vinifera subsp vinifera cv. Agourane</t>
  </si>
  <si>
    <t>Station de recherche Agroscope Changins-WÃ¤denswil</t>
  </si>
  <si>
    <t>Vitis vinifera subsp vinifera cv. Agrio mavro</t>
  </si>
  <si>
    <t>Station de Recherche du Comité Nord</t>
  </si>
  <si>
    <t>Vitis vinifera subsp vinifera cv. Aguyar</t>
  </si>
  <si>
    <t>Station de Recherche du Comité Nord &amp; GIPT</t>
  </si>
  <si>
    <t>Vitis vinifera subsp vinifera cv. Ahmar</t>
  </si>
  <si>
    <t>Station de Recherchedu Comité Nord &amp; GNIPTIT</t>
  </si>
  <si>
    <t>Vitis vinifera subsp vinifera cv. Ahmed</t>
  </si>
  <si>
    <t>Station Expérimentale Agronomique de Boufarik</t>
  </si>
  <si>
    <t>Vitis vinifera subsp vinifera cv. Ahmeh sal apyrène</t>
  </si>
  <si>
    <t>Station expérimentale de Oeiras Portugal</t>
  </si>
  <si>
    <t>Vitis vinifera subsp vinifera cv. Ahmeh Sal 9</t>
  </si>
  <si>
    <t>Station Régionale Horticole de Sefrou</t>
  </si>
  <si>
    <t>Vitis vinifera subsp vinifera cv. Ahmeur bou Ahmeur</t>
  </si>
  <si>
    <t>Statistique &amp; Genome</t>
  </si>
  <si>
    <t>Vitis vinifera subsp vinifera cv. Ahumat</t>
  </si>
  <si>
    <t>Statistique &amp; Génome</t>
  </si>
  <si>
    <t>Vitis vinifera subsp vinifera cv. Aïbatly</t>
  </si>
  <si>
    <t>Statiunea de Cercetare Dezvoltare Agricola Albota</t>
  </si>
  <si>
    <t>Vitis vinifera subsp vinifera cv. Aïda = Pirovano 233</t>
  </si>
  <si>
    <t>Ste Coopérative Agricole du Nord-Est de la Brie</t>
  </si>
  <si>
    <t>Vitis vinifera subsp vinifera cv. Aïdani mavro</t>
  </si>
  <si>
    <t>Stellenbosch University</t>
  </si>
  <si>
    <t>Vitis vinifera subsp vinifera cv. Aïn Begra</t>
  </si>
  <si>
    <t>Structure et Metabolisme des Plantes</t>
  </si>
  <si>
    <t>Vitis vinifera subsp vinifera cv. Aïn el Bouma</t>
  </si>
  <si>
    <t>Subtropical Horticultural Research Unit, National Germplasm Repository - Miami, USDA</t>
  </si>
  <si>
    <t>Vitis vinifera subsp vinifera cv. Aïn Kelba</t>
  </si>
  <si>
    <t>Suceava Genebank</t>
  </si>
  <si>
    <t>Vitis vinifera subsp vinifera cv. Airen</t>
  </si>
  <si>
    <t>Summerfield Nursery Co.</t>
  </si>
  <si>
    <t>Vitis vinifera subsp vinifera cv. Ak chekerek</t>
  </si>
  <si>
    <t>Sun World International - Bakersfield, CA - USA</t>
  </si>
  <si>
    <t>Vitis vinifera subsp vinifera cv. Ak ouzioum tagapskii</t>
  </si>
  <si>
    <t>Sunshine Nurseries</t>
  </si>
  <si>
    <t>Vitis vinifera subsp vinifera cv. Akiki</t>
  </si>
  <si>
    <t>Svalof Weibull AB Cereal Breeding Department</t>
  </si>
  <si>
    <t>Vitis vinifera subsp vinifera cv. Aklyk jaune</t>
  </si>
  <si>
    <t>SW Seed Hadmersleben GmbH</t>
  </si>
  <si>
    <t>Vitis vinifera subsp vinifera cv. Akominato</t>
  </si>
  <si>
    <t>Swedish University of Agricultural Sciences - Department of Plant Breeding Research</t>
  </si>
  <si>
    <t>Vitis vinifera subsp vinifera cv. Alabar noir</t>
  </si>
  <si>
    <t>Swiss Institute of Bioinformatics</t>
  </si>
  <si>
    <t>Vitis vinifera subsp vinifera cv. Alanttermö</t>
  </si>
  <si>
    <t>Syndicat de Producteurs de Marron de Charentes</t>
  </si>
  <si>
    <t>Vitis vinifera subsp vinifera cv. Alb rominesc</t>
  </si>
  <si>
    <t>Syndicat Général des Vignerons Réunis des Côtes-du-Rhône</t>
  </si>
  <si>
    <t>Vitis vinifera subsp vinifera cv. Alba aganin isioum</t>
  </si>
  <si>
    <t>Syngenta</t>
  </si>
  <si>
    <t>Vitis vinifera subsp vinifera cv. Alba imputotato</t>
  </si>
  <si>
    <t>Syngenta Seeds Ltd</t>
  </si>
  <si>
    <t>Vitis vinifera subsp vinifera cv. Alba magna = Pirovano 283</t>
  </si>
  <si>
    <t>Syngenta Seeds S.A.</t>
  </si>
  <si>
    <t>Vitis vinifera subsp vinifera cv. Albalonga = Würzburg B 51-2-1</t>
  </si>
  <si>
    <t>Syngenta Seeds S.A.S.</t>
  </si>
  <si>
    <t>Vitis vinifera subsp vinifera cv. Albana</t>
  </si>
  <si>
    <t>Takii recherche France</t>
  </si>
  <si>
    <t>Vitis vinifera subsp vinifera cv. Albanello</t>
  </si>
  <si>
    <t>Technisem</t>
  </si>
  <si>
    <t>Vitis vinifera subsp vinifera cv. Albaranzeuli bianco</t>
  </si>
  <si>
    <t>Technology Department</t>
  </si>
  <si>
    <t>Vitis vinifera subsp vinifera cv. Albarola</t>
  </si>
  <si>
    <t>Terr'Loire</t>
  </si>
  <si>
    <t>Vitis vinifera subsp vinifera cv. Albert Dientz</t>
  </si>
  <si>
    <t>Texas Agricultural Experiment Station, Texas A &amp; M University</t>
  </si>
  <si>
    <t>Vitis vinifera subsp vinifera cv. Albillo</t>
  </si>
  <si>
    <t>TEZIER S.A.</t>
  </si>
  <si>
    <t>Vitis vinifera subsp vinifera cv. Albino de Sousa</t>
  </si>
  <si>
    <t>The Agricultural Research Council - Grain Crops Institute</t>
  </si>
  <si>
    <t>Vitis vinifera subsp vinifera cv. Albourlah</t>
  </si>
  <si>
    <t>The Arabidopsis Information Resource</t>
  </si>
  <si>
    <t>Vitis vinifera subsp vinifera cv. Aléatico</t>
  </si>
  <si>
    <t>The Biotechnology Center</t>
  </si>
  <si>
    <t>Vitis vinifera subsp vinifera cv. Aledo</t>
  </si>
  <si>
    <t>The Citrus Nursery</t>
  </si>
  <si>
    <t>Vitis vinifera subsp vinifera cv. Alenky</t>
  </si>
  <si>
    <t>The First Laboratory for Plant Gene Research</t>
  </si>
  <si>
    <t>Vitis vinifera subsp vinifera cv. Alepou</t>
  </si>
  <si>
    <t>The Genome Analysis Centre</t>
  </si>
  <si>
    <t>Vitis vinifera subsp vinifera cv. Alexandroouli</t>
  </si>
  <si>
    <t>The Key Laboratory of Gene Engineering of Ministry ofEducation</t>
  </si>
  <si>
    <t>Vitis vinifera subsp vinifera cv. Alfrocheiro preto</t>
  </si>
  <si>
    <t>The Molecular Breeding Lab of Wheat Research Center - Henan Academy of Agricultural Sciences</t>
  </si>
  <si>
    <t>Vitis vinifera subsp vinifera cv. Algara</t>
  </si>
  <si>
    <t>The Rockefeller Foundation</t>
  </si>
  <si>
    <t>Vitis vinifera subsp vinifera cv. Alia boka</t>
  </si>
  <si>
    <t>The V.M. Remeslo Myronivka Institute for Wheat</t>
  </si>
  <si>
    <t>Vitis vinifera subsp vinifera cv. Alicante anglais blanc</t>
  </si>
  <si>
    <t>Tintori Nursery</t>
  </si>
  <si>
    <t>Vitis vinifera subsp vinifera cv. Alicante Bouschet érigé</t>
  </si>
  <si>
    <t>Top Semence</t>
  </si>
  <si>
    <t>Vitis vinifera subsp vinifera cv. Alicante Bouschet extra fertile</t>
  </si>
  <si>
    <t>Torbert Rocheford</t>
  </si>
  <si>
    <t>Vitis vinifera subsp vinifera cv. Alicante Bouschet n°1</t>
  </si>
  <si>
    <t>Toumelin (don't exist anymore)</t>
  </si>
  <si>
    <t>Vitis vinifera subsp vinifera cv. Alicante Bouschet n°2</t>
  </si>
  <si>
    <t>Tourneur Grandes Cultures Obtentions</t>
  </si>
  <si>
    <t>Vitis vinifera subsp vinifera cv. Alicante Bouschet n°7</t>
  </si>
  <si>
    <t>Trait and  Technology Development,  Agronomic Traits</t>
  </si>
  <si>
    <t>Vitis vinifera subsp vinifera cv. Alicante Bouschet n°8</t>
  </si>
  <si>
    <t>Trait and  Technology Development,  Food and  Feed Research</t>
  </si>
  <si>
    <t>Vitis vinifera subsp vinifera cv. Alicante Bouschet précoce (ou n°5)</t>
  </si>
  <si>
    <t>Transition Zone Agricultural Research Institute</t>
  </si>
  <si>
    <t>Vitis vinifera subsp vinifera cv. Alicante Bouschet tardif (ou n°6)</t>
  </si>
  <si>
    <t>TRANSPORT DES ASSIMILATS</t>
  </si>
  <si>
    <t>Vitis vinifera subsp vinifera cv. Alicante Bouschet x Piquepoul gris</t>
  </si>
  <si>
    <t>Trégor Sélection</t>
  </si>
  <si>
    <t>Vitis vinifera subsp vinifera cv. Alicante Bouschet x Piquepoul n°12</t>
  </si>
  <si>
    <t>Tribhuvan University</t>
  </si>
  <si>
    <t>Vitis vinifera subsp vinifera cv. Alicante Henri Bouschet</t>
  </si>
  <si>
    <t>Tropical Agricultural Research Station, Clonal Repository USDA/ARS</t>
  </si>
  <si>
    <t>Vitis vinifera subsp vinifera cv. Alicante rosa</t>
  </si>
  <si>
    <t>Tropical Crops Experimental Station</t>
  </si>
  <si>
    <t>Vitis vinifera subsp vinifera cv. Aligoté</t>
  </si>
  <si>
    <t>Truffaut</t>
  </si>
  <si>
    <t>Vitis vinifera subsp vinifera cv. Alii tierskii</t>
  </si>
  <si>
    <t>Tsukuba Life Science Center</t>
  </si>
  <si>
    <t>Vitis vinifera subsp vinifera cv. Alimchak</t>
  </si>
  <si>
    <t>T&amp;TD,  Agronomic Traits,  Yield Stability</t>
  </si>
  <si>
    <t>Vitis vinifera subsp vinifera cv. Almafre</t>
  </si>
  <si>
    <t>Tulun State Plant Breeding Station</t>
  </si>
  <si>
    <t>Vitis vinifera subsp vinifera cv. Alnwick seedling</t>
  </si>
  <si>
    <t>Turkmen Academy of Agricultural Sciences</t>
  </si>
  <si>
    <t>Vitis vinifera subsp vinifera cv. Alphonse Lavallée</t>
  </si>
  <si>
    <t>Twyford Plant Laborences (NPBGR), North Carolina State University</t>
  </si>
  <si>
    <t>Vitis vinifera subsp vinifera cv. Altesse</t>
  </si>
  <si>
    <t>Tystofte-Forsoggstation</t>
  </si>
  <si>
    <t>Vitis vinifera subsp vinifera cv. Alva</t>
  </si>
  <si>
    <t>UAGPF</t>
  </si>
  <si>
    <t>Vitis vinifera subsp vinifera cv. Alval = INRA 1552-24</t>
  </si>
  <si>
    <t>UCOPAC - Verneuil - Recherches</t>
  </si>
  <si>
    <t>Vitis vinifera subsp vinifera cv. Alvarelhao</t>
  </si>
  <si>
    <t>UE arboricole, INRA-Toulenne et INRA-Bourran</t>
  </si>
  <si>
    <t>Vitis vinifera subsp vinifera cv. Alvarinho</t>
  </si>
  <si>
    <t>UE Diascope, INRA-Montpellier</t>
  </si>
  <si>
    <t>Vitis vinifera subsp vinifera cv. Alvina = INRA 2121-61</t>
  </si>
  <si>
    <t>UE Maïs, INRA-Saint-Martin-de-Hinx</t>
  </si>
  <si>
    <t>Vitis vinifera subsp vinifera cv. Alwan</t>
  </si>
  <si>
    <t>Vitis vinifera subsp vinifera cv. Amaral</t>
  </si>
  <si>
    <t>UIPMSV</t>
  </si>
  <si>
    <t>Vitis vinifera subsp vinifera cv. Amaral branco</t>
  </si>
  <si>
    <t>ULICE</t>
  </si>
  <si>
    <t>Vitis vinifera subsp vinifera cv. Ambary</t>
  </si>
  <si>
    <t>Umea Plant Science Center</t>
  </si>
  <si>
    <t>Vitis vinifera subsp vinifera cv. Amellal</t>
  </si>
  <si>
    <t>Umea Plant Science Center, Department of Plant Physiology</t>
  </si>
  <si>
    <t>Vitis vinifera subsp vinifera cv. Amessasse</t>
  </si>
  <si>
    <t>UMR AGAP Amélioration Génétique et Adaptation des Plantes méditerranéennes et Tropicales</t>
  </si>
  <si>
    <t>Vitis vinifera subsp vinifera cv. Amfioni</t>
  </si>
  <si>
    <t>UMR Amélioration des Plantes et Biotechnologies Végétales, INRA-Rennes</t>
  </si>
  <si>
    <t>Vitis vinifera subsp vinifera cv. Amigne</t>
  </si>
  <si>
    <t>Vitis vinifera subsp vinifera cv. Amokrane</t>
  </si>
  <si>
    <t>UMR APBV</t>
  </si>
  <si>
    <t>Vitis vinifera subsp vinifera cv. Ampelakiotico galano</t>
  </si>
  <si>
    <t>UMR ASP 1095</t>
  </si>
  <si>
    <t>Vitis vinifera subsp vinifera cv. Ancellota</t>
  </si>
  <si>
    <t>UMR ASP 1095 (Amelioration et Sante des Plantes)</t>
  </si>
  <si>
    <t>Vitis vinifera subsp vinifera cv. Ancorat</t>
  </si>
  <si>
    <t>UMR BiO3P</t>
  </si>
  <si>
    <t>Vitis vinifera subsp vinifera cv. Aneb ben Koreli</t>
  </si>
  <si>
    <t>UMR CNRS/INRA 215</t>
  </si>
  <si>
    <t>Vitis vinifera subsp vinifera cv. Aneb bou Bezzoul</t>
  </si>
  <si>
    <t>UMR DAP 1098</t>
  </si>
  <si>
    <t>Vitis vinifera subsp vinifera cv. Aneb el Amar</t>
  </si>
  <si>
    <t>UMR de Genetique vegetale</t>
  </si>
  <si>
    <t>Vitis vinifera subsp vinifera cv. Angelo Longo = Pirovano 101</t>
  </si>
  <si>
    <t>UMR de Genetique Vegetale du Moulon</t>
  </si>
  <si>
    <t>Vitis vinifera subsp vinifera cv. Angelo Pirovano = Pirovano 2</t>
  </si>
  <si>
    <t>UMR de Ginitique Vigitale</t>
  </si>
  <si>
    <t>Vitis vinifera subsp vinifera cv. Angiola</t>
  </si>
  <si>
    <t>Vitis vinifera subsp vinifera cv. Angulato</t>
  </si>
  <si>
    <t>UMR DiaPC</t>
  </si>
  <si>
    <t>Vitis vinifera subsp vinifera cv. Annamaria</t>
  </si>
  <si>
    <t>UMR Diversité et Adaptation des Plantes Cultivées, INRA-Montpellier</t>
  </si>
  <si>
    <t>Vitis vinifera subsp vinifera cv. Antão vaz</t>
  </si>
  <si>
    <t>UMR Diversite et Genomes des Plantes Cultivees</t>
  </si>
  <si>
    <t>Vitis vinifera subsp vinifera cv. Aouillat</t>
  </si>
  <si>
    <t>Vitis vinifera subsp vinifera cv. Appley Towers</t>
  </si>
  <si>
    <t>Vitis vinifera subsp vinifera cv. Aprofeher</t>
  </si>
  <si>
    <t>Vitis vinifera subsp vinifera cv. Aptiche aga</t>
  </si>
  <si>
    <t>UMR Génétique et Horticulture GenHort, INRA-Angers</t>
  </si>
  <si>
    <t>Vitis vinifera subsp vinifera cv. Apyrène de Roussé</t>
  </si>
  <si>
    <t>UMR Génétique Végétale, INRA-Moulon</t>
  </si>
  <si>
    <t>Vitis vinifera subsp vinifera cv. Aragatzi</t>
  </si>
  <si>
    <t>UMR Génomique Végétale, INRA-Evry</t>
  </si>
  <si>
    <t>Vitis vinifera subsp vinifera cv. Araklinos</t>
  </si>
  <si>
    <t>UMR IaM - 1136</t>
  </si>
  <si>
    <t>Vitis vinifera subsp vinifera cv. Aramon</t>
  </si>
  <si>
    <t>UMR INRA 1088 Plante-Microbe-Environment</t>
  </si>
  <si>
    <t>Vitis vinifera subsp vinifera cv. Aramon blanc</t>
  </si>
  <si>
    <t>UMR INRA 1088/CNRS 5184/U. Bourgogne PME,  Inra</t>
  </si>
  <si>
    <t>Vitis vinifera subsp vinifera cv. Aramon blanc de la Calmette</t>
  </si>
  <si>
    <t>UMR INRA 1165 - CNRS 8114 - UEVE</t>
  </si>
  <si>
    <t>Vitis vinifera subsp vinifera cv. Aramon Bouschet n°1</t>
  </si>
  <si>
    <t>UMR INRA 1165 CNRS 8114 - UEVE</t>
  </si>
  <si>
    <t>Vitis vinifera subsp vinifera cv. Aramon Bouschet n°3</t>
  </si>
  <si>
    <t>UMR INRA-Agrocampus</t>
  </si>
  <si>
    <t>Vitis vinifera subsp vinifera cv. Aramon Bouschet n°5</t>
  </si>
  <si>
    <t>UMR INRA-ENSAR</t>
  </si>
  <si>
    <t>Vitis vinifera subsp vinifera cv. Aramon gris</t>
  </si>
  <si>
    <t>UMR INRA-INSA BF2I</t>
  </si>
  <si>
    <t>Vitis vinifera subsp vinifera cv. Aramon teinturier Bouschet</t>
  </si>
  <si>
    <t>UMR INRA-UBP Amilioration &amp; Santi des Plantes</t>
  </si>
  <si>
    <t>Vitis vinifera subsp vinifera cv. Aranel = INRA 1816-106</t>
  </si>
  <si>
    <t>UMR INRA-UHP 1137</t>
  </si>
  <si>
    <t>Vitis vinifera subsp vinifera cv. Aranyka sarga</t>
  </si>
  <si>
    <t>UMR Institut de Génétique, Environnement et Protection des Plantes, INRA-Rennes</t>
  </si>
  <si>
    <t>Vitis vinifera subsp vinifera cv. Ararati</t>
  </si>
  <si>
    <t>Vitis vinifera subsp vinifera cv. Araxeni tchernii</t>
  </si>
  <si>
    <t>UMR Institut de Génétique, Environnement et Protection des Plantes, INRA-Rennes, Site de Plougoulm</t>
  </si>
  <si>
    <t>Vitis vinifera subsp vinifera cv. Arbane</t>
  </si>
  <si>
    <t>UMR Peuplement Végétaux et Bioagresseurs en Milieu Tropical, CIRAD-Réunion</t>
  </si>
  <si>
    <t>Vitis vinifera subsp vinifera cv. Arbia</t>
  </si>
  <si>
    <t>Vitis vinifera subsp vinifera cv. Arbois rose</t>
  </si>
  <si>
    <t>UMR SPO</t>
  </si>
  <si>
    <t>Vitis vinifera subsp vinifera cv. Ardona = INRA 605-8</t>
  </si>
  <si>
    <t>UMR Stress Abiotiques et Différenciation des Végétaux Cultivés</t>
  </si>
  <si>
    <t>Vitis vinifera subsp vinifera cv. Ardonnet</t>
  </si>
  <si>
    <t>UMR UMR INRA 1165 - CNRS 8114 - UEVE</t>
  </si>
  <si>
    <t>Vitis vinifera subsp vinifera cv. Ardounet noir</t>
  </si>
  <si>
    <t>UMR UP-IRD-CNRS 5096</t>
  </si>
  <si>
    <t>Vitis vinifera subsp vinifera cv. Areni tchernii</t>
  </si>
  <si>
    <t>UMR USTL-INRA 1281 - Stress abiotique et difirenciation des vigitaux cultivis (SADV)</t>
  </si>
  <si>
    <t>Vitis vinifera subsp vinifera cv. Argant</t>
  </si>
  <si>
    <t>UMR 1095 INRA-UBP Amélioration &amp; Santé des Plantes</t>
  </si>
  <si>
    <t>Vitis vinifera subsp vinifera cv. Arinarnoa</t>
  </si>
  <si>
    <t>UMR 1095 INRA/UBP GDEC</t>
  </si>
  <si>
    <t>Vitis vinifera subsp vinifera cv. Ariño</t>
  </si>
  <si>
    <t>UMR 1095 INRA-UBP Génétique, Diversité et Ecophysiologie des Céréales</t>
  </si>
  <si>
    <t>Vitis vinifera subsp vinifera cv. Arinto de Bucelas</t>
  </si>
  <si>
    <t>UMR 1095 INRA-UBP Ginitique, Diversiti et Ecophysiologie des Ciriales</t>
  </si>
  <si>
    <t>Vitis vinifera subsp vinifera cv. Arinto du Dâo</t>
  </si>
  <si>
    <t>UMR 1096 / PIA</t>
  </si>
  <si>
    <t>Vitis vinifera subsp vinifera cv. Arizul</t>
  </si>
  <si>
    <t>UMR 1096 /PIA</t>
  </si>
  <si>
    <t>Vitis vinifera subsp vinifera cv. Armas</t>
  </si>
  <si>
    <t>UMR 1097 Vigne</t>
  </si>
  <si>
    <t>Vitis vinifera subsp vinifera cv. Armenia</t>
  </si>
  <si>
    <t>UMR 1136</t>
  </si>
  <si>
    <t>Vitis vinifera subsp vinifera cv. Arna guirna</t>
  </si>
  <si>
    <t>UMR 118 INRA-AgroCampus Rennes</t>
  </si>
  <si>
    <t>Vitis vinifera subsp vinifera cv. Arneis</t>
  </si>
  <si>
    <t>UMR 12 87 EGFV</t>
  </si>
  <si>
    <t>Vitis vinifera subsp vinifera cv. Aromatica = Pirovano 393</t>
  </si>
  <si>
    <t>UMR 320 Genetique Vegetale</t>
  </si>
  <si>
    <t>Vitis vinifera subsp vinifera cv. Aromriesling</t>
  </si>
  <si>
    <t>UMR 5004 laboratoire de physiologie et biologie moleculaire des plantes</t>
  </si>
  <si>
    <t>Vitis vinifera subsp vinifera cv. Arpad = Evêque Prohaszka</t>
  </si>
  <si>
    <t>UMR 5546 Pole de biotechnologies vegetales</t>
  </si>
  <si>
    <t>Vitis vinifera subsp vinifera cv. Arriloba</t>
  </si>
  <si>
    <t>UMR 619 - Equipe Biologie de la Vigne</t>
  </si>
  <si>
    <t>Vitis vinifera subsp vinifera cv. Arrouya</t>
  </si>
  <si>
    <t>UMR 8618 - Laboratoire Structure et Metabolisme des Plantes</t>
  </si>
  <si>
    <t>Vitis vinifera subsp vinifera cv. Arrufiac</t>
  </si>
  <si>
    <t>UMR-DAP</t>
  </si>
  <si>
    <t>Vitis vinifera subsp vinifera cv. Arturo Marescalchi = Pirovano 318</t>
  </si>
  <si>
    <t>UMR05 CNRS/INRA</t>
  </si>
  <si>
    <t>Vitis vinifera subsp vinifera cv. Arvesiniadu</t>
  </si>
  <si>
    <t>UMR1097 Vigne</t>
  </si>
  <si>
    <t>Vitis vinifera subsp vinifera cv. Arvignon</t>
  </si>
  <si>
    <t>UMR118 Amelioration des plantes</t>
  </si>
  <si>
    <t>Vitis vinifera subsp vinifera cv. Arvine</t>
  </si>
  <si>
    <t>UMR518 AgroParisTech/INRA</t>
  </si>
  <si>
    <t>Vitis vinifera subsp vinifera cv. Ascott Citronelle</t>
  </si>
  <si>
    <t>UMR759 Ecophysiologie des plantes sous stress environnementaux</t>
  </si>
  <si>
    <t>Vitis vinifera subsp vinifera cv. Askari</t>
  </si>
  <si>
    <t>UMR8576 CNRS/UST Lille</t>
  </si>
  <si>
    <t>Vitis vinifera subsp vinifera cv. Askeri</t>
  </si>
  <si>
    <t>UNCAC Cooperative Agricole Cereales</t>
  </si>
  <si>
    <t>Vitis vinifera subsp vinifera cv. Askudi</t>
  </si>
  <si>
    <t>UNCAC La Brosse Montceaux</t>
  </si>
  <si>
    <t>Vitis vinifera subsp vinifera cv. Asma</t>
  </si>
  <si>
    <t>Unicopa Clause</t>
  </si>
  <si>
    <t>Vitis vinifera subsp vinifera cv. Asmi assouad</t>
  </si>
  <si>
    <t>Unidad de Recursos Geneticos Universidad Autonoma de Chapingo</t>
  </si>
  <si>
    <t>Vitis vinifera subsp vinifera cv. Asmi blanc</t>
  </si>
  <si>
    <t>Union des Producteurs de Plaimont</t>
  </si>
  <si>
    <t>Vitis vinifera subsp vinifera cv. Aspiran Bouschet</t>
  </si>
  <si>
    <t>Unisigma Gie de Recherche et de Selection</t>
  </si>
  <si>
    <t>Vitis vinifera subsp vinifera cv. Aspiran rouge foncé</t>
  </si>
  <si>
    <t>Unit of Forest improvement, Genetics and Physiology</t>
  </si>
  <si>
    <t>Vitis vinifera subsp vinifera cv. Asprinio</t>
  </si>
  <si>
    <t>UnitÃ© AmÃ©lioration, GÃ©nÃ©tique et Physiologie ForestiÃ?res</t>
  </si>
  <si>
    <t>Vitis vinifera subsp vinifera cv. Asprouda de Santorini</t>
  </si>
  <si>
    <t>UnitC) de Nutrition AzotC)e des Plantes</t>
  </si>
  <si>
    <t>Vitis vinifera subsp vinifera cv. Asprouda Zakinthou</t>
  </si>
  <si>
    <t>Unite Centrale de la Miniere, GEVES</t>
  </si>
  <si>
    <t>Vitis vinifera subsp vinifera cv. Assali al arous</t>
  </si>
  <si>
    <t>Unite d'amelioration des plantes</t>
  </si>
  <si>
    <t>Vitis vinifera subsp vinifera cv. Assario roxo</t>
  </si>
  <si>
    <t>Unite de Biochime et Biologie Moleculaire des Cereales</t>
  </si>
  <si>
    <t>Vitis vinifera subsp vinifera cv. Assario Tinto</t>
  </si>
  <si>
    <t>Unite de Biochimie et Biologie Moleculaire des Cereales</t>
  </si>
  <si>
    <t>Vitis vinifera subsp vinifera cv. Assario (1)</t>
  </si>
  <si>
    <t>Unite de Genetique dt d amelioration des plantes fourrageres</t>
  </si>
  <si>
    <t>Vitis vinifera subsp vinifera cv. Assario (2)</t>
  </si>
  <si>
    <t>Unite de Genetique et d'Amelioration des Fruits et Legumes</t>
  </si>
  <si>
    <t>Vitis vinifera subsp vinifera cv. Asseli</t>
  </si>
  <si>
    <t>Unite de Genetique et d'Amelioration des Plantes Fourrageres (UGAPF)</t>
  </si>
  <si>
    <t>Vitis vinifera subsp vinifera cv. Asserghin</t>
  </si>
  <si>
    <t>Unite de Recherche des Produits de la Vigne</t>
  </si>
  <si>
    <t>Vitis vinifera subsp vinifera cv. Assouad Abou khislé</t>
  </si>
  <si>
    <t>Unite de Recherche en Genetique et Amelioration des plantes</t>
  </si>
  <si>
    <t>Vitis vinifera subsp vinifera cv. Assouad afranji</t>
  </si>
  <si>
    <t>Unite de Recherche en Genomique vegetale</t>
  </si>
  <si>
    <t>Vitis vinifera subsp vinifera cv. Assouad anouni</t>
  </si>
  <si>
    <t>Unite de Recherche Genomique-Info</t>
  </si>
  <si>
    <t>Vitis vinifera subsp vinifera cv. Assouad karech</t>
  </si>
  <si>
    <t>Unite de recherche sur les legumineuses (URLEG)</t>
  </si>
  <si>
    <t>Vitis vinifera subsp vinifera cv. Assoued kere</t>
  </si>
  <si>
    <t>Unite de Recherches en Sante Vegetale</t>
  </si>
  <si>
    <t>Vitis vinifera subsp vinifera cv. Assoued zeme</t>
  </si>
  <si>
    <t>Unite de recherches Interactions Plantes Microorganismes et Sante Vegetale</t>
  </si>
  <si>
    <t>Vitis vinifera subsp vinifera cv. Assul kara</t>
  </si>
  <si>
    <t>Unité Expérimentale du Domaine de Pech Rouge, INRA-Montpellier - UMR-SPO</t>
  </si>
  <si>
    <t>Vitis vinifera subsp vinifera cv. Assyrtico</t>
  </si>
  <si>
    <t>Vitis vinifera subsp vinifera cv. Athiri</t>
  </si>
  <si>
    <t>Unite experimentale du Magneraud, GEVES</t>
  </si>
  <si>
    <t>Vitis vinifera subsp vinifera cv. Athiri lefko</t>
  </si>
  <si>
    <t>Vitis vinifera subsp vinifera cv. Atomic</t>
  </si>
  <si>
    <t>Unite Genetique et amelioration des plantes</t>
  </si>
  <si>
    <t>Vitis vinifera subsp vinifera cv. Atomic apyrène</t>
  </si>
  <si>
    <t>Unite Interactions Plantes-Microorganismes et Sante Vegetale</t>
  </si>
  <si>
    <t>Vitis vinifera subsp vinifera cv. Attiki</t>
  </si>
  <si>
    <t>Unité mixte de recherche Génétique et ecophysiologie des légumineuses (UMRLEG)</t>
  </si>
  <si>
    <t>Vitis vinifera subsp vinifera cv. Attila</t>
  </si>
  <si>
    <t>Unité mixte de recherche Génétique et écophysiologie des légumineuses (UMRLEG)</t>
  </si>
  <si>
    <t>Vitis vinifera subsp vinifera cv. Attilio Ragioneri = Pirovano 150</t>
  </si>
  <si>
    <t>Unité mixte de recherche Physiologie Moléculaire des Semences (UMR PMS)</t>
  </si>
  <si>
    <t>Vitis vinifera subsp vinifera cv. Aubin</t>
  </si>
  <si>
    <t>United State Department of Agriculture by Agricultural Research Service, Washington - USA - Fogle H.</t>
  </si>
  <si>
    <t>Vitis vinifera subsp vinifera cv. Aubin vert</t>
  </si>
  <si>
    <t>United States Department of Agriculture Georgie USA</t>
  </si>
  <si>
    <t>Vitis vinifera subsp vinifera cv. Aubun</t>
  </si>
  <si>
    <t>Univ. Calif. Citrus Exp. Sta.</t>
  </si>
  <si>
    <t>Vitis vinifera subsp vinifera cv. Audibert</t>
  </si>
  <si>
    <t>Universidad de la Republica Oriental del Uruguay</t>
  </si>
  <si>
    <t>Vitis vinifera subsp vinifera cv. Augster blau</t>
  </si>
  <si>
    <t>Universidad Nacional Autonoma de Honduras</t>
  </si>
  <si>
    <t>Vitis vinifera subsp vinifera cv. Augster weisser</t>
  </si>
  <si>
    <t>Universidad Nacional Hermilio Abad del Cusco, Centro K'Ayra</t>
  </si>
  <si>
    <t>Vitis vinifera subsp vinifera cv. Aurata = Pirovano 110</t>
  </si>
  <si>
    <t>Universidade Federal do Rio Grande do Rio Grande</t>
  </si>
  <si>
    <t>Vitis vinifera subsp vinifera cv. Aurora = Pirovano 100</t>
  </si>
  <si>
    <t>Universita di Catania</t>
  </si>
  <si>
    <t>Vitis vinifera subsp vinifera cv. Autumn black</t>
  </si>
  <si>
    <t>Universitaet Hohenheim</t>
  </si>
  <si>
    <t>Vitis vinifera subsp vinifera cv. Autumn seedless</t>
  </si>
  <si>
    <t>Universite Grenoble Biologie moleculaire et vegetale</t>
  </si>
  <si>
    <t>Vitis vinifera subsp vinifera cv. Auxerrois</t>
  </si>
  <si>
    <t>University California USA</t>
  </si>
  <si>
    <t>Vitis vinifera subsp vinifera cv. Avana</t>
  </si>
  <si>
    <t>University Florida USA</t>
  </si>
  <si>
    <t>Vitis vinifera subsp vinifera cv. Avarengo</t>
  </si>
  <si>
    <t>University of Arizona</t>
  </si>
  <si>
    <t>Vitis vinifera subsp vinifera cv. Avassirkhva</t>
  </si>
  <si>
    <t>University of California</t>
  </si>
  <si>
    <t>Vitis vinifera subsp vinifera cv. Avesso</t>
  </si>
  <si>
    <t>University of Illinois,  Urbana-Champaign</t>
  </si>
  <si>
    <t>Vitis vinifera subsp vinifera cv. Avgoulato</t>
  </si>
  <si>
    <t>University of Pretoria</t>
  </si>
  <si>
    <t>Vitis vinifera subsp vinifera cv. Azal branco</t>
  </si>
  <si>
    <t>University of Puerto Rico</t>
  </si>
  <si>
    <t>Vitis vinifera subsp vinifera cv. Azal tinto</t>
  </si>
  <si>
    <t>University of Saskatchewan</t>
  </si>
  <si>
    <t>Vitis vinifera subsp vinifera cv. Azizi el Jaïa</t>
  </si>
  <si>
    <t>University of Sydney Plant Breeding Institute</t>
  </si>
  <si>
    <t>Vitis vinifera subsp vinifera cv. Azougah</t>
  </si>
  <si>
    <t>University of Udayana</t>
  </si>
  <si>
    <t>Vitis vinifera subsp vinifera cv. B 3-1</t>
  </si>
  <si>
    <t>University of Wuhan, Hubei</t>
  </si>
  <si>
    <t>Vitis vinifera subsp vinifera cv. B 5-6</t>
  </si>
  <si>
    <t>UNKNOWN</t>
  </si>
  <si>
    <t>Vitis vinifera subsp vinifera cv. Babeasca gris</t>
  </si>
  <si>
    <t>Vitis vinifera subsp vinifera cv. Babeasca neagra</t>
  </si>
  <si>
    <t>UPS Pole de Biotechnologie Vegetale</t>
  </si>
  <si>
    <t>Vitis vinifera subsp vinifera cv. Babic</t>
  </si>
  <si>
    <t>Vitis vinifera subsp vinifera cv. Bacchus = Geilweilerhof 33-29-133</t>
  </si>
  <si>
    <t>UR EFV</t>
  </si>
  <si>
    <t>Vitis vinifera subsp vinifera cv. Bacchus Bidault</t>
  </si>
  <si>
    <t>Vitis vinifera subsp vinifera cv. Bachet</t>
  </si>
  <si>
    <t>UR GAFL</t>
  </si>
  <si>
    <t>Vitis vinifera subsp vinifera cv. Badacsonyi Somzölö</t>
  </si>
  <si>
    <t>Vitis vinifera subsp vinifera cv. Baga</t>
  </si>
  <si>
    <t>Vitis vinifera subsp vinifera cv. Baïan Schirei</t>
  </si>
  <si>
    <t>Vitis vinifera subsp vinifera cv. Bakarka</t>
  </si>
  <si>
    <t>URGV</t>
  </si>
  <si>
    <t>Vitis vinifera subsp vinifera cv. Bakator kek</t>
  </si>
  <si>
    <t>URGV,  CNRS / INRA</t>
  </si>
  <si>
    <t>Vitis vinifera subsp vinifera cv. Bakator piros</t>
  </si>
  <si>
    <t>URGV - Plant Genomics Research Unit</t>
  </si>
  <si>
    <t>Vitis vinifera subsp vinifera cv. Bakator tüdöszinu</t>
  </si>
  <si>
    <t>Vitis vinifera subsp vinifera cv. Bakouri</t>
  </si>
  <si>
    <t>URP3F</t>
  </si>
  <si>
    <t>Vitis vinifera subsp vinifera cv. Balafant</t>
  </si>
  <si>
    <t>UR121 RIZ</t>
  </si>
  <si>
    <t>Vitis vinifera subsp vinifera cv. Balaton kincse</t>
  </si>
  <si>
    <t>UR254 Genetique et amelioration des plantes</t>
  </si>
  <si>
    <t>Vitis vinifera subsp vinifera cv. Balbut bijeli</t>
  </si>
  <si>
    <t>U.S. Date and Citrus Station</t>
  </si>
  <si>
    <t>Vitis vinifera subsp vinifera cv. Balint</t>
  </si>
  <si>
    <t>US Department of Agriculture,  Agriculture Research Service, Pacific West Area,  Western Regional Research Center</t>
  </si>
  <si>
    <t>Vitis vinifera subsp vinifera cv. Balouti</t>
  </si>
  <si>
    <t>US Department of Agriculture,  Agriculture Research Service, Plant Science and  Entomology Unit</t>
  </si>
  <si>
    <t>Vitis vinifera subsp vinifera cv. Balouzme</t>
  </si>
  <si>
    <t>U.S. Horticultural Field Station</t>
  </si>
  <si>
    <t>Vitis vinifera subsp vinifera cv. Balsamina nera</t>
  </si>
  <si>
    <t>U.S Horticultural Research</t>
  </si>
  <si>
    <t>Vitis vinifera subsp vinifera cv. Balsamino blanc</t>
  </si>
  <si>
    <t>US. Horticultural Research Lab,  Ft. Pierce,  FL</t>
  </si>
  <si>
    <t>Vitis vinifera subsp vinifera cv. Balzac blanc</t>
  </si>
  <si>
    <t>US Horticultural Research Laboratory</t>
  </si>
  <si>
    <t>Vitis vinifera subsp vinifera cv. Banati Rizling</t>
  </si>
  <si>
    <t>US Horticulture Research Laboratory, USDA/ARS</t>
  </si>
  <si>
    <t>Vitis vinifera subsp vinifera cv. Baratcsuha kek</t>
  </si>
  <si>
    <t>USDA, ARS Agricultural Research Service</t>
  </si>
  <si>
    <t>Vitis vinifera subsp vinifera cv. Baratcsuha szürke</t>
  </si>
  <si>
    <t>USDA, ARS, National Small Grains Collection</t>
  </si>
  <si>
    <t>Vitis vinifera subsp vinifera cv. Barbableu = Pirovano 81</t>
  </si>
  <si>
    <t>USDA, ARS, Plant Genetic Resources Unit, Cornell University, New York State Agricultural Experiment Station</t>
  </si>
  <si>
    <t>Vitis vinifera subsp vinifera cv. Barbaroux</t>
  </si>
  <si>
    <t>USDA, ARS, Washington State University, Irrigation Agricultural Research and Extension Center</t>
  </si>
  <si>
    <t>Vitis vinifera subsp vinifera cv. Barbera</t>
  </si>
  <si>
    <t>USDA, ARS, Western Regional Plant Introduction Station, Washington State University</t>
  </si>
  <si>
    <t>Vitis vinifera subsp vinifera cv. Barbera bianca</t>
  </si>
  <si>
    <t>USDA ARS WRRC</t>
  </si>
  <si>
    <t>Vitis vinifera subsp vinifera cv. Barcello</t>
  </si>
  <si>
    <t>USDA Beltsville Agricultural research Centre</t>
  </si>
  <si>
    <t>Vitis vinifera subsp vinifera cv. Barducis</t>
  </si>
  <si>
    <t>USDA/ARS Children's Nutrition Research Center</t>
  </si>
  <si>
    <t>Vitis vinifera subsp vinifera cv. Baresana</t>
  </si>
  <si>
    <t>USDA-ARS-JWDSRC</t>
  </si>
  <si>
    <t>Vitis vinifera subsp vinifera cv. Barlinka</t>
  </si>
  <si>
    <t>U.S.Department of Agriculture</t>
  </si>
  <si>
    <t>Vitis vinifera subsp vinifera cv. Barone dell Aterno = Pirovano 184</t>
  </si>
  <si>
    <t>U.S.Department of Agriculture - Agricultural Research Service</t>
  </si>
  <si>
    <t>Vitis vinifera subsp vinifera cv. Baroque</t>
  </si>
  <si>
    <t>Ustimovskaya Experimental Station for Plant Cultivation</t>
  </si>
  <si>
    <t>Vitis vinifera subsp vinifera cv. Baroque rose</t>
  </si>
  <si>
    <t>Utah Agricultural Experiment Station, Utah State University</t>
  </si>
  <si>
    <t>Vitis vinifera subsp vinifera cv. Barraquou</t>
  </si>
  <si>
    <t>Van borren, Tchécoslovaquie</t>
  </si>
  <si>
    <t>Vitis vinifera subsp vinifera cv. Barsaglina</t>
  </si>
  <si>
    <t>Van der Have GmbH</t>
  </si>
  <si>
    <t>Vitis vinifera subsp vinifera cv. Baserri</t>
  </si>
  <si>
    <t>Veg Saatzucht Hadmersleben</t>
  </si>
  <si>
    <t>Vitis vinifera subsp vinifera cv. Basicata</t>
  </si>
  <si>
    <t>Vegetable breeding station PEKIN</t>
  </si>
  <si>
    <t>Vitis vinifera subsp vinifera cv. Basicata faux</t>
  </si>
  <si>
    <t>Verger expérimental de l'Yonne (89) - France</t>
  </si>
  <si>
    <t>Vitis vinifera subsp vinifera cv. Basile Logothetis = Pirovano 77</t>
  </si>
  <si>
    <t>Villa Thuret</t>
  </si>
  <si>
    <t>Vitis vinifera subsp vinifera cv. Basilicumtraube</t>
  </si>
  <si>
    <t>Ville de Menton</t>
  </si>
  <si>
    <t>Vitis vinifera subsp vinifera cv. Bastardinho</t>
  </si>
  <si>
    <t>Vilmorin</t>
  </si>
  <si>
    <t>Vitis vinifera subsp vinifera cv. Bastardo Magaratchskii</t>
  </si>
  <si>
    <t>Vilmorin S.A.</t>
  </si>
  <si>
    <t>Vitis vinifera subsp vinifera cv. Batiki</t>
  </si>
  <si>
    <t>Vilmorin-Andrieux</t>
  </si>
  <si>
    <t>Vitis vinifera subsp vinifera cv. Batoca blanc</t>
  </si>
  <si>
    <t>Virginia Agricultural Experiment Station, Virginia Tech</t>
  </si>
  <si>
    <t>Vitis vinifera subsp vinifera cv. Battraube</t>
  </si>
  <si>
    <t>Vnii Sorgo I Drugih Zernovyh Kul'tur</t>
  </si>
  <si>
    <t>Vitis vinifera subsp vinifera cv. Batuta neagra</t>
  </si>
  <si>
    <t>Volcani Research Center</t>
  </si>
  <si>
    <t>Vitis vinifera subsp vinifera cv. Baude</t>
  </si>
  <si>
    <t>Waite Agricultural Research Institute University of Adelaide</t>
  </si>
  <si>
    <t>Vitis vinifera subsp vinifera cv. Baxtiori</t>
  </si>
  <si>
    <t>Wakayama Fruit Tree Experiment Station</t>
  </si>
  <si>
    <t>Vitis vinifera subsp vinifera cv. Bayad</t>
  </si>
  <si>
    <t>Washington State University Research Foundation - Pullman, WA - USA - Toyama TK</t>
  </si>
  <si>
    <t>Vitis vinifera subsp vinifera cv. Bayadi</t>
  </si>
  <si>
    <t>Washington State University Research Foundation, Pullman, WA - USA + Cot International, Generac - France</t>
  </si>
  <si>
    <t>Vitis vinifera subsp vinifera cv. Bayadi de Syrie</t>
  </si>
  <si>
    <t>Weizman Institute of Science</t>
  </si>
  <si>
    <t>Vitis vinifera subsp vinifera cv. Bayadi du Liban</t>
  </si>
  <si>
    <t>Western Australian Department of Agriculture</t>
  </si>
  <si>
    <t>Vitis vinifera subsp vinifera cv. BB 575-49 SRLH</t>
  </si>
  <si>
    <t>Wet-lowlands Islands Research Programme, Keravat</t>
  </si>
  <si>
    <t>Vitis vinifera subsp vinifera cv. Beala debela</t>
  </si>
  <si>
    <t>Wheat National Research Center</t>
  </si>
  <si>
    <t>Vitis vinifera subsp vinifera cv. Beaunoir</t>
  </si>
  <si>
    <t>Wheat Research Institute Ilam Research Centre</t>
  </si>
  <si>
    <t>Vitis vinifera subsp vinifera cv. Beauty seedless</t>
  </si>
  <si>
    <t>Wiersum Plant Breeding Station</t>
  </si>
  <si>
    <t>Vitis vinifera subsp vinifera cv. Béclan</t>
  </si>
  <si>
    <t>William James Farrer - Breeder</t>
  </si>
  <si>
    <t>Vitis vinifera subsp vinifera cv. Beid el Hamman</t>
  </si>
  <si>
    <t>Willits &amp; Newcomb Nurseries Co. Inc</t>
  </si>
  <si>
    <t>Vitis vinifera subsp vinifera cv. Beitamouni</t>
  </si>
  <si>
    <t>Winnipeg Research Station Agriculture Canada</t>
  </si>
  <si>
    <t>Vitis vinifera subsp vinifera cv. Belair</t>
  </si>
  <si>
    <t>Wisconsin Agricultural Experiment Station, University of Wisconsin</t>
  </si>
  <si>
    <t>Vitis vinifera subsp vinifera cv. Beldi x Ugni blanc</t>
  </si>
  <si>
    <t>World Seeds Inc.</t>
  </si>
  <si>
    <t>Vitis vinifera subsp vinifera cv. Beldi x Ugni blanc 36 L 4</t>
  </si>
  <si>
    <t>Yossef Ben-dor, Perot Oemashtalot Ltd. - Hama'ala - Israel</t>
  </si>
  <si>
    <t>Vitis vinifera subsp vinifera cv. Belle de Cegled</t>
  </si>
  <si>
    <t>Zaiger Floid, Modesto - CA - USA</t>
  </si>
  <si>
    <t>Vitis vinifera subsp vinifera cv. Bellevue</t>
  </si>
  <si>
    <t>Zelder B.V.</t>
  </si>
  <si>
    <t>Vitis vinifera subsp vinifera cv. Bellino</t>
  </si>
  <si>
    <t>Zeneca Seeds UK Limited - Plant Breeding and Research Centre</t>
  </si>
  <si>
    <t>Vitis vinifera subsp vinifera cv. Bellone</t>
  </si>
  <si>
    <t>Zeneca Wheat Improvement Centre,  Norwich Research Park</t>
  </si>
  <si>
    <t>Vitis vinifera subsp vinifera cv. Belz el Ansa</t>
  </si>
  <si>
    <t>Zhejiang University</t>
  </si>
  <si>
    <t>Vitis vinifera subsp vinifera cv. Bem tabornok = Général Bem</t>
  </si>
  <si>
    <t>Zjednocz. Hodowli Roslin i Nasiennictwa</t>
  </si>
  <si>
    <t>Vitis vinifera subsp vinifera cv. Ben Suilah</t>
  </si>
  <si>
    <t>ZMBP - Center for Molecular Biology of Plants</t>
  </si>
  <si>
    <t>Vitis vinifera subsp vinifera cv. Beneti noir</t>
  </si>
  <si>
    <t>Vitis vinifera subsp vinifera cv. Benicarlo</t>
  </si>
  <si>
    <t>Vitis vinifera subsp vinifera cv. Beogradska rana</t>
  </si>
  <si>
    <t>Vitis vinifera subsp vinifera cv. Béquignol</t>
  </si>
  <si>
    <t>Vitis vinifera subsp vinifera cv. Béquignol blanc</t>
  </si>
  <si>
    <t>Vitis vinifera subsp vinifera cv. Béquignol gris</t>
  </si>
  <si>
    <t>Vitis vinifera subsp vinifera cv. Beran</t>
  </si>
  <si>
    <t>Vitis vinifera subsp vinifera cv. Berbecel</t>
  </si>
  <si>
    <t>Vitis vinifera subsp vinifera cv. Berdomenel</t>
  </si>
  <si>
    <t>Vitis vinifera subsp vinifera cv. Beregi rozsas</t>
  </si>
  <si>
    <t>Vitis vinifera subsp vinifera cv. Beregi rozsas faux</t>
  </si>
  <si>
    <t>Vitis vinifera subsp vinifera cv. Bermestia bianca</t>
  </si>
  <si>
    <t>Vitis vinifera subsp vinifera cv. Bervedino</t>
  </si>
  <si>
    <t>Vitis vinifera subsp vinifera cv. Besgano nero</t>
  </si>
  <si>
    <t>Vitis vinifera subsp vinifera cv. Best's 22</t>
  </si>
  <si>
    <t>Vitis vinifera subsp vinifera cv. Bettlertraube</t>
  </si>
  <si>
    <t>Vitis vinifera subsp vinifera cv. Beylerce</t>
  </si>
  <si>
    <t>Vitis vinifera subsp vinifera cv. Bezoul el Aouda</t>
  </si>
  <si>
    <t>Vitis vinifera subsp vinifera cv. Bezoul el Kedima</t>
  </si>
  <si>
    <t>Vitis vinifera subsp vinifera cv. Bezoul el Kelba</t>
  </si>
  <si>
    <t>Vitis vinifera subsp vinifera cv. Bezoul el Khadem</t>
  </si>
  <si>
    <t>Vitis vinifera subsp vinifera cv. Bia blanc</t>
  </si>
  <si>
    <t>Vitis vinifera subsp vinifera cv. Biancame</t>
  </si>
  <si>
    <t>Vitis vinifera subsp vinifera cv. Biancazza</t>
  </si>
  <si>
    <t>Vitis vinifera subsp vinifera cv. Bianchetta genovese</t>
  </si>
  <si>
    <t>Vitis vinifera subsp vinifera cv. Bianchetta trevigiana</t>
  </si>
  <si>
    <t>Vitis vinifera subsp vinifera cv. Bianco d'Alessano</t>
  </si>
  <si>
    <t>Vitis vinifera subsp vinifera cv. Biancolella</t>
  </si>
  <si>
    <t>Vitis vinifera subsp vinifera cv. Biancone</t>
  </si>
  <si>
    <t>Vitis vinifera subsp vinifera cv. Biancu Gentile</t>
  </si>
  <si>
    <t>Vitis vinifera subsp vinifera cv. Bicane</t>
  </si>
  <si>
    <t>Vitis vinifera subsp vinifera cv. Bichtii</t>
  </si>
  <si>
    <t>Vitis vinifera subsp vinifera cv. Biczo balint emleke</t>
  </si>
  <si>
    <t>Vitis vinifera subsp vinifera cv. Biczö egon</t>
  </si>
  <si>
    <t>Vitis vinifera subsp vinifera cv. Bidaneh ghelmez</t>
  </si>
  <si>
    <t>Vitis vinifera subsp vinifera cv. Bien donné</t>
  </si>
  <si>
    <t>Vitis vinifera subsp vinifera cv. Big Perlon</t>
  </si>
  <si>
    <t>Vitis vinifera subsp vinifera cv. Bigasse</t>
  </si>
  <si>
    <t>Vitis vinifera subsp vinifera cv. Binisalem</t>
  </si>
  <si>
    <t>Vitis vinifera subsp vinifera cv. Black Alicante</t>
  </si>
  <si>
    <t>Vitis vinifera subsp vinifera cv. Black monukka</t>
  </si>
  <si>
    <t>Vitis vinifera subsp vinifera cv. Black Morocco</t>
  </si>
  <si>
    <t>Vitis vinifera subsp vinifera cv. Black Pearl Corrin</t>
  </si>
  <si>
    <t>Vitis vinifera subsp vinifera cv. Black Prince</t>
  </si>
  <si>
    <t>Vitis vinifera subsp vinifera cv. Black Rose = H 3-47</t>
  </si>
  <si>
    <t>Vitis vinifera subsp vinifera cv. Blanc Auba</t>
  </si>
  <si>
    <t>Vitis vinifera subsp vinifera cv. Blanc Cardon</t>
  </si>
  <si>
    <t>Vitis vinifera subsp vinifera cv. Blanc d'ambre</t>
  </si>
  <si>
    <t>Vitis vinifera subsp vinifera cv. Blanc Dame</t>
  </si>
  <si>
    <t>Vitis vinifera subsp vinifera cv. Blanc d'Automne</t>
  </si>
  <si>
    <t>Vitis vinifera subsp vinifera cv. Blanc de Creüe</t>
  </si>
  <si>
    <t>Vitis vinifera subsp vinifera cv. Blanc de Dellys</t>
  </si>
  <si>
    <t>Vitis vinifera subsp vinifera cv. Blanc de Dellys x Rhodites</t>
  </si>
  <si>
    <t>Vitis vinifera subsp vinifera cv. Blanc de Morgex</t>
  </si>
  <si>
    <t>Vitis vinifera subsp vinifera cv. Blanc de Rhafsaï</t>
  </si>
  <si>
    <t>Vitis vinifera subsp vinifera cv. Blanc Marquis</t>
  </si>
  <si>
    <t>Vitis vinifera subsp vinifera cv. Blanc Neyroud</t>
  </si>
  <si>
    <t>Vitis vinifera subsp vinifera cv. Blanc vert</t>
  </si>
  <si>
    <t>Vitis vinifera subsp vinifera cv. Blanca Gordal</t>
  </si>
  <si>
    <t>Vitis vinifera subsp vinifera cv. Blanca Superior para parral</t>
  </si>
  <si>
    <t>Vitis vinifera subsp vinifera cv. Blanca temprana Almeria</t>
  </si>
  <si>
    <t>Vitis vinifera subsp vinifera cv. Blancard</t>
  </si>
  <si>
    <t>Vitis vinifera subsp vinifera cv. Blanchier</t>
  </si>
  <si>
    <t>Vitis vinifera subsp vinifera cv. Blancorna</t>
  </si>
  <si>
    <t>Vitis vinifera subsp vinifera cv. Blank blauer</t>
  </si>
  <si>
    <t>Vitis vinifera subsp vinifera cv. Blanqueiron</t>
  </si>
  <si>
    <t>Vitis vinifera subsp vinifera cv. Blatina crna</t>
  </si>
  <si>
    <t>Vitis vinifera subsp vinifera cv. Blauburger</t>
  </si>
  <si>
    <t>Vitis vinifera subsp vinifera cv. Blauer Muskateller</t>
  </si>
  <si>
    <t>Vitis vinifera subsp vinifera cv. Blush seedless</t>
  </si>
  <si>
    <t>Vitis vinifera subsp vinifera cv. Boal cachudo</t>
  </si>
  <si>
    <t>Vitis vinifera subsp vinifera cv. Boal de Alicante Moscatel</t>
  </si>
  <si>
    <t>Vitis vinifera subsp vinifera cv. Boal de Madère</t>
  </si>
  <si>
    <t>Vitis vinifera subsp vinifera cv. Boal de Natura</t>
  </si>
  <si>
    <t>Vitis vinifera subsp vinifera cv. Boal molle</t>
  </si>
  <si>
    <t>Vitis vinifera subsp vinifera cv. Boal rosado</t>
  </si>
  <si>
    <t>Vitis vinifera subsp vinifera cv. Bobal</t>
  </si>
  <si>
    <t>Vitis vinifera subsp vinifera cv. Bocalilla</t>
  </si>
  <si>
    <t>Vitis vinifera subsp vinifera cv. Bogaz kere</t>
  </si>
  <si>
    <t>Vitis vinifera subsp vinifera cv. Bogdanusa</t>
  </si>
  <si>
    <t>Vitis vinifera subsp vinifera cv. Bogdanyi dinka</t>
  </si>
  <si>
    <t>Vitis vinifera subsp vinifera cv. Bogni 17 B</t>
  </si>
  <si>
    <t>Vitis vinifera subsp vinifera cv. Bogni 8</t>
  </si>
  <si>
    <t>Vitis vinifera subsp vinifera cv. Bombino bianco</t>
  </si>
  <si>
    <t>Vitis vinifera subsp vinifera cv. Bombino nero</t>
  </si>
  <si>
    <t>Vitis vinifera subsp vinifera cv. Bon blanc de Frangy</t>
  </si>
  <si>
    <t>Vitis vinifera subsp vinifera cv. Bonamico</t>
  </si>
  <si>
    <t>Vitis vinifera subsp vinifera cv. Bonarda piemontese</t>
  </si>
  <si>
    <t>Vitis vinifera subsp vinifera cv. Bonheur</t>
  </si>
  <si>
    <t>Vitis vinifera subsp vinifera cv. Bonne Vituaigne</t>
  </si>
  <si>
    <t>Vitis vinifera subsp vinifera cv. Bonnet de retord</t>
  </si>
  <si>
    <t>Vitis vinifera subsp vinifera cv. Bonnita</t>
  </si>
  <si>
    <t>Vitis vinifera subsp vinifera cv. Borba blanca</t>
  </si>
  <si>
    <t>Vitis vinifera subsp vinifera cv. Boriska</t>
  </si>
  <si>
    <t>Vitis vinifera subsp vinifera cv. Borraçal</t>
  </si>
  <si>
    <t>Vitis vinifera subsp vinifera cv. Borrado das moscas</t>
  </si>
  <si>
    <t>Vitis vinifera subsp vinifera cv. Bosco</t>
  </si>
  <si>
    <t>Vitis vinifera subsp vinifera cv. Boskokwi</t>
  </si>
  <si>
    <t>Vitis vinifera subsp vinifera cv. Botun</t>
  </si>
  <si>
    <t>Vitis vinifera subsp vinifera cv. Bou Khanzir blanc</t>
  </si>
  <si>
    <t>Vitis vinifera subsp vinifera cv. Bou Khanzir noir</t>
  </si>
  <si>
    <t>Vitis vinifera subsp vinifera cv. Bou Qsob faux</t>
  </si>
  <si>
    <t>Vitis vinifera subsp vinifera cv. Bou Rouguia</t>
  </si>
  <si>
    <t>Vitis vinifera subsp vinifera cv. Bouaki nor</t>
  </si>
  <si>
    <t>Vitis vinifera subsp vinifera cv. Bouaki tach</t>
  </si>
  <si>
    <t>Vitis vinifera subsp vinifera cv. Bouchalès</t>
  </si>
  <si>
    <t>Vitis vinifera subsp vinifera cv. Bouchereau</t>
  </si>
  <si>
    <t>Vitis vinifera subsp vinifera cv. Bouchouka</t>
  </si>
  <si>
    <t>Vitis vinifera subsp vinifera cv. Boudechouri tcherny</t>
  </si>
  <si>
    <t>Vitis vinifera subsp vinifera cv. Bouillan</t>
  </si>
  <si>
    <t>Vitis vinifera subsp vinifera cv. Bouillenc noir</t>
  </si>
  <si>
    <t>Vitis vinifera subsp vinifera cv. Bouillet</t>
  </si>
  <si>
    <t>Vitis vinifera subsp vinifera cv. Boulanoui</t>
  </si>
  <si>
    <t>Vitis vinifera subsp vinifera cv. Bouquet riesling</t>
  </si>
  <si>
    <t>Vitis vinifera subsp vinifera cv. Bouquet Sylvaner</t>
  </si>
  <si>
    <t>Vitis vinifera subsp vinifera cv. Bouquettraube</t>
  </si>
  <si>
    <t>Vitis vinifera subsp vinifera cv. Bourboulenc</t>
  </si>
  <si>
    <t>Vitis vinifera subsp vinifera cv. Bourdier 2-04-58</t>
  </si>
  <si>
    <t>Vitis vinifera subsp vinifera cv. Bourrisquou</t>
  </si>
  <si>
    <t>Vitis vinifera subsp vinifera cv. Bouteillan noir</t>
  </si>
  <si>
    <t>Vitis vinifera subsp vinifera cv. Bouvierrebe</t>
  </si>
  <si>
    <t>Vitis vinifera subsp vinifera cv. Bouzouga</t>
  </si>
  <si>
    <t>Vitis vinifera subsp vinifera cv. Bovale grande = Bovale di Spagna</t>
  </si>
  <si>
    <t>Vitis vinifera subsp vinifera cv. Bracciola nera</t>
  </si>
  <si>
    <t>Vitis vinifera subsp vinifera cv. Brachet</t>
  </si>
  <si>
    <t>Vitis vinifera subsp vinifera cv. Brachet 2</t>
  </si>
  <si>
    <t>Vitis vinifera subsp vinifera cv. Brachetto</t>
  </si>
  <si>
    <t>Vitis vinifera subsp vinifera cv. Braghina</t>
  </si>
  <si>
    <t>Vitis vinifera subsp vinifera cv. Bratkovina</t>
  </si>
  <si>
    <t>Vitis vinifera subsp vinifera cv. Bronnerstraube</t>
  </si>
  <si>
    <t>Vitis vinifera subsp vinifera cv. Broumest</t>
  </si>
  <si>
    <t>Vitis vinifera subsp vinifera cv. Brun argenté</t>
  </si>
  <si>
    <t>Vitis vinifera subsp vinifera cv. Brun Fourca</t>
  </si>
  <si>
    <t>Vitis vinifera subsp vinifera cv. Bruni 1 Sélection clonale</t>
  </si>
  <si>
    <t>Vitis vinifera subsp vinifera cv. Bruni 100</t>
  </si>
  <si>
    <t>Vitis vinifera subsp vinifera cv. Bruni 102</t>
  </si>
  <si>
    <t>Vitis vinifera subsp vinifera cv. Bruni 116</t>
  </si>
  <si>
    <t>Vitis vinifera subsp vinifera cv. Bruni 12</t>
  </si>
  <si>
    <t>Vitis vinifera subsp vinifera cv. Bruni 125</t>
  </si>
  <si>
    <t>Vitis vinifera subsp vinifera cv. Bruni 14</t>
  </si>
  <si>
    <t>Vitis vinifera subsp vinifera cv. Bruni 147</t>
  </si>
  <si>
    <t>Vitis vinifera subsp vinifera cv. Bruni 15</t>
  </si>
  <si>
    <t>Vitis vinifera subsp vinifera cv. Bruni 154</t>
  </si>
  <si>
    <t>Vitis vinifera subsp vinifera cv. Bruni 18 (hybride)</t>
  </si>
  <si>
    <t>Vitis vinifera subsp vinifera cv. Bruni 317</t>
  </si>
  <si>
    <t>Vitis vinifera subsp vinifera cv. Bruni 33</t>
  </si>
  <si>
    <t>Vitis vinifera subsp vinifera cv. Bruni 36</t>
  </si>
  <si>
    <t>Vitis vinifera subsp vinifera cv. Bruni 360</t>
  </si>
  <si>
    <t>Vitis vinifera subsp vinifera cv. Bruni 381</t>
  </si>
  <si>
    <t>Vitis vinifera subsp vinifera cv. Bruni 4</t>
  </si>
  <si>
    <t>Vitis vinifera subsp vinifera cv. Bruni 41</t>
  </si>
  <si>
    <t>Vitis vinifera subsp vinifera cv. Bruni 415</t>
  </si>
  <si>
    <t>Vitis vinifera subsp vinifera cv. Bruni 429</t>
  </si>
  <si>
    <t>Vitis vinifera subsp vinifera cv. Bruni 45</t>
  </si>
  <si>
    <t>Vitis vinifera subsp vinifera cv. Bruni 54</t>
  </si>
  <si>
    <t>Vitis vinifera subsp vinifera cv. Bruni 65</t>
  </si>
  <si>
    <t>Vitis vinifera subsp vinifera cv. Bruni 74</t>
  </si>
  <si>
    <t>Vitis vinifera subsp vinifera cv. Bruni 75</t>
  </si>
  <si>
    <t>Vitis vinifera subsp vinifera cv. Bruni 90</t>
  </si>
  <si>
    <t>Vitis vinifera subsp vinifera cv. Brunq noir</t>
  </si>
  <si>
    <t>Vitis vinifera subsp vinifera cv. Brustiano</t>
  </si>
  <si>
    <t>Vitis vinifera subsp vinifera cv. Brustiano faux</t>
  </si>
  <si>
    <t>Vitis vinifera subsp vinifera cv. Buckland sweet water</t>
  </si>
  <si>
    <t>Vitis vinifera subsp vinifera cv. Budai Szagos</t>
  </si>
  <si>
    <t>Vitis vinifera subsp vinifera cv. Budai zöld</t>
  </si>
  <si>
    <t>Vitis vinifera subsp vinifera cv. Burgrave de Hongrie</t>
  </si>
  <si>
    <t>Vitis vinifera subsp vinifera cv. Cabasma alba</t>
  </si>
  <si>
    <t>Vitis vinifera subsp vinifera cv. Cabernet franc</t>
  </si>
  <si>
    <t>Vitis vinifera subsp vinifera cv. Cabernet Lion</t>
  </si>
  <si>
    <t>Vitis vinifera subsp vinifera cv. Cabernet-Malbec n°1</t>
  </si>
  <si>
    <t>Vitis vinifera subsp vinifera cv. Cabernet-Malbec n°2</t>
  </si>
  <si>
    <t>Vitis vinifera subsp vinifera cv. Cabernet-Malbec n°4</t>
  </si>
  <si>
    <t>Vitis vinifera subsp vinifera cv. Cabernet-Sauvignon</t>
  </si>
  <si>
    <t>Vitis vinifera subsp vinifera cv. Cacaboué</t>
  </si>
  <si>
    <t>Vitis vinifera subsp vinifera cv. Caddiu</t>
  </si>
  <si>
    <t>Vitis vinifera subsp vinifera cv. Cainho branco</t>
  </si>
  <si>
    <t>Vitis vinifera subsp vinifera cv. Caiño longo</t>
  </si>
  <si>
    <t>Vitis vinifera subsp vinifera cv. Calabre</t>
  </si>
  <si>
    <t>Vitis vinifera subsp vinifera cv. Calabrese</t>
  </si>
  <si>
    <t>Vitis vinifera subsp vinifera cv. Caladoc = INRA 1510-104</t>
  </si>
  <si>
    <t>Vitis vinifera subsp vinifera cv. Calitor</t>
  </si>
  <si>
    <t>Vitis vinifera subsp vinifera cv. Calitor blanc</t>
  </si>
  <si>
    <t>Vitis vinifera subsp vinifera cv. Calitor gris</t>
  </si>
  <si>
    <t>Vitis vinifera subsp vinifera cv. Callet</t>
  </si>
  <si>
    <t>Vitis vinifera subsp vinifera cv. Calmeria = C11-31-5</t>
  </si>
  <si>
    <t>Vitis vinifera subsp vinifera cv. Caloria</t>
  </si>
  <si>
    <t>Vitis vinifera subsp vinifera cv. Calzin</t>
  </si>
  <si>
    <t>Vitis vinifera subsp vinifera cv. Camaralet de Lasseube</t>
  </si>
  <si>
    <t>Vitis vinifera subsp vinifera cv. Camaraou blanc</t>
  </si>
  <si>
    <t>Vitis vinifera subsp vinifera cv. Camaraou noir</t>
  </si>
  <si>
    <t>Vitis vinifera subsp vinifera cv. Canaiolo</t>
  </si>
  <si>
    <t>Vitis vinifera subsp vinifera cv. Canari</t>
  </si>
  <si>
    <t>Vitis vinifera subsp vinifera cv. Canina nera</t>
  </si>
  <si>
    <t>Vitis vinifera subsp vinifera cv. Canner seedless</t>
  </si>
  <si>
    <t>Vitis vinifera subsp vinifera cv. Cannon Hall</t>
  </si>
  <si>
    <t>Vitis vinifera subsp vinifera cv. Cannon Hall faux</t>
  </si>
  <si>
    <t>Vitis vinifera subsp vinifera cv. Cañocazo</t>
  </si>
  <si>
    <t>Vitis vinifera subsp vinifera cv. Cañorroyo</t>
  </si>
  <si>
    <t>Vitis vinifera subsp vinifera cv. Cape currant</t>
  </si>
  <si>
    <t>Vitis vinifera subsp vinifera cv. Caralicante</t>
  </si>
  <si>
    <t>Vitis vinifera subsp vinifera cv. Carcaces</t>
  </si>
  <si>
    <t>Vitis vinifera subsp vinifera cv. Carcajolo</t>
  </si>
  <si>
    <t>Vitis vinifera subsp vinifera cv. Carcajolo blanc</t>
  </si>
  <si>
    <t>Vitis vinifera subsp vinifera cv. Cardinal = G 10-30</t>
  </si>
  <si>
    <t>Vitis vinifera subsp vinifera cv. Carignan</t>
  </si>
  <si>
    <t>Vitis vinifera subsp vinifera cv. Carignan blanc</t>
  </si>
  <si>
    <t>Vitis vinifera subsp vinifera cv. Carignan Bouschet</t>
  </si>
  <si>
    <t>Vitis vinifera subsp vinifera cv. Carignan gris</t>
  </si>
  <si>
    <t>Vitis vinifera subsp vinifera cv. Carla = INRA 1650-10</t>
  </si>
  <si>
    <t>Vitis vinifera subsp vinifera cv. Carmenère</t>
  </si>
  <si>
    <t>Vitis vinifera subsp vinifera cv. Carminoir</t>
  </si>
  <si>
    <t>Vitis vinifera subsp vinifera cv. Carnelian</t>
  </si>
  <si>
    <t>Vitis vinifera subsp vinifera cv. Carrega somera</t>
  </si>
  <si>
    <t>Vitis vinifera subsp vinifera cv. Carricante</t>
  </si>
  <si>
    <t>Vitis vinifera subsp vinifera cv. Cartuja blanca</t>
  </si>
  <si>
    <t>Vitis vinifera subsp vinifera cv. Castellano morado</t>
  </si>
  <si>
    <t>Vitis vinifera subsp vinifera cv. Castets</t>
  </si>
  <si>
    <t>Vitis vinifera subsp vinifera cv. Castiglione</t>
  </si>
  <si>
    <t>Vitis vinifera subsp vinifera cv. Catalanesca</t>
  </si>
  <si>
    <t>Vitis vinifera subsp vinifera cv. Catanese nero</t>
  </si>
  <si>
    <t>Vitis vinifera subsp vinifera cv. Catarratto bianco comune</t>
  </si>
  <si>
    <t>Vitis vinifera subsp vinifera cv. Catarratto bianco lucido</t>
  </si>
  <si>
    <t>Vitis vinifera subsp vinifera cv. Catarratto nero</t>
  </si>
  <si>
    <t>Vitis vinifera subsp vinifera cv. Centennial seedless</t>
  </si>
  <si>
    <t>Vitis vinifera subsp vinifera cv. Centorotolli</t>
  </si>
  <si>
    <t>Vitis vinifera subsp vinifera cv. Cep rouge</t>
  </si>
  <si>
    <t>Vitis vinifera subsp vinifera cv. Cercial du Dão</t>
  </si>
  <si>
    <t>Vitis vinifera subsp vinifera cv. Cereza</t>
  </si>
  <si>
    <t>Vitis vinifera subsp vinifera cv. Cesanese comune</t>
  </si>
  <si>
    <t>Vitis vinifera subsp vinifera cv. César</t>
  </si>
  <si>
    <t>Vitis vinifera subsp vinifera cv. Chaani biely</t>
  </si>
  <si>
    <t>Vitis vinifera subsp vinifera cv. Chaani tchernii</t>
  </si>
  <si>
    <t>Vitis vinifera subsp vinifera cv. Chahnani</t>
  </si>
  <si>
    <t>Vitis vinifera subsp vinifera cv. Chaillaud</t>
  </si>
  <si>
    <t>Vitis vinifera subsp vinifera cv. Chakar angour de Tachkent</t>
  </si>
  <si>
    <t>Vitis vinifera subsp vinifera cv. Chalosse noire</t>
  </si>
  <si>
    <t>Vitis vinifera subsp vinifera cv. Chalosse noire = Négret castrais</t>
  </si>
  <si>
    <t>Vitis vinifera subsp vinifera cv. Chami</t>
  </si>
  <si>
    <t>Vitis vinifera subsp vinifera cv. Chany gris</t>
  </si>
  <si>
    <t>Vitis vinifera subsp vinifera cv. Chaouch blanc</t>
  </si>
  <si>
    <t>Vitis vinifera subsp vinifera cv. Chaouch rose</t>
  </si>
  <si>
    <t>Vitis vinifera subsp vinifera cv. Chaptal</t>
  </si>
  <si>
    <t>Vitis vinifera subsp vinifera cv. Chardonnay</t>
  </si>
  <si>
    <t>Vitis vinifera subsp vinifera cv. Chardonnay musqué</t>
  </si>
  <si>
    <t>Vitis vinifera subsp vinifera cv. Chardonnay rose</t>
  </si>
  <si>
    <t>Vitis vinifera subsp vinifera cv. Charmont</t>
  </si>
  <si>
    <t>Vitis vinifera subsp vinifera cv. Chasan = INRA 1527-78</t>
  </si>
  <si>
    <t>Vitis vinifera subsp vinifera cv. Chasselas</t>
  </si>
  <si>
    <t>Vitis vinifera subsp vinifera cv. Chasselas apyrène</t>
  </si>
  <si>
    <t>Vitis vinifera subsp vinifera cv. Chasselas des Bouches du Rhône</t>
  </si>
  <si>
    <t>Vitis vinifera subsp vinifera cv. Chasselas Duhamel</t>
  </si>
  <si>
    <t>Vitis vinifera subsp vinifera cv. Chasselas Impérial Oberlin</t>
  </si>
  <si>
    <t>Vitis vinifera subsp vinifera cv. Chasselas lacinifolié</t>
  </si>
  <si>
    <t>Vitis vinifera subsp vinifera cv. Chasselas Michel Tompa</t>
  </si>
  <si>
    <t>Vitis vinifera subsp vinifera cv. Chasselas musqué</t>
  </si>
  <si>
    <t>Vitis vinifera subsp vinifera cv. Chasselas noir</t>
  </si>
  <si>
    <t>Vitis vinifera subsp vinifera cv. Chasselas rose</t>
  </si>
  <si>
    <t>Vitis vinifera subsp vinifera cv. Chasselas rose royal</t>
  </si>
  <si>
    <t>Vitis vinifera subsp vinifera cv. Chasselas rouge</t>
  </si>
  <si>
    <t>Vitis vinifera subsp vinifera cv. Chasselas tétraploïde</t>
  </si>
  <si>
    <t>Vitis vinifera subsp vinifera cv. Chasselas violet</t>
  </si>
  <si>
    <t>Vitis vinifera subsp vinifera cv. Chatus</t>
  </si>
  <si>
    <t>Vitis vinifera subsp vinifera cv. Chenanson = INRA 1509-149</t>
  </si>
  <si>
    <t>Vitis vinifera subsp vinifera cv. Chenin</t>
  </si>
  <si>
    <t>Vitis vinifera subsp vinifera cv. Chichaud</t>
  </si>
  <si>
    <t>Vitis vinifera subsp vinifera cv. Chikki</t>
  </si>
  <si>
    <t>Vitis vinifera subsp vinifera cv. Chirai</t>
  </si>
  <si>
    <t>Vitis vinifera subsp vinifera cv. Chiroka Melnichka = Melnik</t>
  </si>
  <si>
    <t>Vitis vinifera subsp vinifera cv. Chirvan chakhi</t>
  </si>
  <si>
    <t>Vitis vinifera subsp vinifera cv. Chouchillon</t>
  </si>
  <si>
    <t>Vitis vinifera subsp vinifera cv. Christmas rose</t>
  </si>
  <si>
    <t>Vitis vinifera subsp vinifera cv. Chtour angour</t>
  </si>
  <si>
    <t>Vitis vinifera subsp vinifera cv. Ciclopica = Pirovano 60</t>
  </si>
  <si>
    <t>Vitis vinifera subsp vinifera cv. Ciganyszölö</t>
  </si>
  <si>
    <t>Vitis vinifera subsp vinifera cv. Ciliegiolo</t>
  </si>
  <si>
    <t>Vitis vinifera subsp vinifera cv. Cinsaut</t>
  </si>
  <si>
    <t>Vitis vinifera subsp vinifera cv. Cinsaut Bouschet</t>
  </si>
  <si>
    <t>Vitis vinifera subsp vinifera cv. Cioinic</t>
  </si>
  <si>
    <t>Vitis vinifera subsp vinifera cv. Circé</t>
  </si>
  <si>
    <t>Vitis vinifera subsp vinifera cv. Citana</t>
  </si>
  <si>
    <t>Vitis vinifera subsp vinifera cv. Citronelle</t>
  </si>
  <si>
    <t>Vitis vinifera subsp vinifera cv. Citronelle x Aramon</t>
  </si>
  <si>
    <t>Vitis vinifera subsp vinifera cv. Clairette</t>
  </si>
  <si>
    <t>Vitis vinifera subsp vinifera cv. Clairette Mazel</t>
  </si>
  <si>
    <t>Vitis vinifera subsp vinifera cv. Clairette rose</t>
  </si>
  <si>
    <t>Vitis vinifera subsp vinifera cv. Clairette x Beldi 36 L 2</t>
  </si>
  <si>
    <t>Vitis vinifera subsp vinifera cv. Clarin = INRA 573-11</t>
  </si>
  <si>
    <t>Vitis vinifera subsp vinifera cv. Claverie</t>
  </si>
  <si>
    <t>Vitis vinifera subsp vinifera cv. Claverie coulard</t>
  </si>
  <si>
    <t>Vitis vinifera subsp vinifera cv. Clotilde Prosperi = Prosperi 190</t>
  </si>
  <si>
    <t>Vitis vinifera subsp vinifera cv. Coada vulpii</t>
  </si>
  <si>
    <t>Vitis vinifera subsp vinifera cv. Coarna alba</t>
  </si>
  <si>
    <t>Vitis vinifera subsp vinifera cv. Coarna neagra</t>
  </si>
  <si>
    <t>Vitis vinifera subsp vinifera cv. Coarna rosie</t>
  </si>
  <si>
    <t>Vitis vinifera subsp vinifera cv. Cococciola</t>
  </si>
  <si>
    <t>Vitis vinifera subsp vinifera cv. Coda di volpe bianca</t>
  </si>
  <si>
    <t>Vitis vinifera subsp vinifera cv. Codega</t>
  </si>
  <si>
    <t>Vitis vinifera subsp vinifera cv. Codivarta</t>
  </si>
  <si>
    <t>Vitis vinifera subsp vinifera cv. Colman blanc</t>
  </si>
  <si>
    <t>Vitis vinifera subsp vinifera cv. Colombana nera</t>
  </si>
  <si>
    <t>Vitis vinifera subsp vinifera cv. Colombard</t>
  </si>
  <si>
    <t>Vitis vinifera subsp vinifera cv. Colombaud = Bouteillan blanc</t>
  </si>
  <si>
    <t>Vitis vinifera subsp vinifera cv. Colorino</t>
  </si>
  <si>
    <t>Vitis vinifera subsp vinifera cv. Completer</t>
  </si>
  <si>
    <t>Vitis vinifera subsp vinifera cv. Conca d'ora = Paulsen 152</t>
  </si>
  <si>
    <t>Vitis vinifera subsp vinifera cv. Conegliano 120</t>
  </si>
  <si>
    <t>Vitis vinifera subsp vinifera cv. Conegliano 199</t>
  </si>
  <si>
    <t>Vitis vinifera subsp vinifera cv. Conegliano 213</t>
  </si>
  <si>
    <t>Vitis vinifera subsp vinifera cv. Conegliano 218</t>
  </si>
  <si>
    <t>Vitis vinifera subsp vinifera cv. Constantinescu-Negreanu 2/13/8 (Victoria)</t>
  </si>
  <si>
    <t>Vitis vinifera subsp vinifera cv. Conte rosso = Pirovano 73</t>
  </si>
  <si>
    <t>Vitis vinifera subsp vinifera cv. Corbeau</t>
  </si>
  <si>
    <t>Vitis vinifera subsp vinifera cv. Corbina vicentina</t>
  </si>
  <si>
    <t>Vitis vinifera subsp vinifera cv. Corfiatis</t>
  </si>
  <si>
    <t>Vitis vinifera subsp vinifera cv. Corinthe blanc</t>
  </si>
  <si>
    <t>Vitis vinifera subsp vinifera cv. Corinthe noir</t>
  </si>
  <si>
    <t>Vitis vinifera subsp vinifera cv. Corinto bianco</t>
  </si>
  <si>
    <t>Vitis vinifera subsp vinifera cv. Corneille</t>
  </si>
  <si>
    <t>Vitis vinifera subsp vinifera cv. Cornet</t>
  </si>
  <si>
    <t>Vitis vinifera subsp vinifera cv. Cornichon violet</t>
  </si>
  <si>
    <t>Vitis vinifera subsp vinifera cv. Cornichon violet = Rosa menna di vacca</t>
  </si>
  <si>
    <t>Vitis vinifera subsp vinifera cv. Cornifesto</t>
  </si>
  <si>
    <t>Vitis vinifera subsp vinifera cv. Corniola bianca di Milazzo</t>
  </si>
  <si>
    <t>Vitis vinifera subsp vinifera cv. Corniola nera</t>
  </si>
  <si>
    <t>Vitis vinifera subsp vinifera cv. Corrin Seedless</t>
  </si>
  <si>
    <t>Vitis vinifera subsp vinifera cv. Cortese</t>
  </si>
  <si>
    <t>Vitis vinifera subsp vinifera cv. Corvina veronese</t>
  </si>
  <si>
    <t>Vitis vinifera subsp vinifera cv. Cot</t>
  </si>
  <si>
    <t>Vitis vinifera subsp vinifera cv. Cot de Chéragas</t>
  </si>
  <si>
    <t>Vitis vinifera subsp vinifera cv. Counoise</t>
  </si>
  <si>
    <t>Vitis vinifera subsp vinifera cv. Courbès</t>
  </si>
  <si>
    <t>Vitis vinifera subsp vinifera cv. Courbu</t>
  </si>
  <si>
    <t>Vitis vinifera subsp vinifera cv. Courbu noir</t>
  </si>
  <si>
    <t>Vitis vinifera subsp vinifera cv. Courtoisie</t>
  </si>
  <si>
    <t>Vitis vinifera subsp vinifera cv. Coutinho 6</t>
  </si>
  <si>
    <t>Vitis vinifera subsp vinifera cv. Crassostaphyllo</t>
  </si>
  <si>
    <t>Vitis vinifera subsp vinifera cv. Crimposie</t>
  </si>
  <si>
    <t>Vitis vinifera subsp vinifera cv. Crimson seedless</t>
  </si>
  <si>
    <t>Vitis vinifera subsp vinifera cv. Criolla chica 2</t>
  </si>
  <si>
    <t>Vitis vinifera subsp vinifera cv. Criolla mediana 2</t>
  </si>
  <si>
    <t>Vitis vinifera subsp vinifera cv. Criolla San Juanina</t>
  </si>
  <si>
    <t>Vitis vinifera subsp vinifera cv. Crista couleur d'ambre</t>
  </si>
  <si>
    <t>Vitis vinifera subsp vinifera cv. Croatina</t>
  </si>
  <si>
    <t>Vitis vinifera subsp vinifera cv. Croetto</t>
  </si>
  <si>
    <t>Vitis vinifera subsp vinifera cv. Crouchen</t>
  </si>
  <si>
    <t>Vitis vinifera subsp vinifera cv. Cruciulita</t>
  </si>
  <si>
    <t>Vitis vinifera subsp vinifera cv. Crujidera</t>
  </si>
  <si>
    <t>Vitis vinifera subsp vinifera cv. Crujillon</t>
  </si>
  <si>
    <t>Vitis vinifera subsp vinifera cv. Crvena slaubanic</t>
  </si>
  <si>
    <t>Vitis vinifera subsp vinifera cv. Crystal (Afrique du Sud)</t>
  </si>
  <si>
    <t>Vitis vinifera subsp vinifera cv. Crystal (Etats-Unis)</t>
  </si>
  <si>
    <t>Vitis vinifera subsp vinifera cv. Csoka szöllö</t>
  </si>
  <si>
    <t>Vitis vinifera subsp vinifera cv. Csomorika</t>
  </si>
  <si>
    <t>Vitis vinifera subsp vinifera cv. Cualtaccio</t>
  </si>
  <si>
    <t>Vitis vinifera subsp vinifera cv. Curisti</t>
  </si>
  <si>
    <t>Vitis vinifera subsp vinifera cv. Cyperntraube</t>
  </si>
  <si>
    <t>Vitis vinifera subsp vinifera cv. Dabouki</t>
  </si>
  <si>
    <t>Vitis vinifera subsp vinifera cv. Dalmasso III-33</t>
  </si>
  <si>
    <t>Vitis vinifera subsp vinifera cv. Dalmasso IX-1</t>
  </si>
  <si>
    <t>Vitis vinifera subsp vinifera cv. Dalmasso VIII-5</t>
  </si>
  <si>
    <t>Vitis vinifera subsp vinifera cv. Dalmasso VII-9</t>
  </si>
  <si>
    <t>Vitis vinifera subsp vinifera cv. Dalmasso VI-17</t>
  </si>
  <si>
    <t>Vitis vinifera subsp vinifera cv. Dalmasso VI-24</t>
  </si>
  <si>
    <t>Vitis vinifera subsp vinifera cv. Dalmasso VI-6</t>
  </si>
  <si>
    <t>Vitis vinifera subsp vinifera cv. Dalmasso XI-20</t>
  </si>
  <si>
    <t>Vitis vinifera subsp vinifera cv. Dalmasso XI-8</t>
  </si>
  <si>
    <t>Vitis vinifera subsp vinifera cv. Dalmasso XVIII-1</t>
  </si>
  <si>
    <t>Vitis vinifera subsp vinifera cv. Damas rouge</t>
  </si>
  <si>
    <t>Vitis vinifera subsp vinifera cv. Dameret</t>
  </si>
  <si>
    <t>Vitis vinifera subsp vinifera cv. Dameron</t>
  </si>
  <si>
    <t>Vitis vinifera subsp vinifera cv. Danam = INRA 1551-6</t>
  </si>
  <si>
    <t>Vitis vinifera subsp vinifera cv. Danlas = INRA 1548-20</t>
  </si>
  <si>
    <t>Vitis vinifera subsp vinifera cv. Danugue</t>
  </si>
  <si>
    <t>Vitis vinifera subsp vinifera cv. Danuta = INRA 1992-3</t>
  </si>
  <si>
    <t>Vitis vinifera subsp vinifera cv. Daphni</t>
  </si>
  <si>
    <t>Vitis vinifera subsp vinifera cv. Daranyi Ignac</t>
  </si>
  <si>
    <t>Vitis vinifera subsp vinifera cv. Darkaïa</t>
  </si>
  <si>
    <t>Vitis vinifera subsp vinifera cv. Dastatchine</t>
  </si>
  <si>
    <t>Vitis vinifera subsp vinifera cv. Datal = INRA 753-54</t>
  </si>
  <si>
    <t>Vitis vinifera subsp vinifera cv. Dattier de Beyrouth</t>
  </si>
  <si>
    <t>Vitis vinifera subsp vinifera cv. Dattier noir</t>
  </si>
  <si>
    <t>Vitis vinifera subsp vinifera cv. Dauphine</t>
  </si>
  <si>
    <t>Vitis vinifera subsp vinifera cv. David = Pirovano 109</t>
  </si>
  <si>
    <t>Vitis vinifera subsp vinifera cv. Dawn seedless</t>
  </si>
  <si>
    <t>Vitis vinifera subsp vinifera cv. De Hengril</t>
  </si>
  <si>
    <t>Vitis vinifera subsp vinifera cv. Debina</t>
  </si>
  <si>
    <t>Vitis vinifera subsp vinifera cv. Dedo de dama</t>
  </si>
  <si>
    <t>Vitis vinifera subsp vinifera cv. Delhro = JA148-59 SRLH</t>
  </si>
  <si>
    <t>Vitis vinifera subsp vinifera cv. Delight</t>
  </si>
  <si>
    <t>Vitis vinifera subsp vinifera cv. Delizia di Vaprio = Pirovano 46 a</t>
  </si>
  <si>
    <t>Vitis vinifera subsp vinifera cv. Delizia gialla = Pirovano 266</t>
  </si>
  <si>
    <t>Vitis vinifera subsp vinifera cv. Demir kara</t>
  </si>
  <si>
    <t>Vitis vinifera subsp vinifera cv. Derani</t>
  </si>
  <si>
    <t>Vitis vinifera subsp vinifera cv. Dermatas</t>
  </si>
  <si>
    <t>Vitis vinifera subsp vinifera cv. Diagalves</t>
  </si>
  <si>
    <t>Vitis vinifera subsp vinifera cv. Diamante nero = Pirovano 87</t>
  </si>
  <si>
    <t>Vitis vinifera subsp vinifera cv. Diamanttraube</t>
  </si>
  <si>
    <t>Vitis vinifera subsp vinifera cv. Diana</t>
  </si>
  <si>
    <t>Vitis vinifera subsp vinifera cv. Dimiat</t>
  </si>
  <si>
    <t>Vitis vinifera subsp vinifera cv. Diminitis</t>
  </si>
  <si>
    <t>Vitis vinifera subsp vinifera cv. Dimrit</t>
  </si>
  <si>
    <t>Vitis vinifera subsp vinifera cv. Dinka feher</t>
  </si>
  <si>
    <t>Vitis vinifera subsp vinifera cv. Dinka vörös</t>
  </si>
  <si>
    <t>Vitis vinifera subsp vinifera cv. Dinka zöld</t>
  </si>
  <si>
    <t>Vitis vinifera subsp vinifera cv. Diolinoir</t>
  </si>
  <si>
    <t>Vitis vinifera subsp vinifera cv. Directeur Tisserand</t>
  </si>
  <si>
    <t>Vitis vinifera subsp vinifera cv. Divromo</t>
  </si>
  <si>
    <t>Vitis vinifera subsp vinifera cv. Djandjal kara</t>
  </si>
  <si>
    <t>Vitis vinifera subsp vinifera cv. Djoura ousum</t>
  </si>
  <si>
    <t>Vitis vinifera subsp vinifera cv. Dlinnokhvosty</t>
  </si>
  <si>
    <t>Vitis vinifera subsp vinifera cv. Dobricic</t>
  </si>
  <si>
    <t>Vitis vinifera subsp vinifera cv. Doçal grande</t>
  </si>
  <si>
    <t>Vitis vinifera subsp vinifera cv. Dokay</t>
  </si>
  <si>
    <t>Vitis vinifera subsp vinifera cv. Dolcetto</t>
  </si>
  <si>
    <t>Vitis vinifera subsp vinifera cv. Dolosata</t>
  </si>
  <si>
    <t>Vitis vinifera subsp vinifera cv. Dominga</t>
  </si>
  <si>
    <t>Vitis vinifera subsp vinifera cv. Domvrena aspri</t>
  </si>
  <si>
    <t>Vitis vinifera subsp vinifera cv. Domvrena mavri</t>
  </si>
  <si>
    <t>Vitis vinifera subsp vinifera cv. Don Bueno</t>
  </si>
  <si>
    <t>Vitis vinifera subsp vinifera cv. Don Mariano</t>
  </si>
  <si>
    <t>Vitis vinifera subsp vinifera cv. Dona branca</t>
  </si>
  <si>
    <t>Vitis vinifera subsp vinifera cv. Dona Maria = Leao Ferreira da Almeida 31-54-41</t>
  </si>
  <si>
    <t>Vitis vinifera subsp vinifera cv. Dongine</t>
  </si>
  <si>
    <t>Vitis vinifera subsp vinifera cv. Donzelinho</t>
  </si>
  <si>
    <t>Vitis vinifera subsp vinifera cv. Donzelinho do Castelo</t>
  </si>
  <si>
    <t>Vitis vinifera subsp vinifera cv. Doradilla</t>
  </si>
  <si>
    <t>Vitis vinifera subsp vinifera cv. Doral</t>
  </si>
  <si>
    <t>Vitis vinifera subsp vinifera cv. Dorona di Venezia</t>
  </si>
  <si>
    <t>Vitis vinifera subsp vinifera cv. Douradinha</t>
  </si>
  <si>
    <t>Vitis vinifera subsp vinifera cv. Doux d'Henry</t>
  </si>
  <si>
    <t>Vitis vinifera subsp vinifera cv. Dronkane</t>
  </si>
  <si>
    <t>Vitis vinifera subsp vinifera cv. Duc d'Anjou</t>
  </si>
  <si>
    <t>Vitis vinifera subsp vinifera cv. Duc de Magenta</t>
  </si>
  <si>
    <t>Vitis vinifera subsp vinifera cv. Duchess of Buccleugh</t>
  </si>
  <si>
    <t>Vitis vinifera subsp vinifera cv. Duras</t>
  </si>
  <si>
    <t>Vitis vinifera subsp vinifera cv. Durella</t>
  </si>
  <si>
    <t>Vitis vinifera subsp vinifera cv. Dureza</t>
  </si>
  <si>
    <t>Vitis vinifera subsp vinifera cv. Durif</t>
  </si>
  <si>
    <t>Vitis vinifera subsp vinifera cv. Early Cardinal</t>
  </si>
  <si>
    <t>Vitis vinifera subsp vinifera cv. Early Muscat</t>
  </si>
  <si>
    <t>Vitis vinifera subsp vinifera cv. Ederena</t>
  </si>
  <si>
    <t>Vitis vinifera subsp vinifera cv. Egiodola</t>
  </si>
  <si>
    <t>Vitis vinifera subsp vinifera cv. Ehrenfelser = Gm 9-93</t>
  </si>
  <si>
    <t>Vitis vinifera subsp vinifera cv. Einuni</t>
  </si>
  <si>
    <t>Vitis vinifera subsp vinifera cv. Ekigaïna</t>
  </si>
  <si>
    <t>Vitis vinifera subsp vinifera cv. Ekim kara</t>
  </si>
  <si>
    <t>Vitis vinifera subsp vinifera cv. El Biod</t>
  </si>
  <si>
    <t>Vitis vinifera subsp vinifera cv. El Farryali</t>
  </si>
  <si>
    <t>Vitis vinifera subsp vinifera cv. El Gouz</t>
  </si>
  <si>
    <t>Vitis vinifera subsp vinifera cv. Elbling</t>
  </si>
  <si>
    <t>Vitis vinifera subsp vinifera cv. Elbling blau</t>
  </si>
  <si>
    <t>Vitis vinifera subsp vinifera cv. Elbling rose</t>
  </si>
  <si>
    <t>Vitis vinifera subsp vinifera cv. Elbling rot</t>
  </si>
  <si>
    <t>Vitis vinifera subsp vinifera cv. Elizabeth Krasnay</t>
  </si>
  <si>
    <t>Vitis vinifera subsp vinifera cv. Emerald Riesling</t>
  </si>
  <si>
    <t>Vitis vinifera subsp vinifera cv. Emerald seedless</t>
  </si>
  <si>
    <t>Vitis vinifera subsp vinifera cv. Emilia = Dalmasso VI-3</t>
  </si>
  <si>
    <t>Vitis vinifera subsp vinifera cv. Emperor</t>
  </si>
  <si>
    <t>Vitis vinifera subsp vinifera cv. Emperor seedless</t>
  </si>
  <si>
    <t>Vitis vinifera subsp vinifera cv. Empibotte</t>
  </si>
  <si>
    <t>Vitis vinifera subsp vinifera cv. En Kövidinkam</t>
  </si>
  <si>
    <t>Vitis vinifera subsp vinifera cv. Encruzado</t>
  </si>
  <si>
    <t>Vitis vinifera subsp vinifera cv. Enfariné</t>
  </si>
  <si>
    <t>Vitis vinifera subsp vinifera cv. Enfariné gris</t>
  </si>
  <si>
    <t>Vitis vinifera subsp vinifera cv. Epero de Gall</t>
  </si>
  <si>
    <t>Vitis vinifera subsp vinifera cv. Epinou</t>
  </si>
  <si>
    <t>Vitis vinifera subsp vinifera cv. Erbaluce</t>
  </si>
  <si>
    <t>Vitis vinifera subsp vinifera cv. Erdeifeher</t>
  </si>
  <si>
    <t>Vitis vinifera subsp vinifera cv. Espadeiro branco</t>
  </si>
  <si>
    <t>Vitis vinifera subsp vinifera cv. Espadeiro tinto</t>
  </si>
  <si>
    <t>Vitis vinifera subsp vinifera cv. Estaca saoumo</t>
  </si>
  <si>
    <t>Vitis vinifera subsp vinifera cv. Etraire de la Dui</t>
  </si>
  <si>
    <t>Vitis vinifera subsp vinifera cv. Exalta</t>
  </si>
  <si>
    <t>Vitis vinifera subsp vinifera cv. Exbrayat</t>
  </si>
  <si>
    <t>Vitis vinifera subsp vinifera cv. Exotic</t>
  </si>
  <si>
    <t>Vitis vinifera subsp vinifera cv. Ezereves Magyarorszag Emleke</t>
  </si>
  <si>
    <t>Vitis vinifera subsp vinifera cv. Ezerjo</t>
  </si>
  <si>
    <t>Vitis vinifera subsp vinifera cv. F. Lantini = Pirovano 263</t>
  </si>
  <si>
    <t>Vitis vinifera subsp vinifera cv. F 10-79</t>
  </si>
  <si>
    <t>Vitis vinifera subsp vinifera cv. Faberrebe = Alzey 10375</t>
  </si>
  <si>
    <t>Vitis vinifera subsp vinifera cv. Faddy zsiga dinka</t>
  </si>
  <si>
    <t>Vitis vinifera subsp vinifera cv. Fakhri</t>
  </si>
  <si>
    <t>Vitis vinifera subsp vinifera cv. Falanghina</t>
  </si>
  <si>
    <t>Vitis vinifera subsp vinifera cv. Fantasy seedless</t>
  </si>
  <si>
    <t>Vitis vinifera subsp vinifera cv. Farana noir</t>
  </si>
  <si>
    <t>Vitis vinifera subsp vinifera cv. Farbfränkisch</t>
  </si>
  <si>
    <t>Vitis vinifera subsp vinifera cv. Fatima</t>
  </si>
  <si>
    <t>Vitis vinifera subsp vinifera cv. Fatma</t>
  </si>
  <si>
    <t>Vitis vinifera subsp vinifera cv. Faux Courbu noir</t>
  </si>
  <si>
    <t>Vitis vinifera subsp vinifera cv. Faux Mauzac blanc</t>
  </si>
  <si>
    <t>Vitis vinifera subsp vinifera cv. Fayoumi</t>
  </si>
  <si>
    <t>Vitis vinifera subsp vinifera cv. Feher Kövidinka</t>
  </si>
  <si>
    <t>Vitis vinifera subsp vinifera cv. Feinriesling</t>
  </si>
  <si>
    <t>Vitis vinifera subsp vinifera cv. Fer</t>
  </si>
  <si>
    <t>Vitis vinifera subsp vinifera cv. Ferlé de Pegões = Leao Ferreira da Almeida 17-48-1</t>
  </si>
  <si>
    <t>Vitis vinifera subsp vinifera cv. Ferlé 76 = Leao Ferreira da Almeida 34-49-76</t>
  </si>
  <si>
    <t>Vitis vinifera subsp vinifera cv. Fernand rose</t>
  </si>
  <si>
    <t>Vitis vinifera subsp vinifera cv. Fernao Pires</t>
  </si>
  <si>
    <t>Vitis vinifera subsp vinifera cv. Ferral</t>
  </si>
  <si>
    <t>Vitis vinifera subsp vinifera cv. Ferral tamara</t>
  </si>
  <si>
    <t>Vitis vinifera subsp vinifera cv. Feteasca neagra</t>
  </si>
  <si>
    <t>Vitis vinifera subsp vinifera cv. Feteasca regala</t>
  </si>
  <si>
    <t>Vitis vinifera subsp vinifera cv. Feunate</t>
  </si>
  <si>
    <t>Vitis vinifera subsp vinifera cv. Fiano</t>
  </si>
  <si>
    <t>Vitis vinifera subsp vinifera cv. Fiesta</t>
  </si>
  <si>
    <t>Vitis vinifera subsp vinifera cv. Findling = Kimmig KP 1</t>
  </si>
  <si>
    <t>Vitis vinifera subsp vinifera cv. Fintendo</t>
  </si>
  <si>
    <t>Vitis vinifera subsp vinifera cv. Firnriesling</t>
  </si>
  <si>
    <t>Vitis vinifera subsp vinifera cv. Fitzrebe</t>
  </si>
  <si>
    <t>Vitis vinifera subsp vinifera cv. Flame seedless</t>
  </si>
  <si>
    <t>Vitis vinifera subsp vinifera cv. Flaming rose</t>
  </si>
  <si>
    <t>Vitis vinifera subsp vinifera cv. Fleur de Kecskemet</t>
  </si>
  <si>
    <t>Vitis vinifera subsp vinifera cv. Flora</t>
  </si>
  <si>
    <t>Vitis vinifera subsp vinifera cv. Focca</t>
  </si>
  <si>
    <t>Vitis vinifera subsp vinifera cv. Fogarina</t>
  </si>
  <si>
    <t>Vitis vinifera subsp vinifera cv. Foglia tonda</t>
  </si>
  <si>
    <t>Vitis vinifera subsp vinifera cv. Fogoneu</t>
  </si>
  <si>
    <t>Vitis vinifera subsp vinifera cv. Folignan</t>
  </si>
  <si>
    <t>Vitis vinifera subsp vinifera cv. Folle blanche</t>
  </si>
  <si>
    <t>Vitis vinifera subsp vinifera cv. Folle blanche du Minervois</t>
  </si>
  <si>
    <t>Vitis vinifera subsp vinifera cv. Fondo de Orza</t>
  </si>
  <si>
    <t>Vitis vinifera subsp vinifera cv. Forastera</t>
  </si>
  <si>
    <t>Vitis vinifera subsp vinifera cv. Forastera (Iles Canaries)</t>
  </si>
  <si>
    <t>Vitis vinifera subsp vinifera cv. Forcalla</t>
  </si>
  <si>
    <t>Vitis vinifera subsp vinifera cv. Forcellina</t>
  </si>
  <si>
    <t>Vitis vinifera subsp vinifera cv. Formosa = Pirovano 245</t>
  </si>
  <si>
    <t>Vitis vinifera subsp vinifera cv. Fortana</t>
  </si>
  <si>
    <t>Vitis vinifera subsp vinifera cv. Foster's white seedling</t>
  </si>
  <si>
    <t>Vitis vinifera subsp vinifera cv. Fotcha</t>
  </si>
  <si>
    <t>Vitis vinifera subsp vinifera cv. Franc noir de la Haute-Saône</t>
  </si>
  <si>
    <t>Vitis vinifera subsp vinifera cv. Francavidda</t>
  </si>
  <si>
    <t>Vitis vinifera subsp vinifera cv. François Ier</t>
  </si>
  <si>
    <t>Vitis vinifera subsp vinifera cv. François noir</t>
  </si>
  <si>
    <t>Vitis vinifera subsp vinifera cv. Francuse</t>
  </si>
  <si>
    <t>Vitis vinifera subsp vinifera cv. Frankamon</t>
  </si>
  <si>
    <t>Vitis vinifera subsp vinifera cv. Frankenthal</t>
  </si>
  <si>
    <t>Vitis vinifera subsp vinifera cv. Frankenthal rose foncé</t>
  </si>
  <si>
    <t>Vitis vinifera subsp vinifera cv. Frankenthal rouge foncé</t>
  </si>
  <si>
    <t>Vitis vinifera subsp vinifera cv. Frappato di Vittoria</t>
  </si>
  <si>
    <t>Vitis vinifera subsp vinifera cv. Fredericton</t>
  </si>
  <si>
    <t>Vitis vinifera subsp vinifera cv. Freisa</t>
  </si>
  <si>
    <t>Vitis vinifera subsp vinifera cv. Freisamer</t>
  </si>
  <si>
    <t>Vitis vinifera subsp vinifera cv. Frühgipfler I</t>
  </si>
  <si>
    <t>Vitis vinifera subsp vinifera cv. Frühmuscat Oberlin</t>
  </si>
  <si>
    <t>Vitis vinifera subsp vinifera cv. Frühriesling</t>
  </si>
  <si>
    <t>Vitis vinifera subsp vinifera cv. Fruttuosa = Pirovano 27</t>
  </si>
  <si>
    <t>Vitis vinifera subsp vinifera cv. Fuella nera</t>
  </si>
  <si>
    <t>Vitis vinifera subsp vinifera cv. Fulgens = Pirovano 347</t>
  </si>
  <si>
    <t>Vitis vinifera subsp vinifera cv. Fumin</t>
  </si>
  <si>
    <t>Vitis vinifera subsp vinifera cv. Furjmony feher</t>
  </si>
  <si>
    <t>Vitis vinifera subsp vinifera cv. Furmint</t>
  </si>
  <si>
    <t>Vitis vinifera subsp vinifera cv. Furmint piros</t>
  </si>
  <si>
    <t>Vitis vinifera subsp vinifera cv. Furmint valtözö</t>
  </si>
  <si>
    <t>Vitis vinifera subsp vinifera cv. Fürstentraube</t>
  </si>
  <si>
    <t>Vitis vinifera subsp vinifera cv. Fusca = Pirovano 142</t>
  </si>
  <si>
    <t>Vitis vinifera subsp vinifera cv. G. Molon = Pirovano 102</t>
  </si>
  <si>
    <t>Vitis vinifera subsp vinifera cv. G 367-49 SRLH</t>
  </si>
  <si>
    <t>Vitis vinifera subsp vinifera cv. Gaglioppo</t>
  </si>
  <si>
    <t>Vitis vinifera subsp vinifera cv. Gaïdouria</t>
  </si>
  <si>
    <t>Vitis vinifera subsp vinifera cv. Galbena de Odobesti</t>
  </si>
  <si>
    <t>Vitis vinifera subsp vinifera cv. Galbena uriasa</t>
  </si>
  <si>
    <t>Vitis vinifera subsp vinifera cv. Galbena verde</t>
  </si>
  <si>
    <t>Vitis vinifera subsp vinifera cv. Galego de Montemor</t>
  </si>
  <si>
    <t>Vitis vinifera subsp vinifera cv. Galego dourado</t>
  </si>
  <si>
    <t>Vitis vinifera subsp vinifera cv. Galotta</t>
  </si>
  <si>
    <t>Vitis vinifera subsp vinifera cv. Galvani = Pirovano 86</t>
  </si>
  <si>
    <t>Vitis vinifera subsp vinifera cv. Gamarelha branca</t>
  </si>
  <si>
    <t>Vitis vinifera subsp vinifera cv. Gamaret</t>
  </si>
  <si>
    <t>Vitis vinifera subsp vinifera cv. Gamay</t>
  </si>
  <si>
    <t>Vitis vinifera subsp vinifera cv. Gamay à fleurs doubles</t>
  </si>
  <si>
    <t>Vitis vinifera subsp vinifera cv. Gamay blanc Gloriod</t>
  </si>
  <si>
    <t>Vitis vinifera subsp vinifera cv. Gamay Castille</t>
  </si>
  <si>
    <t>Vitis vinifera subsp vinifera cv. Gamay Castille mutation blanche</t>
  </si>
  <si>
    <t>Vitis vinifera subsp vinifera cv. Gamay de Bouze</t>
  </si>
  <si>
    <t>Vitis vinifera subsp vinifera cv. Gamay de Chaudenay</t>
  </si>
  <si>
    <t>Vitis vinifera subsp vinifera cv. Gamay Fréaux</t>
  </si>
  <si>
    <t>Vitis vinifera subsp vinifera cv. Gamay gris</t>
  </si>
  <si>
    <t>Vitis vinifera subsp vinifera cv. Gamay mourot</t>
  </si>
  <si>
    <t>Vitis vinifera subsp vinifera cv. Gamay précoce noir</t>
  </si>
  <si>
    <t>Vitis vinifera subsp vinifera cv. Gamza de Varna</t>
  </si>
  <si>
    <t>Vitis vinifera subsp vinifera cv. Ganson = INRA 1509-73</t>
  </si>
  <si>
    <t>Vitis vinifera subsp vinifera cv. Gantziandan</t>
  </si>
  <si>
    <t>Vitis vinifera subsp vinifera cv. Garandmak</t>
  </si>
  <si>
    <t>Vitis vinifera subsp vinifera cv. Garganega</t>
  </si>
  <si>
    <t>Vitis vinifera subsp vinifera cv. Garrido fino</t>
  </si>
  <si>
    <t>Vitis vinifera subsp vinifera cv. Garrido macho</t>
  </si>
  <si>
    <t>Vitis vinifera subsp vinifera cv. Gascon</t>
  </si>
  <si>
    <t>Vitis vinifera subsp vinifera cv. Gateta</t>
  </si>
  <si>
    <t>Vitis vinifera subsp vinifera cv. Gegic</t>
  </si>
  <si>
    <t>Vitis vinifera subsp vinifera cv. Gelbholzer blau</t>
  </si>
  <si>
    <t>Vitis vinifera subsp vinifera cv. Gemre</t>
  </si>
  <si>
    <t>Vitis vinifera subsp vinifera cv. Général de la Marmora</t>
  </si>
  <si>
    <t>Vitis vinifera subsp vinifera cv. Général de la Marmora faux</t>
  </si>
  <si>
    <t>Vitis vinifera subsp vinifera cv. Genk Uzum</t>
  </si>
  <si>
    <t>Vitis vinifera subsp vinifera cv. Genouillet</t>
  </si>
  <si>
    <t>Vitis vinifera subsp vinifera cv. Genovèse</t>
  </si>
  <si>
    <t>Vitis vinifera subsp vinifera cv. Gewürztraminer</t>
  </si>
  <si>
    <t>Vitis vinifera subsp vinifera cv. Gheméra</t>
  </si>
  <si>
    <t>Vitis vinifera subsp vinifera cv. Ghiouroukiko</t>
  </si>
  <si>
    <t>Vitis vinifera subsp vinifera cv. Gholadon</t>
  </si>
  <si>
    <t>Vitis vinifera subsp vinifera cv. Gibert</t>
  </si>
  <si>
    <t>Vitis vinifera subsp vinifera cv. Gibi</t>
  </si>
  <si>
    <t>Vitis vinifera subsp vinifera cv. Gierniolat</t>
  </si>
  <si>
    <t>Vitis vinifera subsp vinifera cv. Gildé</t>
  </si>
  <si>
    <t>Vitis vinifera subsp vinifera cv. Giro</t>
  </si>
  <si>
    <t>Vitis vinifera subsp vinifera cv. Giro (Iles Baléares)</t>
  </si>
  <si>
    <t>Vitis vinifera subsp vinifera cv. Glacière</t>
  </si>
  <si>
    <t>Vitis vinifera subsp vinifera cv. Gloria Hungariae</t>
  </si>
  <si>
    <t>Vitis vinifera subsp vinifera cv. Glycostaphyllo</t>
  </si>
  <si>
    <t>Vitis vinifera subsp vinifera cv. Goher</t>
  </si>
  <si>
    <t>Vitis vinifera subsp vinifera cv. Goher Piros</t>
  </si>
  <si>
    <t>Vitis vinifera subsp vinifera cv. Goher valtözö</t>
  </si>
  <si>
    <t>Vitis vinifera subsp vinifera cv. Gold</t>
  </si>
  <si>
    <t>Vitis vinifera subsp vinifera cv. Golden champion = Mill Hill Hamburg</t>
  </si>
  <si>
    <t>Vitis vinifera subsp vinifera cv. Golden Queen</t>
  </si>
  <si>
    <t>Vitis vinifera subsp vinifera cv. Goldriesling B</t>
  </si>
  <si>
    <t>Vitis vinifera subsp vinifera cv. Gora Chirine</t>
  </si>
  <si>
    <t>Vitis vinifera subsp vinifera cv. Gora Chirine rose</t>
  </si>
  <si>
    <t>Vitis vinifera subsp vinifera cv. Gordan</t>
  </si>
  <si>
    <t>Vitis vinifera subsp vinifera cv. Gordin</t>
  </si>
  <si>
    <t>Vitis vinifera subsp vinifera cv. Gordin gurguiat</t>
  </si>
  <si>
    <t>Vitis vinifera subsp vinifera cv. Gorgollosa</t>
  </si>
  <si>
    <t>Vitis vinifera subsp vinifera cv. Goron</t>
  </si>
  <si>
    <t>Vitis vinifera subsp vinifera cv. Gouais blanc</t>
  </si>
  <si>
    <t>Vitis vinifera subsp vinifera cv. Gouget</t>
  </si>
  <si>
    <t>Vitis vinifera subsp vinifera cv. Gounaïa</t>
  </si>
  <si>
    <t>Vitis vinifera subsp vinifera cv. Goustoulidi</t>
  </si>
  <si>
    <t>Vitis vinifera subsp vinifera cv. Goyura</t>
  </si>
  <si>
    <t>Vitis vinifera subsp vinifera cv. Gradiska</t>
  </si>
  <si>
    <t>Vitis vinifera subsp vinifera cv. Graisse</t>
  </si>
  <si>
    <t>Vitis vinifera subsp vinifera cv. Gramon = INRA 1740-774</t>
  </si>
  <si>
    <t>Vitis vinifera subsp vinifera cv. Grand Noir de la Calmette</t>
  </si>
  <si>
    <t>Vitis vinifera subsp vinifera cv. Granoir</t>
  </si>
  <si>
    <t>Vitis vinifera subsp vinifera cv. Grappenoux</t>
  </si>
  <si>
    <t>Vitis vinifera subsp vinifera cv. Grasa de Cotnari</t>
  </si>
  <si>
    <t>Vitis vinifera subsp vinifera cv. Grassen</t>
  </si>
  <si>
    <t>Vitis vinifera subsp vinifera cv. Grec blanc</t>
  </si>
  <si>
    <t>Vitis vinifera subsp vinifera cv. Grec rouge</t>
  </si>
  <si>
    <t>Vitis vinifera subsp vinifera cv. Grecanico</t>
  </si>
  <si>
    <t>Vitis vinifera subsp vinifera cv. Grechetto</t>
  </si>
  <si>
    <t>Vitis vinifera subsp vinifera cv. Greco bianco</t>
  </si>
  <si>
    <t>Vitis vinifera subsp vinifera cv. Greco bianco di tufo</t>
  </si>
  <si>
    <t>Vitis vinifera subsp vinifera cv. Greco nero</t>
  </si>
  <si>
    <t>Vitis vinifera subsp vinifera cv. Grenache</t>
  </si>
  <si>
    <t>Vitis vinifera subsp vinifera cv. Grenache blanc</t>
  </si>
  <si>
    <t>Vitis vinifera subsp vinifera cv. Grenache gris</t>
  </si>
  <si>
    <t>Vitis vinifera subsp vinifera cv. Grenache noir femelle</t>
  </si>
  <si>
    <t>Vitis vinifera subsp vinifera cv. Grignolino</t>
  </si>
  <si>
    <t>Vitis vinifera subsp vinifera cv. Grillo</t>
  </si>
  <si>
    <t>Vitis vinifera subsp vinifera cv. Gringet</t>
  </si>
  <si>
    <t>Vitis vinifera subsp vinifera cv. Grk</t>
  </si>
  <si>
    <t>Vitis vinifera subsp vinifera cv. Grolleau</t>
  </si>
  <si>
    <t>Vitis vinifera subsp vinifera cv. Grolleau blanc</t>
  </si>
  <si>
    <t>Vitis vinifera subsp vinifera cv. Grolleau gris</t>
  </si>
  <si>
    <t>Vitis vinifera subsp vinifera cv. Gropello di San Stefano</t>
  </si>
  <si>
    <t>Vitis vinifera subsp vinifera cv. Gropello gentile</t>
  </si>
  <si>
    <t>Vitis vinifera subsp vinifera cv. Gros Bec</t>
  </si>
  <si>
    <t>Vitis vinifera subsp vinifera cv. Gros Blanc</t>
  </si>
  <si>
    <t>Vitis vinifera subsp vinifera cv. Gros Bourgogne</t>
  </si>
  <si>
    <t>Vitis vinifera subsp vinifera cv. Gros Bouschet</t>
  </si>
  <si>
    <t>Vitis vinifera subsp vinifera cv. Gros Cabernet</t>
  </si>
  <si>
    <t>Vitis vinifera subsp vinifera cv. Gros Colman</t>
  </si>
  <si>
    <t>Vitis vinifera subsp vinifera cv. Gros Manseng</t>
  </si>
  <si>
    <t>Vitis vinifera subsp vinifera cv. Gros Manseng de Lucq</t>
  </si>
  <si>
    <t>Vitis vinifera subsp vinifera cv. Gros Manseng Meunier</t>
  </si>
  <si>
    <t>Vitis vinifera subsp vinifera cv. Gros Mansois</t>
  </si>
  <si>
    <t>Vitis vinifera subsp vinifera cv. Gros Maroc</t>
  </si>
  <si>
    <t>Vitis vinifera subsp vinifera cv. Gros noir des Beni Abès</t>
  </si>
  <si>
    <t>Vitis vinifera subsp vinifera cv. Gros Péjac</t>
  </si>
  <si>
    <t>Vitis vinifera subsp vinifera cv. Gros Verdot</t>
  </si>
  <si>
    <t>Vitis vinifera subsp vinifera cv. Gros Vert</t>
  </si>
  <si>
    <t>Vitis vinifera subsp vinifera cv. Gros Vert noir</t>
  </si>
  <si>
    <t>Vitis vinifera subsp vinifera cv. Grosse Jacquère</t>
  </si>
  <si>
    <t>Vitis vinifera subsp vinifera cv. Grosse Roussette</t>
  </si>
  <si>
    <t>Vitis vinifera subsp vinifera cv. Guadurea</t>
  </si>
  <si>
    <t>Vitis vinifera subsp vinifera cv. Gualarido</t>
  </si>
  <si>
    <t>Vitis vinifera subsp vinifera cv. Guarnaccia</t>
  </si>
  <si>
    <t>Vitis vinifera subsp vinifera cv. Gueuche blanc</t>
  </si>
  <si>
    <t>Vitis vinifera subsp vinifera cv. Gueuche noir</t>
  </si>
  <si>
    <t>Vitis vinifera subsp vinifera cv. Guignard de Saintours</t>
  </si>
  <si>
    <t>Vitis vinifera subsp vinifera cv. Guillany Imre</t>
  </si>
  <si>
    <t>Vitis vinifera subsp vinifera cv. Guillemot</t>
  </si>
  <si>
    <t>Vitis vinifera subsp vinifera cv. Guiouliabi dagestanskii</t>
  </si>
  <si>
    <t>Vitis vinifera subsp vinifera cv. Gustavne Szauter</t>
  </si>
  <si>
    <t>Vitis vinifera subsp vinifera cv. Gyöngy feher</t>
  </si>
  <si>
    <t>Vitis vinifera subsp vinifera cv. Gyöngy szölö</t>
  </si>
  <si>
    <t>Vitis vinifera subsp vinifera cv. Hadari</t>
  </si>
  <si>
    <t>Vitis vinifera subsp vinifera cv. Hagi ali negru</t>
  </si>
  <si>
    <t>Vitis vinifera subsp vinifera cv. Halholyag</t>
  </si>
  <si>
    <t>Vitis vinifera subsp vinifera cv. Hammami</t>
  </si>
  <si>
    <t>Vitis vinifera subsp vinifera cv. Hamvas</t>
  </si>
  <si>
    <t>Vitis vinifera subsp vinifera cv. Hängling blau</t>
  </si>
  <si>
    <t>Vitis vinifera subsp vinifera cv. Hansen rot</t>
  </si>
  <si>
    <t>Vitis vinifera subsp vinifera cv. Harslevelu</t>
  </si>
  <si>
    <t>Vitis vinifera subsp vinifera cv. Hasan dede</t>
  </si>
  <si>
    <t>Vitis vinifera subsp vinifera cv. Hebron blanc</t>
  </si>
  <si>
    <t>Vitis vinifera subsp vinifera cv. Hegedüs Sandor</t>
  </si>
  <si>
    <t>Vitis vinifera subsp vinifera cv. Hegoa</t>
  </si>
  <si>
    <t>Vitis vinifera subsp vinifera cv. Helfensteiner = We S 5332</t>
  </si>
  <si>
    <t>Vitis vinifera subsp vinifera cv. Henab</t>
  </si>
  <si>
    <t>Vitis vinifera subsp vinifera cv. Henab turki faux</t>
  </si>
  <si>
    <t>Vitis vinifera subsp vinifera cv. Heptakilo</t>
  </si>
  <si>
    <t>Vitis vinifera subsp vinifera cv. Heroldrebe = We S 130</t>
  </si>
  <si>
    <t>Vitis vinifera subsp vinifera cv. Heunisch blanc</t>
  </si>
  <si>
    <t>Vitis vinifera subsp vinifera cv. Heunisch noir</t>
  </si>
  <si>
    <t>Vitis vinifera subsp vinifera cv. Heunisch rose</t>
  </si>
  <si>
    <t>Vitis vinifera subsp vinifera cv. Hibou blanc</t>
  </si>
  <si>
    <t>Vitis vinifera subsp vinifera cv. Hibou noir</t>
  </si>
  <si>
    <t>Vitis vinifera subsp vinifera cv. Himoniatiko</t>
  </si>
  <si>
    <t>Vitis vinifera subsp vinifera cv. Honigler</t>
  </si>
  <si>
    <t>Vitis vinifera subsp vinifera cv. Horoz karasi</t>
  </si>
  <si>
    <t>Vitis vinifera subsp vinifera cv. Hosszunyelu</t>
  </si>
  <si>
    <t>Vitis vinifera subsp vinifera cv. Humagne blanche</t>
  </si>
  <si>
    <t>Vitis vinifera subsp vinifera cv. Humagne rouge</t>
  </si>
  <si>
    <t>Vitis vinifera subsp vinifera cv. Hunisa</t>
  </si>
  <si>
    <t>Vitis vinifera subsp vinifera cv. Hunyadi = Horty Miklosné</t>
  </si>
  <si>
    <t>Vitis vinifera subsp vinifera cv. Husseini (Afghanistan)</t>
  </si>
  <si>
    <t>Vitis vinifera subsp vinifera cv. Husseini (Etats-Unis)</t>
  </si>
  <si>
    <t>Vitis vinifera subsp vinifera cv. Huxelrebe = Alzey 3962</t>
  </si>
  <si>
    <t>Vitis vinifera subsp vinifera cv. Icod de los Vinos</t>
  </si>
  <si>
    <t>Vitis vinifera subsp vinifera cv. Ida</t>
  </si>
  <si>
    <t>Vitis vinifera subsp vinifera cv. Igherziz</t>
  </si>
  <si>
    <t>Vitis vinifera subsp vinifera cv. Ignea = Pirovano 185</t>
  </si>
  <si>
    <t>Vitis vinifera subsp vinifera cv. ¿illade du 1er Août</t>
  </si>
  <si>
    <t>Vitis vinifera subsp vinifera cv. Imperatriz</t>
  </si>
  <si>
    <t>Vitis vinifera subsp vinifera cv. Impero = Pirovano 264</t>
  </si>
  <si>
    <t>Vitis vinifera subsp vinifera cv. Impigno</t>
  </si>
  <si>
    <t>Vitis vinifera subsp vinifera cv. Inab el Mir</t>
  </si>
  <si>
    <t>Vitis vinifera subsp vinifera cv. Inconnu blanc</t>
  </si>
  <si>
    <t>Vitis vinifera subsp vinifera cv. Inconnu blanc de Jongieux</t>
  </si>
  <si>
    <t>Vitis vinifera subsp vinifera cv. Inconnu noir</t>
  </si>
  <si>
    <t>Vitis vinifera subsp vinifera cv. Ingram's Hardy Prolific</t>
  </si>
  <si>
    <t>Vitis vinifera subsp vinifera cv. Inzolia</t>
  </si>
  <si>
    <t>Vitis vinifera subsp vinifera cv. Irki</t>
  </si>
  <si>
    <t>Vitis vinifera subsp vinifera cv. Irsay Oliver</t>
  </si>
  <si>
    <t>Vitis vinifera subsp vinifera cv. Isa = INRA 2012-55</t>
  </si>
  <si>
    <t>Vitis vinifera subsp vinifera cv. Ispisari</t>
  </si>
  <si>
    <t>Vitis vinifera subsp vinifera cv. Italia = Pirovano 65</t>
  </si>
  <si>
    <t>Vitis vinifera subsp vinifera cv. Italia rubi</t>
  </si>
  <si>
    <t>Vitis vinifera subsp vinifera cv. Itchkimar biely</t>
  </si>
  <si>
    <t>Vitis vinifera subsp vinifera cv. Ithaki</t>
  </si>
  <si>
    <t>Vitis vinifera subsp vinifera cv. Itshkimar</t>
  </si>
  <si>
    <t>Vitis vinifera subsp vinifera cv. Ivan</t>
  </si>
  <si>
    <t>Vitis vinifera subsp vinifera cv. Izsaki sarfeher</t>
  </si>
  <si>
    <t>Vitis vinifera subsp vinifera cv. Jacquère</t>
  </si>
  <si>
    <t>Vitis vinifera subsp vinifera cv. Jacquère noire faux</t>
  </si>
  <si>
    <t>Vitis vinifera subsp vinifera cv. Jaen</t>
  </si>
  <si>
    <t>Vitis vinifera subsp vinifera cv. Jaen negro</t>
  </si>
  <si>
    <t>Vitis vinifera subsp vinifera cv. Jaen noir</t>
  </si>
  <si>
    <t>Vitis vinifera subsp vinifera cv. Jahafi</t>
  </si>
  <si>
    <t>Vitis vinifera subsp vinifera cv. Jampal</t>
  </si>
  <si>
    <t>Vitis vinifera subsp vinifera cv. Jaoumet</t>
  </si>
  <si>
    <t>Vitis vinifera subsp vinifera cv. Jardovany</t>
  </si>
  <si>
    <t>Vitis vinifera subsp vinifera cv. Jardovany fekete</t>
  </si>
  <si>
    <t>Vitis vinifera subsp vinifera cv. Jaumin</t>
  </si>
  <si>
    <t>Vitis vinifera subsp vinifera cv. Javor gross</t>
  </si>
  <si>
    <t>Vitis vinifera subsp vinifera cv. Jean Bernath</t>
  </si>
  <si>
    <t>Vitis vinifera subsp vinifera cv. Jean Macé</t>
  </si>
  <si>
    <t>Vitis vinifera subsp vinifera cv. Jeludovii</t>
  </si>
  <si>
    <t>Vitis vinifera subsp vinifera cv. Jerez fina</t>
  </si>
  <si>
    <t>Vitis vinifera subsp vinifera cv. Jérusalem bleu</t>
  </si>
  <si>
    <t>Vitis vinifera subsp vinifera cv. Jijona</t>
  </si>
  <si>
    <t>Vitis vinifera subsp vinifera cv. Jo rizling</t>
  </si>
  <si>
    <t>Vitis vinifera subsp vinifera cv. Joamenco</t>
  </si>
  <si>
    <t>Vitis vinifera subsp vinifera cv. João Domingos</t>
  </si>
  <si>
    <t>Vitis vinifera subsp vinifera cv. Joubertin</t>
  </si>
  <si>
    <t>Vitis vinifera subsp vinifera cv. Joumalak biely</t>
  </si>
  <si>
    <t>Vitis vinifera subsp vinifera cv. Jubilé (Bulgarie)</t>
  </si>
  <si>
    <t>Vitis vinifera subsp vinifera cv. Juhfark</t>
  </si>
  <si>
    <t>Vitis vinifera subsp vinifera cv. Julius Caesar</t>
  </si>
  <si>
    <t>Vitis vinifera subsp vinifera cv. July Muscat</t>
  </si>
  <si>
    <t>Vitis vinifera subsp vinifera cv. Jurançon blanc</t>
  </si>
  <si>
    <t>Vitis vinifera subsp vinifera cv. Jurançon noir</t>
  </si>
  <si>
    <t>Vitis vinifera subsp vinifera cv. Kabyle noir</t>
  </si>
  <si>
    <t>Vitis vinifera subsp vinifera cv. Kadarka</t>
  </si>
  <si>
    <t>Vitis vinifera subsp vinifera cv. Kadarka Szürke</t>
  </si>
  <si>
    <t>Vitis vinifera subsp vinifera cv. Kadarka Török</t>
  </si>
  <si>
    <t>Vitis vinifera subsp vinifera cv. Kadarun</t>
  </si>
  <si>
    <t>Vitis vinifera subsp vinifera cv. Kaisermuskat</t>
  </si>
  <si>
    <t>Vitis vinifera subsp vinifera cv. Kakkete</t>
  </si>
  <si>
    <t>Vitis vinifera subsp vinifera cv. Kakourdess blanc</t>
  </si>
  <si>
    <t>Vitis vinifera subsp vinifera cv. Kalecik siyahi</t>
  </si>
  <si>
    <t>Vitis vinifera subsp vinifera cv. Kalili</t>
  </si>
  <si>
    <t>Vitis vinifera subsp vinifera cv. Kalina</t>
  </si>
  <si>
    <t>Vitis vinifera subsp vinifera cv. Kandahar</t>
  </si>
  <si>
    <t>Vitis vinifera subsp vinifera cv. Kandari</t>
  </si>
  <si>
    <t>Vitis vinifera subsp vinifera cv. Kanigl grün</t>
  </si>
  <si>
    <t>Vitis vinifera subsp vinifera cv. Kanzler = Alzey 3983</t>
  </si>
  <si>
    <t>Vitis vinifera subsp vinifera cv. Kaouchansky</t>
  </si>
  <si>
    <t>Vitis vinifera subsp vinifera cv. Kara kaltak</t>
  </si>
  <si>
    <t>Vitis vinifera subsp vinifera cv. Kara ouzume Aschkhabadsky</t>
  </si>
  <si>
    <t>Vitis vinifera subsp vinifera cv. Kara Palvan</t>
  </si>
  <si>
    <t>Vitis vinifera subsp vinifera cv. Kara papigi</t>
  </si>
  <si>
    <t>Vitis vinifera subsp vinifera cv. Karabraimis</t>
  </si>
  <si>
    <t>Vitis vinifera subsp vinifera cv. Karasakiz</t>
  </si>
  <si>
    <t>Vitis vinifera subsp vinifera cv. Karitsiotis</t>
  </si>
  <si>
    <t>Vitis vinifera subsp vinifera cv. Karmir Kakhani</t>
  </si>
  <si>
    <t>Vitis vinifera subsp vinifera cv. Karolowska</t>
  </si>
  <si>
    <t>Vitis vinifera subsp vinifera cv. Karroo belle</t>
  </si>
  <si>
    <t>Vitis vinifera subsp vinifera cv. Karydato</t>
  </si>
  <si>
    <t>Vitis vinifera subsp vinifera cv. Karystino</t>
  </si>
  <si>
    <t>Vitis vinifera subsp vinifera cv. Kasoufi de la Bekaa</t>
  </si>
  <si>
    <t>Vitis vinifera subsp vinifera cv. Kasoufi enta</t>
  </si>
  <si>
    <t>Vitis vinifera subsp vinifera cv. Kassoufi</t>
  </si>
  <si>
    <t>Vitis vinifera subsp vinifera cv. Kata</t>
  </si>
  <si>
    <t>Vitis vinifera subsp vinifera cv. Katsacoulias</t>
  </si>
  <si>
    <t>Vitis vinifera subsp vinifera cv. Katta kourgan</t>
  </si>
  <si>
    <t>Vitis vinifera subsp vinifera cv. Kauka blau</t>
  </si>
  <si>
    <t>Vitis vinifera subsp vinifera cv. Kaytagi rose</t>
  </si>
  <si>
    <t>Vitis vinifera subsp vinifera cv. Kechmisch aly violet</t>
  </si>
  <si>
    <t>Vitis vinifera subsp vinifera cv. Kecskecsecsu kek</t>
  </si>
  <si>
    <t>Vitis vinifera subsp vinifera cv. Kecskecsecsu roszas piros</t>
  </si>
  <si>
    <t>Vitis vinifera subsp vinifera cv. Kecskemet kincse</t>
  </si>
  <si>
    <t>Vitis vinifera subsp vinifera cv. Kecskemet Szepe</t>
  </si>
  <si>
    <t>Vitis vinifera subsp vinifera cv. Kecskemeti izes</t>
  </si>
  <si>
    <t>Vitis vinifera subsp vinifera cv. Kecskemeti rizling</t>
  </si>
  <si>
    <t>Vitis vinifera subsp vinifera cv. Kefessia</t>
  </si>
  <si>
    <t>Vitis vinifera subsp vinifera cv. Kekhlibar</t>
  </si>
  <si>
    <t>Vitis vinifera subsp vinifera cv. Keknyelü</t>
  </si>
  <si>
    <t>Vitis vinifera subsp vinifera cv. Kerner = We S 25-30</t>
  </si>
  <si>
    <t>Vitis vinifera subsp vinifera cv. Keropodia</t>
  </si>
  <si>
    <t>Vitis vinifera subsp vinifera cv. Khalili Piskakes</t>
  </si>
  <si>
    <t>Vitis vinifera subsp vinifera cv. Khalili tcherni</t>
  </si>
  <si>
    <t>Vitis vinifera subsp vinifera cv. Khalt</t>
  </si>
  <si>
    <t>Vitis vinifera subsp vinifera cv. Khatmi</t>
  </si>
  <si>
    <t>Vitis vinifera subsp vinifera cv. Khikhvi</t>
  </si>
  <si>
    <t>Vitis vinifera subsp vinifera cv. Khindogny</t>
  </si>
  <si>
    <t>Vitis vinifera subsp vinifera cv. Khoussaïné blanc</t>
  </si>
  <si>
    <t>Vitis vinifera subsp vinifera cv. Kibraiski</t>
  </si>
  <si>
    <t>Vitis vinifera subsp vinifera cv. Kichmich chichraou</t>
  </si>
  <si>
    <t>Vitis vinifera subsp vinifera cv. Kichmich rond</t>
  </si>
  <si>
    <t>Vitis vinifera subsp vinifera cv. Kincsem</t>
  </si>
  <si>
    <t>Vitis vinifera subsp vinifera cv. Kizil</t>
  </si>
  <si>
    <t>Vitis vinifera subsp vinifera cv. Kizil sapak</t>
  </si>
  <si>
    <t>Vitis vinifera subsp vinifera cv. Knipperlé</t>
  </si>
  <si>
    <t>Vitis vinifera subsp vinifera cv. Kocsis Irma</t>
  </si>
  <si>
    <t>Vitis vinifera subsp vinifera cv. Kocsis Pal szilvanija</t>
  </si>
  <si>
    <t>Vitis vinifera subsp vinifera cv. Kocsis Sandor</t>
  </si>
  <si>
    <t>Vitis vinifera subsp vinifera cv. Kokkinellia</t>
  </si>
  <si>
    <t>Vitis vinifera subsp vinifera cv. Kokkinostaphylo</t>
  </si>
  <si>
    <t>Vitis vinifera subsp vinifera cv. Kokour bely</t>
  </si>
  <si>
    <t>Vitis vinifera subsp vinifera cv. Kolliniatico</t>
  </si>
  <si>
    <t>Vitis vinifera subsp vinifera cv. Kölner blau</t>
  </si>
  <si>
    <t>Vitis vinifera subsp vinifera cv. Kolokythas avgoulatos</t>
  </si>
  <si>
    <t>Vitis vinifera subsp vinifera cv. Kolontar</t>
  </si>
  <si>
    <t>Vitis vinifera subsp vinifera cv. Königstraube</t>
  </si>
  <si>
    <t>Vitis vinifera subsp vinifera cv. Kontocladi</t>
  </si>
  <si>
    <t>Vitis vinifera subsp vinifera cv. Korai Olasz</t>
  </si>
  <si>
    <t>Vitis vinifera subsp vinifera cv. Korithi à gros grains</t>
  </si>
  <si>
    <t>Vitis vinifera subsp vinifera cv. Korithi aspro</t>
  </si>
  <si>
    <t>Vitis vinifera subsp vinifera cv. Korithi mavro</t>
  </si>
  <si>
    <t>Vitis vinifera subsp vinifera cv. Koritsanos rouge</t>
  </si>
  <si>
    <t>Vitis vinifera subsp vinifera cv. Koshu noir faux</t>
  </si>
  <si>
    <t>Vitis vinifera subsp vinifera cv. Kossorotovsky</t>
  </si>
  <si>
    <t>Vitis vinifera subsp vinifera cv. Kotselina</t>
  </si>
  <si>
    <t>Vitis vinifera subsp vinifera cv. Kotsiphali</t>
  </si>
  <si>
    <t>Vitis vinifera subsp vinifera cv. Koudsi</t>
  </si>
  <si>
    <t>Vitis vinifera subsp vinifera cv. Kouldjinsky</t>
  </si>
  <si>
    <t>Vitis vinifera subsp vinifera cv. Koumari</t>
  </si>
  <si>
    <t>Vitis vinifera subsp vinifera cv. Kouroupitsa</t>
  </si>
  <si>
    <t>Vitis vinifera subsp vinifera cv. Koussan</t>
  </si>
  <si>
    <t>Vitis vinifera subsp vinifera cv. Kovacsi feher</t>
  </si>
  <si>
    <t>Vitis vinifera subsp vinifera cv. Kovalevka</t>
  </si>
  <si>
    <t>Vitis vinifera subsp vinifera cv. Kövidinka</t>
  </si>
  <si>
    <t>Vitis vinifera subsp vinifera cv. Koytsoumbeli aspro</t>
  </si>
  <si>
    <t>Vitis vinifera subsp vinifera cv. Koz ouzioum</t>
  </si>
  <si>
    <t>Vitis vinifera subsp vinifera cv. Kozanitis</t>
  </si>
  <si>
    <t>Vitis vinifera subsp vinifera cv. Kozma</t>
  </si>
  <si>
    <t>Vitis vinifera subsp vinifera cv. Kracher gelber</t>
  </si>
  <si>
    <t>Vitis vinifera subsp vinifera cv. Krakhouna</t>
  </si>
  <si>
    <t>Vitis vinifera subsp vinifera cv. Krasnostop zolotowskii</t>
  </si>
  <si>
    <t>Vitis vinifera subsp vinifera cv. Kravi tzitzi</t>
  </si>
  <si>
    <t>Vitis vinifera subsp vinifera cv. Krestovsky</t>
  </si>
  <si>
    <t>Vitis vinifera subsp vinifera cv. Kroustalli</t>
  </si>
  <si>
    <t>Vitis vinifera subsp vinifera cv. Kujundzusa</t>
  </si>
  <si>
    <t>Vitis vinifera subsp vinifera cv. Kurtelaska</t>
  </si>
  <si>
    <t>Vitis vinifera subsp vinifera cv. Kypreiko</t>
  </si>
  <si>
    <t>Vitis vinifera subsp vinifera cv. La Guitte</t>
  </si>
  <si>
    <t>Vitis vinifera subsp vinifera cv. La Rochelle</t>
  </si>
  <si>
    <t>Vitis vinifera subsp vinifera cv. Laadari</t>
  </si>
  <si>
    <t>Vitis vinifera subsp vinifera cv. Labrusco</t>
  </si>
  <si>
    <t>Vitis vinifera subsp vinifera cv. Lacrima di Maria</t>
  </si>
  <si>
    <t>Vitis vinifera subsp vinifera cv. Lacryma Christi</t>
  </si>
  <si>
    <t>Vitis vinifera subsp vinifera cv. Ladikino</t>
  </si>
  <si>
    <t>Vitis vinifera subsp vinifera cv. Lady Downe's seedling</t>
  </si>
  <si>
    <t>Vitis vinifera subsp vinifera cv. Lady Hastings</t>
  </si>
  <si>
    <t>Vitis vinifera subsp vinifera cv. Lafayette</t>
  </si>
  <si>
    <t>Vitis vinifera subsp vinifera cv. Lagauzère A</t>
  </si>
  <si>
    <t>Vitis vinifera subsp vinifera cv. Lagauzère B</t>
  </si>
  <si>
    <t>Vitis vinifera subsp vinifera cv. Lagauzère C</t>
  </si>
  <si>
    <t>Vitis vinifera subsp vinifera cv. Lagauzère E</t>
  </si>
  <si>
    <t>Vitis vinifera subsp vinifera cv. Lagauzère 19</t>
  </si>
  <si>
    <t>Vitis vinifera subsp vinifera cv. Lagauzère 20</t>
  </si>
  <si>
    <t>Vitis vinifera subsp vinifera cv. Lagauzère 21</t>
  </si>
  <si>
    <t>Vitis vinifera subsp vinifera cv. Lagorthi</t>
  </si>
  <si>
    <t>Vitis vinifera subsp vinifera cv. Lagrein</t>
  </si>
  <si>
    <t>Vitis vinifera subsp vinifera cv. Lahntraube</t>
  </si>
  <si>
    <t>Vitis vinifera subsp vinifera cv. Lahntraube (Institut Oberlin)</t>
  </si>
  <si>
    <t>Vitis vinifera subsp vinifera cv. Lallée</t>
  </si>
  <si>
    <t>Vitis vinifera subsp vinifera cv. Lambrusco à foglia frastigliata</t>
  </si>
  <si>
    <t>Vitis vinifera subsp vinifera cv. Lambrusco di Sorbara</t>
  </si>
  <si>
    <t>Vitis vinifera subsp vinifera cv. Lambrusco grasparossa</t>
  </si>
  <si>
    <t>Vitis vinifera subsp vinifera cv. Lambrusco Maestri</t>
  </si>
  <si>
    <t>Vitis vinifera subsp vinifera cv. Lambrusco Marani</t>
  </si>
  <si>
    <t>Vitis vinifera subsp vinifera cv. Lambrusco Monterico</t>
  </si>
  <si>
    <t>Vitis vinifera subsp vinifera cv. Lambrusco oliva</t>
  </si>
  <si>
    <t>Vitis vinifera subsp vinifera cv. Lambrusco salamino</t>
  </si>
  <si>
    <t>Vitis vinifera subsp vinifera cv. Lambrusco Viadanese</t>
  </si>
  <si>
    <t>Vitis vinifera subsp vinifera cv. Lambruscone</t>
  </si>
  <si>
    <t>Vitis vinifera subsp vinifera cv. Lambrusque A</t>
  </si>
  <si>
    <t>Vitis vinifera subsp vinifera cv. lambrusque C</t>
  </si>
  <si>
    <t>Vitis vinifera subsp vinifera cv. Lambrusque D</t>
  </si>
  <si>
    <t>Vitis vinifera subsp vinifera cv. Lambrusque E</t>
  </si>
  <si>
    <t>Vitis vinifera subsp vinifera cv. Lambrusque F</t>
  </si>
  <si>
    <t>Vitis vinifera subsp vinifera cv. Lambrusque I</t>
  </si>
  <si>
    <t>Vitis vinifera subsp vinifera cv. Lambrusque J</t>
  </si>
  <si>
    <t>Vitis vinifera subsp vinifera cv. Lambrusque spontanée coloniale</t>
  </si>
  <si>
    <t>Vitis vinifera subsp vinifera cv. Lambrusque subspontanée</t>
  </si>
  <si>
    <t>Vitis vinifera subsp vinifera cv. Lamparfahr de Vany</t>
  </si>
  <si>
    <t>Vitis vinifera subsp vinifera cv. Landroter</t>
  </si>
  <si>
    <t>Vitis vinifera subsp vinifera cv. Lanjaron claro</t>
  </si>
  <si>
    <t>Vitis vinifera subsp vinifera cv. Larião</t>
  </si>
  <si>
    <t>Vitis vinifera subsp vinifera cv. Lasina</t>
  </si>
  <si>
    <t>Vitis vinifera subsp vinifera cv. Laska</t>
  </si>
  <si>
    <t>Vitis vinifera subsp vinifera cv. Latina = Pirovano 711</t>
  </si>
  <si>
    <t>Vitis vinifera subsp vinifera cv. Lattuario nero</t>
  </si>
  <si>
    <t>Vitis vinifera subsp vinifera cv. Lauzet</t>
  </si>
  <si>
    <t>Vitis vinifera subsp vinifera cv. Leanyka</t>
  </si>
  <si>
    <t>Vitis vinifera subsp vinifera cv. Leao Ferreira da Almeida 10-48-24</t>
  </si>
  <si>
    <t>Vitis vinifera subsp vinifera cv. Leao Ferreira da Almeida 29-54-30</t>
  </si>
  <si>
    <t>Vitis vinifera subsp vinifera cv. Leao Ferreira da Almeida 29-54-7</t>
  </si>
  <si>
    <t>Vitis vinifera subsp vinifera cv. Leao Ferreira da Almeida 34-49-48</t>
  </si>
  <si>
    <t>Vitis vinifera subsp vinifera cv. Leao Ferreira da Almeida 34-49-50</t>
  </si>
  <si>
    <t>Vitis vinifera subsp vinifera cv. Leao Ferreira da Almeida 37-50-8</t>
  </si>
  <si>
    <t>Vitis vinifera subsp vinifera cv. Leao Ferreira da Almeida 4-49-44</t>
  </si>
  <si>
    <t>Vitis vinifera subsp vinifera cv. Leao Ferreira da Almeida 7-49-35</t>
  </si>
  <si>
    <t>Vitis vinifera subsp vinifera cv. Lefcas</t>
  </si>
  <si>
    <t>Vitis vinifera subsp vinifera cv. Len de l'El</t>
  </si>
  <si>
    <t>Vitis vinifera subsp vinifera cv. L'Enfant trouvé</t>
  </si>
  <si>
    <t>Vitis vinifera subsp vinifera cv. Léopold III</t>
  </si>
  <si>
    <t>Vitis vinifera subsp vinifera cv. Lercat</t>
  </si>
  <si>
    <t>Vitis vinifera subsp vinifera cv. Lesz meg hazam</t>
  </si>
  <si>
    <t>Vitis vinifera subsp vinifera cv. Lialmigui</t>
  </si>
  <si>
    <t>Vitis vinifera subsp vinifera cv. Liatico</t>
  </si>
  <si>
    <t>Vitis vinifera subsp vinifera cv. Lignage</t>
  </si>
  <si>
    <t>Vitis vinifera subsp vinifera cv. Lignan</t>
  </si>
  <si>
    <t>Vitis vinifera subsp vinifera cv. Liliorila</t>
  </si>
  <si>
    <t>Vitis vinifera subsp vinifera cv. Limberger</t>
  </si>
  <si>
    <t>Vitis vinifera subsp vinifera cv. Limniona</t>
  </si>
  <si>
    <t>Vitis vinifera subsp vinifera cv. Linné</t>
  </si>
  <si>
    <t>Vitis vinifera subsp vinifera cv. Listan</t>
  </si>
  <si>
    <t>Vitis vinifera subsp vinifera cv. Lisztes feher feketefaju</t>
  </si>
  <si>
    <t>Vitis vinifera subsp vinifera cv. Lisztes piros</t>
  </si>
  <si>
    <t>Vitis vinifera subsp vinifera cv. Littorio = Pirovano 90</t>
  </si>
  <si>
    <t>Vitis vinifera subsp vinifera cv. Lival = INRA 696-11</t>
  </si>
  <si>
    <t>Vitis vinifera subsp vinifera cv. Lkeny noir</t>
  </si>
  <si>
    <t>Vitis vinifera subsp vinifera cv. Lledoner pelut</t>
  </si>
  <si>
    <t>Vitis vinifera subsp vinifera cv. Lombardia = Pirovano 353</t>
  </si>
  <si>
    <t>Vitis vinifera subsp vinifera cv. Louali</t>
  </si>
  <si>
    <t>Vitis vinifera subsp vinifera cv. Loureiro</t>
  </si>
  <si>
    <t>Vitis vinifera subsp vinifera cv. Lucien Baltet</t>
  </si>
  <si>
    <t>Vitis vinifera subsp vinifera cv. Luigi Razza = Pirovano 365</t>
  </si>
  <si>
    <t>Vitis vinifera subsp vinifera cv. Luisa blanca</t>
  </si>
  <si>
    <t>Vitis vinifera subsp vinifera cv. Lumassina</t>
  </si>
  <si>
    <t>Vitis vinifera subsp vinifera cv. Luparello</t>
  </si>
  <si>
    <t>Vitis vinifera subsp vinifera cv. Lutea = Pirovano 167</t>
  </si>
  <si>
    <t>Vitis vinifera subsp vinifera cv. Maabouri</t>
  </si>
  <si>
    <t>Vitis vinifera subsp vinifera cv. Maça</t>
  </si>
  <si>
    <t>Vitis vinifera subsp vinifera cv. Macabeu</t>
  </si>
  <si>
    <t>Vitis vinifera subsp vinifera cv. Maceratino</t>
  </si>
  <si>
    <t>Vitis vinifera subsp vinifera cv. Mackensen</t>
  </si>
  <si>
    <t>Vitis vinifera subsp vinifera cv. Madeleine angevine</t>
  </si>
  <si>
    <t>Vitis vinifera subsp vinifera cv. Madeleine angevine Oberlin</t>
  </si>
  <si>
    <t>Vitis vinifera subsp vinifera cv. Madeleine Céline</t>
  </si>
  <si>
    <t>Vitis vinifera subsp vinifera cv. Madeleine de Clermont</t>
  </si>
  <si>
    <t>Vitis vinifera subsp vinifera cv. Madeleine royale</t>
  </si>
  <si>
    <t>Vitis vinifera subsp vinifera cv. Madeleine Salomon</t>
  </si>
  <si>
    <t>Vitis vinifera subsp vinifera cv. Madeleine Sämling 18</t>
  </si>
  <si>
    <t>Vitis vinifera subsp vinifera cv. Madeleine Sämling 22</t>
  </si>
  <si>
    <t>Vitis vinifera subsp vinifera cv. Madina = INRA 2004-9</t>
  </si>
  <si>
    <t>Vitis vinifera subsp vinifera cv. Magliocco</t>
  </si>
  <si>
    <t>Vitis vinifera subsp vinifera cv. Magyartraube</t>
  </si>
  <si>
    <t>Vitis vinifera subsp vinifera cv. Maingonat 50 L 2</t>
  </si>
  <si>
    <t>Vitis vinifera subsp vinifera cv. Maingonnat 11 L 13</t>
  </si>
  <si>
    <t>Vitis vinifera subsp vinifera cv. Maingonnat 12 L 11</t>
  </si>
  <si>
    <t>Vitis vinifera subsp vinifera cv. Maingonnat 14 L 23</t>
  </si>
  <si>
    <t>Vitis vinifera subsp vinifera cv. Maingonnat 16 L 4</t>
  </si>
  <si>
    <t>Vitis vinifera subsp vinifera cv. Maingonnat 17 L 24</t>
  </si>
  <si>
    <t>Vitis vinifera subsp vinifera cv. Maingonnat 19 L 25</t>
  </si>
  <si>
    <t>Vitis vinifera subsp vinifera cv. Maingonnat 20 L 12</t>
  </si>
  <si>
    <t>Vitis vinifera subsp vinifera cv. Maingonnat 20 L 22</t>
  </si>
  <si>
    <t>Vitis vinifera subsp vinifera cv. Maingonnat 25 L 5</t>
  </si>
  <si>
    <t>Vitis vinifera subsp vinifera cv. Maingonnat 27 L1</t>
  </si>
  <si>
    <t>Vitis vinifera subsp vinifera cv. Maingonnat 3 L 1</t>
  </si>
  <si>
    <t>Vitis vinifera subsp vinifera cv. Maingonnat 3 L 22</t>
  </si>
  <si>
    <t>Vitis vinifera subsp vinifera cv. Maingonnat 30 L 22</t>
  </si>
  <si>
    <t>Vitis vinifera subsp vinifera cv. Maingonnat 31 L 10</t>
  </si>
  <si>
    <t>Vitis vinifera subsp vinifera cv. Maingonnat 31 L 11</t>
  </si>
  <si>
    <t>Vitis vinifera subsp vinifera cv. Maingonnat 34 L 5</t>
  </si>
  <si>
    <t>Vitis vinifera subsp vinifera cv. Maingonnat 4 L 22</t>
  </si>
  <si>
    <t>Vitis vinifera subsp vinifera cv. Maingonnat 42 L 10</t>
  </si>
  <si>
    <t>Vitis vinifera subsp vinifera cv. Maingonnat 48 L 2</t>
  </si>
  <si>
    <t>Vitis vinifera subsp vinifera cv. Maingonnat 48 L 4</t>
  </si>
  <si>
    <t>Vitis vinifera subsp vinifera cv. Maingonnat 50 L 4</t>
  </si>
  <si>
    <t>Vitis vinifera subsp vinifera cv. Maingonnat 7 L 1</t>
  </si>
  <si>
    <t>Vitis vinifera subsp vinifera cv. Maingonnat 9 L 24</t>
  </si>
  <si>
    <t>Vitis vinifera subsp vinifera cv. Malaga II</t>
  </si>
  <si>
    <t>Vitis vinifera subsp vinifera cv. Malaga noir</t>
  </si>
  <si>
    <t>Vitis vinifera subsp vinifera cv. Maloukato</t>
  </si>
  <si>
    <t>Vitis vinifera subsp vinifera cv. Malpé (1)</t>
  </si>
  <si>
    <t>Vitis vinifera subsp vinifera cv. Malpé (2)</t>
  </si>
  <si>
    <t>Vitis vinifera subsp vinifera cv. Malvar</t>
  </si>
  <si>
    <t>Vitis vinifera subsp vinifera cv. Malvarisco</t>
  </si>
  <si>
    <t>Vitis vinifera subsp vinifera cv. Malvasia</t>
  </si>
  <si>
    <t>Vitis vinifera subsp vinifera cv. Malvasia del Chianti</t>
  </si>
  <si>
    <t>Vitis vinifera subsp vinifera cv. Malvasia del Lazio</t>
  </si>
  <si>
    <t>Vitis vinifera subsp vinifera cv. Malvasia di Candia</t>
  </si>
  <si>
    <t>Vitis vinifera subsp vinifera cv. Malvasia di Candia aromatica</t>
  </si>
  <si>
    <t>Vitis vinifera subsp vinifera cv. Malvasia di Casorzo</t>
  </si>
  <si>
    <t>Vitis vinifera subsp vinifera cv. Malvasia di Sardegna</t>
  </si>
  <si>
    <t>Vitis vinifera subsp vinifera cv. Malvasia di Schierano</t>
  </si>
  <si>
    <t>Vitis vinifera subsp vinifera cv. Malvasia fina</t>
  </si>
  <si>
    <t>Vitis vinifera subsp vinifera cv. Malvasia istriana</t>
  </si>
  <si>
    <t>Vitis vinifera subsp vinifera cv. Malvasia Moscatel Fonte grande</t>
  </si>
  <si>
    <t>Vitis vinifera subsp vinifera cv. Malvasia nera di Brindisi</t>
  </si>
  <si>
    <t>Vitis vinifera subsp vinifera cv. Malvasia nera di Lecce</t>
  </si>
  <si>
    <t>Vitis vinifera subsp vinifera cv. Malvasia rei</t>
  </si>
  <si>
    <t>Vitis vinifera subsp vinifera cv. Malvina</t>
  </si>
  <si>
    <t>Vitis vinifera subsp vinifera cv. Malvoisie de Sitges fausse</t>
  </si>
  <si>
    <t>Vitis vinifera subsp vinifera cv. Mamelon</t>
  </si>
  <si>
    <t>Vitis vinifera subsp vinifera cv. Mammolo</t>
  </si>
  <si>
    <t>Vitis vinifera subsp vinifera cv. Mancens</t>
  </si>
  <si>
    <t>Vitis vinifera subsp vinifera cv. Mancin</t>
  </si>
  <si>
    <t>Vitis vinifera subsp vinifera cv. Mandrègue</t>
  </si>
  <si>
    <t>Vitis vinifera subsp vinifera cv. Manseng noir</t>
  </si>
  <si>
    <t>Vitis vinifera subsp vinifera cv. Manseng vert</t>
  </si>
  <si>
    <t>Vitis vinifera subsp vinifera cv. Mansonnet</t>
  </si>
  <si>
    <t>Vitis vinifera subsp vinifera cv. Manteudo</t>
  </si>
  <si>
    <t>Vitis vinifera subsp vinifera cv. Mantheudo</t>
  </si>
  <si>
    <t>Vitis vinifera subsp vinifera cv. Mantilaria</t>
  </si>
  <si>
    <t>Vitis vinifera subsp vinifera cv. Mantuo de Pilas</t>
  </si>
  <si>
    <t>Vitis vinifera subsp vinifera cv. Manzoni 1-50</t>
  </si>
  <si>
    <t>Vitis vinifera subsp vinifera cv. Manzoni 2-15</t>
  </si>
  <si>
    <t>Vitis vinifera subsp vinifera cv. Manzoni 3-26</t>
  </si>
  <si>
    <t>Vitis vinifera subsp vinifera cv. Maratheftico</t>
  </si>
  <si>
    <t>Vitis vinifera subsp vinifera cv. Marawi</t>
  </si>
  <si>
    <t>Vitis vinifera subsp vinifera cv. Maréchal Bosquet</t>
  </si>
  <si>
    <t>Vitis vinifera subsp vinifera cv. Maréchal Gallieni</t>
  </si>
  <si>
    <t>Vitis vinifera subsp vinifera cv. Marengo = Pirovano 205</t>
  </si>
  <si>
    <t>Vitis vinifera subsp vinifera cv. Maria Pirovano = Pirovano 165</t>
  </si>
  <si>
    <t>Vitis vinifera subsp vinifera cv. Marienriesling</t>
  </si>
  <si>
    <t>Vitis vinifera subsp vinifera cv. Mariensteiner = Würzburg B 51-7-3</t>
  </si>
  <si>
    <t>Vitis vinifera subsp vinifera cv. Mario Mariani = Pirovano 276</t>
  </si>
  <si>
    <t>Vitis vinifera subsp vinifera cv. Marocain gris</t>
  </si>
  <si>
    <t>Vitis vinifera subsp vinifera cv. Marocain noir</t>
  </si>
  <si>
    <t>Vitis vinifera subsp vinifera cv. Maroo seedless</t>
  </si>
  <si>
    <t>Vitis vinifera subsp vinifera cv. Marouhé</t>
  </si>
  <si>
    <t>Vitis vinifera subsp vinifera cv. Marsanne</t>
  </si>
  <si>
    <t>Vitis vinifera subsp vinifera cv. Marsanne de Pays</t>
  </si>
  <si>
    <t>Vitis vinifera subsp vinifera cv. Marselan = INRA 1810-68</t>
  </si>
  <si>
    <t>Vitis vinifera subsp vinifera cv. Marsigliana nera</t>
  </si>
  <si>
    <t>Vitis vinifera subsp vinifera cv. Martien</t>
  </si>
  <si>
    <t>Vitis vinifera subsp vinifera cv. Marzemino</t>
  </si>
  <si>
    <t>Vitis vinifera subsp vinifera cv. Massecamp</t>
  </si>
  <si>
    <t>Vitis vinifera subsp vinifera cv. Mateu</t>
  </si>
  <si>
    <t>Vitis vinifera subsp vinifera cv. Mathiasz Janos Diadala muskotaly</t>
  </si>
  <si>
    <t>Vitis vinifera subsp vinifera cv. Mathiasz Janos Emleke</t>
  </si>
  <si>
    <t>Vitis vinifera subsp vinifera cv. Mathiasz Janosne</t>
  </si>
  <si>
    <t>Vitis vinifera subsp vinifera cv. Mathiasz Muskotaly = Revai tranonor</t>
  </si>
  <si>
    <t>Vitis vinifera subsp vinifera cv. Mathiasz 215 faux</t>
  </si>
  <si>
    <t>Vitis vinifera subsp vinifera cv. Maticha</t>
  </si>
  <si>
    <t>Vitis vinifera subsp vinifera cv. Matilde</t>
  </si>
  <si>
    <t>Vitis vinifera subsp vinifera cv. Matrassa</t>
  </si>
  <si>
    <t>Vitis vinifera subsp vinifera cv. Maturana</t>
  </si>
  <si>
    <t>Vitis vinifera subsp vinifera cv. Mauvaise Roussette</t>
  </si>
  <si>
    <t>Vitis vinifera subsp vinifera cv. Mauzac</t>
  </si>
  <si>
    <t>Vitis vinifera subsp vinifera cv. Mauzac noir</t>
  </si>
  <si>
    <t>Vitis vinifera subsp vinifera cv. Mauzac rose</t>
  </si>
  <si>
    <t>Vitis vinifera subsp vinifera cv. Mavro Kymis</t>
  </si>
  <si>
    <t>Vitis vinifera subsp vinifera cv. Mavrodaphni</t>
  </si>
  <si>
    <t>Vitis vinifera subsp vinifera cv. Mavrostypho</t>
  </si>
  <si>
    <t>Vitis vinifera subsp vinifera cv. Mavrotragano</t>
  </si>
  <si>
    <t>Vitis vinifera subsp vinifera cv. Mavroudi</t>
  </si>
  <si>
    <t>Vitis vinifera subsp vinifera cv. Mavrud</t>
  </si>
  <si>
    <t>Vitis vinifera subsp vinifera cv. Mavrud Varnenski</t>
  </si>
  <si>
    <t>Vitis vinifera subsp vinifera cv. Mayorquin</t>
  </si>
  <si>
    <t>Vitis vinifera subsp vinifera cv. Mazzari</t>
  </si>
  <si>
    <t>Vitis vinifera subsp vinifera cv. Mècle de Bourgoin</t>
  </si>
  <si>
    <t>Vitis vinifera subsp vinifera cv. Médoc noir</t>
  </si>
  <si>
    <t>Vitis vinifera subsp vinifera cv. Mehdik</t>
  </si>
  <si>
    <t>Vitis vinifera subsp vinifera cv. Mehlweiss</t>
  </si>
  <si>
    <t>Vitis vinifera subsp vinifera cv. Melbento</t>
  </si>
  <si>
    <t>Vitis vinifera subsp vinifera cv. Melon</t>
  </si>
  <si>
    <t>Vitis vinifera subsp vinifera cv. Melon noir</t>
  </si>
  <si>
    <t>Vitis vinifera subsp vinifera cv. Mencia</t>
  </si>
  <si>
    <t>Vitis vinifera subsp vinifera cv. Mendel = Pirovano 532</t>
  </si>
  <si>
    <t>Vitis vinifera subsp vinifera cv. Mérille</t>
  </si>
  <si>
    <t>Vitis vinifera subsp vinifera cv. Merlot</t>
  </si>
  <si>
    <t>Vitis vinifera subsp vinifera cv. Merlot blanc</t>
  </si>
  <si>
    <t>Vitis vinifera subsp vinifera cv. Merlot gris</t>
  </si>
  <si>
    <t>Vitis vinifera subsp vinifera cv. Merseguera</t>
  </si>
  <si>
    <t>Vitis vinifera subsp vinifera cv. Meslier noir</t>
  </si>
  <si>
    <t>Vitis vinifera subsp vinifera cv. Meslier Saint-François</t>
  </si>
  <si>
    <t>Vitis vinifera subsp vinifera cv. Métis Clerc</t>
  </si>
  <si>
    <t>Vitis vinifera subsp vinifera cv. Meunier</t>
  </si>
  <si>
    <t>Vitis vinifera subsp vinifera cv. Meunier Court Maillé</t>
  </si>
  <si>
    <t>Vitis vinifera subsp vinifera cv. Meunier tête de nègre</t>
  </si>
  <si>
    <t>Vitis vinifera subsp vinifera cv. Mezesfeher</t>
  </si>
  <si>
    <t>Vitis vinifera subsp vinifera cv. Mezesfekete</t>
  </si>
  <si>
    <t>Vitis vinifera subsp vinifera cv. Mezi</t>
  </si>
  <si>
    <t>Vitis vinifera subsp vinifera cv. Mgaloblichvili</t>
  </si>
  <si>
    <t>Vitis vinifera subsp vinifera cv. Michele Palieri = Palieri 5</t>
  </si>
  <si>
    <t>Vitis vinifera subsp vinifera cv. Miguel de Arco</t>
  </si>
  <si>
    <t>Vitis vinifera subsp vinifera cv. Mikveh 17</t>
  </si>
  <si>
    <t>Vitis vinifera subsp vinifera cv. Milgranet</t>
  </si>
  <si>
    <t>Vitis vinifera subsp vinifera cv. Milton</t>
  </si>
  <si>
    <t>Vitis vinifera subsp vinifera cv. Minnella bianca</t>
  </si>
  <si>
    <t>Vitis vinifera subsp vinifera cv. Mireille = Mi 108 C</t>
  </si>
  <si>
    <t>Vitis vinifera subsp vinifera cv. Mirifica = Pirovano 432</t>
  </si>
  <si>
    <t>Vitis vinifera subsp vinifera cv. Mirni</t>
  </si>
  <si>
    <t>Vitis vinifera subsp vinifera cv. Misguli kara</t>
  </si>
  <si>
    <t>Vitis vinifera subsp vinifera cv. Mishung</t>
  </si>
  <si>
    <t>Vitis vinifera subsp vinifera cv. Misket tcherven</t>
  </si>
  <si>
    <t>Vitis vinifera subsp vinifera cv. Misket vratchansky</t>
  </si>
  <si>
    <t>Vitis vinifera subsp vinifera cv. Mission</t>
  </si>
  <si>
    <t>Vitis vinifera subsp vinifera cv. Mistress Hall</t>
  </si>
  <si>
    <t>Vitis vinifera subsp vinifera cv. Mohzel</t>
  </si>
  <si>
    <t>Vitis vinifera subsp vinifera cv. Moldovanka</t>
  </si>
  <si>
    <t>Vitis vinifera subsp vinifera cv. Molette</t>
  </si>
  <si>
    <t>Vitis vinifera subsp vinifera cv. Molinara</t>
  </si>
  <si>
    <t>Vitis vinifera subsp vinifera cv. Molinera gorda</t>
  </si>
  <si>
    <t>Vitis vinifera subsp vinifera cv. Mollar</t>
  </si>
  <si>
    <t>Vitis vinifera subsp vinifera cv. Mollard</t>
  </si>
  <si>
    <t>Vitis vinifera subsp vinifera cv. Monaca</t>
  </si>
  <si>
    <t>Vitis vinifera subsp vinifera cv. Monbadon</t>
  </si>
  <si>
    <t>Vitis vinifera subsp vinifera cv. Mondeuse</t>
  </si>
  <si>
    <t>Vitis vinifera subsp vinifera cv. Mondeuse blanche</t>
  </si>
  <si>
    <t>Vitis vinifera subsp vinifera cv. Mondeuse du Piémont</t>
  </si>
  <si>
    <t>Vitis vinifera subsp vinifera cv. Mondeuse grise</t>
  </si>
  <si>
    <t>Vitis vinifera subsp vinifera cv. Monemvassia</t>
  </si>
  <si>
    <t>Vitis vinifera subsp vinifera cv. Monerac = INRA 1740-1142</t>
  </si>
  <si>
    <t>Vitis vinifera subsp vinifera cv. Monica</t>
  </si>
  <si>
    <t>Vitis vinifera subsp vinifera cv. Monique</t>
  </si>
  <si>
    <t>Vitis vinifera subsp vinifera cv. Monte d'oro = Pirovano 240</t>
  </si>
  <si>
    <t>Vitis vinifera subsp vinifera cv. Montepulciano</t>
  </si>
  <si>
    <t>Vitis vinifera subsp vinifera cv. Montils</t>
  </si>
  <si>
    <t>Vitis vinifera subsp vinifera cv. Montonico bianco</t>
  </si>
  <si>
    <t>Vitis vinifera subsp vinifera cv. Montu</t>
  </si>
  <si>
    <t>Vitis vinifera subsp vinifera cv. Montuonico</t>
  </si>
  <si>
    <t>Vitis vinifera subsp vinifera cv. Morenillo</t>
  </si>
  <si>
    <t>Vitis vinifera subsp vinifera cv. Moreto</t>
  </si>
  <si>
    <t>Vitis vinifera subsp vinifera cv. Moriot Muskat = Geilweilerhof I-28-30</t>
  </si>
  <si>
    <t>Vitis vinifera subsp vinifera cv. Morisca</t>
  </si>
  <si>
    <t>Vitis vinifera subsp vinifera cv. Morlin gris</t>
  </si>
  <si>
    <t>Vitis vinifera subsp vinifera cv. Mornen</t>
  </si>
  <si>
    <t>Vitis vinifera subsp vinifera cv. Morrastel</t>
  </si>
  <si>
    <t>Vitis vinifera subsp vinifera cv. Morrastel Bouschet à gros grains</t>
  </si>
  <si>
    <t>Vitis vinifera subsp vinifera cv. Moscatel de Camarate</t>
  </si>
  <si>
    <t>Vitis vinifera subsp vinifera cv. Moscatel de San Ildefonso</t>
  </si>
  <si>
    <t>Vitis vinifera subsp vinifera cv. Moscatel Dr Soares Franco</t>
  </si>
  <si>
    <t>Vitis vinifera subsp vinifera cv. Moscatel rosa = Leao Ferreira da Almeida 37-51-15</t>
  </si>
  <si>
    <t>Vitis vinifera subsp vinifera cv. Moscatel rosado</t>
  </si>
  <si>
    <t>Vitis vinifera subsp vinifera cv. Moscato Cerletti</t>
  </si>
  <si>
    <t>Vitis vinifera subsp vinifera cv. Moscato d'Adda</t>
  </si>
  <si>
    <t>Vitis vinifera subsp vinifera cv. Moscato giallo</t>
  </si>
  <si>
    <t>Vitis vinifera subsp vinifera cv. Moscato Tiammor = Pirovano 672</t>
  </si>
  <si>
    <t>Vitis vinifera subsp vinifera cv. Moschardina</t>
  </si>
  <si>
    <t>Vitis vinifera subsp vinifera cv. Moschopatata</t>
  </si>
  <si>
    <t>Vitis vinifera subsp vinifera cv. Mouchketny</t>
  </si>
  <si>
    <t>Vitis vinifera subsp vinifera cv. Moudjouretouli</t>
  </si>
  <si>
    <t>Vitis vinifera subsp vinifera cv. Mourisco branco</t>
  </si>
  <si>
    <t>Vitis vinifera subsp vinifera cv. Mourisco de Semente</t>
  </si>
  <si>
    <t>Vitis vinifera subsp vinifera cv. Mourisco du Minho</t>
  </si>
  <si>
    <t>Vitis vinifera subsp vinifera cv. Mourisco nacional</t>
  </si>
  <si>
    <t>Vitis vinifera subsp vinifera cv. Mourisco tinto</t>
  </si>
  <si>
    <t>Vitis vinifera subsp vinifera cv. Mourtaou</t>
  </si>
  <si>
    <t>Vitis vinifera subsp vinifera cv. Mourtès</t>
  </si>
  <si>
    <t>Vitis vinifera subsp vinifera cv. Mourvaison</t>
  </si>
  <si>
    <t>Vitis vinifera subsp vinifera cv. Mourvèdre</t>
  </si>
  <si>
    <t>Vitis vinifera subsp vinifera cv. Mourvèdre gris</t>
  </si>
  <si>
    <t>Vitis vinifera subsp vinifera cv. Mouscha</t>
  </si>
  <si>
    <t>Vitis vinifera subsp vinifera cv. Mouyssaguès</t>
  </si>
  <si>
    <t>Vitis vinifera subsp vinifera cv. Mskhali</t>
  </si>
  <si>
    <t>Vitis vinifera subsp vinifera cv. Mtzvané</t>
  </si>
  <si>
    <t>Vitis vinifera subsp vinifera cv. Mulata = Leao Ferreira da Almeida 11-48-49</t>
  </si>
  <si>
    <t>Vitis vinifera subsp vinifera cv. Müller-Thurgau</t>
  </si>
  <si>
    <t>Vitis vinifera subsp vinifera cv. Munkatsy Jozsef Muskotaly</t>
  </si>
  <si>
    <t>Vitis vinifera subsp vinifera cv. Muresconu = Morescono</t>
  </si>
  <si>
    <t>Vitis vinifera subsp vinifera cv. Mureto</t>
  </si>
  <si>
    <t>Vitis vinifera subsp vinifera cv. Murrâo</t>
  </si>
  <si>
    <t>Vitis vinifera subsp vinifera cv. Muscadelle</t>
  </si>
  <si>
    <t>Vitis vinifera subsp vinifera cv. Muscardin</t>
  </si>
  <si>
    <t>Vitis vinifera subsp vinifera cv. Muscat à petits grains blancs</t>
  </si>
  <si>
    <t>Vitis vinifera subsp vinifera cv. Muscat à petits grains roses</t>
  </si>
  <si>
    <t>Vitis vinifera subsp vinifera cv. Muscat à petits grains rouges</t>
  </si>
  <si>
    <t>Vitis vinifera subsp vinifera cv. Muscat bifère</t>
  </si>
  <si>
    <t>Vitis vinifera subsp vinifera cv. Muscat Bouschet</t>
  </si>
  <si>
    <t>Vitis vinifera subsp vinifera cv. Muscat cendré</t>
  </si>
  <si>
    <t>Vitis vinifera subsp vinifera cv. Muscat d'Alexandrie</t>
  </si>
  <si>
    <t>Vitis vinifera subsp vinifera cv. Muscat d'Alexandrie rouge</t>
  </si>
  <si>
    <t>Vitis vinifera subsp vinifera cv. Muscat de Hambourg</t>
  </si>
  <si>
    <t>Vitis vinifera subsp vinifera cv. Muscat de Pantelleria</t>
  </si>
  <si>
    <t>Vitis vinifera subsp vinifera cv. Muscat de Roussé</t>
  </si>
  <si>
    <t>Vitis vinifera subsp vinifera cv. Muscat de Sarbelle</t>
  </si>
  <si>
    <t>Vitis vinifera subsp vinifera cv. Muscat de Saumur</t>
  </si>
  <si>
    <t>Vitis vinifera subsp vinifera cv. Muscat de Terracina</t>
  </si>
  <si>
    <t>Vitis vinifera subsp vinifera cv. Muscat d'Eisenstadt</t>
  </si>
  <si>
    <t>Vitis vinifera subsp vinifera cv. Muscat d'Istamboul</t>
  </si>
  <si>
    <t>Vitis vinifera subsp vinifera cv. Muscat d'Ouzbekistan</t>
  </si>
  <si>
    <t>Vitis vinifera subsp vinifera cv. Muscat fleur d'oranger</t>
  </si>
  <si>
    <t>Vitis vinifera subsp vinifera cv. Muscat fleur d'oranger faux</t>
  </si>
  <si>
    <t>Vitis vinifera subsp vinifera cv. Muscat gris de la Calmette</t>
  </si>
  <si>
    <t>Vitis vinifera subsp vinifera cv. Muscat Laserelle</t>
  </si>
  <si>
    <t>Vitis vinifera subsp vinifera cv. Muscat Lierval</t>
  </si>
  <si>
    <t>Vitis vinifera subsp vinifera cv. Muscat Madresfield Court</t>
  </si>
  <si>
    <t>Vitis vinifera subsp vinifera cv. Muscat Mikveh</t>
  </si>
  <si>
    <t>Vitis vinifera subsp vinifera cv. Muscat Oberlin</t>
  </si>
  <si>
    <t>Vitis vinifera subsp vinifera cv. Muscat Ottonel</t>
  </si>
  <si>
    <t>Vitis vinifera subsp vinifera cv. Muscat Paulsen = Paulsen 122</t>
  </si>
  <si>
    <t>Vitis vinifera subsp vinifera cv. Muscat Pince's black</t>
  </si>
  <si>
    <t>Vitis vinifera subsp vinifera cv. Muscat rouge de Madère</t>
  </si>
  <si>
    <t>Vitis vinifera subsp vinifera cv. Muscat Saint-Laurent</t>
  </si>
  <si>
    <t>Vitis vinifera subsp vinifera cv. Muscat Salomon</t>
  </si>
  <si>
    <t>Vitis vinifera subsp vinifera cv. Muscat Vira</t>
  </si>
  <si>
    <t>Vitis vinifera subsp vinifera cv. Muscat Vörösmarty</t>
  </si>
  <si>
    <t>Vitis vinifera subsp vinifera cv. Muskat blume</t>
  </si>
  <si>
    <t>Vitis vinifera subsp vinifera cv. Muskat bouquet</t>
  </si>
  <si>
    <t>Vitis vinifera subsp vinifera cv. Müsküle</t>
  </si>
  <si>
    <t>Vitis vinifera subsp vinifera cv. Mustos feher</t>
  </si>
  <si>
    <t>Vitis vinifera subsp vinifera cv. Nagyfüger</t>
  </si>
  <si>
    <t>Vitis vinifera subsp vinifera cv. Naosé</t>
  </si>
  <si>
    <t>Vitis vinifera subsp vinifera cv. Narince</t>
  </si>
  <si>
    <t>Vitis vinifera subsp vinifera cv. Narma</t>
  </si>
  <si>
    <t>Vitis vinifera subsp vinifera cv. Nasco</t>
  </si>
  <si>
    <t>Vitis vinifera subsp vinifera cv. Nave</t>
  </si>
  <si>
    <t>Vitis vinifera subsp vinifera cv. Nebbiolo</t>
  </si>
  <si>
    <t>Vitis vinifera subsp vinifera cv. Nedelcsev magvatlana</t>
  </si>
  <si>
    <t>Vitis vinifera subsp vinifera cv. Nedeltchev VI-4</t>
  </si>
  <si>
    <t>Vitis vinifera subsp vinifera cv. Nedeltchev V-6</t>
  </si>
  <si>
    <t>Vitis vinifera subsp vinifera cv. Negra corriente</t>
  </si>
  <si>
    <t>Vitis vinifera subsp vinifera cv. Negra mole</t>
  </si>
  <si>
    <t>Vitis vinifera subsp vinifera cv. Negra rayada</t>
  </si>
  <si>
    <t>Vitis vinifera subsp vinifera cv. Negral</t>
  </si>
  <si>
    <t>Vitis vinifera subsp vinifera cv. Negrara trentina</t>
  </si>
  <si>
    <t>Vitis vinifera subsp vinifera cv. Negrara veronese</t>
  </si>
  <si>
    <t>Vitis vinifera subsp vinifera cv. Négret de Banhars</t>
  </si>
  <si>
    <t>Vitis vinifera subsp vinifera cv. Négret de la Canourgue</t>
  </si>
  <si>
    <t>Vitis vinifera subsp vinifera cv. Négret pointu</t>
  </si>
  <si>
    <t>Vitis vinifera subsp vinifera cv. Négrette</t>
  </si>
  <si>
    <t>Vitis vinifera subsp vinifera cv. Negretto</t>
  </si>
  <si>
    <t>Vitis vinifera subsp vinifera cv. Negro amaro</t>
  </si>
  <si>
    <t>Vitis vinifera subsp vinifera cv. Negro mouro</t>
  </si>
  <si>
    <t>Vitis vinifera subsp vinifera cv. Negronza</t>
  </si>
  <si>
    <t>Vitis vinifera subsp vinifera cv. Negru de Causani</t>
  </si>
  <si>
    <t>Vitis vinifera subsp vinifera cv. Negru mare</t>
  </si>
  <si>
    <t>Vitis vinifera subsp vinifera cv. Negru moale</t>
  </si>
  <si>
    <t>Vitis vinifera subsp vinifera cv. Negru virtos</t>
  </si>
  <si>
    <t>Vitis vinifera subsp vinifera cv. Nehelescol</t>
  </si>
  <si>
    <t>Vitis vinifera subsp vinifera cv. Nemorin</t>
  </si>
  <si>
    <t>Vitis vinifera subsp vinifera cv. Nerello cappucio</t>
  </si>
  <si>
    <t>Vitis vinifera subsp vinifera cv. Nerello mascalese</t>
  </si>
  <si>
    <t>Vitis vinifera subsp vinifera cv. Neretta cuneese</t>
  </si>
  <si>
    <t>Vitis vinifera subsp vinifera cv. Neretto di Bairo</t>
  </si>
  <si>
    <t>Vitis vinifera subsp vinifera cv. Neretto grosso monregalese</t>
  </si>
  <si>
    <t>Vitis vinifera subsp vinifera cv. Nerona</t>
  </si>
  <si>
    <t>Vitis vinifera subsp vinifera cv. Netter</t>
  </si>
  <si>
    <t>Vitis vinifera subsp vinifera cv. Neuburger</t>
  </si>
  <si>
    <t>Vitis vinifera subsp vinifera cv. Neuburger (Roumanie)</t>
  </si>
  <si>
    <t>Vitis vinifera subsp vinifera cv. Nieddera</t>
  </si>
  <si>
    <t>Vitis vinifera subsp vinifera cv. Nieddu mannu gris</t>
  </si>
  <si>
    <t>Vitis vinifera subsp vinifera cv. Nielluccio</t>
  </si>
  <si>
    <t>Vitis vinifera subsp vinifera cv. Niger = Pirovano 486</t>
  </si>
  <si>
    <t>Vitis vinifera subsp vinifera cv. Nimrang</t>
  </si>
  <si>
    <t>Vitis vinifera subsp vinifera cv. Nimrang rouge</t>
  </si>
  <si>
    <t>Vitis vinifera subsp vinifera cv. Nincusa</t>
  </si>
  <si>
    <t>Vitis vinifera subsp vinifera cv. Niou-Sin</t>
  </si>
  <si>
    <t>Vitis vinifera subsp vinifera cv. Nobling = 128-40 Fribourg</t>
  </si>
  <si>
    <t>Vitis vinifera subsp vinifera cv. Nocera</t>
  </si>
  <si>
    <t>Vitis vinifera subsp vinifera cv. Noé</t>
  </si>
  <si>
    <t>Vitis vinifera subsp vinifera cv. Nogier 58-1</t>
  </si>
  <si>
    <t>Vitis vinifera subsp vinifera cv. Noir Fleurien</t>
  </si>
  <si>
    <t>Vitis vinifera subsp vinifera cv. Noir Glady</t>
  </si>
  <si>
    <t>Vitis vinifera subsp vinifera cv. Noir hâtif de Marseille</t>
  </si>
  <si>
    <t>Vitis vinifera subsp vinifera cv. Nosiola</t>
  </si>
  <si>
    <t>Vitis vinifera subsp vinifera cv. Noual</t>
  </si>
  <si>
    <t>Vitis vinifera subsp vinifera cv. Noulisok</t>
  </si>
  <si>
    <t>Vitis vinifera subsp vinifera cv. Novraste</t>
  </si>
  <si>
    <t>Vitis vinifera subsp vinifera cv. Nuno gomes</t>
  </si>
  <si>
    <t>Vitis vinifera subsp vinifera cv. Nuragus</t>
  </si>
  <si>
    <t>Vitis vinifera subsp vinifera cv. Obak bieli</t>
  </si>
  <si>
    <t>Vitis vinifera subsp vinifera cv. Obeidi</t>
  </si>
  <si>
    <t>Vitis vinifera subsp vinifera cv. Odem</t>
  </si>
  <si>
    <t>Vitis vinifera subsp vinifera cv. Odesky tcherny</t>
  </si>
  <si>
    <t>Vitis vinifera subsp vinifera cv. Odjalechi</t>
  </si>
  <si>
    <t>Vitis vinifera subsp vinifera cv. Odjou batak</t>
  </si>
  <si>
    <t>Vitis vinifera subsp vinifera cv. Odola</t>
  </si>
  <si>
    <t>Vitis vinifera subsp vinifera cv. Oeillade Bouschet n°1</t>
  </si>
  <si>
    <t>Vitis vinifera subsp vinifera cv. Oeillade bouschet n°4</t>
  </si>
  <si>
    <t>Vitis vinifera subsp vinifera cv. Oeillade noire</t>
  </si>
  <si>
    <t>Vitis vinifera subsp vinifera cv. Ofner</t>
  </si>
  <si>
    <t>Vitis vinifera subsp vinifera cv. Ohanès</t>
  </si>
  <si>
    <t>Vitis vinifera subsp vinifera cv. Okatac</t>
  </si>
  <si>
    <t>Vitis vinifera subsp vinifera cv. Oktiabrskii</t>
  </si>
  <si>
    <t>Vitis vinifera subsp vinifera cv. Öküz gözü</t>
  </si>
  <si>
    <t>Vitis vinifera subsp vinifera cv. Öküz gözü par erreur</t>
  </si>
  <si>
    <t>Vitis vinifera subsp vinifera cv. Olasz kadarka</t>
  </si>
  <si>
    <t>Vitis vinifera subsp vinifera cv. Olber weiss</t>
  </si>
  <si>
    <t>Vitis vinifera subsp vinifera cv. Olho de cocco</t>
  </si>
  <si>
    <t>Vitis vinifera subsp vinifera cv. Olho de Pargo</t>
  </si>
  <si>
    <t>Vitis vinifera subsp vinifera cv. Olivette Barthelet</t>
  </si>
  <si>
    <t>Vitis vinifera subsp vinifera cv. Olivette blanche</t>
  </si>
  <si>
    <t>Vitis vinifera subsp vinifera cv. Olivette noire</t>
  </si>
  <si>
    <t>Vitis vinifera subsp vinifera cv. Olivette rose</t>
  </si>
  <si>
    <t>Vitis vinifera subsp vinifera cv. Om Reu</t>
  </si>
  <si>
    <t>Vitis vinifera subsp vinifera cv. Onchette</t>
  </si>
  <si>
    <t>Vitis vinifera subsp vinifera cv. Ondenc</t>
  </si>
  <si>
    <t>Vitis vinifera subsp vinifera cv. Onusta</t>
  </si>
  <si>
    <t>Vitis vinifera subsp vinifera cv. Opale = Pirovano 213</t>
  </si>
  <si>
    <t>Vitis vinifera subsp vinifera cv. Oporto feher</t>
  </si>
  <si>
    <t>Vitis vinifera subsp vinifera cv. Oporto szürke</t>
  </si>
  <si>
    <t>Vitis vinifera subsp vinifera cv. Opsimos Edessis</t>
  </si>
  <si>
    <t>Vitis vinifera subsp vinifera cv. Optima = Geilweilerhof 33-13-113</t>
  </si>
  <si>
    <t>Vitis vinifera subsp vinifera cv. Ora = INRA 2403-3</t>
  </si>
  <si>
    <t>Vitis vinifera subsp vinifera cv. Orangetraube</t>
  </si>
  <si>
    <t>Vitis vinifera subsp vinifera cv. Orbois = Arbois</t>
  </si>
  <si>
    <t>Vitis vinifera subsp vinifera cv. Org tokos</t>
  </si>
  <si>
    <t>Vitis vinifera subsp vinifera cv. Orléans jaune</t>
  </si>
  <si>
    <t>Vitis vinifera subsp vinifera cv. Orlovi nogti</t>
  </si>
  <si>
    <t>Vitis vinifera subsp vinifera cv. Orlovi nokti cerni</t>
  </si>
  <si>
    <t>Vitis vinifera subsp vinifera cv. Ornove</t>
  </si>
  <si>
    <t>Vitis vinifera subsp vinifera cv. Ornove 2</t>
  </si>
  <si>
    <t>Vitis vinifera subsp vinifera cv. Örrökké piros</t>
  </si>
  <si>
    <t>Vitis vinifera subsp vinifera cv. Ortega = Würzburg B 48-21-4</t>
  </si>
  <si>
    <t>Vitis vinifera subsp vinifera cv. Ortrugo</t>
  </si>
  <si>
    <t>Vitis vinifera subsp vinifera cv. Otcha bala</t>
  </si>
  <si>
    <t>Vitis vinifera subsp vinifera cv. Ötfürtü</t>
  </si>
  <si>
    <t>Vitis vinifera subsp vinifera cv. Oul b'Ouzgueur</t>
  </si>
  <si>
    <t>Vitis vinifera subsp vinifera cv. Ouliven</t>
  </si>
  <si>
    <t>Vitis vinifera subsp vinifera cv. Ouroum üzümü</t>
  </si>
  <si>
    <t>Vitis vinifera subsp vinifera cv. Oussakheloouri</t>
  </si>
  <si>
    <t>Vitis vinifera subsp vinifera cv. Outanant</t>
  </si>
  <si>
    <t>Vitis vinifera subsp vinifera cv. Ovis</t>
  </si>
  <si>
    <t>Vitis vinifera subsp vinifera cv. Ozaan Daii</t>
  </si>
  <si>
    <t>Vitis vinifera subsp vinifera cv. Padeiro de Basto</t>
  </si>
  <si>
    <t>Vitis vinifera subsp vinifera cv. Pagadebiti</t>
  </si>
  <si>
    <t>Vitis vinifera subsp vinifera cv. Pagadebito</t>
  </si>
  <si>
    <t>Vitis vinifera subsp vinifera cv. Païs</t>
  </si>
  <si>
    <t>Vitis vinifera subsp vinifera cv. Palarusa</t>
  </si>
  <si>
    <t>Vitis vinifera subsp vinifera cv. Palestina Oberlin I</t>
  </si>
  <si>
    <t>Vitis vinifera subsp vinifera cv. Palestina Oberlin II</t>
  </si>
  <si>
    <t>Vitis vinifera subsp vinifera cv. Palestina Oberlin III</t>
  </si>
  <si>
    <t>Vitis vinifera subsp vinifera cv. Pallagrello nero</t>
  </si>
  <si>
    <t>Vitis vinifera subsp vinifera cv. Pamid</t>
  </si>
  <si>
    <t>Vitis vinifera subsp vinifera cv. Pamid bial</t>
  </si>
  <si>
    <t>Vitis vinifera subsp vinifera cv. Pamid siv</t>
  </si>
  <si>
    <t>Vitis vinifera subsp vinifera cv. Pamid tcher</t>
  </si>
  <si>
    <t>Vitis vinifera subsp vinifera cv. Pamidi</t>
  </si>
  <si>
    <t>Vitis vinifera subsp vinifera cv. Pannonia kincse</t>
  </si>
  <si>
    <t>Vitis vinifera subsp vinifera cv. Panse précoce</t>
  </si>
  <si>
    <t>Vitis vinifera subsp vinifera cv. Pansera</t>
  </si>
  <si>
    <t>Vitis vinifera subsp vinifera cv. Papadiko</t>
  </si>
  <si>
    <t>Vitis vinifera subsp vinifera cv. Papasca neagra</t>
  </si>
  <si>
    <t>Vitis vinifera subsp vinifera cv. Papaskarasi</t>
  </si>
  <si>
    <t>Vitis vinifera subsp vinifera cv. Paradisa</t>
  </si>
  <si>
    <t>Vitis vinifera subsp vinifera cv. Pardillo</t>
  </si>
  <si>
    <t>Vitis vinifera subsp vinifera cv. Pardina = Pirovano 130</t>
  </si>
  <si>
    <t>Vitis vinifera subsp vinifera cv. Pardotte</t>
  </si>
  <si>
    <t>Vitis vinifera subsp vinifera cv. Parduca</t>
  </si>
  <si>
    <t>Vitis vinifera subsp vinifera cv. Parellada</t>
  </si>
  <si>
    <t>Vitis vinifera subsp vinifera cv. Pariano</t>
  </si>
  <si>
    <t>Vitis vinifera subsp vinifera cv. Parkent</t>
  </si>
  <si>
    <t>Vitis vinifera subsp vinifera cv. Pascal</t>
  </si>
  <si>
    <t>Vitis vinifera subsp vinifera cv. Pascale di Cagliari</t>
  </si>
  <si>
    <t>Vitis vinifera subsp vinifera cv. Pasiga</t>
  </si>
  <si>
    <t>Vitis vinifera subsp vinifera cv. Patagonia</t>
  </si>
  <si>
    <t>Vitis vinifera subsp vinifera cv. Pattaresco</t>
  </si>
  <si>
    <t>Vitis vinifera subsp vinifera cv. Patte d'oie</t>
  </si>
  <si>
    <t>Vitis vinifera subsp vinifera cv. Pau Ferro</t>
  </si>
  <si>
    <t>Vitis vinifera subsp vinifera cv. Paulsen 157</t>
  </si>
  <si>
    <t>Vitis vinifera subsp vinifera cv. Pavana</t>
  </si>
  <si>
    <t>Vitis vinifera subsp vinifera cv. Pé de Perdiz</t>
  </si>
  <si>
    <t>Vitis vinifera subsp vinifera cv. Pé de Perdrix</t>
  </si>
  <si>
    <t>Vitis vinifera subsp vinifera cv. Peck</t>
  </si>
  <si>
    <t>Vitis vinifera subsp vinifera cv. Pecorino</t>
  </si>
  <si>
    <t>Vitis vinifera subsp vinifera cv. Pecsi dinka</t>
  </si>
  <si>
    <t>Vitis vinifera subsp vinifera cv. Pecsi Szagos</t>
  </si>
  <si>
    <t>Vitis vinifera subsp vinifera cv. Pedevenda</t>
  </si>
  <si>
    <t>Vitis vinifera subsp vinifera cv. Pedro Gimenez faux</t>
  </si>
  <si>
    <t>Vitis vinifera subsp vinifera cv. Pedro Jimenez</t>
  </si>
  <si>
    <t>Vitis vinifera subsp vinifera cv. Pedro Luis</t>
  </si>
  <si>
    <t>Vitis vinifera subsp vinifera cv. Pedrol</t>
  </si>
  <si>
    <t>Vitis vinifera subsp vinifera cv. Peikani</t>
  </si>
  <si>
    <t>Vitis vinifera subsp vinifera cv. Peince</t>
  </si>
  <si>
    <t>Vitis vinifera subsp vinifera cv. Peloursin</t>
  </si>
  <si>
    <t>Vitis vinifera subsp vinifera cv. Peloursin gris</t>
  </si>
  <si>
    <t>Vitis vinifera subsp vinifera cv. Penouille</t>
  </si>
  <si>
    <t>Vitis vinifera subsp vinifera cv. Perdea</t>
  </si>
  <si>
    <t>Vitis vinifera subsp vinifera cv. Perel</t>
  </si>
  <si>
    <t>Vitis vinifera subsp vinifera cv. Pergolese</t>
  </si>
  <si>
    <t>Vitis vinifera subsp vinifera cv. Pergrandis = Pirovano 388</t>
  </si>
  <si>
    <t>Vitis vinifera subsp vinifera cv. Periquita</t>
  </si>
  <si>
    <t>Vitis vinifera subsp vinifera cv. Perla nera = Pirovano 218</t>
  </si>
  <si>
    <t>Vitis vinifera subsp vinifera cv. Perlaut = INRA 669-45</t>
  </si>
  <si>
    <t>Vitis vinifera subsp vinifera cv. Perle = Scheu 3951</t>
  </si>
  <si>
    <t>Vitis vinifera subsp vinifera cv. Perle de Csaba</t>
  </si>
  <si>
    <t>Vitis vinifera subsp vinifera cv. Perle de Csaba rouge</t>
  </si>
  <si>
    <t>Vitis vinifera subsp vinifera cv. Perle impériale blanche</t>
  </si>
  <si>
    <t>Vitis vinifera subsp vinifera cv. Perlette</t>
  </si>
  <si>
    <t>Vitis vinifera subsp vinifera cv. Perlon</t>
  </si>
  <si>
    <t>Vitis vinifera subsp vinifera cv. Perlona = Pirovano 54</t>
  </si>
  <si>
    <t>Vitis vinifera subsp vinifera cv. Perola da Gestosa</t>
  </si>
  <si>
    <t>Vitis vinifera subsp vinifera cv. Perricone</t>
  </si>
  <si>
    <t>Vitis vinifera subsp vinifera cv. Perrier noir</t>
  </si>
  <si>
    <t>Vitis vinifera subsp vinifera cv. Perrum</t>
  </si>
  <si>
    <t>Vitis vinifera subsp vinifera cv. Perruno</t>
  </si>
  <si>
    <t>Vitis vinifera subsp vinifera cv. Persagne grise</t>
  </si>
  <si>
    <t>Vitis vinifera subsp vinifera cv. Persan</t>
  </si>
  <si>
    <t>Vitis vinifera subsp vinifera cv. Pervenetz praskoveisky</t>
  </si>
  <si>
    <t>Vitis vinifera subsp vinifera cv. Petinos</t>
  </si>
  <si>
    <t>Vitis vinifera subsp vinifera cv. Petit Blanchou</t>
  </si>
  <si>
    <t>Vitis vinifera subsp vinifera cv. Petit Bouschet</t>
  </si>
  <si>
    <t>Vitis vinifera subsp vinifera cv. Petit Bouschet à feuilles de Malvoisie</t>
  </si>
  <si>
    <t>Vitis vinifera subsp vinifera cv. Petit Bouschet à feuilles lisses x Aramon n°2</t>
  </si>
  <si>
    <t>Vitis vinifera subsp vinifera cv. Petit Bouschet à feuilles lisses x Aramon n°3</t>
  </si>
  <si>
    <t>Vitis vinifera subsp vinifera cv. Petit Bouschet à feuilles lisses x Aramon n°5</t>
  </si>
  <si>
    <t>Vitis vinifera subsp vinifera cv. Petit Bouschet extra fertile</t>
  </si>
  <si>
    <t>Vitis vinifera subsp vinifera cv. Petit Bouschet x Aramon n°1</t>
  </si>
  <si>
    <t>Vitis vinifera subsp vinifera cv. Petit Bouschet x Aramon n°2</t>
  </si>
  <si>
    <t>Vitis vinifera subsp vinifera cv. Petit Bouschet x Aramon n°4</t>
  </si>
  <si>
    <t>Vitis vinifera subsp vinifera cv. Petit Bouschet x Aramon n°6</t>
  </si>
  <si>
    <t>Vitis vinifera subsp vinifera cv. Petit Bouschet x Aramon n°7</t>
  </si>
  <si>
    <t>Vitis vinifera subsp vinifera cv. Petit Bouschet x Aramon n°8</t>
  </si>
  <si>
    <t>Vitis vinifera subsp vinifera cv. Petit Bouschet x Aramon n°9</t>
  </si>
  <si>
    <t>Vitis vinifera subsp vinifera cv. Petit Bouschet x Morrastel fleuri n°1</t>
  </si>
  <si>
    <t>Vitis vinifera subsp vinifera cv. Petit Bouschet x Morrastel n°3</t>
  </si>
  <si>
    <t>Vitis vinifera subsp vinifera cv. Petit Bouschet x Morrastel n°7</t>
  </si>
  <si>
    <t>Vitis vinifera subsp vinifera cv. Petit Bouschet x Piquepoul n°2</t>
  </si>
  <si>
    <t>Vitis vinifera subsp vinifera cv. Petit Bouschet x Terret gris</t>
  </si>
  <si>
    <t>Vitis vinifera subsp vinifera cv. Petit Courbu</t>
  </si>
  <si>
    <t>Vitis vinifera subsp vinifera cv. Petit Manseng</t>
  </si>
  <si>
    <t>Vitis vinifera subsp vinifera cv. Petit Meslier</t>
  </si>
  <si>
    <t>Vitis vinifera subsp vinifera cv. Petit Meslier rose</t>
  </si>
  <si>
    <t>Vitis vinifera subsp vinifera cv. Petit Péjac</t>
  </si>
  <si>
    <t>Vitis vinifera subsp vinifera cv. Petit rouge</t>
  </si>
  <si>
    <t>Vitis vinifera subsp vinifera cv. Petit Verdot</t>
  </si>
  <si>
    <t>Vitis vinifera subsp vinifera cv. Pétoin</t>
  </si>
  <si>
    <t>Vitis vinifera subsp vinifera cv. Peurion</t>
  </si>
  <si>
    <t>Vitis vinifera subsp vinifera cv. Peverella</t>
  </si>
  <si>
    <t>Vitis vinifera subsp vinifera cv. Peygamber üzümü</t>
  </si>
  <si>
    <t>Vitis vinifera subsp vinifera cv. Phakhri</t>
  </si>
  <si>
    <t>Vitis vinifera subsp vinifera cv. Phidia</t>
  </si>
  <si>
    <t>Vitis vinifera subsp vinifera cv. Phileri attikis</t>
  </si>
  <si>
    <t>Vitis vinifera subsp vinifera cv. Phileri rose</t>
  </si>
  <si>
    <t>Vitis vinifera subsp vinifera cv. Phileri rose musqué</t>
  </si>
  <si>
    <t>Vitis vinifera subsp vinifera cv. Phokiano</t>
  </si>
  <si>
    <t>Vitis vinifera subsp vinifera cv. Phraoula rose</t>
  </si>
  <si>
    <t>Vitis vinifera subsp vinifera cv. Picadillo blanco</t>
  </si>
  <si>
    <t>Vitis vinifera subsp vinifera cv. Picardan = Araignan blanc</t>
  </si>
  <si>
    <t>Vitis vinifera subsp vinifera cv. Piccola nera</t>
  </si>
  <si>
    <t>Vitis vinifera subsp vinifera cv. Piccolit</t>
  </si>
  <si>
    <t>Vitis vinifera subsp vinifera cv. Picolin</t>
  </si>
  <si>
    <t>Vitis vinifera subsp vinifera cv. Piedirosso</t>
  </si>
  <si>
    <t>Vitis vinifera subsp vinifera cv. Pigeonnet</t>
  </si>
  <si>
    <t>Vitis vinifera subsp vinifera cv. Pignol</t>
  </si>
  <si>
    <t>Vitis vinifera subsp vinifera cv. Pignola valtellinese</t>
  </si>
  <si>
    <t>Vitis vinifera subsp vinifera cv. Piment</t>
  </si>
  <si>
    <t>Vitis vinifera subsp vinifera cv. Pin el pou Tao</t>
  </si>
  <si>
    <t>Vitis vinifera subsp vinifera cv. Pineau d'Aunis</t>
  </si>
  <si>
    <t>Vitis vinifera subsp vinifera cv. Pineau d'Aunis teinturier</t>
  </si>
  <si>
    <t>Vitis vinifera subsp vinifera cv. Pinella bianca</t>
  </si>
  <si>
    <t>Vitis vinifera subsp vinifera cv. Pinot à fleurs doubles</t>
  </si>
  <si>
    <t>Vitis vinifera subsp vinifera cv. Pinot blanc</t>
  </si>
  <si>
    <t>Vitis vinifera subsp vinifera cv. Pinot gris</t>
  </si>
  <si>
    <t>Vitis vinifera subsp vinifera cv. Pinot lacinifolié</t>
  </si>
  <si>
    <t>Vitis vinifera subsp vinifera cv. Pinot noir</t>
  </si>
  <si>
    <t>Vitis vinifera subsp vinifera cv. Pinot précoce noir</t>
  </si>
  <si>
    <t>Vitis vinifera subsp vinifera cv. Pinot rouge</t>
  </si>
  <si>
    <t>Vitis vinifera subsp vinifera cv. Pinot teinturier</t>
  </si>
  <si>
    <t>Vitis vinifera subsp vinifera cv. Pinot tête de nègre</t>
  </si>
  <si>
    <t>Vitis vinifera subsp vinifera cv. Pinotage</t>
  </si>
  <si>
    <t>Vitis vinifera subsp vinifera cv. Piquepoul blanc</t>
  </si>
  <si>
    <t>Vitis vinifera subsp vinifera cv. Piquepoul Bouschet</t>
  </si>
  <si>
    <t>Vitis vinifera subsp vinifera cv. Piquepoul gris</t>
  </si>
  <si>
    <t>Vitis vinifera subsp vinifera cv. Piquepoul noir</t>
  </si>
  <si>
    <t>Vitis vinifera subsp vinifera cv. Pirciu</t>
  </si>
  <si>
    <t>Vitis vinifera subsp vinifera cv. Pirovano 1</t>
  </si>
  <si>
    <t>Vitis vinifera subsp vinifera cv. Pirovano 11</t>
  </si>
  <si>
    <t>Vitis vinifera subsp vinifera cv. Pirovano 111</t>
  </si>
  <si>
    <t>Vitis vinifera subsp vinifera cv. Pirovano 112</t>
  </si>
  <si>
    <t>Vitis vinifera subsp vinifera cv. Pirovano 113</t>
  </si>
  <si>
    <t>Vitis vinifera subsp vinifera cv. Pirovano 115</t>
  </si>
  <si>
    <t>Vitis vinifera subsp vinifera cv. Pirovano 123</t>
  </si>
  <si>
    <t>Vitis vinifera subsp vinifera cv. Pirovano 14</t>
  </si>
  <si>
    <t>Vitis vinifera subsp vinifera cv. Pirovano 15</t>
  </si>
  <si>
    <t>Vitis vinifera subsp vinifera cv. Pirovano 153</t>
  </si>
  <si>
    <t>Vitis vinifera subsp vinifera cv. Pirovano 154</t>
  </si>
  <si>
    <t>Vitis vinifera subsp vinifera cv. Pirovano 155</t>
  </si>
  <si>
    <t>Vitis vinifera subsp vinifera cv. Pirovano 156</t>
  </si>
  <si>
    <t>Vitis vinifera subsp vinifera cv. Pirovano 157</t>
  </si>
  <si>
    <t>Vitis vinifera subsp vinifera cv. Pirovano 159</t>
  </si>
  <si>
    <t>Vitis vinifera subsp vinifera cv. Pirovano 17</t>
  </si>
  <si>
    <t>Vitis vinifera subsp vinifera cv. Pirovano 174</t>
  </si>
  <si>
    <t>Vitis vinifera subsp vinifera cv. Pirovano 175</t>
  </si>
  <si>
    <t>Vitis vinifera subsp vinifera cv. Pirovano 182</t>
  </si>
  <si>
    <t>Vitis vinifera subsp vinifera cv. Pirovano 186</t>
  </si>
  <si>
    <t>Vitis vinifera subsp vinifera cv. Pirovano 186 a</t>
  </si>
  <si>
    <t>Vitis vinifera subsp vinifera cv. Pirovano 188</t>
  </si>
  <si>
    <t>Vitis vinifera subsp vinifera cv. Pirovano 19</t>
  </si>
  <si>
    <t>Vitis vinifera subsp vinifera cv. Pirovano 190</t>
  </si>
  <si>
    <t>Vitis vinifera subsp vinifera cv. Pirovano 21</t>
  </si>
  <si>
    <t>Vitis vinifera subsp vinifera cv. Pirovano 217</t>
  </si>
  <si>
    <t>Vitis vinifera subsp vinifera cv. Pirovano 219</t>
  </si>
  <si>
    <t>Vitis vinifera subsp vinifera cv. Pirovano 220 b</t>
  </si>
  <si>
    <t>Vitis vinifera subsp vinifera cv. Pirovano 225</t>
  </si>
  <si>
    <t>Vitis vinifera subsp vinifera cv. Pirovano 235</t>
  </si>
  <si>
    <t>Vitis vinifera subsp vinifera cv. Pirovano 24</t>
  </si>
  <si>
    <t>Vitis vinifera subsp vinifera cv. Pirovano 25</t>
  </si>
  <si>
    <t>Vitis vinifera subsp vinifera cv. Pirovano 28</t>
  </si>
  <si>
    <t>Vitis vinifera subsp vinifera cv. Pirovano 3</t>
  </si>
  <si>
    <t>Vitis vinifera subsp vinifera cv. Pirovano 306</t>
  </si>
  <si>
    <t>Vitis vinifera subsp vinifera cv. Pirovano 31</t>
  </si>
  <si>
    <t>Vitis vinifera subsp vinifera cv. Pirovano 312</t>
  </si>
  <si>
    <t>Vitis vinifera subsp vinifera cv. Pirovano 313 a</t>
  </si>
  <si>
    <t>Vitis vinifera subsp vinifera cv. Pirovano 315</t>
  </si>
  <si>
    <t>Vitis vinifera subsp vinifera cv. Pirovano 32</t>
  </si>
  <si>
    <t>Vitis vinifera subsp vinifera cv. Pirovano 321</t>
  </si>
  <si>
    <t>Vitis vinifera subsp vinifera cv. Pirovano 322</t>
  </si>
  <si>
    <t>Vitis vinifera subsp vinifera cv. Pirovano 338</t>
  </si>
  <si>
    <t>Vitis vinifera subsp vinifera cv. Pirovano 344</t>
  </si>
  <si>
    <t>Vitis vinifera subsp vinifera cv. Pirovano 346</t>
  </si>
  <si>
    <t>Vitis vinifera subsp vinifera cv. Pirovano 349</t>
  </si>
  <si>
    <t>Vitis vinifera subsp vinifera cv. Pirovano 352 faux</t>
  </si>
  <si>
    <t>Vitis vinifera subsp vinifera cv. Pirovano 359</t>
  </si>
  <si>
    <t>Vitis vinifera subsp vinifera cv. Pirovano 36</t>
  </si>
  <si>
    <t>Vitis vinifera subsp vinifera cv. Pirovano 378</t>
  </si>
  <si>
    <t>Vitis vinifera subsp vinifera cv. Pirovano 398</t>
  </si>
  <si>
    <t>Vitis vinifera subsp vinifera cv. Pirovano 399</t>
  </si>
  <si>
    <t>Vitis vinifera subsp vinifera cv. Pirovano 4</t>
  </si>
  <si>
    <t>Vitis vinifera subsp vinifera cv. Pirovano 428</t>
  </si>
  <si>
    <t>Vitis vinifera subsp vinifera cv. Pirovano 436</t>
  </si>
  <si>
    <t>Vitis vinifera subsp vinifera cv. Pirovano 46</t>
  </si>
  <si>
    <t>Vitis vinifera subsp vinifera cv. Pirovano 468</t>
  </si>
  <si>
    <t>Vitis vinifera subsp vinifera cv. Pirovano 471</t>
  </si>
  <si>
    <t>Vitis vinifera subsp vinifera cv. Pirovano 477 a</t>
  </si>
  <si>
    <t>Vitis vinifera subsp vinifera cv. Pirovano 49</t>
  </si>
  <si>
    <t>Vitis vinifera subsp vinifera cv. Pirovano 5</t>
  </si>
  <si>
    <t>Vitis vinifera subsp vinifera cv. Pirovano 50</t>
  </si>
  <si>
    <t>Vitis vinifera subsp vinifera cv. Pirovano 51</t>
  </si>
  <si>
    <t>Vitis vinifera subsp vinifera cv. Pirovano 53</t>
  </si>
  <si>
    <t>Vitis vinifera subsp vinifera cv. Pirovano 530</t>
  </si>
  <si>
    <t>Vitis vinifera subsp vinifera cv. Pirovano 531</t>
  </si>
  <si>
    <t>Vitis vinifera subsp vinifera cv. Pirovano 536</t>
  </si>
  <si>
    <t>Vitis vinifera subsp vinifera cv. Pirovano 54 A</t>
  </si>
  <si>
    <t>Vitis vinifera subsp vinifera cv. Pirovano 540 A</t>
  </si>
  <si>
    <t>Vitis vinifera subsp vinifera cv. Pirovano 544</t>
  </si>
  <si>
    <t>Vitis vinifera subsp vinifera cv. Pirovano 55 faux</t>
  </si>
  <si>
    <t>Vitis vinifera subsp vinifera cv. Pirovano 56</t>
  </si>
  <si>
    <t>Vitis vinifera subsp vinifera cv. Pirovano 57</t>
  </si>
  <si>
    <t>Vitis vinifera subsp vinifera cv. Pirovano 575</t>
  </si>
  <si>
    <t>Vitis vinifera subsp vinifera cv. Pirovano 61</t>
  </si>
  <si>
    <t>Vitis vinifera subsp vinifera cv. Pirovano 62</t>
  </si>
  <si>
    <t>Vitis vinifera subsp vinifera cv. Pirovano 620</t>
  </si>
  <si>
    <t>Vitis vinifera subsp vinifera cv. Pirovano 63</t>
  </si>
  <si>
    <t>Vitis vinifera subsp vinifera cv. Pirovano 64</t>
  </si>
  <si>
    <t>Vitis vinifera subsp vinifera cv. Pirovano 66</t>
  </si>
  <si>
    <t>Vitis vinifera subsp vinifera cv. Pirovano 671</t>
  </si>
  <si>
    <t>Vitis vinifera subsp vinifera cv. Pirovano 69</t>
  </si>
  <si>
    <t>Vitis vinifera subsp vinifera cv. Pirovano 74</t>
  </si>
  <si>
    <t>Vitis vinifera subsp vinifera cv. Pirovano 76</t>
  </si>
  <si>
    <t>Vitis vinifera subsp vinifera cv. Pirovano 79</t>
  </si>
  <si>
    <t>Vitis vinifera subsp vinifera cv. Pirovano 80</t>
  </si>
  <si>
    <t>Vitis vinifera subsp vinifera cv. Pirovano 84</t>
  </si>
  <si>
    <t>Vitis vinifera subsp vinifera cv. Pirovano 88</t>
  </si>
  <si>
    <t>Vitis vinifera subsp vinifera cv. Pirovano 91</t>
  </si>
  <si>
    <t>Vitis vinifera subsp vinifera cv. Pirovano 92</t>
  </si>
  <si>
    <t>Vitis vinifera subsp vinifera cv. Pirovano 93</t>
  </si>
  <si>
    <t>Vitis vinifera subsp vinifera cv. Pirovano 94</t>
  </si>
  <si>
    <t>Vitis vinifera subsp vinifera cv. Pirovano 95</t>
  </si>
  <si>
    <t>Vitis vinifera subsp vinifera cv. Pirovano 96</t>
  </si>
  <si>
    <t>Vitis vinifera subsp vinifera cv. Pirovano 97</t>
  </si>
  <si>
    <t>Vitis vinifera subsp vinifera cv. Pirovano 98</t>
  </si>
  <si>
    <t>Vitis vinifera subsp vinifera cv. Pirovano 99</t>
  </si>
  <si>
    <t>Vitis vinifera subsp vinifera cv. Pizzutello nero</t>
  </si>
  <si>
    <t>Vitis vinifera subsp vinifera cv. Plant d'Aoste</t>
  </si>
  <si>
    <t>Vitis vinifera subsp vinifera cv. Plant de Brunel</t>
  </si>
  <si>
    <t>Vitis vinifera subsp vinifera cv. Plant de Couston</t>
  </si>
  <si>
    <t>Vitis vinifera subsp vinifera cv. Plant de Flassans</t>
  </si>
  <si>
    <t>Vitis vinifera subsp vinifera cv. Plant droit</t>
  </si>
  <si>
    <t>Vitis vinifera subsp vinifera cv. Plant Vert</t>
  </si>
  <si>
    <t>Vitis vinifera subsp vinifera cv. Planta mula</t>
  </si>
  <si>
    <t>Vitis vinifera subsp vinifera cv. Planta nova</t>
  </si>
  <si>
    <t>Vitis vinifera subsp vinifera cv. Plassa</t>
  </si>
  <si>
    <t>Vitis vinifera subsp vinifera cv. Platyracho</t>
  </si>
  <si>
    <t>Vitis vinifera subsp vinifera cv. Plavac mali (Jelaska)</t>
  </si>
  <si>
    <t>Vitis vinifera subsp vinifera cv. Plavaï</t>
  </si>
  <si>
    <t>Vitis vinifera subsp vinifera cv. Plavina crna</t>
  </si>
  <si>
    <t>Vitis vinifera subsp vinifera cv. Pletchistik</t>
  </si>
  <si>
    <t>Vitis vinifera subsp vinifera cv. Plyto</t>
  </si>
  <si>
    <t>Vitis vinifera subsp vinifera cv. Pobeda</t>
  </si>
  <si>
    <t>Vitis vinifera subsp vinifera cv. Pointu</t>
  </si>
  <si>
    <t>Vitis vinifera subsp vinifera cv. Pollera nera</t>
  </si>
  <si>
    <t>Vitis vinifera subsp vinifera cv. Pollita</t>
  </si>
  <si>
    <t>Vitis vinifera subsp vinifera cv. Portan = INRA 1508-25</t>
  </si>
  <si>
    <t>Vitis vinifera subsp vinifera cv. Portugais blanc</t>
  </si>
  <si>
    <t>Vitis vinifera subsp vinifera cv. Portugais bleu</t>
  </si>
  <si>
    <t>Vitis vinifera subsp vinifera cv. Posip</t>
  </si>
  <si>
    <t>Vitis vinifera subsp vinifera cv. Potamissio</t>
  </si>
  <si>
    <t>Vitis vinifera subsp vinifera cv. Pougayen</t>
  </si>
  <si>
    <t>Vitis vinifera subsp vinifera cv. Pougnet</t>
  </si>
  <si>
    <t>Vitis vinifera subsp vinifera cv. Poulsard</t>
  </si>
  <si>
    <t>Vitis vinifera subsp vinifera cv. Poulsard blanc</t>
  </si>
  <si>
    <t>Vitis vinifera subsp vinifera cv. Poulsard rouge</t>
  </si>
  <si>
    <t>Vitis vinifera subsp vinifera cv. Pozsonyi feher</t>
  </si>
  <si>
    <t>Vitis vinifera subsp vinifera cv. Prc</t>
  </si>
  <si>
    <t>Vitis vinifera subsp vinifera cv. Précoce Bousquet</t>
  </si>
  <si>
    <t>Vitis vinifera subsp vinifera cv. Précoce de Malingre</t>
  </si>
  <si>
    <t>Vitis vinifera subsp vinifera cv. Précoce di Roma = Pirovano 707</t>
  </si>
  <si>
    <t>Vitis vinifera subsp vinifera cv. Premier</t>
  </si>
  <si>
    <t>Vitis vinifera subsp vinifera cv. Président Carnot</t>
  </si>
  <si>
    <t>Vitis vinifera subsp vinifera cv. Preto Martinho</t>
  </si>
  <si>
    <t>Vitis vinifera subsp vinifera cv. Preto salmoura</t>
  </si>
  <si>
    <t>Vitis vinifera subsp vinifera cv. Prima =  INRA 2719-122</t>
  </si>
  <si>
    <t>Vitis vinifera subsp vinifera cv. Primiera = Pirovano 309</t>
  </si>
  <si>
    <t>Vitis vinifera subsp vinifera cv. Primitivo</t>
  </si>
  <si>
    <t>Vitis vinifera subsp vinifera cv. Prin blanc</t>
  </si>
  <si>
    <t>Vitis vinifera subsp vinifera cv. Prince of Wales</t>
  </si>
  <si>
    <t>Vitis vinifera subsp vinifera cv. Princeps = Pirovano 357</t>
  </si>
  <si>
    <t>Vitis vinifera subsp vinifera cv. Principessa di Piemonte = Pirovano 108</t>
  </si>
  <si>
    <t>Vitis vinifera subsp vinifera cv. Prista</t>
  </si>
  <si>
    <t>Vitis vinifera subsp vinifera cv. Prodigiosa = Pirovano 59</t>
  </si>
  <si>
    <t>Vitis vinifera subsp vinifera cv. Prokupac</t>
  </si>
  <si>
    <t>Vitis vinifera subsp vinifera cv. Prosecco</t>
  </si>
  <si>
    <t>Vitis vinifera subsp vinifera cv. Prosecco lungo</t>
  </si>
  <si>
    <t>Vitis vinifera subsp vinifera cv. Prosperi 102</t>
  </si>
  <si>
    <t>Vitis vinifera subsp vinifera cv. Prosperi 167</t>
  </si>
  <si>
    <t>Vitis vinifera subsp vinifera cv. Prosperi 201</t>
  </si>
  <si>
    <t>Vitis vinifera subsp vinifera cv. Prosperi 204</t>
  </si>
  <si>
    <t>Vitis vinifera subsp vinifera cv. Prosperi 262</t>
  </si>
  <si>
    <t>Vitis vinifera subsp vinifera cv. Prosperi 268</t>
  </si>
  <si>
    <t>Vitis vinifera subsp vinifera cv. Prosperi 285</t>
  </si>
  <si>
    <t>Vitis vinifera subsp vinifera cv. Prosperi 37</t>
  </si>
  <si>
    <t>Vitis vinifera subsp vinifera cv. Prosperi 371</t>
  </si>
  <si>
    <t>Vitis vinifera subsp vinifera cv. Prosperi 8</t>
  </si>
  <si>
    <t>Vitis vinifera subsp vinifera cv. Prosperi 97</t>
  </si>
  <si>
    <t>Vitis vinifera subsp vinifera cv. Proueral</t>
  </si>
  <si>
    <t>Vitis vinifera subsp vinifera cv. Prueras</t>
  </si>
  <si>
    <t>Vitis vinifera subsp vinifera cv. Prune de Cazouls</t>
  </si>
  <si>
    <t>Vitis vinifera subsp vinifera cv. Prunelard</t>
  </si>
  <si>
    <t>Vitis vinifera subsp vinifera cv. Prunella moscato = Pirovano 47</t>
  </si>
  <si>
    <t>Vitis vinifera subsp vinifera cv. Prunesta nera</t>
  </si>
  <si>
    <t>Vitis vinifera subsp vinifera cv. Prunesta rosso violacea</t>
  </si>
  <si>
    <t>Vitis vinifera subsp vinifera cv. Psarotherico</t>
  </si>
  <si>
    <t>Vitis vinifera subsp vinifera cv. Pseudosyrico</t>
  </si>
  <si>
    <t>Vitis vinifera subsp vinifera cv. Puljïzanac</t>
  </si>
  <si>
    <t>Vitis vinifera subsp vinifera cv. Purcsin</t>
  </si>
  <si>
    <t>Vitis vinifera subsp vinifera cv. Putzscheere</t>
  </si>
  <si>
    <t>Vitis vinifera subsp vinifera cv. Quebranta</t>
  </si>
  <si>
    <t>Vitis vinifera subsp vinifera cv. Queen</t>
  </si>
  <si>
    <t>Vitis vinifera subsp vinifera cv. Quiebratinajas</t>
  </si>
  <si>
    <t>Vitis vinifera subsp vinifera cv. Quigat</t>
  </si>
  <si>
    <t>Vitis vinifera subsp vinifera cv. Rabigato</t>
  </si>
  <si>
    <t>Vitis vinifera subsp vinifera cv. Rabigato du Douro</t>
  </si>
  <si>
    <t>Vitis vinifera subsp vinifera cv. Raboso piave</t>
  </si>
  <si>
    <t>Vitis vinifera subsp vinifera cv. Raboso Veronese</t>
  </si>
  <si>
    <t>Vitis vinifera subsp vinifera cv. Raffiat de Moncade</t>
  </si>
  <si>
    <t>Vitis vinifera subsp vinifera cv. Raisaine</t>
  </si>
  <si>
    <t>Vitis vinifera subsp vinifera cv. Raisin de Kossuth</t>
  </si>
  <si>
    <t>Vitis vinifera subsp vinifera cv. Rakszölö</t>
  </si>
  <si>
    <t>Vitis vinifera subsp vinifera cv. Rami = Vidal 119</t>
  </si>
  <si>
    <t>Vitis vinifera subsp vinifera cv. Ramisco</t>
  </si>
  <si>
    <t>Vitis vinifera subsp vinifera cv. Rannii Vira</t>
  </si>
  <si>
    <t>Vitis vinifera subsp vinifera cv. Ranny Magaratcha = Magaratch 372</t>
  </si>
  <si>
    <t>Vitis vinifera subsp vinifera cv. Rassegui</t>
  </si>
  <si>
    <t>Vitis vinifera subsp vinifera cv. Rauschling</t>
  </si>
  <si>
    <t>Vitis vinifera subsp vinifera cv. Razachie alba</t>
  </si>
  <si>
    <t>Vitis vinifera subsp vinifera cv. Razachie rosie</t>
  </si>
  <si>
    <t>Vitis vinifera subsp vinifera cv. Razakiia mirisliva</t>
  </si>
  <si>
    <t>Vitis vinifera subsp vinifera cv. Razakiia piembiana</t>
  </si>
  <si>
    <t>Vitis vinifera subsp vinifera cv. Razdani</t>
  </si>
  <si>
    <t>Vitis vinifera subsp vinifera cv. Raziki</t>
  </si>
  <si>
    <t>Vitis vinifera subsp vinifera cv. Red globe</t>
  </si>
  <si>
    <t>Vitis vinifera subsp vinifera cv. Red May</t>
  </si>
  <si>
    <t>Vitis vinifera subsp vinifera cv. Refosco dal pedonculo rosso</t>
  </si>
  <si>
    <t>Vitis vinifera subsp vinifera cv. Refoscone</t>
  </si>
  <si>
    <t>Vitis vinifera subsp vinifera cv. Regenerator</t>
  </si>
  <si>
    <t>Vitis vinifera subsp vinifera cv. Reichensteiner</t>
  </si>
  <si>
    <t>Vitis vinifera subsp vinifera cv. Reichriesling</t>
  </si>
  <si>
    <t>Vitis vinifera subsp vinifera cv. Reichsfränkisch</t>
  </si>
  <si>
    <t>Vitis vinifera subsp vinifera cv. Reine des Vignes</t>
  </si>
  <si>
    <t>Vitis vinifera subsp vinifera cv. Retagliado bianco = Arrotelas</t>
  </si>
  <si>
    <t>Vitis vinifera subsp vinifera cv. Revers Cepens</t>
  </si>
  <si>
    <t>Vitis vinifera subsp vinifera cv. Rèze</t>
  </si>
  <si>
    <t>Vitis vinifera subsp vinifera cv. Rhoditis</t>
  </si>
  <si>
    <t>Vitis vinifera subsp vinifera cv. Ribier gris</t>
  </si>
  <si>
    <t>Vitis vinifera subsp vinifera cv. Ribier noir</t>
  </si>
  <si>
    <t>Vitis vinifera subsp vinifera cv. Ribol = INRA 1597-131</t>
  </si>
  <si>
    <t>Vitis vinifera subsp vinifera cv. Ribolla gialla</t>
  </si>
  <si>
    <t>Vitis vinifera subsp vinifera cv. Ribote</t>
  </si>
  <si>
    <t>Vitis vinifera subsp vinifera cv. Rieslaner = Würzburg NI 11-17</t>
  </si>
  <si>
    <t>Vitis vinifera subsp vinifera cv. Riesling</t>
  </si>
  <si>
    <t>Vitis vinifera subsp vinifera cv. Riesling italico</t>
  </si>
  <si>
    <t>Vitis vinifera subsp vinifera cv. Riesling Lion</t>
  </si>
  <si>
    <t>Vitis vinifera subsp vinifera cv. Riesling rouge</t>
  </si>
  <si>
    <t>Vitis vinifera subsp vinifera cv. Rigolbouillé</t>
  </si>
  <si>
    <t>Vitis vinifera subsp vinifera cv. Riminèse</t>
  </si>
  <si>
    <t>Vitis vinifera subsp vinifera cv. Rindjaga</t>
  </si>
  <si>
    <t>Vitis vinifera subsp vinifera cv. Rivairenc = Aspiran noir</t>
  </si>
  <si>
    <t>Vitis vinifera subsp vinifera cv. Rivairenc blanc = Aspiran blanc</t>
  </si>
  <si>
    <t>Vitis vinifera subsp vinifera cv. Rivairenc gris = Aspiran gris</t>
  </si>
  <si>
    <t>Vitis vinifera subsp vinifera cv. Rizamat</t>
  </si>
  <si>
    <t>Vitis vinifera subsp vinifera cv. Rizens</t>
  </si>
  <si>
    <t>Vitis vinifera subsp vinifera cv. Rkatsitelli</t>
  </si>
  <si>
    <t>Vitis vinifera subsp vinifera cv. Rkatziteli krasni</t>
  </si>
  <si>
    <t>Vitis vinifera subsp vinifera cv. Robin noir</t>
  </si>
  <si>
    <t>Vitis vinifera subsp vinifera cv. Rodi = Pirovano 166</t>
  </si>
  <si>
    <t>Vitis vinifera subsp vinifera cv. Rohrtraube</t>
  </si>
  <si>
    <t>Vitis vinifera subsp vinifera cv. Roi des précoces</t>
  </si>
  <si>
    <t>Vitis vinifera subsp vinifera cv. Roma = Pirovano 210</t>
  </si>
  <si>
    <t>Vitis vinifera subsp vinifera cv. Rombola noir</t>
  </si>
  <si>
    <t>Vitis vinifera subsp vinifera cv. Romeïco</t>
  </si>
  <si>
    <t>Vitis vinifera subsp vinifera cv. Romorantin</t>
  </si>
  <si>
    <t>Vitis vinifera subsp vinifera cv. Rondinella</t>
  </si>
  <si>
    <t>Vitis vinifera subsp vinifera cv. Ronelle</t>
  </si>
  <si>
    <t>Vitis vinifera subsp vinifera cv. Rosa del Peru type 1</t>
  </si>
  <si>
    <t>Vitis vinifera subsp vinifera cv. Rosa del Peru type 2</t>
  </si>
  <si>
    <t>Vitis vinifera subsp vinifera cv. Rosa menna di vacca</t>
  </si>
  <si>
    <t>Vitis vinifera subsp vinifera cv. Rosa steen</t>
  </si>
  <si>
    <t>Vitis vinifera subsp vinifera cv. Rosaki blanc de semis</t>
  </si>
  <si>
    <t>Vitis vinifera subsp vinifera cv. Rosaki noir de semis</t>
  </si>
  <si>
    <t>Vitis vinifera subsp vinifera cv. Rosé du Var</t>
  </si>
  <si>
    <t>Vitis vinifera subsp vinifera cv. Rossara trentina</t>
  </si>
  <si>
    <t>Vitis vinifera subsp vinifera cv. Rossese</t>
  </si>
  <si>
    <t>Vitis vinifera subsp vinifera cv. Rossignola</t>
  </si>
  <si>
    <t>Vitis vinifera subsp vinifera cv. Rossola bianca</t>
  </si>
  <si>
    <t>Vitis vinifera subsp vinifera cv. Rotberger = Gm 3-37</t>
  </si>
  <si>
    <t>Vitis vinifera subsp vinifera cv. Rotgipfler</t>
  </si>
  <si>
    <t>Vitis vinifera subsp vinifera cv. Roubinoy de Magaratch = Magaratch 56</t>
  </si>
  <si>
    <t>Vitis vinifera subsp vinifera cv. Roublot</t>
  </si>
  <si>
    <t>Vitis vinifera subsp vinifera cv. Rouchaki</t>
  </si>
  <si>
    <t>Vitis vinifera subsp vinifera cv. Rouge de Fully</t>
  </si>
  <si>
    <t>Vitis vinifera subsp vinifera cv. Roumi noir</t>
  </si>
  <si>
    <t>Vitis vinifera subsp vinifera cv. Roussaïtis</t>
  </si>
  <si>
    <t>Vitis vinifera subsp vinifera cv. Roussanne</t>
  </si>
  <si>
    <t>Vitis vinifera subsp vinifera cv. Roussaou</t>
  </si>
  <si>
    <t>Vitis vinifera subsp vinifera cv. Roussette d'Ayze</t>
  </si>
  <si>
    <t>Vitis vinifera subsp vinifera cv. Roxo dos pintos</t>
  </si>
  <si>
    <t>Vitis vinifera subsp vinifera cv. Royal</t>
  </si>
  <si>
    <t>Vitis vinifera subsp vinifera cv. Royal Ascot</t>
  </si>
  <si>
    <t>Vitis vinifera subsp vinifera cv. Royal Askant</t>
  </si>
  <si>
    <t>Vitis vinifera subsp vinifera cv. Royal Molenberg</t>
  </si>
  <si>
    <t>Vitis vinifera subsp vinifera cv. Royal Vineyard</t>
  </si>
  <si>
    <t>Vitis vinifera subsp vinifera cv. Rubi</t>
  </si>
  <si>
    <t>Vitis vinifera subsp vinifera cv. Ruby Cabernet</t>
  </si>
  <si>
    <t>Vitis vinifera subsp vinifera cv. Ruby seedless</t>
  </si>
  <si>
    <t>Vitis vinifera subsp vinifera cv. Rudezusa</t>
  </si>
  <si>
    <t>Vitis vinifera subsp vinifera cv. Ruzevina</t>
  </si>
  <si>
    <t>Vitis vinifera subsp vinifera cv. Sabalkanskoï</t>
  </si>
  <si>
    <t>Vitis vinifera subsp vinifera cv. Sabaté</t>
  </si>
  <si>
    <t>Vitis vinifera subsp vinifera cv. Sabra</t>
  </si>
  <si>
    <t>Vitis vinifera subsp vinifera cv. Sacavem = C27 Coutinho</t>
  </si>
  <si>
    <t>Vitis vinifera subsp vinifera cv. Sacy</t>
  </si>
  <si>
    <t>Vitis vinifera subsp vinifera cv. Sagrantino</t>
  </si>
  <si>
    <t>Vitis vinifera subsp vinifera cv. Sahami</t>
  </si>
  <si>
    <t>Vitis vinifera subsp vinifera cv. Sahebi</t>
  </si>
  <si>
    <t>Vitis vinifera subsp vinifera cv. Sahibi sorh</t>
  </si>
  <si>
    <t>Vitis vinifera subsp vinifera cv. Sahilii</t>
  </si>
  <si>
    <t>Vitis vinifera subsp vinifera cv. Saint-Emilion x Sémillon D</t>
  </si>
  <si>
    <t>Vitis vinifera subsp vinifera cv. Saint-Laurent</t>
  </si>
  <si>
    <t>Vitis vinifera subsp vinifera cv. Saint-Louis faux</t>
  </si>
  <si>
    <t>Vitis vinifera subsp vinifera cv. Saint-Macaire</t>
  </si>
  <si>
    <t>Vitis vinifera subsp vinifera cv. Sainton = Vidal 9</t>
  </si>
  <si>
    <t>Vitis vinifera subsp vinifera cv. Saint-Pierre doré</t>
  </si>
  <si>
    <t>Vitis vinifera subsp vinifera cv. Sakasli</t>
  </si>
  <si>
    <t>Vitis vinifera subsp vinifera cv. Salagnin</t>
  </si>
  <si>
    <t>Vitis vinifera subsp vinifera cv. Salba</t>
  </si>
  <si>
    <t>Vitis vinifera subsp vinifera cv. Salicette</t>
  </si>
  <si>
    <t>Vitis vinifera subsp vinifera cv. Samarrinho preto</t>
  </si>
  <si>
    <t>Vitis vinifera subsp vinifera cv. Samoriau</t>
  </si>
  <si>
    <t>Vitis vinifera subsp vinifera cv. Samoveanca</t>
  </si>
  <si>
    <t>Vitis vinifera subsp vinifera cv. San Antoni</t>
  </si>
  <si>
    <t>Vitis vinifera subsp vinifera cv. San Francisco</t>
  </si>
  <si>
    <t>Vitis vinifera subsp vinifera cv. San Jeronimo</t>
  </si>
  <si>
    <t>Vitis vinifera subsp vinifera cv. San Martino = Pirovano 215</t>
  </si>
  <si>
    <t>Vitis vinifera subsp vinifera cv. Sanginella di Salerno</t>
  </si>
  <si>
    <t>Vitis vinifera subsp vinifera cv. Santa Barbara = Pirovano 480</t>
  </si>
  <si>
    <t>Vitis vinifera subsp vinifera cv. Santa Magdalena</t>
  </si>
  <si>
    <t>Vitis vinifera subsp vinifera cv. Santa Morena</t>
  </si>
  <si>
    <t>Vitis vinifera subsp vinifera cv. Santa Paula</t>
  </si>
  <si>
    <t>Vitis vinifera subsp vinifera cv. Saperavi</t>
  </si>
  <si>
    <t>Vitis vinifera subsp vinifera cv. Sapere otzkhanouri</t>
  </si>
  <si>
    <t>Vitis vinifera subsp vinifera cv. Sarfeher</t>
  </si>
  <si>
    <t>Vitis vinifera subsp vinifera cv. Sary pandass</t>
  </si>
  <si>
    <t>Vitis vinifera subsp vinifera cv. Sateni bely</t>
  </si>
  <si>
    <t>Vitis vinifera subsp vinifera cv. Sateni tcherny</t>
  </si>
  <si>
    <t>Vitis vinifera subsp vinifera cv. Satino Kokkino</t>
  </si>
  <si>
    <t>Vitis vinifera subsp vinifera cv. Sauterne blanc</t>
  </si>
  <si>
    <t>Vitis vinifera subsp vinifera cv. Sauvaget</t>
  </si>
  <si>
    <t>Vitis vinifera subsp vinifera cv. Sauvignon</t>
  </si>
  <si>
    <t>Vitis vinifera subsp vinifera cv. Sauvignon gris</t>
  </si>
  <si>
    <t>Vitis vinifera subsp vinifera cv. Sauvignon rouge</t>
  </si>
  <si>
    <t>Vitis vinifera subsp vinifera cv. Sauvignonasse</t>
  </si>
  <si>
    <t>Vitis vinifera subsp vinifera cv. Savagnin blanc</t>
  </si>
  <si>
    <t>Vitis vinifera subsp vinifera cv. Savagnin rose</t>
  </si>
  <si>
    <t>Vitis vinifera subsp vinifera cv. Savvatiano</t>
  </si>
  <si>
    <t>Vitis vinifera subsp vinifera cv. Scaliger</t>
  </si>
  <si>
    <t>Vitis vinifera subsp vinifera cv. Schabasche</t>
  </si>
  <si>
    <t>Vitis vinifera subsp vinifera cv. Scheu 10514</t>
  </si>
  <si>
    <t>Vitis vinifera subsp vinifera cv. Scheurebe</t>
  </si>
  <si>
    <t>Vitis vinifera subsp vinifera cv. Schiava gentile</t>
  </si>
  <si>
    <t>Vitis vinifera subsp vinifera cv. Schiava grigia</t>
  </si>
  <si>
    <t>Vitis vinifera subsp vinifera cv. Schiava lombarda</t>
  </si>
  <si>
    <t>Vitis vinifera subsp vinifera cv. Schiradzouli</t>
  </si>
  <si>
    <t>Vitis vinifera subsp vinifera cv. Schiradzouli violet</t>
  </si>
  <si>
    <t>Vitis vinifera subsp vinifera cv. Schiras</t>
  </si>
  <si>
    <t>Vitis vinifera subsp vinifera cv. Sciaccarello</t>
  </si>
  <si>
    <t>Vitis vinifera subsp vinifera cv. Sciascinoso</t>
  </si>
  <si>
    <t>Vitis vinifera subsp vinifera cv. Sebai assouad</t>
  </si>
  <si>
    <t>Vitis vinifera subsp vinifera cv. Sécal</t>
  </si>
  <si>
    <t>Vitis vinifera subsp vinifera cv. Segalin = INRA 1377-174</t>
  </si>
  <si>
    <t>Vitis vinifera subsp vinifera cv. Seibel 60</t>
  </si>
  <si>
    <t>Vitis vinifera subsp vinifera cv. Select = Vidal 100 T</t>
  </si>
  <si>
    <t>Vitis vinifera subsp vinifera cv. Semebat</t>
  </si>
  <si>
    <t>Vitis vinifera subsp vinifera cv. Semidano</t>
  </si>
  <si>
    <t>Vitis vinifera subsp vinifera cv. Semillon</t>
  </si>
  <si>
    <t>Vitis vinifera subsp vinifera cv. Septimer = Alzey 3952</t>
  </si>
  <si>
    <t>Vitis vinifera subsp vinifera cv. Sercial</t>
  </si>
  <si>
    <t>Vitis vinifera subsp vinifera cv. Serénèze de Moirans</t>
  </si>
  <si>
    <t>Vitis vinifera subsp vinifera cv. Serénèze de Voreppe</t>
  </si>
  <si>
    <t>Vitis vinifera subsp vinifera cv. Serna</t>
  </si>
  <si>
    <t>Vitis vinifera subsp vinifera cv. Servabilis = Pirovano 221</t>
  </si>
  <si>
    <t>Vitis vinifera subsp vinifera cv. Servanin</t>
  </si>
  <si>
    <t>Vitis vinifera subsp vinifera cv. Servant</t>
  </si>
  <si>
    <t>Vitis vinifera subsp vinifera cv. Sevan</t>
  </si>
  <si>
    <t>Vitis vinifera subsp vinifera cv. Sgavetta</t>
  </si>
  <si>
    <t>Vitis vinifera subsp vinifera cv. Sguigarda</t>
  </si>
  <si>
    <t>Vitis vinifera subsp vinifera cv. Shenidani</t>
  </si>
  <si>
    <t>Vitis vinifera subsp vinifera cv. Shindo Khani</t>
  </si>
  <si>
    <t>Vitis vinifera subsp vinifera cv. Shirazi</t>
  </si>
  <si>
    <t>Vitis vinifera subsp vinifera cv. Siah</t>
  </si>
  <si>
    <t>Vitis vinifera subsp vinifera cv. Sibirkovy</t>
  </si>
  <si>
    <t>Vitis vinifera subsp vinifera cv. Sicilien faux</t>
  </si>
  <si>
    <t>Vitis vinifera subsp vinifera cv. Sideritis</t>
  </si>
  <si>
    <t>Vitis vinifera subsp vinifera cv. Siegerrebe = Scheu 7957</t>
  </si>
  <si>
    <t>Vitis vinifera subsp vinifera cv. Silberweiss</t>
  </si>
  <si>
    <t>Vitis vinifera subsp vinifera cv. Skiadopoulo</t>
  </si>
  <si>
    <t>Vitis vinifera subsp vinifera cv. Skyloklima</t>
  </si>
  <si>
    <t>Vitis vinifera subsp vinifera cv. Skylopnichtis</t>
  </si>
  <si>
    <t>Vitis vinifera subsp vinifera cv. Skylopnichtis blanc</t>
  </si>
  <si>
    <t>Vitis vinifera subsp vinifera cv. Slankamenka blanc</t>
  </si>
  <si>
    <t>Vitis vinifera subsp vinifera cv. Soiaki</t>
  </si>
  <si>
    <t>Vitis vinifera subsp vinifera cv. Soic</t>
  </si>
  <si>
    <t>Vitis vinifera subsp vinifera cv. Solferino = Pirovano 316</t>
  </si>
  <si>
    <t>Vitis vinifera subsp vinifera cv. Somarello rosso</t>
  </si>
  <si>
    <t>Vitis vinifera subsp vinifera cv. Somzölö kek</t>
  </si>
  <si>
    <t>Vitis vinifera subsp vinifera cv. Sorok Let Oktiabria</t>
  </si>
  <si>
    <t>Vitis vinifera subsp vinifera cv. Soukholimansky bely</t>
  </si>
  <si>
    <t>Vitis vinifera subsp vinifera cv. Souri (1)</t>
  </si>
  <si>
    <t>Vitis vinifera subsp vinifera cv. Souri (2)</t>
  </si>
  <si>
    <t>Vitis vinifera subsp vinifera cv. Sourkhak biely</t>
  </si>
  <si>
    <t>Vitis vinifera subsp vinifera cv. Sourkhak kitabsky</t>
  </si>
  <si>
    <t>Vitis vinifera subsp vinifera cv. Souvenir du Congrès</t>
  </si>
  <si>
    <t>Vitis vinifera subsp vinifera cv. Souzao</t>
  </si>
  <si>
    <t>Vitis vinifera subsp vinifera cv. Sovrana = Pirovano 244</t>
  </si>
  <si>
    <t>Vitis vinifera subsp vinifera cv. Staphidampelo</t>
  </si>
  <si>
    <t>Vitis vinifera subsp vinifera cv. Staphidostaphylo</t>
  </si>
  <si>
    <t>Vitis vinifera subsp vinifera cv. Steinschiller blanc</t>
  </si>
  <si>
    <t>Vitis vinifera subsp vinifera cv. Strophyliatico</t>
  </si>
  <si>
    <t>Vitis vinifera subsp vinifera cv. Suavis = Pirovano 365 s</t>
  </si>
  <si>
    <t>Vitis vinifera subsp vinifera cv. Subirat Parent</t>
  </si>
  <si>
    <t>Vitis vinifera subsp vinifera cv. Sugrafive = Early Supérior seedless</t>
  </si>
  <si>
    <t>Vitis vinifera subsp vinifera cv. Sugraone = Superior seedless</t>
  </si>
  <si>
    <t>Vitis vinifera subsp vinifera cv. Sulivan blanc</t>
  </si>
  <si>
    <t>Vitis vinifera subsp vinifera cv. Sultana moscata = Pirovano 75</t>
  </si>
  <si>
    <t>Vitis vinifera subsp vinifera cv. Sultanina</t>
  </si>
  <si>
    <t>Vitis vinifera subsp vinifera cv. Sultanine</t>
  </si>
  <si>
    <t>Vitis vinifera subsp vinifera cv. Sultanine monococco</t>
  </si>
  <si>
    <t>Vitis vinifera subsp vinifera cv. Sultanine rose</t>
  </si>
  <si>
    <t>Vitis vinifera subsp vinifera cv. Sultanine rouge</t>
  </si>
  <si>
    <t>Vitis vinifera subsp vinifera cv. Sumoll</t>
  </si>
  <si>
    <t>Vitis vinifera subsp vinifera cv. Suntory blanc</t>
  </si>
  <si>
    <t>Vitis vinifera subsp vinifera cv. Superba = Pirovano 476 a</t>
  </si>
  <si>
    <t>Vitis vinifera subsp vinifera cv. Superfrankenthal = Pirovano 243</t>
  </si>
  <si>
    <t>Vitis vinifera subsp vinifera cv. Superzibibbo = Pirovano 107 a</t>
  </si>
  <si>
    <t>Vitis vinifera subsp vinifera cv. Suscan crni</t>
  </si>
  <si>
    <t>Vitis vinifera subsp vinifera cv. Susumaniello</t>
  </si>
  <si>
    <t>Vitis vinifera subsp vinifera cv. Sykiotis</t>
  </si>
  <si>
    <t>Vitis vinifera subsp vinifera cv. Sylvaner</t>
  </si>
  <si>
    <t>Vitis vinifera subsp vinifera cv. Sylvaner blau</t>
  </si>
  <si>
    <t>Vitis vinifera subsp vinifera cv. Sylvaner rot</t>
  </si>
  <si>
    <t>Vitis vinifera subsp vinifera cv. Syrah</t>
  </si>
  <si>
    <t>Vitis vinifera subsp vinifera cv. Syriki</t>
  </si>
  <si>
    <t>Vitis vinifera subsp vinifera cv. Szagos Bajnar</t>
  </si>
  <si>
    <t>Vitis vinifera subsp vinifera cv. Szauter Gusztav</t>
  </si>
  <si>
    <t>Vitis vinifera subsp vinifera cv. Szegedi</t>
  </si>
  <si>
    <t>Vitis vinifera subsp vinifera cv. Szegeny ember szölöje</t>
  </si>
  <si>
    <t>Vitis vinifera subsp vinifera cv. Szent Laszlö</t>
  </si>
  <si>
    <t>Vitis vinifera subsp vinifera cv. Szeredi</t>
  </si>
  <si>
    <t>Vitis vinifera subsp vinifera cv. Szeremi zöld</t>
  </si>
  <si>
    <t>Vitis vinifera subsp vinifera cv. Tachtas</t>
  </si>
  <si>
    <t>Vitis vinifera subsp vinifera cv. Taferielt</t>
  </si>
  <si>
    <t>Vitis vinifera subsp vinifera cv. Tagleit n'timilli</t>
  </si>
  <si>
    <t>Vitis vinifera subsp vinifera cv. Tagobi</t>
  </si>
  <si>
    <t>Vitis vinifera subsp vinifera cv. Taifi belyi</t>
  </si>
  <si>
    <t>Vitis vinifera subsp vinifera cv. Taïfi rosovy</t>
  </si>
  <si>
    <t>Vitis vinifera subsp vinifera cv. Taïlilout</t>
  </si>
  <si>
    <t>Vitis vinifera subsp vinifera cv. Tamares</t>
  </si>
  <si>
    <t>Vitis vinifera subsp vinifera cv. Tamarez Moscatel 31-3-3</t>
  </si>
  <si>
    <t>Vitis vinifera subsp vinifera cv. Tana kouzy</t>
  </si>
  <si>
    <t>Vitis vinifera subsp vinifera cv. Tanagos</t>
  </si>
  <si>
    <t>Vitis vinifera subsp vinifera cv. Tankert</t>
  </si>
  <si>
    <t>Vitis vinifera subsp vinifera cv. Tannat</t>
  </si>
  <si>
    <t>Vitis vinifera subsp vinifera cv. Tantovina</t>
  </si>
  <si>
    <t>Vitis vinifera subsp vinifera cv. Tarabassié</t>
  </si>
  <si>
    <t>Vitis vinifera subsp vinifera cv. Tardif</t>
  </si>
  <si>
    <t>Vitis vinifera subsp vinifera cv. Tarnaou</t>
  </si>
  <si>
    <t>Vitis vinifera subsp vinifera cv. Tarragonins</t>
  </si>
  <si>
    <t>Vitis vinifera subsp vinifera cv. Tarrango</t>
  </si>
  <si>
    <t>Vitis vinifera subsp vinifera cv. Taschly</t>
  </si>
  <si>
    <t>Vitis vinifera subsp vinifera cv. Tavkveri</t>
  </si>
  <si>
    <t>Vitis vinifera subsp vinifera cv. Tavrida = Magaratch 171</t>
  </si>
  <si>
    <t>Vitis vinifera subsp vinifera cv. Tchaïnak</t>
  </si>
  <si>
    <t>Vitis vinifera subsp vinifera cv. Tchernii Crimski</t>
  </si>
  <si>
    <t>Vitis vinifera subsp vinifera cv. Tchilar</t>
  </si>
  <si>
    <t>Vitis vinifera subsp vinifera cv. Tchiliaki blanc</t>
  </si>
  <si>
    <t>Vitis vinifera subsp vinifera cv. Tchiliaki rouge</t>
  </si>
  <si>
    <t>Vitis vinifera subsp vinifera cv. Tchingin kara</t>
  </si>
  <si>
    <t>Vitis vinifera subsp vinifera cv. Tchinouri</t>
  </si>
  <si>
    <t>Vitis vinifera subsp vinifera cv. Tchkhaveri</t>
  </si>
  <si>
    <t>Vitis vinifera subsp vinifera cv. Teinturier</t>
  </si>
  <si>
    <t>Vitis vinifera subsp vinifera cv. Teli granat</t>
  </si>
  <si>
    <t>Vitis vinifera subsp vinifera cv. Tempranilla</t>
  </si>
  <si>
    <t>Vitis vinifera subsp vinifera cv. Tempranillo</t>
  </si>
  <si>
    <t>Vitis vinifera subsp vinifera cv. Téoulier</t>
  </si>
  <si>
    <t>Vitis vinifera subsp vinifera cv. Téoulier blanc</t>
  </si>
  <si>
    <t>Vitis vinifera subsp vinifera cv. Terbasch</t>
  </si>
  <si>
    <t>Vitis vinifera subsp vinifera cv. Teresita = Dalmasso XVIII-24</t>
  </si>
  <si>
    <t>Vitis vinifera subsp vinifera cv. Terlaner</t>
  </si>
  <si>
    <t>Vitis vinifera subsp vinifera cv. Teroldego</t>
  </si>
  <si>
    <t>Vitis vinifera subsp vinifera cv. Terr Gulmek</t>
  </si>
  <si>
    <t>Vitis vinifera subsp vinifera cv. Terramon long</t>
  </si>
  <si>
    <t>Vitis vinifera subsp vinifera cv. Terramon rond</t>
  </si>
  <si>
    <t>Vitis vinifera subsp vinifera cv. Terrano</t>
  </si>
  <si>
    <t>Vitis vinifera subsp vinifera cv. Terrantez de Madère</t>
  </si>
  <si>
    <t>Vitis vinifera subsp vinifera cv. Terrantez du Dão</t>
  </si>
  <si>
    <t>Vitis vinifera subsp vinifera cv. Terret blanc</t>
  </si>
  <si>
    <t>Vitis vinifera subsp vinifera cv. Terret Bouschet</t>
  </si>
  <si>
    <t>Vitis vinifera subsp vinifera cv. Terret gris</t>
  </si>
  <si>
    <t>Vitis vinifera subsp vinifera cv. Terret noir</t>
  </si>
  <si>
    <t>Vitis vinifera subsp vinifera cv. Teta de Vaca</t>
  </si>
  <si>
    <t>Vitis vinifera subsp vinifera cv. Thallocsy Lajos muskotaly = Muscat Thallocsy</t>
  </si>
  <si>
    <t>Vitis vinifera subsp vinifera cv. Thermi</t>
  </si>
  <si>
    <t>Vitis vinifera subsp vinifera cv. Tibouren</t>
  </si>
  <si>
    <t>Vitis vinifera subsp vinifera cv. Tihany</t>
  </si>
  <si>
    <t>Vitis vinifera subsp vinifera cv. Timorasso</t>
  </si>
  <si>
    <t>Vitis vinifera subsp vinifera cv. Timpurie</t>
  </si>
  <si>
    <t>Vitis vinifera subsp vinifera cv. Tini</t>
  </si>
  <si>
    <t>Vitis vinifera subsp vinifera cv. Tiniouine</t>
  </si>
  <si>
    <t>Vitis vinifera subsp vinifera cv. Tinos noir</t>
  </si>
  <si>
    <t>Vitis vinifera subsp vinifera cv. Tinta amarella</t>
  </si>
  <si>
    <t>Vitis vinifera subsp vinifera cv. Tinta Barroca</t>
  </si>
  <si>
    <t>Vitis vinifera subsp vinifera cv. Tinta carvalha</t>
  </si>
  <si>
    <t>Vitis vinifera subsp vinifera cv. Tinta castellõa</t>
  </si>
  <si>
    <t>Vitis vinifera subsp vinifera cv. Tinta de Madeira</t>
  </si>
  <si>
    <t>Vitis vinifera subsp vinifera cv. Tinta francisca</t>
  </si>
  <si>
    <t>Vitis vinifera subsp vinifera cv. Tinta pinheira</t>
  </si>
  <si>
    <t>Vitis vinifera subsp vinifera cv. Tintillo</t>
  </si>
  <si>
    <t>Vitis vinifera subsp vinifera cv. Tintinha = Leao Ferreira da Almeida 11-48-122</t>
  </si>
  <si>
    <t>Vitis vinifera subsp vinifera cv. Tinto Cao</t>
  </si>
  <si>
    <t>Vitis vinifera subsp vinifera cv. Tintora</t>
  </si>
  <si>
    <t>Vitis vinifera subsp vinifera cv. Tita Caprei</t>
  </si>
  <si>
    <t>Vitis vinifera subsp vinifera cv. Tolstokorii</t>
  </si>
  <si>
    <t>Vitis vinifera subsp vinifera cv. Török Mazsola</t>
  </si>
  <si>
    <t>Vitis vinifera subsp vinifera cv. Torralba</t>
  </si>
  <si>
    <t>Vitis vinifera subsp vinifera cv. Torrontès</t>
  </si>
  <si>
    <t>Vitis vinifera subsp vinifera cv. Torrontès mendocino</t>
  </si>
  <si>
    <t>Vitis vinifera subsp vinifera cv. Torrontès riojano</t>
  </si>
  <si>
    <t>Vitis vinifera subsp vinifera cv. Torrontès sanjuanino</t>
  </si>
  <si>
    <t>Vitis vinifera subsp vinifera cv. Tortozon</t>
  </si>
  <si>
    <t>Vitis vinifera subsp vinifera cv. Tourbat</t>
  </si>
  <si>
    <t>Vitis vinifera subsp vinifera cv. Touriga</t>
  </si>
  <si>
    <t>Vitis vinifera subsp vinifera cv. Toutrissin</t>
  </si>
  <si>
    <t>Vitis vinifera subsp vinifera cv. Tre voto</t>
  </si>
  <si>
    <t>Vitis vinifera subsp vinifera cv. Trebbiano</t>
  </si>
  <si>
    <t>Vitis vinifera subsp vinifera cv. Trebbiano di Soave</t>
  </si>
  <si>
    <t>Vitis vinifera subsp vinifera cv. Trebbiano giallo</t>
  </si>
  <si>
    <t>Vitis vinifera subsp vinifera cv. Trebbiano romagnolo</t>
  </si>
  <si>
    <t>Vitis vinifera subsp vinifera cv. Trebbiano spoletino</t>
  </si>
  <si>
    <t>Vitis vinifera subsp vinifera cv. Treixadura</t>
  </si>
  <si>
    <t>Vitis vinifera subsp vinifera cv. Trentham black faux</t>
  </si>
  <si>
    <t>Vitis vinifera subsp vinifera cv. Treolina</t>
  </si>
  <si>
    <t>Vitis vinifera subsp vinifera cv. Tressot</t>
  </si>
  <si>
    <t>Vitis vinifera subsp vinifera cv. Tressot blanc</t>
  </si>
  <si>
    <t>Vitis vinifera subsp vinifera cv. Tressot panaché</t>
  </si>
  <si>
    <t>Vitis vinifera subsp vinifera cv. Tressot panaché faux</t>
  </si>
  <si>
    <t>Vitis vinifera subsp vinifera cv. Trevisana nera</t>
  </si>
  <si>
    <t>Vitis vinifera subsp vinifera cv. Trieste = Pirovano 299</t>
  </si>
  <si>
    <t>Vitis vinifera subsp vinifera cv. Tripoli = Pirovano 352</t>
  </si>
  <si>
    <t>Vitis vinifera subsp vinifera cv. Trollinger blaudüftig</t>
  </si>
  <si>
    <t>Vitis vinifera subsp vinifera cv. Trollinger Muskat</t>
  </si>
  <si>
    <t>Vitis vinifera subsp vinifera cv. Trollingi feher</t>
  </si>
  <si>
    <t>Vitis vinifera subsp vinifera cv. Trousseau</t>
  </si>
  <si>
    <t>Vitis vinifera subsp vinifera cv. Trousseau gris</t>
  </si>
  <si>
    <t>Vitis vinifera subsp vinifera cv. Troyen</t>
  </si>
  <si>
    <t>Vitis vinifera subsp vinifera cv. Trunzo</t>
  </si>
  <si>
    <t>Vitis vinifera subsp vinifera cv. Tsambato</t>
  </si>
  <si>
    <t>Vitis vinifera subsp vinifera cv. Tschetirbak</t>
  </si>
  <si>
    <t>Vitis vinifera subsp vinifera cv. Tuia tiche</t>
  </si>
  <si>
    <t>Vitis vinifera subsp vinifera cv. Tuia tiche faux</t>
  </si>
  <si>
    <t>Vitis vinifera subsp vinifera cv. Tulillah</t>
  </si>
  <si>
    <t>Vitis vinifera subsp vinifera cv. Turki</t>
  </si>
  <si>
    <t>Vitis vinifera subsp vinifera cv. Turruntes</t>
  </si>
  <si>
    <t>Vitis vinifera subsp vinifera cv. Turska dinka</t>
  </si>
  <si>
    <t>Vitis vinifera subsp vinifera cv. Tzimlansky blanc</t>
  </si>
  <si>
    <t>Vitis vinifera subsp vinifera cv. Tzimlansky noir</t>
  </si>
  <si>
    <t>Vitis vinifera subsp vinifera cv. Tzitzka</t>
  </si>
  <si>
    <t>Vitis vinifera subsp vinifera cv. Tzolikoouri</t>
  </si>
  <si>
    <t>Vitis vinifera subsp vinifera cv. Ugni blanc</t>
  </si>
  <si>
    <t>Vitis vinifera subsp vinifera cv. Ugni blanc à feuilles découpées</t>
  </si>
  <si>
    <t>Vitis vinifera subsp vinifera cv. Ugni rouge</t>
  </si>
  <si>
    <t>Vitis vinifera subsp vinifera cv. Urben blau</t>
  </si>
  <si>
    <t>Vitis vinifera subsp vinifera cv. Urben rot</t>
  </si>
  <si>
    <t>Vitis vinifera subsp vinifera cv. Urreti</t>
  </si>
  <si>
    <t>Vitis vinifera subsp vinifera cv. Uva Cao</t>
  </si>
  <si>
    <t>Vitis vinifera subsp vinifera cv. Uva de Rey</t>
  </si>
  <si>
    <t>Vitis vinifera subsp vinifera cv. Uva di Troia</t>
  </si>
  <si>
    <t>Vitis vinifera subsp vinifera cv. Uva melona</t>
  </si>
  <si>
    <t>Vitis vinifera subsp vinifera cv. V 155 (J.P. Vidal)</t>
  </si>
  <si>
    <t>Vitis vinifera subsp vinifera cv. Valais noir</t>
  </si>
  <si>
    <t>Vitis vinifera subsp vinifera cv. Valdepeñas</t>
  </si>
  <si>
    <t>Vitis vinifera subsp vinifera cv. Valdiguié</t>
  </si>
  <si>
    <t>Vitis vinifera subsp vinifera cv. Valdiguié pissaïré</t>
  </si>
  <si>
    <t>Vitis vinifera subsp vinifera cv. Valenci blanco</t>
  </si>
  <si>
    <t>Vitis vinifera subsp vinifera cv. Valenci blanco faux</t>
  </si>
  <si>
    <t>Vitis vinifera subsp vinifera cv. Valensi noir</t>
  </si>
  <si>
    <t>Vitis vinifera subsp vinifera cv. Vapsa</t>
  </si>
  <si>
    <t>Vitis vinifera subsp vinifera cv. Vassarga bielaia</t>
  </si>
  <si>
    <t>Vitis vinifera subsp vinifera cv. Vassarga tchernaia</t>
  </si>
  <si>
    <t>Vitis vinifera subsp vinifera cv. Vékonyhéju</t>
  </si>
  <si>
    <t>Vitis vinifera subsp vinifera cv. Velteliner rouge</t>
  </si>
  <si>
    <t>Vitis vinifera subsp vinifera cv. Velteliner rouge précoce</t>
  </si>
  <si>
    <t>Vitis vinifera subsp vinifera cv. Velteliner vert</t>
  </si>
  <si>
    <t>Vitis vinifera subsp vinifera cv. Verdanel</t>
  </si>
  <si>
    <t>Vitis vinifera subsp vinifera cv. Verdea</t>
  </si>
  <si>
    <t>Vitis vinifera subsp vinifera cv. Verdeca</t>
  </si>
  <si>
    <t>Vitis vinifera subsp vinifera cv. Verdejo blanco</t>
  </si>
  <si>
    <t>Vitis vinifera subsp vinifera cv. Verdejo negro</t>
  </si>
  <si>
    <t>Vitis vinifera subsp vinifera cv. Verdelho</t>
  </si>
  <si>
    <t>Vitis vinifera subsp vinifera cv. Verdelho du Dâo</t>
  </si>
  <si>
    <t>Vitis vinifera subsp vinifera cv. Verdelho feijão</t>
  </si>
  <si>
    <t>Vitis vinifera subsp vinifera cv. Verdelho tinto femelle</t>
  </si>
  <si>
    <t>Vitis vinifera subsp vinifera cv. Verdesse</t>
  </si>
  <si>
    <t>Vitis vinifera subsp vinifera cv. Verdicchio</t>
  </si>
  <si>
    <t>Vitis vinifera subsp vinifera cv. Verdiso</t>
  </si>
  <si>
    <t>Vitis vinifera subsp vinifera cv. Verduschia</t>
  </si>
  <si>
    <t>Vitis vinifera subsp vinifera cv. Verduzzo friulano</t>
  </si>
  <si>
    <t>Vitis vinifera subsp vinifera cv. Verduzzo trevigiano</t>
  </si>
  <si>
    <t>Vitis vinifera subsp vinifera cv. Verico</t>
  </si>
  <si>
    <t>Vitis vinifera subsp vinifera cv. Verjus</t>
  </si>
  <si>
    <t>Vitis vinifera subsp vinifera cv. Vermentino</t>
  </si>
  <si>
    <t>Vitis vinifera subsp vinifera cv. Vermentino nero</t>
  </si>
  <si>
    <t>Vitis vinifera subsp vinifera cv. Vernaccia di Oristano</t>
  </si>
  <si>
    <t>Vitis vinifera subsp vinifera cv. Vernaccia di San Gimignano</t>
  </si>
  <si>
    <t>Vitis vinifera subsp vinifera cv. Vernaccia nera</t>
  </si>
  <si>
    <t>Vitis vinifera subsp vinifera cv. Vernaccina</t>
  </si>
  <si>
    <t>Vitis vinifera subsp vinifera cv. Verona = Pirovano 52</t>
  </si>
  <si>
    <t>Vitis vinifera subsp vinifera cv. Vespaiola</t>
  </si>
  <si>
    <t>Vitis vinifera subsp vinifera cv. Vespolina</t>
  </si>
  <si>
    <t>Vitis vinifera subsp vinifera cv. Vesprino</t>
  </si>
  <si>
    <t>Vitis vinifera subsp vinifera cv. Victor = Pirovano 314</t>
  </si>
  <si>
    <t>Vitis vinifera subsp vinifera cv. Vidal 117</t>
  </si>
  <si>
    <t>Vitis vinifera subsp vinifera cv. Vidal 31</t>
  </si>
  <si>
    <t>Vitis vinifera subsp vinifera cv. Vidal 311</t>
  </si>
  <si>
    <t>Vitis vinifera subsp vinifera cv. Vidal 36</t>
  </si>
  <si>
    <t>Vitis vinifera subsp vinifera cv. Vidal 539</t>
  </si>
  <si>
    <t>Vitis vinifera subsp vinifera cv. Vidal 544</t>
  </si>
  <si>
    <t>Vitis vinifera subsp vinifera cv. Vidal 547</t>
  </si>
  <si>
    <t>Vitis vinifera subsp vinifera cv. Vidal 548</t>
  </si>
  <si>
    <t>Vitis vinifera subsp vinifera cv. Vidal 595</t>
  </si>
  <si>
    <t>Vitis vinifera subsp vinifera cv. Vidal 662</t>
  </si>
  <si>
    <t>Vitis vinifera subsp vinifera cv. Vidal 678</t>
  </si>
  <si>
    <t>Vitis vinifera subsp vinifera cv. Vidal 686</t>
  </si>
  <si>
    <t>Vitis vinifera subsp vinifera cv. Vidal 76 T</t>
  </si>
  <si>
    <t>Vitis vinifera subsp vinifera cv. Vidal 800</t>
  </si>
  <si>
    <t>Vitis vinifera subsp vinifera cv. Vidal 804</t>
  </si>
  <si>
    <t>Vitis vinifera subsp vinifera cv. Vidal 808</t>
  </si>
  <si>
    <t>Vitis vinifera subsp vinifera cv. Vidal 815</t>
  </si>
  <si>
    <t>Vitis vinifera subsp vinifera cv. Vidal 83 T</t>
  </si>
  <si>
    <t>Vitis vinifera subsp vinifera cv. Vidal 98 T</t>
  </si>
  <si>
    <t>Vitis vinifera subsp vinifera cv. Vidal 99 T</t>
  </si>
  <si>
    <t>Vitis vinifera subsp vinifera cv. Vidiano</t>
  </si>
  <si>
    <t>Vitis vinifera subsp vinifera cv. Vien de Nus</t>
  </si>
  <si>
    <t>Vitis vinifera subsp vinifera cv. Vigne de Wood</t>
  </si>
  <si>
    <t>Vitis vinifera subsp vinifera cv. Vijiriega</t>
  </si>
  <si>
    <t>Vitis vinifera subsp vinifera cv. Vilana</t>
  </si>
  <si>
    <t>Vitis vinifera subsp vinifera cv. Villardiell</t>
  </si>
  <si>
    <t>Vitis vinifera subsp vinifera cv. Vinta</t>
  </si>
  <si>
    <t>Vitis vinifera subsp vinifera cv. Vintaïu</t>
  </si>
  <si>
    <t>Vitis vinifera subsp vinifera cv. Viognier</t>
  </si>
  <si>
    <t>Vitis vinifera subsp vinifera cv. Viola = Dalmasso XVIII-3</t>
  </si>
  <si>
    <t>Vitis vinifera subsp vinifera cv. Viosinho</t>
  </si>
  <si>
    <t>Vitis vinifera subsp vinifera cv. Viska</t>
  </si>
  <si>
    <t>Vitis vinifera subsp vinifera cv. Vital</t>
  </si>
  <si>
    <t>Vitis vinifera subsp vinifera cv. Volavna feher</t>
  </si>
  <si>
    <t>Vitis vinifera subsp vinifera cv. Volta = Pirovano 105</t>
  </si>
  <si>
    <t>Vitis vinifera subsp vinifera cv. Vörös vallas kek</t>
  </si>
  <si>
    <t>Vitis vinifera subsp vinifera cv. Voskeat</t>
  </si>
  <si>
    <t>Vitis vinifera subsp vinifera cv. Voudomato</t>
  </si>
  <si>
    <t>Vitis vinifera subsp vinifera cv. Vranac crni</t>
  </si>
  <si>
    <t>Vitis vinifera subsp vinifera cv. Vugava</t>
  </si>
  <si>
    <t>Vitis vinifera subsp vinifera cv. Vulpea</t>
  </si>
  <si>
    <t>Vitis vinifera subsp vinifera cv. Weisse Geisdutte par erreur</t>
  </si>
  <si>
    <t>Vitis vinifera subsp vinifera cv. West Freisia</t>
  </si>
  <si>
    <t>Vitis vinifera subsp vinifera cv. White Cinsaut</t>
  </si>
  <si>
    <t>Vitis vinifera subsp vinifera cv. White Lisbon</t>
  </si>
  <si>
    <t>Vitis vinifera subsp vinifera cv. White Muscadel</t>
  </si>
  <si>
    <t>Vitis vinifera subsp vinifera cv. White Prince</t>
  </si>
  <si>
    <t>Vitis vinifera subsp vinifera cv. Wildbacher blau</t>
  </si>
  <si>
    <t>Vitis vinifera subsp vinifera cv. Xarello</t>
  </si>
  <si>
    <t>Vitis vinifera subsp vinifera cv. Xarello vermell</t>
  </si>
  <si>
    <t>Vitis vinifera subsp vinifera cv. Xynomavro</t>
  </si>
  <si>
    <t>Vitis vinifera subsp vinifera cv. Yaghasti</t>
  </si>
  <si>
    <t>Vitis vinifera subsp vinifera cv. Yaï isioum rosovy</t>
  </si>
  <si>
    <t>Vitis vinifera subsp vinifera cv. Yapindjac</t>
  </si>
  <si>
    <t>Vitis vinifera subsp vinifera cv. Yekroa</t>
  </si>
  <si>
    <t>Vitis vinifera subsp vinifera cv. Ygia</t>
  </si>
  <si>
    <t>Vitis vinifera subsp vinifera cv. Yhsouh ali</t>
  </si>
  <si>
    <t>Vitis vinifera subsp vinifera cv. Zadarka bijela</t>
  </si>
  <si>
    <t>Vitis vinifera subsp vinifera cv. Zagtaïr</t>
  </si>
  <si>
    <t>Vitis vinifera subsp vinifera cv. Zalema</t>
  </si>
  <si>
    <t>Vitis vinifera subsp vinifera cv. Zalovitico</t>
  </si>
  <si>
    <t>Vitis vinifera subsp vinifera cv. Zampara</t>
  </si>
  <si>
    <t>Vitis vinifera subsp vinifera cv. Zeini</t>
  </si>
  <si>
    <t>Vitis vinifera subsp vinifera cv. Zeini abiad</t>
  </si>
  <si>
    <t>Vitis vinifera subsp vinifera cv. Zeini baladi</t>
  </si>
  <si>
    <t>Vitis vinifera subsp vinifera cv. Zeini rouge</t>
  </si>
  <si>
    <t>Vitis vinifera subsp vinifera cv. Zghihara de Husi</t>
  </si>
  <si>
    <t>Vitis vinifera subsp vinifera cv. Zierfandler rot</t>
  </si>
  <si>
    <t>Vitis vinifera subsp vinifera cv. Zilavka</t>
  </si>
  <si>
    <t>Vitis vinifera subsp vinifera cv. Zimsko belo</t>
  </si>
  <si>
    <t>Vitis vinifera subsp vinifera cv. Zizine</t>
  </si>
  <si>
    <t>Vitis vinifera subsp vinifera cv. Zlatarica bijela</t>
  </si>
  <si>
    <t>Vitis vinifera subsp vinifera cv. Zöldfürtü</t>
  </si>
  <si>
    <t>Vitis vinifera subsp vinifera cv. Zrinyi Ilona</t>
  </si>
  <si>
    <t>Vitis vinifera subsp vinifera cv. Zsitvai dinka</t>
  </si>
  <si>
    <t>Vitis vinifera subsp vinifera cv. Zweigelt blau</t>
  </si>
  <si>
    <t>Vitis vinifera subsp vinifera L.</t>
  </si>
  <si>
    <t>Vitis wenchowensis C.Ling</t>
  </si>
  <si>
    <t>Vitis x interspécifique</t>
  </si>
  <si>
    <t>Vitis x interspécifique cv. Aladin</t>
  </si>
  <si>
    <t>Vitis x interspécifique cv. Albenc = Galibert 36-1</t>
  </si>
  <si>
    <t>Vitis x interspécifique cv. Albignac = Galibert 12-1</t>
  </si>
  <si>
    <t>Vitis x interspécifique cv. Albignan</t>
  </si>
  <si>
    <t>Vitis x interspécifique cv. Alicante Ganzin</t>
  </si>
  <si>
    <t>Vitis x interspécifique cv. Alicante Terras 20</t>
  </si>
  <si>
    <t>Vitis x interspécifique cv. Amandin</t>
  </si>
  <si>
    <t>Vitis x interspécifique cv. Ambror = Seibel 10173</t>
  </si>
  <si>
    <t>Vitis x interspécifique cv. Aramond du Gard = Seibel 2007</t>
  </si>
  <si>
    <t>Vitis x interspécifique cv. Aramon-Rupestris Ganzin 1</t>
  </si>
  <si>
    <t>Vitis x interspécifique cv. Aramon-Rupestris Ganzin 2</t>
  </si>
  <si>
    <t>Vitis x interspécifique cv. Aramon-Rupestris Ganzin 9</t>
  </si>
  <si>
    <t>Vitis x interspécifique cv. Arboras = Galibert 22-5</t>
  </si>
  <si>
    <t>Vitis x interspécifique cv. Arnaud Fabre 3</t>
  </si>
  <si>
    <t>Vitis x interspécifique cv. Arnold 3401</t>
  </si>
  <si>
    <t>Vitis x interspécifique cv. Aspignan noir n° 1 = Galibert 239-35</t>
  </si>
  <si>
    <t>Vitis x interspécifique cv. Aspignan noir n°2 = Galibert 239-36</t>
  </si>
  <si>
    <t>Vitis x interspécifique cv. Aspignan n°1 = Galibert 239-34</t>
  </si>
  <si>
    <t>Vitis x interspécifique cv. Aurore = Seibel 5279</t>
  </si>
  <si>
    <t>Vitis x interspécifique cv. B Maclet</t>
  </si>
  <si>
    <t>Vitis x interspécifique cv. Baco blanc = Baco 22 A</t>
  </si>
  <si>
    <t>Vitis x interspécifique cv. Baco Noir = Baco 1</t>
  </si>
  <si>
    <t>Vitis x interspécifique cv. Baco 23 A</t>
  </si>
  <si>
    <t>Vitis x interspécifique cv. Baco 9-11</t>
  </si>
  <si>
    <t>Vitis x interspécifique cv. Beaujolais x 23657 S.V. n°1</t>
  </si>
  <si>
    <t>Vitis x interspécifique cv. Beaujolais x 23657 S.V. n°10</t>
  </si>
  <si>
    <t>Vitis x interspécifique cv. Beaujolais x 23657 S.V. n°11</t>
  </si>
  <si>
    <t>Vitis x interspécifique cv. Beaujolais x 23657 S.V. n°12</t>
  </si>
  <si>
    <t>Vitis x interspécifique cv. Beaujolais x 23657 S.V. n°13</t>
  </si>
  <si>
    <t>Vitis x interspécifique cv. Beaujolais x 23657 S.V. n°14</t>
  </si>
  <si>
    <t>Vitis x interspécifique cv. Beaujolais x 23657 S.V. n°15</t>
  </si>
  <si>
    <t>Vitis x interspécifique cv. Beaujolais x 23657 S.V. n°16</t>
  </si>
  <si>
    <t>Vitis x interspécifique cv. Beaujolais x 23657 S.V. n°17</t>
  </si>
  <si>
    <t>Vitis x interspécifique cv. Beaujolais x 23657 S.V. n°18</t>
  </si>
  <si>
    <t>Vitis x interspécifique cv. Beaujolais x 23657 S.V. n°2</t>
  </si>
  <si>
    <t>Vitis x interspécifique cv. Beaujolais x 23657 S.V. n°3</t>
  </si>
  <si>
    <t>Vitis x interspécifique cv. Beaujolais x 23657 S.V. n°4</t>
  </si>
  <si>
    <t>Vitis x interspécifique cv. Beaujolais x 23657 S.V. n°5</t>
  </si>
  <si>
    <t>Vitis x interspécifique cv. Beaujolais x 23657 S.V. n°6</t>
  </si>
  <si>
    <t>Vitis x interspécifique cv. Beaujolais x 23657 S.V. n°7</t>
  </si>
  <si>
    <t>Vitis x interspécifique cv. Beaujolais x 23657 S.V. n°8</t>
  </si>
  <si>
    <t>Vitis x interspécifique cv. Beaujolais x 23657 S.V. n°9</t>
  </si>
  <si>
    <t>Vitis x interspécifique cv. Bel Castel = Castel 13706</t>
  </si>
  <si>
    <t>Vitis x interspécifique cv. Bellandais = Seibel 14596</t>
  </si>
  <si>
    <t>Vitis x interspécifique cv. Bénédiction de Pecs</t>
  </si>
  <si>
    <t>Vitis x interspécifique cv. berlandieri x ?</t>
  </si>
  <si>
    <t>Vitis x interspécifique cv. Berlandieri-Colombard 1 A</t>
  </si>
  <si>
    <t>Vitis x interspécifique cv. Berlandieri-Colombard 1 B</t>
  </si>
  <si>
    <t>Vitis x interspécifique cv. Berlandieri-Colombard 2 = BC 2</t>
  </si>
  <si>
    <t>Vitis x interspécifique cv. Berlandieri-Colombard 3</t>
  </si>
  <si>
    <t>Vitis x interspécifique cv. Bertille Seyve 1125</t>
  </si>
  <si>
    <t>Vitis x interspécifique cv. Bertille Seyve 1127</t>
  </si>
  <si>
    <t>Vitis x interspécifique cv. Bertille Seyve 1129</t>
  </si>
  <si>
    <t>Vitis x interspécifique cv. Bertille Seyve 1134</t>
  </si>
  <si>
    <t>Vitis x interspécifique cv. Bertille Seyve 1353</t>
  </si>
  <si>
    <t>Vitis x interspécifique cv. Bertille Seyve 1372</t>
  </si>
  <si>
    <t>Vitis x interspécifique cv. Bertille Seyve 1516</t>
  </si>
  <si>
    <t>Vitis x interspécifique cv. Bertille Seyve 1522</t>
  </si>
  <si>
    <t>Vitis x interspécifique cv. Bertille Seyve 1523</t>
  </si>
  <si>
    <t>Vitis x interspécifique cv. Bertille Seyve 1630 faux</t>
  </si>
  <si>
    <t>Vitis x interspécifique cv. Bertille Seyve 1808</t>
  </si>
  <si>
    <t>Vitis x interspécifique cv. Bertille Seyve 1838</t>
  </si>
  <si>
    <t>Vitis x interspécifique cv. Bertille Seyve 2048</t>
  </si>
  <si>
    <t>Vitis x interspécifique cv. Bertille Seyve 2049</t>
  </si>
  <si>
    <t>Vitis x interspécifique cv. Bertille Seyve 2050</t>
  </si>
  <si>
    <t>Vitis x interspécifique cv. Bertille Seyve 2117</t>
  </si>
  <si>
    <t>Vitis x interspécifique cv. Bertille Seyve 2179</t>
  </si>
  <si>
    <t>Vitis x interspécifique cv. Bertille Seyve 2240</t>
  </si>
  <si>
    <t>Vitis x interspécifique cv. Bertille Seyve 2381</t>
  </si>
  <si>
    <t>Vitis x interspécifique cv. Bertille Seyve 2400</t>
  </si>
  <si>
    <t>Vitis x interspécifique cv. Bertille Seyve 2409</t>
  </si>
  <si>
    <t>Vitis x interspécifique cv. Bertille Seyve 2475</t>
  </si>
  <si>
    <t>Vitis x interspécifique cv. Bertille Seyve 2491</t>
  </si>
  <si>
    <t>Vitis x interspécifique cv. Bertille Seyve 2499</t>
  </si>
  <si>
    <t>Vitis x interspécifique cv. Bertille Seyve 2502</t>
  </si>
  <si>
    <t>Vitis x interspécifique cv. Bertille Seyve 2508</t>
  </si>
  <si>
    <t>Vitis x interspécifique cv. Bertille Seyve 2533</t>
  </si>
  <si>
    <t>Vitis x interspécifique cv. Bertille Seyve 2578</t>
  </si>
  <si>
    <t>Vitis x interspécifique cv. Bertille Seyve 2603</t>
  </si>
  <si>
    <t>Vitis x interspécifique cv. Bertille Seyve 2758</t>
  </si>
  <si>
    <t>Vitis x interspécifique cv. Bertille Seyve 2760</t>
  </si>
  <si>
    <t>Vitis x interspécifique cv. Bertille Seyve 2833</t>
  </si>
  <si>
    <t>Vitis x interspécifique cv. Bertille Seyve 2845</t>
  </si>
  <si>
    <t>Vitis x interspécifique cv. Bertille Seyve 2846</t>
  </si>
  <si>
    <t>Vitis x interspécifique cv. Bertille Seyve 3027</t>
  </si>
  <si>
    <t>Vitis x interspécifique cv. Bertille Seyve 3064</t>
  </si>
  <si>
    <t>Vitis x interspécifique cv. Bertille Seyve 3072</t>
  </si>
  <si>
    <t>Vitis x interspécifique cv. Bertille Seyve 3101</t>
  </si>
  <si>
    <t>Vitis x interspécifique cv. Bertille Seyve 3114</t>
  </si>
  <si>
    <t>Vitis x interspécifique cv. Bertille Seyve 3118</t>
  </si>
  <si>
    <t>Vitis x interspécifique cv. Bertille Seyve 3144</t>
  </si>
  <si>
    <t>Vitis x interspécifique cv. Bertille Seyve 3246</t>
  </si>
  <si>
    <t>Vitis x interspécifique cv. Bertille Seyve 3310</t>
  </si>
  <si>
    <t>Vitis x interspécifique cv. Bertille Seyve 3408</t>
  </si>
  <si>
    <t>Vitis x interspécifique cv. Bertille Seyve 3411</t>
  </si>
  <si>
    <t>Vitis x interspécifique cv. Bertille Seyve 3434</t>
  </si>
  <si>
    <t>Vitis x interspécifique cv. Bertille Seyve 3585</t>
  </si>
  <si>
    <t>Vitis x interspécifique cv. Bertille Seyve 3600</t>
  </si>
  <si>
    <t>Vitis x interspécifique cv. Bertille Seyve 4127</t>
  </si>
  <si>
    <t>Vitis x interspécifique cv. Bertille Seyve 413</t>
  </si>
  <si>
    <t>Vitis x interspécifique cv. Bertille Seyve 4176</t>
  </si>
  <si>
    <t>Vitis x interspécifique cv. Bertille Seyve 4201</t>
  </si>
  <si>
    <t>Vitis x interspécifique cv. Bertille Seyve 433</t>
  </si>
  <si>
    <t>Vitis x interspécifique cv. Bertille Seyve 450</t>
  </si>
  <si>
    <t>Vitis x interspécifique cv. Bertille Seyve 453</t>
  </si>
  <si>
    <t>Vitis x interspécifique cv. Bertille Seyve 460</t>
  </si>
  <si>
    <t>Vitis x interspécifique cv. Bertille Seyve 4825</t>
  </si>
  <si>
    <t>Vitis x interspécifique cv. Bertille Seyve 618</t>
  </si>
  <si>
    <t>Vitis x interspécifique cv. Bertille Seyve 6264</t>
  </si>
  <si>
    <t>Vitis x interspécifique cv. Bertille Seyve 6283</t>
  </si>
  <si>
    <t>Vitis x interspécifique cv. Bertille Seyve 822</t>
  </si>
  <si>
    <t>Vitis x interspécifique cv. Bertille Seyve 872</t>
  </si>
  <si>
    <t>Vitis x interspécifique cv. Bertille Seyve 893</t>
  </si>
  <si>
    <t>Vitis x interspécifique cv. Beta grape de Chaunac = Beta</t>
  </si>
  <si>
    <t>Vitis x interspécifique cv. Beyer 2</t>
  </si>
  <si>
    <t>Vitis x interspécifique cv. Black Queen</t>
  </si>
  <si>
    <t>Vitis x interspécifique cv. Blanche musquée = Galibert 256-73</t>
  </si>
  <si>
    <t>Vitis x interspécifique cv. Bogni 15</t>
  </si>
  <si>
    <t>Vitis x interspécifique cv. Bon Laurent = Kühlmann 267-1</t>
  </si>
  <si>
    <t>Vitis x interspécifique cv. Bon noir = Kühlmann 278-2</t>
  </si>
  <si>
    <t>Vitis x interspécifique cv. Bouchalès x 18315 S.V. n°30</t>
  </si>
  <si>
    <t>Vitis x interspécifique cv. Boujannoir = Galibert 6-1</t>
  </si>
  <si>
    <t>Vitis x interspécifique cv. Breider 19975</t>
  </si>
  <si>
    <t>Vitis x interspécifique cv. Brémont</t>
  </si>
  <si>
    <t>Vitis x interspécifique cv. Bronner = FR 250-75</t>
  </si>
  <si>
    <t>Vitis x interspécifique cv. Bronx seedless</t>
  </si>
  <si>
    <t>Vitis x interspécifique cv. Burdin 10010</t>
  </si>
  <si>
    <t>Vitis x interspécifique cv. Burdin 1582</t>
  </si>
  <si>
    <t>Vitis x interspécifique cv. Burdin 1585</t>
  </si>
  <si>
    <t>Vitis x interspécifique cv. Burdin 1605</t>
  </si>
  <si>
    <t>Vitis x interspécifique cv. Burdin 4077</t>
  </si>
  <si>
    <t>Vitis x interspécifique cv. Burdin 4502</t>
  </si>
  <si>
    <t>Vitis x interspécifique cv. Burdin 4503</t>
  </si>
  <si>
    <t>Vitis x interspécifique cv. Burdin 4560</t>
  </si>
  <si>
    <t>Vitis x interspécifique cv. Burdin 4582</t>
  </si>
  <si>
    <t>Vitis x interspécifique cv. Burdin 4601</t>
  </si>
  <si>
    <t>Vitis x interspécifique cv. Burdin 4650</t>
  </si>
  <si>
    <t>Vitis x interspécifique cv. Burdin 4655</t>
  </si>
  <si>
    <t>Vitis x interspécifique cv. Burdin 4672</t>
  </si>
  <si>
    <t>Vitis x interspécifique cv. Burdin 4687</t>
  </si>
  <si>
    <t>Vitis x interspécifique cv. Burdin 4695</t>
  </si>
  <si>
    <t>Vitis x interspécifique cv. Burdin 4716</t>
  </si>
  <si>
    <t>Vitis x interspécifique cv. Burdin 4795</t>
  </si>
  <si>
    <t>Vitis x interspécifique cv. Burdin 4855</t>
  </si>
  <si>
    <t>Vitis x interspécifique cv. Burdin 5201</t>
  </si>
  <si>
    <t>Vitis x interspécifique cv. Burdin 5400</t>
  </si>
  <si>
    <t>Vitis x interspécifique cv. Burdin 5406</t>
  </si>
  <si>
    <t>Vitis x interspécifique cv. Burdin 5440</t>
  </si>
  <si>
    <t>Vitis x interspécifique cv. Burdin 5535</t>
  </si>
  <si>
    <t>Vitis x interspécifique cv. Burdin 5539</t>
  </si>
  <si>
    <t>Vitis x interspécifique cv. Burdin 5540</t>
  </si>
  <si>
    <t>Vitis x interspécifique cv. Burdin 5580</t>
  </si>
  <si>
    <t>Vitis x interspécifique cv. Burdin 5581</t>
  </si>
  <si>
    <t>Vitis x interspécifique cv. Burdin 5620</t>
  </si>
  <si>
    <t>Vitis x interspécifique cv. Burdin 5833</t>
  </si>
  <si>
    <t>Vitis x interspécifique cv. Burdin 5894</t>
  </si>
  <si>
    <t>Vitis x interspécifique cv. Burdin 5957</t>
  </si>
  <si>
    <t>Vitis x interspécifique cv. Burdin 5960</t>
  </si>
  <si>
    <t>Vitis x interspécifique cv. Burdin 5963</t>
  </si>
  <si>
    <t>Vitis x interspécifique cv. Burdin 5984</t>
  </si>
  <si>
    <t>Vitis x interspécifique cv. Burdin 6004</t>
  </si>
  <si>
    <t>Vitis x interspécifique cv. Burdin 6055</t>
  </si>
  <si>
    <t>Vitis x interspécifique cv. Burdin 6154</t>
  </si>
  <si>
    <t>Vitis x interspécifique cv. Burdin 6189</t>
  </si>
  <si>
    <t>Vitis x interspécifique cv. Burdin 6205</t>
  </si>
  <si>
    <t>Vitis x interspécifique cv. Burdin 6316</t>
  </si>
  <si>
    <t>Vitis x interspécifique cv. Burdin 6422</t>
  </si>
  <si>
    <t>Vitis x interspécifique cv. Burdin 6541</t>
  </si>
  <si>
    <t>Vitis x interspécifique cv. Burdin 6621</t>
  </si>
  <si>
    <t>Vitis x interspécifique cv. Burdin 7037</t>
  </si>
  <si>
    <t>Vitis x interspécifique cv. Burdin 7044</t>
  </si>
  <si>
    <t>Vitis x interspécifique cv. Burdin 7061</t>
  </si>
  <si>
    <t>Vitis x interspécifique cv. Burdin 7187</t>
  </si>
  <si>
    <t>Vitis x interspécifique cv. Burdin 7194</t>
  </si>
  <si>
    <t>Vitis x interspécifique cv. Burdin 7200</t>
  </si>
  <si>
    <t>Vitis x interspécifique cv. Burdin 7206</t>
  </si>
  <si>
    <t>Vitis x interspécifique cv. Burdin 7215</t>
  </si>
  <si>
    <t>Vitis x interspécifique cv. Burdin 7216</t>
  </si>
  <si>
    <t>Vitis x interspécifique cv. Burdin 7334</t>
  </si>
  <si>
    <t>Vitis x interspécifique cv. Burdin 7352</t>
  </si>
  <si>
    <t>Vitis x interspécifique cv. Burdin 7353</t>
  </si>
  <si>
    <t>Vitis x interspécifique cv. Burdin 7357</t>
  </si>
  <si>
    <t>Vitis x interspécifique cv. Burdin 7358</t>
  </si>
  <si>
    <t>Vitis x interspécifique cv. Burdin 7360</t>
  </si>
  <si>
    <t>Vitis x interspécifique cv. Burdin 7365</t>
  </si>
  <si>
    <t>Vitis x interspécifique cv. Burdin 7368</t>
  </si>
  <si>
    <t>Vitis x interspécifique cv. Burdin 7369</t>
  </si>
  <si>
    <t>Vitis x interspécifique cv. Burdin 7371</t>
  </si>
  <si>
    <t>Vitis x interspécifique cv. Burdin 7374</t>
  </si>
  <si>
    <t>Vitis x interspécifique cv. Burdin 7375</t>
  </si>
  <si>
    <t>Vitis x interspécifique cv. Burdin 7380</t>
  </si>
  <si>
    <t>Vitis x interspécifique cv. Burdin 7405</t>
  </si>
  <si>
    <t>Vitis x interspécifique cv. Burdin 7468</t>
  </si>
  <si>
    <t>Vitis x interspécifique cv. Burdin 7510</t>
  </si>
  <si>
    <t>Vitis x interspécifique cv. Burdin 7515</t>
  </si>
  <si>
    <t>Vitis x interspécifique cv. Burdin 7582</t>
  </si>
  <si>
    <t>Vitis x interspécifique cv. Burdin 7595</t>
  </si>
  <si>
    <t>Vitis x interspécifique cv. Burdin 7618</t>
  </si>
  <si>
    <t>Vitis x interspécifique cv. Burdin 7638</t>
  </si>
  <si>
    <t>Vitis x interspécifique cv. Burdin 7648</t>
  </si>
  <si>
    <t>Vitis x interspécifique cv. Burdin 7696</t>
  </si>
  <si>
    <t>Vitis x interspécifique cv. Burdin 8649</t>
  </si>
  <si>
    <t>Vitis x interspécifique cv. Burdin 8796</t>
  </si>
  <si>
    <t>Vitis x interspécifique cv. Burdin 8811</t>
  </si>
  <si>
    <t>Vitis x interspécifique cv. Burdin 9010</t>
  </si>
  <si>
    <t>Vitis x interspécifique cv. C 26 Maclet</t>
  </si>
  <si>
    <t>Vitis x interspécifique cv. C 49 Maclet</t>
  </si>
  <si>
    <t>Vitis x interspécifique cv. C 69 Maclet</t>
  </si>
  <si>
    <t>Vitis x interspécifique cv. C 86 Maclet</t>
  </si>
  <si>
    <t>Vitis x interspécifique cv. C 98 Maclet</t>
  </si>
  <si>
    <t>Vitis x interspécifique cv. Cadamon 1</t>
  </si>
  <si>
    <t>Vitis x interspécifique cv. Cadamon 1 = Galibert 133-6</t>
  </si>
  <si>
    <t>Vitis x interspécifique cv. Cadamon 2 = Galibert 201-5</t>
  </si>
  <si>
    <t>Vitis x interspécifique cv. Cadillon doré = Galibert 261-13</t>
  </si>
  <si>
    <t>Vitis x interspécifique cv. Cadillon tardif = Galibert 261-12</t>
  </si>
  <si>
    <t>Vitis x interspécifique cv. Cadougnan blanc = Galibert 217-36</t>
  </si>
  <si>
    <t>Vitis x interspécifique cv. Cadougnan noir n° 2 = Galibert 217-33</t>
  </si>
  <si>
    <t>Vitis x interspécifique cv. Cadoulas n°1 = Galibert 207-86</t>
  </si>
  <si>
    <t>Vitis x interspécifique cv. Cadoulas n°2 = Galibert 114-14</t>
  </si>
  <si>
    <t>Vitis x interspécifique cv. Cadoulenc n°3 = Galibert 239-92</t>
  </si>
  <si>
    <t>Vitis x interspécifique cv. Cadoulenc 2</t>
  </si>
  <si>
    <t>Vitis x interspécifique cv. Caille 16</t>
  </si>
  <si>
    <t>Vitis x interspécifique cv. Caille 78</t>
  </si>
  <si>
    <t>Vitis x interspécifique cv. Calignon 2</t>
  </si>
  <si>
    <t>Vitis x interspécifique cv. Camirane blanche = Fourquier 16-45</t>
  </si>
  <si>
    <t>Vitis x interspécifique cv. Camirane rose = Fourquier 5-45</t>
  </si>
  <si>
    <t>Vitis x interspécifique cv. Candin</t>
  </si>
  <si>
    <t>Vitis x interspécifique cv. Carubis = Galibert 21-1</t>
  </si>
  <si>
    <t>Vitis x interspécifique cv. Cassady</t>
  </si>
  <si>
    <t>Vitis x interspécifique cv. Castel 120</t>
  </si>
  <si>
    <t>Vitis x interspécifique cv. Castel 121</t>
  </si>
  <si>
    <t>Vitis x interspécifique cv. Castel 12412</t>
  </si>
  <si>
    <t>Vitis x interspécifique cv. Castel 12827</t>
  </si>
  <si>
    <t>Vitis x interspécifique cv. Castel 12916</t>
  </si>
  <si>
    <t>Vitis x interspécifique cv. Castel 18311</t>
  </si>
  <si>
    <t>Vitis x interspécifique cv. Castel 1832</t>
  </si>
  <si>
    <t>Vitis x interspécifique cv. Castel 188-04</t>
  </si>
  <si>
    <t>Vitis x interspécifique cv. Castel 188-08</t>
  </si>
  <si>
    <t>Vitis x interspécifique cv. Castel 188-15</t>
  </si>
  <si>
    <t>Vitis x interspécifique cv. Castel 19637</t>
  </si>
  <si>
    <t>Vitis x interspécifique cv. Castel 20029</t>
  </si>
  <si>
    <t>Vitis x interspécifique cv. Castel 20031</t>
  </si>
  <si>
    <t>Vitis x interspécifique cv. Castel 20035</t>
  </si>
  <si>
    <t>Vitis x interspécifique cv. Castel 20410</t>
  </si>
  <si>
    <t>Vitis x interspécifique cv. Castel 20415</t>
  </si>
  <si>
    <t>Vitis x interspécifique cv. Castel 20418</t>
  </si>
  <si>
    <t>Vitis x interspécifique cv. Castel 215-1</t>
  </si>
  <si>
    <t>Vitis x interspécifique cv. Castel 227-1</t>
  </si>
  <si>
    <t>Vitis x interspécifique cv. Castel 3431</t>
  </si>
  <si>
    <t>Vitis x interspécifique cv. Castel 4337</t>
  </si>
  <si>
    <t>Vitis x interspécifique cv. Castel 4515</t>
  </si>
  <si>
    <t>Vitis x interspécifique cv. Castel 4639</t>
  </si>
  <si>
    <t>Vitis x interspécifique cv. Castel 6011</t>
  </si>
  <si>
    <t>Vitis x interspécifique cv. Castel 6021</t>
  </si>
  <si>
    <t>Vitis x interspécifique cv. Castel 6831</t>
  </si>
  <si>
    <t>Vitis x interspécifique cv. Castel 7229</t>
  </si>
  <si>
    <t>Vitis x interspécifique cv. Castel 7501</t>
  </si>
  <si>
    <t>Vitis x interspécifique cv. Castel 7605</t>
  </si>
  <si>
    <t>Vitis x interspécifique cv. Chambaudière 113</t>
  </si>
  <si>
    <t>Vitis x interspécifique cv. Chambaudière 1330</t>
  </si>
  <si>
    <t>Vitis x interspécifique cv. Chambaudière 1336</t>
  </si>
  <si>
    <t>Vitis x interspécifique cv. Chambaudière 1337</t>
  </si>
  <si>
    <t>Vitis x interspécifique cv. Chambaudière 1349</t>
  </si>
  <si>
    <t>Vitis x interspécifique cv. Chambaudière 1375</t>
  </si>
  <si>
    <t>Vitis x interspécifique cv. Chambaudière 1391</t>
  </si>
  <si>
    <t>Vitis x interspécifique cv. Chambaudière 426</t>
  </si>
  <si>
    <t>Vitis x interspécifique cv. Chambaudière 442</t>
  </si>
  <si>
    <t>Vitis x interspécifique cv. Chambaudière 540</t>
  </si>
  <si>
    <t>Vitis x interspécifique cv. Chambourcin = Joannès Seyve 26205</t>
  </si>
  <si>
    <t>Vitis x interspécifique cv. Chancellor = Seibel 7053</t>
  </si>
  <si>
    <t>Vitis x interspécifique cv. Chasselas Baco = Baco 7 A</t>
  </si>
  <si>
    <t>Vitis x interspécifique cv. Chazalon</t>
  </si>
  <si>
    <t>Vitis x interspécifique cv. Chelois = Seibel 10878</t>
  </si>
  <si>
    <t>Vitis x interspécifique cv. Chenivesse</t>
  </si>
  <si>
    <t>Vitis x interspécifique cv. Chevalier 3401</t>
  </si>
  <si>
    <t>Vitis x interspécifique cv. Chevalier 4002</t>
  </si>
  <si>
    <t>Vitis x interspécifique cv. cinerea x davidii</t>
  </si>
  <si>
    <t>Vitis x interspécifique cv. Claire Kühlmann = Kühlmann 477-1</t>
  </si>
  <si>
    <t>Vitis x interspécifique cv. Clairette dorée Ganzin</t>
  </si>
  <si>
    <t>Vitis x interspécifique cv. Clairette résistante</t>
  </si>
  <si>
    <t>Vitis x interspécifique cv. Clinton = Kilianstraube</t>
  </si>
  <si>
    <t>Vitis x interspécifique cv. Colobel = Seibel 8357</t>
  </si>
  <si>
    <t>Vitis x interspécifique cv. coriacea x cinerea</t>
  </si>
  <si>
    <t>Vitis x interspécifique cv. Cosmo 10</t>
  </si>
  <si>
    <t>Vitis x interspécifique cv. Cosmo 2</t>
  </si>
  <si>
    <t>Vitis x interspécifique cv. Couderc noir = Couderc 7120</t>
  </si>
  <si>
    <t>Vitis x interspécifique cv. Couderc 1</t>
  </si>
  <si>
    <t>Vitis x interspécifique cv. Couderc 10</t>
  </si>
  <si>
    <t>Vitis x interspécifique cv. Couderc 101</t>
  </si>
  <si>
    <t>Vitis x interspécifique cv. Couderc 102-5 ter</t>
  </si>
  <si>
    <t>Vitis x interspécifique cv. Couderc 106-46</t>
  </si>
  <si>
    <t>Vitis x interspécifique cv. Couderc 106-51</t>
  </si>
  <si>
    <t>Vitis x interspécifique cv. Couderc 109-4</t>
  </si>
  <si>
    <t>Vitis x interspécifique cv. Couderc 11</t>
  </si>
  <si>
    <t>Vitis x interspécifique cv. Couderc 117-3</t>
  </si>
  <si>
    <t>Vitis x interspécifique cv. Couderc 117-4</t>
  </si>
  <si>
    <t>Vitis x interspécifique cv. Couderc 119</t>
  </si>
  <si>
    <t>Vitis x interspécifique cv. Couderc 12</t>
  </si>
  <si>
    <t>Vitis x interspécifique cv. Couderc 1202</t>
  </si>
  <si>
    <t>Vitis x interspécifique cv. Couderc 124-12</t>
  </si>
  <si>
    <t>Vitis x interspécifique cv. Couderc 126-8</t>
  </si>
  <si>
    <t>Vitis x interspécifique cv. Couderc 128-29 = N 6-53</t>
  </si>
  <si>
    <t>Vitis x interspécifique cv. Couderc 13</t>
  </si>
  <si>
    <t>Vitis x interspécifique cv. Couderc 1305</t>
  </si>
  <si>
    <t>Vitis x interspécifique cv. Couderc 13-11</t>
  </si>
  <si>
    <t>Vitis x interspécifique cv. Couderc 132</t>
  </si>
  <si>
    <t>Vitis x interspécifique cv. Couderc 13-205 ou 132-5</t>
  </si>
  <si>
    <t>Vitis x interspécifique cv. Couderc 136-4</t>
  </si>
  <si>
    <t>Vitis x interspécifique cv. Couderc 14</t>
  </si>
  <si>
    <t>Vitis x interspécifique cv. Couderc 1401</t>
  </si>
  <si>
    <t>Vitis x interspécifique cv. Couderc 146-51</t>
  </si>
  <si>
    <t>Vitis x interspécifique cv. Couderc 15</t>
  </si>
  <si>
    <t>Vitis x interspécifique cv. Couderc 157-11</t>
  </si>
  <si>
    <t>Vitis x interspécifique cv. Couderc 157-21</t>
  </si>
  <si>
    <t>Vitis x interspécifique cv. Couderc 16</t>
  </si>
  <si>
    <t>Vitis x interspécifique cv. Couderc 1613</t>
  </si>
  <si>
    <t>Vitis x interspécifique cv. Couderc 1615</t>
  </si>
  <si>
    <t>Vitis x interspécifique cv. Couderc 1616 (Colmar 1984)</t>
  </si>
  <si>
    <t>Vitis x interspécifique cv. Couderc 1616 Davy (pubescent)</t>
  </si>
  <si>
    <t>Vitis x interspécifique cv. Couderc 1616 E</t>
  </si>
  <si>
    <t>Vitis x interspécifique cv. Couderc 162</t>
  </si>
  <si>
    <t>Vitis x interspécifique cv. Couderc 162-46</t>
  </si>
  <si>
    <t>Vitis x interspécifique cv. Couderc 162-5</t>
  </si>
  <si>
    <t>Vitis x interspécifique cv. Couderc 162-97</t>
  </si>
  <si>
    <t>Vitis x interspécifique cv. Couderc 17</t>
  </si>
  <si>
    <t>Vitis x interspécifique cv. Couderc 175</t>
  </si>
  <si>
    <t>Vitis x interspécifique cv. Couderc 18</t>
  </si>
  <si>
    <t>Vitis x interspécifique cv. Couderc 19 = 299-35</t>
  </si>
  <si>
    <t>Vitis x interspécifique cv. Couderc 197-94</t>
  </si>
  <si>
    <t>Vitis x interspécifique cv. Couderc 198-21</t>
  </si>
  <si>
    <t>Vitis x interspécifique cv. Couderc 198-89</t>
  </si>
  <si>
    <t>Vitis x interspécifique cv. Couderc 199-88</t>
  </si>
  <si>
    <t>Vitis x interspécifique cv. Couderc 2</t>
  </si>
  <si>
    <t>Vitis x interspécifique cv. Couderc 20</t>
  </si>
  <si>
    <t>Vitis x interspécifique cv. Couderc 201</t>
  </si>
  <si>
    <t>Vitis x interspécifique cv. Couderc 202-137</t>
  </si>
  <si>
    <t>Vitis x interspécifique cv. Couderc 203-143</t>
  </si>
  <si>
    <t>Vitis x interspécifique cv. Couderc 21</t>
  </si>
  <si>
    <t>Vitis x interspécifique cv. Couderc 2-10 = 2 Baronne</t>
  </si>
  <si>
    <t>Vitis x interspécifique cv. Couderc 216-2</t>
  </si>
  <si>
    <t>Vitis x interspécifique cv. Couderc 22</t>
  </si>
  <si>
    <t>Vitis x interspécifique cv. Couderc 226-58</t>
  </si>
  <si>
    <t>Vitis x interspécifique cv. Couderc 23</t>
  </si>
  <si>
    <t>Vitis x interspécifique cv. Couderc 235-120</t>
  </si>
  <si>
    <t>Vitis x interspécifique cv. Couderc 24</t>
  </si>
  <si>
    <t>Vitis x interspécifique cv. Couderc 241-123</t>
  </si>
  <si>
    <t>Vitis x interspécifique cv. Couderc 241-125</t>
  </si>
  <si>
    <t>Vitis x interspécifique cv. Couderc 246-123</t>
  </si>
  <si>
    <t>Vitis x interspécifique cv. Couderc 25</t>
  </si>
  <si>
    <t>Vitis x interspécifique cv. Couderc 251-150</t>
  </si>
  <si>
    <t>Vitis x interspécifique cv. Couderc 251-50</t>
  </si>
  <si>
    <t>Vitis x interspécifique cv. Couderc 252-14</t>
  </si>
  <si>
    <t>Vitis x interspécifique cv. Couderc 252-15</t>
  </si>
  <si>
    <t>Vitis x interspécifique cv. Couderc 26</t>
  </si>
  <si>
    <t>Vitis x interspécifique cv. Couderc 261-50</t>
  </si>
  <si>
    <t>Vitis x interspécifique cv. Couderc 2627-11</t>
  </si>
  <si>
    <t>Vitis x interspécifique cv. Couderc 267-27</t>
  </si>
  <si>
    <t>Vitis x interspécifique cv. Couderc 272-60</t>
  </si>
  <si>
    <t>Vitis x interspécifique cv. Couderc 28-112</t>
  </si>
  <si>
    <t>Vitis x interspécifique cv. Couderc 286-68</t>
  </si>
  <si>
    <t>Vitis x interspécifique cv. Couderc 299-17</t>
  </si>
  <si>
    <t>Vitis x interspécifique cv. Couderc 299-35</t>
  </si>
  <si>
    <t>Vitis x interspécifique cv. Couderc 3</t>
  </si>
  <si>
    <t>Vitis x interspécifique cv. Couderc 302-60</t>
  </si>
  <si>
    <t>Vitis x interspécifique cv. Couderc 3304</t>
  </si>
  <si>
    <t>Vitis x interspécifique cv. Couderc 3306</t>
  </si>
  <si>
    <t>Vitis x interspécifique cv. Couderc 3307</t>
  </si>
  <si>
    <t>Vitis x interspécifique cv. Couderc 3310</t>
  </si>
  <si>
    <t>Vitis x interspécifique cv. Couderc 343-14</t>
  </si>
  <si>
    <t>Vitis x interspécifique cv. Couderc 3601</t>
  </si>
  <si>
    <t>Vitis x interspécifique cv. Couderc 3905</t>
  </si>
  <si>
    <t>Vitis x interspécifique cv. Couderc 3907</t>
  </si>
  <si>
    <t>Vitis x interspécifique cv. Couderc 4</t>
  </si>
  <si>
    <t>Vitis x interspécifique cv. Couderc 404</t>
  </si>
  <si>
    <t>Vitis x interspécifique cv. Couderc 4306</t>
  </si>
  <si>
    <t>Vitis x interspécifique cv. Couderc 4308</t>
  </si>
  <si>
    <t>Vitis x interspécifique cv. Couderc 5</t>
  </si>
  <si>
    <t>Vitis x interspécifique cv. Couderc 501</t>
  </si>
  <si>
    <t>Vitis x interspécifique cv. Couderc 503</t>
  </si>
  <si>
    <t>Vitis x interspécifique cv. Couderc 504</t>
  </si>
  <si>
    <t>Vitis x interspécifique cv. Couderc 5407</t>
  </si>
  <si>
    <t>Vitis x interspécifique cv. Couderc 548-1</t>
  </si>
  <si>
    <t>Vitis x interspécifique cv. Couderc 554-5</t>
  </si>
  <si>
    <t>Vitis x interspécifique cv. Couderc 6</t>
  </si>
  <si>
    <t>Vitis x interspécifique cv. Couderc 601</t>
  </si>
  <si>
    <t>Vitis x interspécifique cv. Couderc 602</t>
  </si>
  <si>
    <t>Vitis x interspécifique cv. Couderc 603</t>
  </si>
  <si>
    <t>Vitis x interspécifique cv. Couderc 62-66</t>
  </si>
  <si>
    <t>Vitis x interspécifique cv. Couderc 633 H</t>
  </si>
  <si>
    <t>Vitis x interspécifique cv. Couderc 7</t>
  </si>
  <si>
    <t>Vitis x interspécifique cv. Couderc 71-03</t>
  </si>
  <si>
    <t>Vitis x interspécifique cv. Couderc 71-04</t>
  </si>
  <si>
    <t>Vitis x interspécifique cv. Couderc 7106</t>
  </si>
  <si>
    <t>Vitis x interspécifique cv. Couderc 7160</t>
  </si>
  <si>
    <t>Vitis x interspécifique cv. Couderc 71-61 = Contassot 2</t>
  </si>
  <si>
    <t>Vitis x interspécifique cv. Couderc 7301</t>
  </si>
  <si>
    <t>Vitis x interspécifique cv. Couderc 7417</t>
  </si>
  <si>
    <t>Vitis x interspécifique cv. Couderc 7502</t>
  </si>
  <si>
    <t>Vitis x interspécifique cv. Couderc 8</t>
  </si>
  <si>
    <t>Vitis x interspécifique cv. Couderc 81-2</t>
  </si>
  <si>
    <t>Vitis x interspécifique cv. Couderc 82-12</t>
  </si>
  <si>
    <t>Vitis x interspécifique cv. Couderc 8232</t>
  </si>
  <si>
    <t>Vitis x interspécifique cv. Couderc 84-10</t>
  </si>
  <si>
    <t>Vitis x interspécifique cv. Couderc 84-61</t>
  </si>
  <si>
    <t>Vitis x interspécifique cv. Couderc 85-113</t>
  </si>
  <si>
    <t>Vitis x interspécifique cv. Couderc 87-83</t>
  </si>
  <si>
    <t>Vitis x interspécifique cv. Couderc 89-23</t>
  </si>
  <si>
    <t>Vitis x interspécifique cv. Couderc 9</t>
  </si>
  <si>
    <t>Vitis x interspécifique cv. Couderc 901</t>
  </si>
  <si>
    <t>Vitis x interspécifique cv. Couderc 90-38</t>
  </si>
  <si>
    <t>Vitis x interspécifique cv. Couderc 904</t>
  </si>
  <si>
    <t>Vitis x interspécifique cv. Couderc 93-5</t>
  </si>
  <si>
    <t>Vitis x interspécifique cv. Couderc 96-32</t>
  </si>
  <si>
    <t>Vitis x interspécifique cv. Couderc 98-76</t>
  </si>
  <si>
    <t>Vitis x interspécifique cv. Cournon = Galibert 22-4</t>
  </si>
  <si>
    <t>Vitis x interspécifique cv. D Maclet</t>
  </si>
  <si>
    <t>Vitis x interspécifique cv. Dattier de Saint-Vallier = Seyve-Villard 20-365</t>
  </si>
  <si>
    <t>Vitis x interspécifique cv. davidii x ?</t>
  </si>
  <si>
    <t>Vitis x interspécifique cv. De Chaunac = Seibel 9549</t>
  </si>
  <si>
    <t>Vitis x interspécifique cv. Delaware rose</t>
  </si>
  <si>
    <t>Vitis x interspécifique cv. Directeur Grosjean = Kühlmann 536-3</t>
  </si>
  <si>
    <t>Vitis x interspécifique cv. Docteur Decker-rebe</t>
  </si>
  <si>
    <t>Vitis x interspécifique cv. Dog Ridge</t>
  </si>
  <si>
    <t>Vitis x interspécifique cv. Dorette</t>
  </si>
  <si>
    <t>Vitis x interspécifique cv. Douriou = Baco 37-16</t>
  </si>
  <si>
    <t>Vitis x interspécifique cv. Doux noir = Galibert 294-33</t>
  </si>
  <si>
    <t>Vitis x interspécifique cv. Dufour 11 F</t>
  </si>
  <si>
    <t>Vitis x interspécifique cv. E 31 Maclet</t>
  </si>
  <si>
    <t>Vitis x interspécifique cv. E 46 Maclet</t>
  </si>
  <si>
    <t>Vitis x interspécifique cv. Edda Mussolini = Pirovano 78</t>
  </si>
  <si>
    <t>Vitis x interspécifique cv. Einset seedless</t>
  </si>
  <si>
    <t>Vitis x interspécifique cv. Elisabeth</t>
  </si>
  <si>
    <t>Vitis x interspécifique cv. Embanc n°2 = Galibert 113-20</t>
  </si>
  <si>
    <t>Vitis x interspécifique cv. Emblanc n°1 = Galibert 113-18</t>
  </si>
  <si>
    <t>Vitis x interspécifique cv. Emblanc n°3 = Galibert 113-32</t>
  </si>
  <si>
    <t>Vitis x interspécifique cv. Emblanc n°4 = Galibert 128-13</t>
  </si>
  <si>
    <t>Vitis x interspécifique cv. Emblanc n°5 = Galibert 152-26</t>
  </si>
  <si>
    <t>Vitis x interspécifique cv. Emblanc n°6 = Galibert 153-11</t>
  </si>
  <si>
    <t>Vitis x interspécifique cv. Emblanc n°7 = Galibert 154-20</t>
  </si>
  <si>
    <t>Vitis x interspécifique cv. Emblanc n°8 = Galibert 155-9</t>
  </si>
  <si>
    <t>Vitis x interspécifique cv. Emblanc n°9 = Galibert 162-3</t>
  </si>
  <si>
    <t>Vitis x interspécifique cv. Emon 1-23</t>
  </si>
  <si>
    <t>Vitis x interspécifique cv. Emon 19-20</t>
  </si>
  <si>
    <t>Vitis x interspécifique cv. Emon 2</t>
  </si>
  <si>
    <t>Vitis x interspécifique cv. Emon 2-5</t>
  </si>
  <si>
    <t>Vitis x interspécifique cv. Emon 9</t>
  </si>
  <si>
    <t>Vitis x interspécifique cv. Ennoir n°1 = Galibert 114-10</t>
  </si>
  <si>
    <t>Vitis x interspécifique cv. Ennoir n°2 = Galibert 152-24</t>
  </si>
  <si>
    <t>Vitis x interspécifique cv. Ennoir n°3 = Galibert 152-27</t>
  </si>
  <si>
    <t>Vitis x interspécifique cv. Ennoir n°4 = Galibert 155-3</t>
  </si>
  <si>
    <t>Vitis x interspécifique cv. Ennoir n°5 = Galibert 155-11</t>
  </si>
  <si>
    <t>Vitis x interspécifique cv. Ennoir n°6 = Galibert 155-14</t>
  </si>
  <si>
    <t>Vitis x interspécifique cv. Ennoir n°7 = Galibert 162-4</t>
  </si>
  <si>
    <t>Vitis x interspécifique cv. Ennoir n°8 = Galibert 166-18</t>
  </si>
  <si>
    <t>Vitis x interspécifique cv. Ennoir n°9 = Galibert 171-24</t>
  </si>
  <si>
    <t>Vitis x interspécifique cv. Estellat = Baco 30-12</t>
  </si>
  <si>
    <t>Vitis x interspécifique cv. Etoile 1 = Kühlmann 237-1</t>
  </si>
  <si>
    <t>Vitis x interspécifique cv. Etoile 2 = Kühlmann 237-2</t>
  </si>
  <si>
    <t>Vitis x interspécifique cv. Evex 13-3</t>
  </si>
  <si>
    <t>Vitis x interspécifique cv. Evex 13-5</t>
  </si>
  <si>
    <t>Vitis x interspécifique cv. Excelsior Guilly</t>
  </si>
  <si>
    <t>Vitis x interspécifique cv. Excelsior (Ricketts)</t>
  </si>
  <si>
    <t>Vitis x interspécifique cv. Farato Grimaldi</t>
  </si>
  <si>
    <t>Vitis x interspécifique cv. Fauconneau 1</t>
  </si>
  <si>
    <t>Vitis x interspécifique cv. Fauconneau 2</t>
  </si>
  <si>
    <t>Vitis x interspécifique cv. Fercal</t>
  </si>
  <si>
    <t>Vitis x interspécifique cv. Ferdinand de Lesseps</t>
  </si>
  <si>
    <t>Vitis x interspécifique cv. Fin blanc 1</t>
  </si>
  <si>
    <t>Vitis x interspécifique cv. Fin noir = Kühlmann 275-2</t>
  </si>
  <si>
    <t>Vitis x interspécifique cv. Fin noir 1</t>
  </si>
  <si>
    <t>Vitis x interspécifique cv. Fin noir 2</t>
  </si>
  <si>
    <t>Vitis x interspécifique cv. Florental = Burdin 7705</t>
  </si>
  <si>
    <t>Vitis x interspécifique cv. Flot d'Or = Seibel 2653</t>
  </si>
  <si>
    <t>Vitis x interspécifique cv. Flot rouge = Seibel 1020</t>
  </si>
  <si>
    <t>Vitis x interspécifique cv. Fontan</t>
  </si>
  <si>
    <t>Vitis x interspécifique cv. Fredonia</t>
  </si>
  <si>
    <t>Vitis x interspécifique cv. G 1 = Grézot 1</t>
  </si>
  <si>
    <t>Vitis x interspécifique cv. Gaillard 157</t>
  </si>
  <si>
    <t>Vitis x interspécifique cv. Gaillard 194</t>
  </si>
  <si>
    <t>Vitis x interspécifique cv. Gaillard 2</t>
  </si>
  <si>
    <t>Vitis x interspécifique cv. Galibert 114-12</t>
  </si>
  <si>
    <t>Vitis x interspécifique cv. Galibert 114-25</t>
  </si>
  <si>
    <t>Vitis x interspécifique cv. Galibert 115-18</t>
  </si>
  <si>
    <t>Vitis x interspécifique cv. Galibert 115-28</t>
  </si>
  <si>
    <t>Vitis x interspécifique cv. Galibert 14-2</t>
  </si>
  <si>
    <t>Vitis x interspécifique cv. Galibert 14-3</t>
  </si>
  <si>
    <t>Vitis x interspécifique cv. Galibert 14-4</t>
  </si>
  <si>
    <t>Vitis x interspécifique cv. Galibert 14-5</t>
  </si>
  <si>
    <t>Vitis x interspécifique cv. Galibert 201 F</t>
  </si>
  <si>
    <t>Vitis x interspécifique cv. Galibert 201 H</t>
  </si>
  <si>
    <t>Vitis x interspécifique cv. Galibert 201-8 = Inconnu</t>
  </si>
  <si>
    <t>Vitis x interspécifique cv. Galibert 20-2</t>
  </si>
  <si>
    <t>Vitis x interspécifique cv. Galibert 21-2</t>
  </si>
  <si>
    <t>Vitis x interspécifique cv. Galibert 25-2</t>
  </si>
  <si>
    <t>Vitis x interspécifique cv. Galibert 309</t>
  </si>
  <si>
    <t>Vitis x interspécifique cv. Galibert 315</t>
  </si>
  <si>
    <t>Vitis x interspécifique cv. Galibert 35-3</t>
  </si>
  <si>
    <t>Vitis x interspécifique cv. Galibert 403</t>
  </si>
  <si>
    <t>Vitis x interspécifique cv. Galibert 404</t>
  </si>
  <si>
    <t>Vitis x interspécifique cv. Galibert 408</t>
  </si>
  <si>
    <t>Vitis x interspécifique cv. Galibert 413</t>
  </si>
  <si>
    <t>Vitis x interspécifique cv. Galibert 414</t>
  </si>
  <si>
    <t>Vitis x interspécifique cv. Galibert 420</t>
  </si>
  <si>
    <t>Vitis x interspécifique cv. Galibert 42-1</t>
  </si>
  <si>
    <t>Vitis x interspécifique cv. Galibert 42-2</t>
  </si>
  <si>
    <t>Vitis x interspécifique cv. Galibert 42-3</t>
  </si>
  <si>
    <t>Vitis x interspécifique cv. Galicante blanc n°1 = Galibert 238-95</t>
  </si>
  <si>
    <t>Vitis x interspécifique cv. Galicante noir n°1 = Galibert 239-96</t>
  </si>
  <si>
    <t>Vitis x interspécifique cv. Galicoul noir = Galibert 238-35</t>
  </si>
  <si>
    <t>Vitis x interspécifique cv. Galignon n°2 = Galibert 264-34</t>
  </si>
  <si>
    <t>Vitis x interspécifique cv. Gamay Couderc = Couderc 3103</t>
  </si>
  <si>
    <t>Vitis x interspécifique cv. Garnier 15-6</t>
  </si>
  <si>
    <t>Vitis x interspécifique cv. Garonnet = Seyve-Villard 18-283</t>
  </si>
  <si>
    <t>Vitis x interspécifique cv. Gaulois 1</t>
  </si>
  <si>
    <t>Vitis x interspécifique cv. Gaulois 2</t>
  </si>
  <si>
    <t>Vitis x interspécifique cv. Geisenheim 26</t>
  </si>
  <si>
    <t>Vitis x interspécifique cv. Geisenheim 97</t>
  </si>
  <si>
    <t>Vitis x interspécifique cv. GfGa-47-42</t>
  </si>
  <si>
    <t>Vitis x interspécifique cv. Gigantesque Millardet de Grasset</t>
  </si>
  <si>
    <t>Vitis x interspécifique cv. Glenora</t>
  </si>
  <si>
    <t>Vitis x interspécifique cv. Golden Muscat</t>
  </si>
  <si>
    <t>Vitis x interspécifique cv. Golia = 1-37 Pirovano</t>
  </si>
  <si>
    <t>Vitis x interspécifique cv. Gradian noir = Galibert 23-2</t>
  </si>
  <si>
    <t>Vitis x interspécifique cv. Grand Noir de Cadoule = Galibert 115-22</t>
  </si>
  <si>
    <t>Vitis x interspécifique cv. Gravesac</t>
  </si>
  <si>
    <t>Vitis x interspécifique cv. Grimaldi 24-27</t>
  </si>
  <si>
    <t>Vitis x interspécifique cv. Grimaldi 444</t>
  </si>
  <si>
    <t>Vitis x interspécifique cv. Gros Cadillon = Galibert 261-11</t>
  </si>
  <si>
    <t>Vitis x interspécifique cv. Guillaume 35</t>
  </si>
  <si>
    <t>Vitis x interspécifique cv. Guillaume 4</t>
  </si>
  <si>
    <t>Vitis x interspécifique cv. Guillaume 6</t>
  </si>
  <si>
    <t>Vitis x interspécifique cv. Harmony</t>
  </si>
  <si>
    <t>Vitis x interspécifique cv. Hartford Prolific</t>
  </si>
  <si>
    <t>Vitis x interspécifique cv. Helios</t>
  </si>
  <si>
    <t>Vitis x interspécifique cv. Herbemont</t>
  </si>
  <si>
    <t>Vitis x interspécifique cv. Himrod</t>
  </si>
  <si>
    <t>Vitis x interspécifique cv. Humbert 3</t>
  </si>
  <si>
    <t>Vitis x interspécifique cv. Hybride Azemar</t>
  </si>
  <si>
    <t>Vitis x interspécifique cv. Hybride Boiziau</t>
  </si>
  <si>
    <t>Vitis x interspécifique cv. Hybride d'Allen</t>
  </si>
  <si>
    <t>Vitis x interspécifique cv. Hybride Fournier</t>
  </si>
  <si>
    <t>Vitis x interspécifique cv. Hybride Franc</t>
  </si>
  <si>
    <t>Vitis x interspécifique cv. Hybride Lacoste</t>
  </si>
  <si>
    <t>Vitis x interspécifique cv. Hybride Pully 1</t>
  </si>
  <si>
    <t>Vitis x interspécifique cv. Hybride Pully 7</t>
  </si>
  <si>
    <t>Vitis x interspécifique cv. Hybride Trinquier</t>
  </si>
  <si>
    <t>Vitis x interspécifique cv. INRA-Mtp-3186-1-87</t>
  </si>
  <si>
    <t>Vitis x interspécifique cv. Institut = Kühlmann 482-2</t>
  </si>
  <si>
    <t>Vitis x interspécifique cv. Jacquez</t>
  </si>
  <si>
    <t>Vitis x interspécifique cv. Jacquez d'Aurelles 1</t>
  </si>
  <si>
    <t>Vitis x interspécifique cv. Joannès Seyve 11369</t>
  </si>
  <si>
    <t>Vitis x interspécifique cv. Joannès Seyve 12426</t>
  </si>
  <si>
    <t>Vitis x interspécifique cv. Joannès Seyve 12428</t>
  </si>
  <si>
    <t>Vitis x interspécifique cv. Joannès Seyve 12448</t>
  </si>
  <si>
    <t>Vitis x interspécifique cv. Joannès Seyve 12462</t>
  </si>
  <si>
    <t>Vitis x interspécifique cv. Joannès Seyve 13733</t>
  </si>
  <si>
    <t>Vitis x interspécifique cv. Joannès Seyve 13756</t>
  </si>
  <si>
    <t>Vitis x interspécifique cv. Joannès Seyve 14924</t>
  </si>
  <si>
    <t>Vitis x interspécifique cv. Joannès Seyve 14928</t>
  </si>
  <si>
    <t>Vitis x interspécifique cv. Joannès Seyve 14982</t>
  </si>
  <si>
    <t>Vitis x interspécifique cv. Joannès Seyve 15874</t>
  </si>
  <si>
    <t>Vitis x interspécifique cv. Joannès Seyve 15875</t>
  </si>
  <si>
    <t>Vitis x interspécifique cv. Joannès Seyve 16150</t>
  </si>
  <si>
    <t>Vitis x interspécifique cv. Joannès Seyve 19103</t>
  </si>
  <si>
    <t>Vitis x interspécifique cv. Joannès Seyve 23275</t>
  </si>
  <si>
    <t>Vitis x interspécifique cv. Joannès Seyve 23284</t>
  </si>
  <si>
    <t>Vitis x interspécifique cv. Joannès Seyve 23298</t>
  </si>
  <si>
    <t>Vitis x interspécifique cv. Joannès Seyve 23416</t>
  </si>
  <si>
    <t>Vitis x interspécifique cv. Joannès Seyve 23545</t>
  </si>
  <si>
    <t>Vitis x interspécifique cv. Joannès Seyve 24298</t>
  </si>
  <si>
    <t>Vitis x interspécifique cv. Joannès Seyve 24397</t>
  </si>
  <si>
    <t>Vitis x interspécifique cv. Joannès Seyve 24398</t>
  </si>
  <si>
    <t>Vitis x interspécifique cv. Joannès Seyve 24399</t>
  </si>
  <si>
    <t>Vitis x interspécifique cv. Joannès Seyve 24408</t>
  </si>
  <si>
    <t>Vitis x interspécifique cv. Joannès Seyve 24444</t>
  </si>
  <si>
    <t>Vitis x interspécifique cv. Joannès Seyve 24610</t>
  </si>
  <si>
    <t>Vitis x interspécifique cv. Joannès Seyve 24614</t>
  </si>
  <si>
    <t>Vitis x interspécifique cv. Joannès Seyve 24651</t>
  </si>
  <si>
    <t>Vitis x interspécifique cv. Joannès Seyve 24967</t>
  </si>
  <si>
    <t>Vitis x interspécifique cv. Joannès Seyve 25444</t>
  </si>
  <si>
    <t>Vitis x interspécifique cv. Joannès Seyve 25555</t>
  </si>
  <si>
    <t>Vitis x interspécifique cv. Joannès Seyve 25874</t>
  </si>
  <si>
    <t>Vitis x interspécifique cv. Joannès Seyve 26130</t>
  </si>
  <si>
    <t>Vitis x interspécifique cv. Joannès Seyve 26470</t>
  </si>
  <si>
    <t>Vitis x interspécifique cv. Joannès Seyve 26480</t>
  </si>
  <si>
    <t>Vitis x interspécifique cv. Joannès Seyve 26482</t>
  </si>
  <si>
    <t>Vitis x interspécifique cv. Joannès Seyve 26487</t>
  </si>
  <si>
    <t>Vitis x interspécifique cv. Joannès Seyve 26490</t>
  </si>
  <si>
    <t>Vitis x interspécifique cv. Joannès Seyve 26620</t>
  </si>
  <si>
    <t>Vitis x interspécifique cv. Joannès Seyve 26627</t>
  </si>
  <si>
    <t>Vitis x interspécifique cv. Joannès Seyve 26649</t>
  </si>
  <si>
    <t>Vitis x interspécifique cv. Joannès Seyve 26651</t>
  </si>
  <si>
    <t>Vitis x interspécifique cv. Joannès Seyve 26654</t>
  </si>
  <si>
    <t>Vitis x interspécifique cv. Joannès Seyve 26674</t>
  </si>
  <si>
    <t>Vitis x interspécifique cv. Joannès Seyve 26724</t>
  </si>
  <si>
    <t>Vitis x interspécifique cv. Joannès Seyve 26790</t>
  </si>
  <si>
    <t>Vitis x interspécifique cv. Joannès Seyve 26855</t>
  </si>
  <si>
    <t>Vitis x interspécifique cv. Joannès Seyve 26924</t>
  </si>
  <si>
    <t>Vitis x interspécifique cv. Joannès Seyve 27350</t>
  </si>
  <si>
    <t>Vitis x interspécifique cv. Joannès Seyve 30158</t>
  </si>
  <si>
    <t>Vitis x interspécifique cv. Joannès Seyve 30286</t>
  </si>
  <si>
    <t>Vitis x interspécifique cv. Joannès Seyve 30555</t>
  </si>
  <si>
    <t>Vitis x interspécifique cv. Joannès Seyve 30641</t>
  </si>
  <si>
    <t>Vitis x interspécifique cv. Joannès Seyve 30662</t>
  </si>
  <si>
    <t>Vitis x interspécifique cv. Joannès Seyve 31132</t>
  </si>
  <si>
    <t>Vitis x interspécifique cv. Joannès Seyve 31392</t>
  </si>
  <si>
    <t>Vitis x interspécifique cv. Joannès Seyve 4825</t>
  </si>
  <si>
    <t>Vitis x interspécifique cv. Joannès Seyve 5563</t>
  </si>
  <si>
    <t>Vitis x interspécifique cv. Joannès Seyve 6264</t>
  </si>
  <si>
    <t>Vitis x interspécifique cv. Joannès Seyve 9149</t>
  </si>
  <si>
    <t>Vitis x interspécifique cv. Johanniter</t>
  </si>
  <si>
    <t>Vitis x interspécifique cv. Joussely 1</t>
  </si>
  <si>
    <t>Vitis x interspécifique cv. Joussely 2</t>
  </si>
  <si>
    <t>Vitis x interspécifique cv. Jurie 1975</t>
  </si>
  <si>
    <t>Vitis x interspécifique cv. Kühlmann 702 A faux</t>
  </si>
  <si>
    <t>Vitis x interspécifique cv. La Céline = Baco 12-12</t>
  </si>
  <si>
    <t>Vitis x interspécifique cv. La Madone = Couderc 4101</t>
  </si>
  <si>
    <t>Vitis x interspécifique cv. labrusca x ?</t>
  </si>
  <si>
    <t>Vitis x interspécifique cv. labrusca x vinifera</t>
  </si>
  <si>
    <t>Vitis x interspécifique cv. Laffourcade 15 V</t>
  </si>
  <si>
    <t>Vitis x interspécifique cv. Laffourcade 19</t>
  </si>
  <si>
    <t>Vitis x interspécifique cv. Laffourcade 26</t>
  </si>
  <si>
    <t>Vitis x interspécifique cv. Laffourcade 6</t>
  </si>
  <si>
    <t>Vitis x interspécifique cv. Landal = Landot 244</t>
  </si>
  <si>
    <t>Vitis x interspécifique cv. Landot 1233</t>
  </si>
  <si>
    <t>Vitis x interspécifique cv. Landot 1674</t>
  </si>
  <si>
    <t>Vitis x interspécifique cv. Landot 1678</t>
  </si>
  <si>
    <t>Vitis x interspécifique cv. Landot 1680</t>
  </si>
  <si>
    <t>Vitis x interspécifique cv. Landot 204</t>
  </si>
  <si>
    <t>Vitis x interspécifique cv. Landot 206</t>
  </si>
  <si>
    <t>Vitis x interspécifique cv. Landot 2281</t>
  </si>
  <si>
    <t>Vitis x interspécifique cv. Landot 2282</t>
  </si>
  <si>
    <t>Vitis x interspécifique cv. Landot 2283</t>
  </si>
  <si>
    <t>Vitis x interspécifique cv. Landot 2291</t>
  </si>
  <si>
    <t>Vitis x interspécifique cv. Landot 234</t>
  </si>
  <si>
    <t>Vitis x interspécifique cv. Landot 2380</t>
  </si>
  <si>
    <t>Vitis x interspécifique cv. Landot 240</t>
  </si>
  <si>
    <t>Vitis x interspécifique cv. Landot 2517</t>
  </si>
  <si>
    <t>Vitis x interspécifique cv. Landot 301</t>
  </si>
  <si>
    <t>Vitis x interspécifique cv. Landot 304</t>
  </si>
  <si>
    <t>Vitis x interspécifique cv. Landot 3381</t>
  </si>
  <si>
    <t>Vitis x interspécifique cv. Landot 3474</t>
  </si>
  <si>
    <t>Vitis x interspécifique cv. Landot 3518</t>
  </si>
  <si>
    <t>Vitis x interspécifique cv. Landot 3568</t>
  </si>
  <si>
    <t>Vitis x interspécifique cv. Landot 3901</t>
  </si>
  <si>
    <t>Vitis x interspécifique cv. Landot 4239</t>
  </si>
  <si>
    <t>Vitis x interspécifique cv. Landot 4411</t>
  </si>
  <si>
    <t>Vitis x interspécifique cv. Landot 4465</t>
  </si>
  <si>
    <t>Vitis x interspécifique cv. Landot 4511</t>
  </si>
  <si>
    <t>Vitis x interspécifique cv. Landot 506</t>
  </si>
  <si>
    <t>Vitis x interspécifique cv. Landot 508</t>
  </si>
  <si>
    <t>Vitis x interspécifique cv. Landot 540</t>
  </si>
  <si>
    <t>Vitis x interspécifique cv. Landot 562</t>
  </si>
  <si>
    <t>Vitis x interspécifique cv. Landot 742</t>
  </si>
  <si>
    <t>Vitis x interspécifique cv. Landot 760</t>
  </si>
  <si>
    <t>Vitis x interspécifique cv. Landot 790</t>
  </si>
  <si>
    <t>Vitis x interspécifique cv. Laquenexy 155-2</t>
  </si>
  <si>
    <t>Vitis x interspécifique cv. Laquenexy 43-3</t>
  </si>
  <si>
    <t>Vitis x interspécifique cv. Laquenexy 44</t>
  </si>
  <si>
    <t>Vitis x interspécifique cv. Laquenexy 4-54</t>
  </si>
  <si>
    <t>Vitis x interspécifique cv. Laquenexy 4-56</t>
  </si>
  <si>
    <t>Vitis x interspécifique cv. Le Capéran = Baco 43-23</t>
  </si>
  <si>
    <t>Vitis x interspécifique cv. Le Cazalet = Baco 58-15</t>
  </si>
  <si>
    <t>Vitis x interspécifique cv. Le Colonel = Bertille Seyve 2667</t>
  </si>
  <si>
    <t>Vitis x interspécifique cv. Le Commandant = Bertille Seyve 2862</t>
  </si>
  <si>
    <t>Vitis x interspécifique cv. Le Fondard = Le Jurassien = Jurie 580</t>
  </si>
  <si>
    <t>Vitis x interspécifique cv. Le Général = Bertille Seyve 5563</t>
  </si>
  <si>
    <t>Vitis x interspécifique cv. Le Pourpre = Seibel 4646</t>
  </si>
  <si>
    <t>Vitis x interspécifique cv. Le Rubis = Seibel 5575</t>
  </si>
  <si>
    <t>Vitis x interspécifique cv. Le Subéreux = Seibel 6905</t>
  </si>
  <si>
    <t>Vitis x interspécifique cv. Léon Millot = Kühlmann 194-2</t>
  </si>
  <si>
    <t>Vitis x interspécifique cv. Llyod's number 33 = LN 33</t>
  </si>
  <si>
    <t>Vitis x interspécifique cv. Logan</t>
  </si>
  <si>
    <t>Vitis x interspécifique cv. Lucie Kühlmann = Kühlmann 149-3</t>
  </si>
  <si>
    <t>Vitis x interspécifique cv. Maclet C 103</t>
  </si>
  <si>
    <t>Vitis x interspécifique cv. Madame Castel = Castel 1028</t>
  </si>
  <si>
    <t>Vitis x interspécifique cv. Madame Lussan = Castel 19002</t>
  </si>
  <si>
    <t>Vitis x interspécifique cv. Mademoiselle Messiny = Kühlmann 193-5</t>
  </si>
  <si>
    <t>Vitis x interspécifique cv. Malègue S 3</t>
  </si>
  <si>
    <t>Vitis x interspécifique cv. Malègue 113</t>
  </si>
  <si>
    <t>Vitis x interspécifique cv. Malègue 1157-1</t>
  </si>
  <si>
    <t>Vitis x interspécifique cv. Malègue 1157-15</t>
  </si>
  <si>
    <t>Vitis x interspécifique cv. Malègue 148-4</t>
  </si>
  <si>
    <t>Vitis x interspécifique cv. Malègue 1495-1</t>
  </si>
  <si>
    <t>Vitis x interspécifique cv. Malègue 150-13</t>
  </si>
  <si>
    <t>Vitis x interspécifique cv. Malègue 150-15</t>
  </si>
  <si>
    <t>Vitis x interspécifique cv. Malègue 150-9</t>
  </si>
  <si>
    <t>Vitis x interspécifique cv. Malègue 1647-8</t>
  </si>
  <si>
    <t>Vitis x interspécifique cv. Malègue 1995-4</t>
  </si>
  <si>
    <t>Vitis x interspécifique cv. Malègue 2049-3</t>
  </si>
  <si>
    <t>Vitis x interspécifique cv. Malègue 2094-3</t>
  </si>
  <si>
    <t>Vitis x interspécifique cv. Malègue 2236-1</t>
  </si>
  <si>
    <t>Vitis x interspécifique cv. Malègue 2623-2</t>
  </si>
  <si>
    <t>Vitis x interspécifique cv. Malègue 2627-11</t>
  </si>
  <si>
    <t>Vitis x interspécifique cv. Malègue 44-46</t>
  </si>
  <si>
    <t>Vitis x interspécifique cv. Malègue 469-2</t>
  </si>
  <si>
    <t>Vitis x interspécifique cv. Malègue 474-5</t>
  </si>
  <si>
    <t>Vitis x interspécifique cv. Malègue 51-20</t>
  </si>
  <si>
    <t>Vitis x interspécifique cv. Malègue 57</t>
  </si>
  <si>
    <t>Vitis x interspécifique cv. Malègue 653-1</t>
  </si>
  <si>
    <t>Vitis x interspécifique cv. Malègue 71-7</t>
  </si>
  <si>
    <t>Vitis x interspécifique cv. Malègue 75</t>
  </si>
  <si>
    <t>Vitis x interspécifique cv. Malègue 829-6</t>
  </si>
  <si>
    <t>Vitis x interspécifique cv. Maréchal Foch = Kühlmann 188-2</t>
  </si>
  <si>
    <t>Vitis x interspécifique cv. Maréchal Joffre = Kühlmann 187-1</t>
  </si>
  <si>
    <t>Vitis x interspécifique cv. Maxatawnay</t>
  </si>
  <si>
    <t>Vitis x interspécifique cv. Merzling</t>
  </si>
  <si>
    <t>Vitis x interspécifique cv. Meynieu 3</t>
  </si>
  <si>
    <t>Vitis x interspécifique cv. Meynieu 6</t>
  </si>
  <si>
    <t>Vitis x interspécifique cv. Meynieu 7</t>
  </si>
  <si>
    <t>Vitis x interspécifique cv. Meynieu 8-5</t>
  </si>
  <si>
    <t>Vitis x interspécifique cv. Meynieu 8-6</t>
  </si>
  <si>
    <t>Vitis x interspécifique cv. Meynieu 9-48</t>
  </si>
  <si>
    <t>Vitis x interspécifique cv. Millardet = Kühlmann 193-2</t>
  </si>
  <si>
    <t>Vitis x interspécifique cv. Millardet de Grasset 143 A</t>
  </si>
  <si>
    <t>Vitis x interspécifique cv. Millardet et de Grasset 101</t>
  </si>
  <si>
    <t>Vitis x interspécifique cv. Millardet et de Grasset 101-1</t>
  </si>
  <si>
    <t>Vitis x interspécifique cv. Millardet et de Grasset 101-10</t>
  </si>
  <si>
    <t>Vitis x interspécifique cv. Millardet et de Grasset 101-11</t>
  </si>
  <si>
    <t>Vitis x interspécifique cv. Millardet et de Grasset 101-12</t>
  </si>
  <si>
    <t>Vitis x interspécifique cv. Millardet et de Grasset 101-14 faux (Carpentras)</t>
  </si>
  <si>
    <t>Vitis x interspécifique cv. Millardet et de Grasset 101-2</t>
  </si>
  <si>
    <t>Vitis x interspécifique cv. Millardet et de Grasset 101-9</t>
  </si>
  <si>
    <t>Vitis x interspécifique cv. Millardet et de Grasset 106-8</t>
  </si>
  <si>
    <t>Vitis x interspécifique cv. Millardet et de Grasset 108-16</t>
  </si>
  <si>
    <t>Vitis x interspécifique cv. Millardet et de Grasset 125-1</t>
  </si>
  <si>
    <t>Vitis x interspécifique cv. Millardet et de Grasset 125-2</t>
  </si>
  <si>
    <t>Vitis x interspécifique cv. Millardet et de Grasset 125-4</t>
  </si>
  <si>
    <t>Vitis x interspécifique cv. Millardet et de Grasset 143</t>
  </si>
  <si>
    <t>Vitis x interspécifique cv. Millardet et de Grasset 17-37</t>
  </si>
  <si>
    <t>Vitis x interspécifique cv. Millardet et de Grasset 199-16</t>
  </si>
  <si>
    <t>Vitis x interspécifique cv. Millardet et de Grasset 202-4</t>
  </si>
  <si>
    <t>Vitis x interspécifique cv. Millardet et de Grasset 212-7</t>
  </si>
  <si>
    <t>Vitis x interspécifique cv. Millardet et de Grasset 215-2</t>
  </si>
  <si>
    <t>Vitis x interspécifique cv. Millardet et de Grasset 219-7</t>
  </si>
  <si>
    <t>Vitis x interspécifique cv. Millardet et de Grasset 227-11-29</t>
  </si>
  <si>
    <t>Vitis x interspécifique cv. Millardet et de Grasset 227-55-29</t>
  </si>
  <si>
    <t>Vitis x interspécifique cv. Millardet et de Grasset 262</t>
  </si>
  <si>
    <t>Vitis x interspécifique cv. Millardet et de Grasset 301-14-152</t>
  </si>
  <si>
    <t>Vitis x interspécifique cv. Millardet et de Grasset 301-37-152</t>
  </si>
  <si>
    <t>Vitis x interspécifique cv. Millardet et de Grasset 301-4-153</t>
  </si>
  <si>
    <t>Vitis x interspécifique cv. Millardet et de Grasset 301-43-152</t>
  </si>
  <si>
    <t>Vitis x interspécifique cv. Millardet et de Grasset 33</t>
  </si>
  <si>
    <t>Vitis x interspécifique cv. Millardet et de Grasset 420 B</t>
  </si>
  <si>
    <t>Vitis x interspécifique cv. Millardet et de Grasset 420 C</t>
  </si>
  <si>
    <t>Vitis x interspécifique cv. Millardet et de Grasset 422 A</t>
  </si>
  <si>
    <t>Vitis x interspécifique cv. Millardet et de Grasset 422 B</t>
  </si>
  <si>
    <t>Vitis x interspécifique cv. Millardet 301</t>
  </si>
  <si>
    <t>Vitis x interspécifique cv. Millardet 374</t>
  </si>
  <si>
    <t>Vitis x interspécifique cv. Molines P.F.</t>
  </si>
  <si>
    <t>Vitis x interspécifique cv. Montoneri 23</t>
  </si>
  <si>
    <t>Vitis x interspécifique cv. Mounier 14-2</t>
  </si>
  <si>
    <t>Vitis x interspécifique cv. Mounier 155-7</t>
  </si>
  <si>
    <t>Vitis x interspécifique cv. Mounier 19-3</t>
  </si>
  <si>
    <t>Vitis x interspécifique cv. Musc Delecta = Seibel 16281</t>
  </si>
  <si>
    <t>Vitis x interspécifique cv. Muscadille = Galibert 265-35</t>
  </si>
  <si>
    <t>Vitis x interspécifique cv. Muscadoule = Galibert 255-10</t>
  </si>
  <si>
    <t>Vitis x interspécifique cv. Muscat Bailey A</t>
  </si>
  <si>
    <t>Vitis x interspécifique cv. Muscat blanc = Meynieu 9-68</t>
  </si>
  <si>
    <t>Vitis x interspécifique cv. Muscat de Saint-Christol = Galibert 255-43</t>
  </si>
  <si>
    <t>Vitis x interspécifique cv. Muscat de Saint-Vallier = Seyve-Villard 20-473</t>
  </si>
  <si>
    <t>Vitis x interspécifique cv. Muscat Sélection 2 Gaillard</t>
  </si>
  <si>
    <t>Vitis x interspécifique cv. Muscolive = Galibert 15-2</t>
  </si>
  <si>
    <t>Vitis x interspécifique cv. Néo Muscat</t>
  </si>
  <si>
    <t>Vitis x interspécifique cv. Neo Muscat x Gros Sémillon</t>
  </si>
  <si>
    <t>Vitis x interspécifique cv. Néron = Kühlmann 296-1</t>
  </si>
  <si>
    <t>Vitis x interspécifique cv. Niabell</t>
  </si>
  <si>
    <t>Vitis x interspécifique cv. Niagara</t>
  </si>
  <si>
    <t>Vitis x interspécifique cv. Noah</t>
  </si>
  <si>
    <t>Vitis x interspécifique cv. Nouveau Bayard = Couderc 132-11</t>
  </si>
  <si>
    <t>Vitis x interspécifique cv. Oberlin noir = Oberlin 595</t>
  </si>
  <si>
    <t>Vitis x interspécifique cv. Oberlin 604</t>
  </si>
  <si>
    <t>Vitis x interspécifique cv. Oberlin 605</t>
  </si>
  <si>
    <t>Vitis x interspécifique cv. Oberlin 701</t>
  </si>
  <si>
    <t>Vitis x interspécifique cv. Oberlin 702 A</t>
  </si>
  <si>
    <t>Vitis x interspécifique cv. Oberlin 716</t>
  </si>
  <si>
    <t>Vitis x interspécifique cv. Oberlin 782</t>
  </si>
  <si>
    <t>Vitis x interspécifique cv. Oeillade de Conzieu = Landot 2832</t>
  </si>
  <si>
    <t>Vitis x interspécifique cv. Orion</t>
  </si>
  <si>
    <t>Vitis x interspécifique cv. Othello</t>
  </si>
  <si>
    <t>Vitis x interspécifique cv. Othello gris</t>
  </si>
  <si>
    <t>Vitis x interspécifique cv. Paulistinha</t>
  </si>
  <si>
    <t>Vitis x interspécifique cv. Paulsen 1043</t>
  </si>
  <si>
    <t>Vitis x interspécifique cv. Paulsen 1045</t>
  </si>
  <si>
    <t>Vitis x interspécifique cv. Paulsen 1119</t>
  </si>
  <si>
    <t>Vitis x interspécifique cv. Paulsen 1120</t>
  </si>
  <si>
    <t>Vitis x interspécifique cv. Paulsen 1321</t>
  </si>
  <si>
    <t>Vitis x interspécifique cv. Paulsen 1323</t>
  </si>
  <si>
    <t>Vitis x interspécifique cv. Paulsen 1381</t>
  </si>
  <si>
    <t>Vitis x interspécifique cv. Paulsen 1742</t>
  </si>
  <si>
    <t>Vitis x interspécifique cv. Paulsen 2 A</t>
  </si>
  <si>
    <t>Vitis x interspécifique cv. Paulsen 764</t>
  </si>
  <si>
    <t>Vitis x interspécifique cv. Paulsen 770</t>
  </si>
  <si>
    <t>Vitis x interspécifique cv. Paulsen 771</t>
  </si>
  <si>
    <t>Vitis x interspécifique cv. Paulsen 775</t>
  </si>
  <si>
    <t>Vitis x interspécifique cv. Paulsen 779</t>
  </si>
  <si>
    <t>Vitis x interspécifique cv. Paulsen 781</t>
  </si>
  <si>
    <t>Vitis x interspécifique cv. Paulsen 782</t>
  </si>
  <si>
    <t>Vitis x interspécifique cv. Paulsen 8302</t>
  </si>
  <si>
    <t>Vitis x interspécifique cv. Paulsen 8734</t>
  </si>
  <si>
    <t>Vitis x interspécifique cv. Peage 5-10 = Roy Chevrier 5-10</t>
  </si>
  <si>
    <t>Vitis x interspécifique cv. Perbos 137</t>
  </si>
  <si>
    <t>Vitis x interspécifique cv. Perbos 151</t>
  </si>
  <si>
    <t>Vitis x interspécifique cv. Perbos 159</t>
  </si>
  <si>
    <t>Vitis x interspécifique cv. Perbos 174</t>
  </si>
  <si>
    <t>Vitis x interspécifique cv. Perbos 180</t>
  </si>
  <si>
    <t>Vitis x interspécifique cv. Perbos 205</t>
  </si>
  <si>
    <t>Vitis x interspécifique cv. Perbos 210</t>
  </si>
  <si>
    <t>Vitis x interspécifique cv. Perbos 215</t>
  </si>
  <si>
    <t>Vitis x interspécifique cv. Perbos 226</t>
  </si>
  <si>
    <t>Vitis x interspécifique cv. Perbos 228</t>
  </si>
  <si>
    <t>Vitis x interspécifique cv. Perbos 48</t>
  </si>
  <si>
    <t>Vitis x interspécifique cv. Perbos 81</t>
  </si>
  <si>
    <t>Vitis x interspécifique cv. Perbos 82</t>
  </si>
  <si>
    <t>Vitis x interspécifique cv. Perdin</t>
  </si>
  <si>
    <t>Vitis x interspécifique cv. Perkins</t>
  </si>
  <si>
    <t>Vitis x interspécifique cv. Perle de Cadoule = Galibert 255-99</t>
  </si>
  <si>
    <t>Vitis x interspécifique cv. Perle noire = Seyve-Villard 20-347</t>
  </si>
  <si>
    <t>Vitis x interspécifique cv. Perraton 34</t>
  </si>
  <si>
    <t>Vitis x interspécifique cv. Perraton 36</t>
  </si>
  <si>
    <t>Vitis x interspécifique cv. Phénix</t>
  </si>
  <si>
    <t>Vitis x interspécifique cv. Phoenix</t>
  </si>
  <si>
    <t>Vitis x interspécifique cv. piasezkii x ?</t>
  </si>
  <si>
    <t>Vitis x interspécifique cv. piasezkii x romanetii</t>
  </si>
  <si>
    <t>Vitis x interspécifique cv. Picadoul = Galibert 221-31</t>
  </si>
  <si>
    <t>Vitis x interspécifique cv. Pierrelle = Seyve-Villard 20-366</t>
  </si>
  <si>
    <t>Vitis x interspécifique cv. Pignan noir = Galibert 23-1</t>
  </si>
  <si>
    <t>Vitis x interspécifique cv. Pignoletta</t>
  </si>
  <si>
    <t>Vitis x interspécifique cv. Pinard = Kühlmann 191-2</t>
  </si>
  <si>
    <t>Vitis x interspécifique cv. Pirobella</t>
  </si>
  <si>
    <t>Vitis x interspécifique cv. Pirovano 146</t>
  </si>
  <si>
    <t>Vitis x interspécifique cv. Pirovano 29</t>
  </si>
  <si>
    <t>Vitis x interspécifique cv. Pirovano 34</t>
  </si>
  <si>
    <t>Vitis x interspécifique cv. Pirovano 40</t>
  </si>
  <si>
    <t>Vitis x interspécifique cv. Pirovano 41</t>
  </si>
  <si>
    <t>Vitis x interspécifique cv. Pirovano 48</t>
  </si>
  <si>
    <t>Vitis x interspécifique cv. Pirovano 539 a</t>
  </si>
  <si>
    <t>Vitis x interspécifique cv. Pirovano 541</t>
  </si>
  <si>
    <t>Vitis x interspécifique cv. Pirovano 6</t>
  </si>
  <si>
    <t>Vitis x interspécifique cv. Plantet = Seibel 5455</t>
  </si>
  <si>
    <t>Vitis x interspécifique cv. Pocklington</t>
  </si>
  <si>
    <t>Vitis x interspécifique cv. Poilu = Kühlmann 252-3</t>
  </si>
  <si>
    <t>Vitis x interspécifique cv. Pougette musquée = Galibert 256-28</t>
  </si>
  <si>
    <t>Vitis x interspécifique cv. Précoce de Colmar = Kühlmann 277-2</t>
  </si>
  <si>
    <t>Vitis x interspécifique cv. Précoce Prady = Couderc 124-20</t>
  </si>
  <si>
    <t>Vitis x interspécifique cv. Précoce Prady = Couderc 126-21</t>
  </si>
  <si>
    <t>Vitis x interspécifique cv. Precursore</t>
  </si>
  <si>
    <t>Vitis x interspécifique cv. Primus = Pirovano 7</t>
  </si>
  <si>
    <t>Vitis x interspécifique cv. Prince noir Meynieu 1</t>
  </si>
  <si>
    <t>Vitis x interspécifique cv. Prosperi 11-71</t>
  </si>
  <si>
    <t>Vitis x interspécifique cv. Prosperi 11-72</t>
  </si>
  <si>
    <t>Vitis x interspécifique cv. Prosperi 15-99</t>
  </si>
  <si>
    <t>Vitis x interspécifique cv. Prosperi 16-107</t>
  </si>
  <si>
    <t>Vitis x interspécifique cv. Prosperi 16-108</t>
  </si>
  <si>
    <t>Vitis x interspécifique cv. Prosperi 16-109</t>
  </si>
  <si>
    <t>Vitis x interspécifique cv. Prosperi 5-32</t>
  </si>
  <si>
    <t>Vitis x interspécifique cv. Ranciaut blanc = Galibert 53-1</t>
  </si>
  <si>
    <t>Vitis x interspécifique cv. Ranciaut noir = Galibert 63-1</t>
  </si>
  <si>
    <t>Vitis x interspécifique cv. Ravat blanc = Ravat 6</t>
  </si>
  <si>
    <t>Vitis x interspécifique cv. Ravat 13</t>
  </si>
  <si>
    <t>Vitis x interspécifique cv. Ravat 143</t>
  </si>
  <si>
    <t>Vitis x interspécifique cv. Ravat 15</t>
  </si>
  <si>
    <t>Vitis x interspécifique cv. Ravat 16</t>
  </si>
  <si>
    <t>Vitis x interspécifique cv. Ravat 18</t>
  </si>
  <si>
    <t>Vitis x interspécifique cv. Ravat 19</t>
  </si>
  <si>
    <t>Vitis x interspécifique cv. Ravat 253</t>
  </si>
  <si>
    <t>Vitis x interspécifique cv. Ravat 262</t>
  </si>
  <si>
    <t>Vitis x interspécifique cv. Ravat 327</t>
  </si>
  <si>
    <t>Vitis x interspécifique cv. Ravat 34</t>
  </si>
  <si>
    <t>Vitis x interspécifique cv. Ravat 36</t>
  </si>
  <si>
    <t>Vitis x interspécifique cv. Ravat 507</t>
  </si>
  <si>
    <t>Vitis x interspécifique cv. Ravat 51</t>
  </si>
  <si>
    <t>Vitis x interspécifique cv. Ravat 8</t>
  </si>
  <si>
    <t>Vitis x interspécifique cv. Ravat 9</t>
  </si>
  <si>
    <t>Vitis x interspécifique cv. Ravaz 1</t>
  </si>
  <si>
    <t>Vitis x interspécifique cv. Ravaz 2</t>
  </si>
  <si>
    <t>Vitis x interspécifique cv. Rayon d'Or = Seibel 4986</t>
  </si>
  <si>
    <t>Vitis x interspécifique cv. RC 51</t>
  </si>
  <si>
    <t>Vitis x interspécifique cv. Rebecca</t>
  </si>
  <si>
    <t>Vitis x interspécifique cv. Regent</t>
  </si>
  <si>
    <t>Vitis x interspécifique cv. Rességuier sélection Birolleau 1 = RSB 1</t>
  </si>
  <si>
    <t>Vitis x interspécifique cv. Richter 31</t>
  </si>
  <si>
    <t>Vitis x interspécifique cv. Richter 57</t>
  </si>
  <si>
    <t>Vitis x interspécifique cv. Riparia Rupestris de Massannes glabre</t>
  </si>
  <si>
    <t>Vitis x interspécifique cv. riparia x berlandieri</t>
  </si>
  <si>
    <t>Vitis x interspécifique cv. riparia x rupestris</t>
  </si>
  <si>
    <t>Vitis x interspécifique cv. riparia x rupestris x candicans</t>
  </si>
  <si>
    <t>Vitis x interspécifique cv. riparia x vinifera</t>
  </si>
  <si>
    <t>Vitis x interspécifique cv. Riparia-Rupestris de Dracé</t>
  </si>
  <si>
    <t>Vitis x interspécifique cv. Riparia-Rupestris de Massannes pubescent</t>
  </si>
  <si>
    <t>Vitis x interspécifique cv. Riparia-Rupestris de Samadet</t>
  </si>
  <si>
    <t>Vitis x interspécifique cv. Riparia-Rupestris de Savènes</t>
  </si>
  <si>
    <t>Vitis x interspécifique cv. Riparia-Rupestris de Vauchretien</t>
  </si>
  <si>
    <t>Vitis x interspécifique cv. Riparia-Rupestris Schwarzmann</t>
  </si>
  <si>
    <t>Vitis x interspécifique cv. Robur</t>
  </si>
  <si>
    <t>Vitis x interspécifique cv. Roi des noirs = Seibel 4643</t>
  </si>
  <si>
    <t>Vitis x interspécifique cv. romanetii x ?</t>
  </si>
  <si>
    <t>Vitis x interspécifique cv. Rondo</t>
  </si>
  <si>
    <t>Vitis x interspécifique cv. Rosambre</t>
  </si>
  <si>
    <t>Vitis x interspécifique cv. Rosette = Seibel 1000</t>
  </si>
  <si>
    <t>Vitis x interspécifique cv. Rouby 3</t>
  </si>
  <si>
    <t>Vitis x interspécifique cv. Rouby 9</t>
  </si>
  <si>
    <t>Vitis x interspécifique cv. Roucaneuf = Seyve-Villard 12-309</t>
  </si>
  <si>
    <t>Vitis x interspécifique cv. Rougeon = Seibel 5898</t>
  </si>
  <si>
    <t>Vitis x interspécifique cv. Royalty</t>
  </si>
  <si>
    <t>Vitis x interspécifique cv. Rubilande = Seibel 11803</t>
  </si>
  <si>
    <t>Vitis x interspécifique cv. Rubino = Pirovano 192a</t>
  </si>
  <si>
    <t>Vitis x interspécifique cv. Rubiscan</t>
  </si>
  <si>
    <t>Vitis x interspécifique cv. Rudelin 101-6</t>
  </si>
  <si>
    <t>Vitis x interspécifique cv. Rudelin 101-9</t>
  </si>
  <si>
    <t>Vitis x interspécifique cv. Rudelin 102-1</t>
  </si>
  <si>
    <t>Vitis x interspécifique cv. Rudelin 102-4</t>
  </si>
  <si>
    <t>Vitis x interspécifique cv. Rudelin 102-8</t>
  </si>
  <si>
    <t>Vitis x interspécifique cv. Rudelin 102-9</t>
  </si>
  <si>
    <t>Vitis x interspécifique cv. Rudelin 103-1</t>
  </si>
  <si>
    <t>Vitis x interspécifique cv. Rudelin 103-2</t>
  </si>
  <si>
    <t>Vitis x interspécifique cv. Rudelin 103-6</t>
  </si>
  <si>
    <t>Vitis x interspécifique cv. Rudelin 103-8</t>
  </si>
  <si>
    <t>Vitis x interspécifique cv. Rudelin 104-4</t>
  </si>
  <si>
    <t>Vitis x interspécifique cv. Rudelin 104-8</t>
  </si>
  <si>
    <t>Vitis x interspécifique cv. Rudelin 105-6</t>
  </si>
  <si>
    <t>Vitis x interspécifique cv. Rudelin 106-1</t>
  </si>
  <si>
    <t>Vitis x interspécifique cv. Rudelin 106-4</t>
  </si>
  <si>
    <t>Vitis x interspécifique cv. Rudelin 108-4</t>
  </si>
  <si>
    <t>Vitis x interspécifique cv. Rudelin 109-3</t>
  </si>
  <si>
    <t>Vitis x interspécifique cv. Rudelin 109-7</t>
  </si>
  <si>
    <t>Vitis x interspécifique cv. Rudelin 111-2</t>
  </si>
  <si>
    <t>Vitis x interspécifique cv. Rudelin 111-3</t>
  </si>
  <si>
    <t>Vitis x interspécifique cv. Rudelin 111-4</t>
  </si>
  <si>
    <t>Vitis x interspécifique cv. Rudelin 111-8</t>
  </si>
  <si>
    <t>Vitis x interspécifique cv. Rudelin 122-9</t>
  </si>
  <si>
    <t>Vitis x interspécifique cv. Rudelin 125-8</t>
  </si>
  <si>
    <t>Vitis x interspécifique cv. Rudelin 126-4</t>
  </si>
  <si>
    <t>Vitis x interspécifique cv. Rudelin 126-6</t>
  </si>
  <si>
    <t>Vitis x interspécifique cv. Rudelin 130-8</t>
  </si>
  <si>
    <t>Vitis x interspécifique cv. Rudelin 131-7</t>
  </si>
  <si>
    <t>Vitis x interspécifique cv. Rudelin 132-2</t>
  </si>
  <si>
    <t>Vitis x interspécifique cv. Rudelin 17-4</t>
  </si>
  <si>
    <t>Vitis x interspécifique cv. Rudelin 17-5</t>
  </si>
  <si>
    <t>Vitis x interspécifique cv. Rudelin 18-1</t>
  </si>
  <si>
    <t>Vitis x interspécifique cv. Rudelin 3</t>
  </si>
  <si>
    <t>Vitis x interspécifique cv. Rudelin 312-1</t>
  </si>
  <si>
    <t>Vitis x interspécifique cv. Rudelin 314-3</t>
  </si>
  <si>
    <t>Vitis x interspécifique cv. Rudelin 315-1</t>
  </si>
  <si>
    <t>Vitis x interspécifique cv. Rudelin 316-5</t>
  </si>
  <si>
    <t>Vitis x interspécifique cv. Rudelin 37-3</t>
  </si>
  <si>
    <t>Vitis x interspécifique cv. Rudelin 38-6</t>
  </si>
  <si>
    <t>Vitis x interspécifique cv. Rudelin 5-41</t>
  </si>
  <si>
    <t>Vitis x interspécifique cv. Rudelin 58</t>
  </si>
  <si>
    <t>Vitis x interspécifique cv. Rudelin 610-6</t>
  </si>
  <si>
    <t>Vitis x interspécifique cv. Rudelin 611-1</t>
  </si>
  <si>
    <t>Vitis x interspécifique cv. Rudelin 613-3</t>
  </si>
  <si>
    <t>Vitis x interspécifique cv. Rudelin 6-96</t>
  </si>
  <si>
    <t>Vitis x interspécifique cv. Ruggeri 131</t>
  </si>
  <si>
    <t>Vitis x interspécifique cv. Ruggeri 188</t>
  </si>
  <si>
    <t>Vitis x interspécifique cv. Ruggeri 193</t>
  </si>
  <si>
    <t>Vitis x interspécifique cv. Ruggeri 205</t>
  </si>
  <si>
    <t>Vitis x interspécifique cv. Ruggeri 225</t>
  </si>
  <si>
    <t>Vitis x interspécifique cv. Ruggeri 240</t>
  </si>
  <si>
    <t>Vitis x interspécifique cv. Ruggeri 300</t>
  </si>
  <si>
    <t>Vitis x interspécifique cv. Ruggeri 322</t>
  </si>
  <si>
    <t>Vitis x interspécifique cv. Ruggeri 325</t>
  </si>
  <si>
    <t>Vitis x interspécifique cv. Ruggeri 333</t>
  </si>
  <si>
    <t>Vitis x interspécifique cv. Ruggeri 42</t>
  </si>
  <si>
    <t>Vitis x interspécifique cv. Ruggeri 55</t>
  </si>
  <si>
    <t>Vitis x interspécifique cv. rupestris x aestivalis</t>
  </si>
  <si>
    <t>Vitis x interspécifique cv. rupestris x aestivalis x cordifolia</t>
  </si>
  <si>
    <t>Vitis x interspécifique cv. rupestris x berlandieri</t>
  </si>
  <si>
    <t>Vitis x interspécifique cv. rupestris x candicans</t>
  </si>
  <si>
    <t>Vitis x interspécifique cv. rupestris x cordifolia</t>
  </si>
  <si>
    <t>Vitis x interspécifique cv. rupestris x vinifera</t>
  </si>
  <si>
    <t>Vitis x interspécifique cv. Sabrilong = Long 35</t>
  </si>
  <si>
    <t>Vitis x interspécifique cv. Saint-Sauveur d'Alsace = Kühlmann 65-1</t>
  </si>
  <si>
    <t>Vitis x interspécifique cv. Saint-Victor = Galibert 15-3</t>
  </si>
  <si>
    <t>Vitis x interspécifique cv. Saint-Vincent</t>
  </si>
  <si>
    <t>Vitis x interspécifique cv. Salt Creek</t>
  </si>
  <si>
    <t>Vitis x interspécifique cv. Salzmann 6-43</t>
  </si>
  <si>
    <t>Vitis x interspécifique cv. Sanson</t>
  </si>
  <si>
    <t>Vitis x interspécifique cv. Saubrians = Galibert 36-2</t>
  </si>
  <si>
    <t>Vitis x interspécifique cv. Seibel  6131</t>
  </si>
  <si>
    <t>Vitis x interspécifique cv. Seibel 1</t>
  </si>
  <si>
    <t>Vitis x interspécifique cv. Seibel 10010</t>
  </si>
  <si>
    <t>Vitis x interspécifique cv. Seibel 10020</t>
  </si>
  <si>
    <t>Vitis x interspécifique cv. Seibel 10027</t>
  </si>
  <si>
    <t>Vitis x interspécifique cv. Seibel 10033</t>
  </si>
  <si>
    <t>Vitis x interspécifique cv. Seibel 10034</t>
  </si>
  <si>
    <t>Vitis x interspécifique cv. Seibel 1004</t>
  </si>
  <si>
    <t>Vitis x interspécifique cv. Seibel 10046</t>
  </si>
  <si>
    <t>Vitis x interspécifique cv. Seibel 1007</t>
  </si>
  <si>
    <t>Vitis x interspécifique cv. Seibel 10076</t>
  </si>
  <si>
    <t>Vitis x interspécifique cv. Seibel 10078</t>
  </si>
  <si>
    <t>Vitis x interspécifique cv. Seibel 10096</t>
  </si>
  <si>
    <t>Vitis x interspécifique cv. Seibel 10114</t>
  </si>
  <si>
    <t>Vitis x interspécifique cv. Seibel 10123</t>
  </si>
  <si>
    <t>Vitis x interspécifique cv. Seibel 1013</t>
  </si>
  <si>
    <t>Vitis x interspécifique cv. Seibel 10136/2</t>
  </si>
  <si>
    <t>Vitis x interspécifique cv. Seibel 1014</t>
  </si>
  <si>
    <t>Vitis x interspécifique cv. Seibel 10146</t>
  </si>
  <si>
    <t>Vitis x interspécifique cv. Seibel 1015</t>
  </si>
  <si>
    <t>Vitis x interspécifique cv. Seibel 10172/2</t>
  </si>
  <si>
    <t>Vitis x interspécifique cv. Seibel 10186</t>
  </si>
  <si>
    <t>Vitis x interspécifique cv. Seibel 10208</t>
  </si>
  <si>
    <t>Vitis x interspécifique cv. Seibel 10215</t>
  </si>
  <si>
    <t>Vitis x interspécifique cv. Seibel 10217</t>
  </si>
  <si>
    <t>Vitis x interspécifique cv. Seibel 10230</t>
  </si>
  <si>
    <t>Vitis x interspécifique cv. Seibel 1025</t>
  </si>
  <si>
    <t>Vitis x interspécifique cv. Seibel 10259/1</t>
  </si>
  <si>
    <t>Vitis x interspécifique cv. Seibel 10267</t>
  </si>
  <si>
    <t>Vitis x interspécifique cv. Seibel 10292</t>
  </si>
  <si>
    <t>Vitis x interspécifique cv. Seibel 10295</t>
  </si>
  <si>
    <t>Vitis x interspécifique cv. Seibel 10417</t>
  </si>
  <si>
    <t>Vitis x interspécifique cv. Seibel 10420</t>
  </si>
  <si>
    <t>Vitis x interspécifique cv. Seibel 107</t>
  </si>
  <si>
    <t>Vitis x interspécifique cv. Seibel 1070</t>
  </si>
  <si>
    <t>Vitis x interspécifique cv. Seibel 10720</t>
  </si>
  <si>
    <t>Vitis x interspécifique cv. Seibel 1077</t>
  </si>
  <si>
    <t>Vitis x interspécifique cv. Seibel 10790</t>
  </si>
  <si>
    <t>Vitis x interspécifique cv. Seibel 10793</t>
  </si>
  <si>
    <t>Vitis x interspécifique cv. Seibel 10796</t>
  </si>
  <si>
    <t>Vitis x interspécifique cv. Seibel 10801</t>
  </si>
  <si>
    <t>Vitis x interspécifique cv. Seibel 10809</t>
  </si>
  <si>
    <t>Vitis x interspécifique cv. Seibel 1082</t>
  </si>
  <si>
    <t>Vitis x interspécifique cv. Seibel 10855</t>
  </si>
  <si>
    <t>Vitis x interspécifique cv. Seibel 10868</t>
  </si>
  <si>
    <t>Vitis x interspécifique cv. Seibel 10884/6</t>
  </si>
  <si>
    <t>Vitis x interspécifique cv. Seibel 110</t>
  </si>
  <si>
    <t>Vitis x interspécifique cv. Seibel 11020</t>
  </si>
  <si>
    <t>Vitis x interspécifique cv. Seibel 11023</t>
  </si>
  <si>
    <t>Vitis x interspécifique cv. Seibel 11027</t>
  </si>
  <si>
    <t>Vitis x interspécifique cv. Seibel 112</t>
  </si>
  <si>
    <t>Vitis x interspécifique cv. Seibel 11254/16</t>
  </si>
  <si>
    <t>Vitis x interspécifique cv. Seibel 11257</t>
  </si>
  <si>
    <t>Vitis x interspécifique cv. Seibel 11259</t>
  </si>
  <si>
    <t>Vitis x interspécifique cv. Seibel 11272</t>
  </si>
  <si>
    <t>Vitis x interspécifique cv. Seibel 11283</t>
  </si>
  <si>
    <t>Vitis x interspécifique cv. Seibel 11318</t>
  </si>
  <si>
    <t>Vitis x interspécifique cv. Seibel 11342</t>
  </si>
  <si>
    <t>Vitis x interspécifique cv. Seibel 114</t>
  </si>
  <si>
    <t>Vitis x interspécifique cv. Seibel 11404</t>
  </si>
  <si>
    <t>Vitis x interspécifique cv. Seibel 11431</t>
  </si>
  <si>
    <t>Vitis x interspécifique cv. Seibel 11437</t>
  </si>
  <si>
    <t>Vitis x interspécifique cv. Seibel 11486</t>
  </si>
  <si>
    <t>Vitis x interspécifique cv. Seibel 11493</t>
  </si>
  <si>
    <t>Vitis x interspécifique cv. Seibel 11670</t>
  </si>
  <si>
    <t>Vitis x interspécifique cv. Seibel 11697</t>
  </si>
  <si>
    <t>Vitis x interspécifique cv. Seibel 11701</t>
  </si>
  <si>
    <t>Vitis x interspécifique cv. Seibel 11705</t>
  </si>
  <si>
    <t>Vitis x interspécifique cv. Seibel 11729</t>
  </si>
  <si>
    <t>Vitis x interspécifique cv. Seibel 11780</t>
  </si>
  <si>
    <t>Vitis x interspécifique cv. Seibel 11815</t>
  </si>
  <si>
    <t>Vitis x interspécifique cv. Seibel 11846</t>
  </si>
  <si>
    <t>Vitis x interspécifique cv. Seibel 11875</t>
  </si>
  <si>
    <t>Vitis x interspécifique cv. Seibel 11906</t>
  </si>
  <si>
    <t>Vitis x interspécifique cv. Seibel 11929</t>
  </si>
  <si>
    <t>Vitis x interspécifique cv. Seibel 120</t>
  </si>
  <si>
    <t>Vitis x interspécifique cv. Seibel 12084</t>
  </si>
  <si>
    <t>Vitis x interspécifique cv. Seibel 12242</t>
  </si>
  <si>
    <t>Vitis x interspécifique cv. Seibel 12315</t>
  </si>
  <si>
    <t>Vitis x interspécifique cv. Seibel 12393</t>
  </si>
  <si>
    <t>Vitis x interspécifique cv. Seibel 12583</t>
  </si>
  <si>
    <t>Vitis x interspécifique cv. Seibel 126</t>
  </si>
  <si>
    <t>Vitis x interspécifique cv. Seibel 128</t>
  </si>
  <si>
    <t>Vitis x interspécifique cv. Seibel 13047</t>
  </si>
  <si>
    <t>Vitis x interspécifique cv. Seibel 13053</t>
  </si>
  <si>
    <t>Vitis x interspécifique cv. Seibel 13394</t>
  </si>
  <si>
    <t>Vitis x interspécifique cv. Seibel 13663</t>
  </si>
  <si>
    <t>Vitis x interspécifique cv. Seibel 13664</t>
  </si>
  <si>
    <t>Vitis x interspécifique cv. Seibel 13666</t>
  </si>
  <si>
    <t>Vitis x interspécifique cv. Seibel 13669</t>
  </si>
  <si>
    <t>Vitis x interspécifique cv. Seibel 13680</t>
  </si>
  <si>
    <t>Vitis x interspécifique cv. Seibel 13682</t>
  </si>
  <si>
    <t>Vitis x interspécifique cv. Seibel 13693</t>
  </si>
  <si>
    <t>Vitis x interspécifique cv. Seibel 13694</t>
  </si>
  <si>
    <t>Vitis x interspécifique cv. Seibel 13695</t>
  </si>
  <si>
    <t>Vitis x interspécifique cv. Seibel 13698</t>
  </si>
  <si>
    <t>Vitis x interspécifique cv. Seibel 13770</t>
  </si>
  <si>
    <t>Vitis x interspécifique cv. Seibel 138</t>
  </si>
  <si>
    <t>Vitis x interspécifique cv. Seibel 13846</t>
  </si>
  <si>
    <t>Vitis x interspécifique cv. Seibel 14</t>
  </si>
  <si>
    <t>Vitis x interspécifique cv. Seibel 14114</t>
  </si>
  <si>
    <t>Vitis x interspécifique cv. Seibel 14117</t>
  </si>
  <si>
    <t>Vitis x interspécifique cv. Seibel 14164</t>
  </si>
  <si>
    <t>Vitis x interspécifique cv. Seibel 14189</t>
  </si>
  <si>
    <t>Vitis x interspécifique cv. Seibel 14266</t>
  </si>
  <si>
    <t>Vitis x interspécifique cv. Seibel 14326</t>
  </si>
  <si>
    <t>Vitis x interspécifique cv. Seibel 14327</t>
  </si>
  <si>
    <t>Vitis x interspécifique cv. Seibel 14378</t>
  </si>
  <si>
    <t>Vitis x interspécifique cv. Seibel 14404</t>
  </si>
  <si>
    <t>Vitis x interspécifique cv. Seibel 14417</t>
  </si>
  <si>
    <t>Vitis x interspécifique cv. Seibel 14419</t>
  </si>
  <si>
    <t>Vitis x interspécifique cv. Seibel 14472</t>
  </si>
  <si>
    <t>Vitis x interspécifique cv. Seibel 14483</t>
  </si>
  <si>
    <t>Vitis x interspécifique cv. Seibel 14514</t>
  </si>
  <si>
    <t>Vitis x interspécifique cv. Seibel 14526</t>
  </si>
  <si>
    <t>Vitis x interspécifique cv. Seibel 14572</t>
  </si>
  <si>
    <t>Vitis x interspécifique cv. Seibel 14576</t>
  </si>
  <si>
    <t>Vitis x interspécifique cv. Seibel 14638</t>
  </si>
  <si>
    <t>Vitis x interspécifique cv. Seibel 14639</t>
  </si>
  <si>
    <t>Vitis x interspécifique cv. Seibel 14654</t>
  </si>
  <si>
    <t>Vitis x interspécifique cv. Seibel 14655</t>
  </si>
  <si>
    <t>Vitis x interspécifique cv. Seibel 14657</t>
  </si>
  <si>
    <t>Vitis x interspécifique cv. Seibel 14660</t>
  </si>
  <si>
    <t>Vitis x interspécifique cv. Seibel 14662</t>
  </si>
  <si>
    <t>Vitis x interspécifique cv. Seibel 14664</t>
  </si>
  <si>
    <t>Vitis x interspécifique cv. Seibel 14665</t>
  </si>
  <si>
    <t>Vitis x interspécifique cv. Seibel 14676</t>
  </si>
  <si>
    <t>Vitis x interspécifique cv. Seibel 14709</t>
  </si>
  <si>
    <t>Vitis x interspécifique cv. Seibel 14747</t>
  </si>
  <si>
    <t>Vitis x interspécifique cv. Seibel 14866</t>
  </si>
  <si>
    <t>Vitis x interspécifique cv. Seibel 14911</t>
  </si>
  <si>
    <t>Vitis x interspécifique cv. Seibel 14937</t>
  </si>
  <si>
    <t>Vitis x interspécifique cv. Seibel 14994</t>
  </si>
  <si>
    <t>Vitis x interspécifique cv. Seibel 14995</t>
  </si>
  <si>
    <t>Vitis x interspécifique cv. Seibel 150</t>
  </si>
  <si>
    <t>Vitis x interspécifique cv. Seibel 15024</t>
  </si>
  <si>
    <t>Vitis x interspécifique cv. Seibel 15027</t>
  </si>
  <si>
    <t>Vitis x interspécifique cv. Seibel 15051</t>
  </si>
  <si>
    <t>Vitis x interspécifique cv. Seibel 15062</t>
  </si>
  <si>
    <t>Vitis x interspécifique cv. Seibel 15074</t>
  </si>
  <si>
    <t>Vitis x interspécifique cv. Seibel 15170</t>
  </si>
  <si>
    <t>Vitis x interspécifique cv. Seibel 15245</t>
  </si>
  <si>
    <t>Vitis x interspécifique cv. Seibel 156</t>
  </si>
  <si>
    <t>Vitis x interspécifique cv. Seibel 1588</t>
  </si>
  <si>
    <t>Vitis x interspécifique cv. Seibel 15964</t>
  </si>
  <si>
    <t>Vitis x interspécifique cv. Seibel 16092</t>
  </si>
  <si>
    <t>Vitis x interspécifique cv. Seibel 16137</t>
  </si>
  <si>
    <t>Vitis x interspécifique cv. Seibel 16147</t>
  </si>
  <si>
    <t>Vitis x interspécifique cv. Seibel 16161</t>
  </si>
  <si>
    <t>Vitis x interspécifique cv. Seibel 16191</t>
  </si>
  <si>
    <t>Vitis x interspécifique cv. Seibel 16196</t>
  </si>
  <si>
    <t>Vitis x interspécifique cv. Seibel 16199</t>
  </si>
  <si>
    <t>Vitis x interspécifique cv. Seibel 16273</t>
  </si>
  <si>
    <t>Vitis x interspécifique cv. Seibel 181</t>
  </si>
  <si>
    <t>Vitis x interspécifique cv. Seibel 182</t>
  </si>
  <si>
    <t>Vitis x interspécifique cv. Seibel 2</t>
  </si>
  <si>
    <t>Vitis x interspécifique cv. Seibel 200</t>
  </si>
  <si>
    <t>Vitis x interspécifique cv. Seibel 2003</t>
  </si>
  <si>
    <t>Vitis x interspécifique cv. Seibel 2006</t>
  </si>
  <si>
    <t>Vitis x interspécifique cv. Seibel 2010</t>
  </si>
  <si>
    <t>Vitis x interspécifique cv. Seibel 2029</t>
  </si>
  <si>
    <t>Vitis x interspécifique cv. Seibel 2044</t>
  </si>
  <si>
    <t>Vitis x interspécifique cv. Seibel 206</t>
  </si>
  <si>
    <t>Vitis x interspécifique cv. Seibel 209</t>
  </si>
  <si>
    <t>Vitis x interspécifique cv. Seibel 210</t>
  </si>
  <si>
    <t>Vitis x interspécifique cv. Seibel 2120</t>
  </si>
  <si>
    <t>Vitis x interspécifique cv. Seibel 2453</t>
  </si>
  <si>
    <t>Vitis x interspécifique cv. Seibel 25</t>
  </si>
  <si>
    <t>Vitis x interspécifique cv. Seibel 2509</t>
  </si>
  <si>
    <t>Vitis x interspécifique cv. Seibel 2524</t>
  </si>
  <si>
    <t>Vitis x interspécifique cv. Seibel 2525</t>
  </si>
  <si>
    <t>Vitis x interspécifique cv. Seibel 2573</t>
  </si>
  <si>
    <t>Vitis x interspécifique cv. Seibel 2576</t>
  </si>
  <si>
    <t>Vitis x interspécifique cv. Seibel 2578</t>
  </si>
  <si>
    <t>Vitis x interspécifique cv. Seibel 2582</t>
  </si>
  <si>
    <t>Vitis x interspécifique cv. Seibel 2591</t>
  </si>
  <si>
    <t>Vitis x interspécifique cv. Seibel 2605</t>
  </si>
  <si>
    <t>Vitis x interspécifique cv. Seibel 2632</t>
  </si>
  <si>
    <t>Vitis x interspécifique cv. Seibel 2655</t>
  </si>
  <si>
    <t>Vitis x interspécifique cv. Seibel 2660</t>
  </si>
  <si>
    <t>Vitis x interspécifique cv. Seibel 2666</t>
  </si>
  <si>
    <t>Vitis x interspécifique cv. Seibel 2686</t>
  </si>
  <si>
    <t>Vitis x interspécifique cv. Seibel 270</t>
  </si>
  <si>
    <t>Vitis x interspécifique cv. Seibel 2838</t>
  </si>
  <si>
    <t>Vitis x interspécifique cv. Seibel 2859</t>
  </si>
  <si>
    <t>Vitis x interspécifique cv. Seibel 29</t>
  </si>
  <si>
    <t>Vitis x interspécifique cv. Seibel 3021</t>
  </si>
  <si>
    <t>Vitis x interspécifique cv. Seibel 36</t>
  </si>
  <si>
    <t>Vitis x interspécifique cv. Seibel 38</t>
  </si>
  <si>
    <t>Vitis x interspécifique cv. Seibel 4</t>
  </si>
  <si>
    <t>Vitis x interspécifique cv. Seibel 405</t>
  </si>
  <si>
    <t>Vitis x interspécifique cv. Seibel 41</t>
  </si>
  <si>
    <t>Vitis x interspécifique cv. Seibel 4111</t>
  </si>
  <si>
    <t>Vitis x interspécifique cv. Seibel 4121</t>
  </si>
  <si>
    <t>Vitis x interspécifique cv. Seibel 4132</t>
  </si>
  <si>
    <t>Vitis x interspécifique cv. Seibel 4464</t>
  </si>
  <si>
    <t>Vitis x interspécifique cv. Seibel 4499</t>
  </si>
  <si>
    <t>Vitis x interspécifique cv. Seibel 4504</t>
  </si>
  <si>
    <t>Vitis x interspécifique cv. Seibel 4559</t>
  </si>
  <si>
    <t>Vitis x interspécifique cv. Seibel 4589</t>
  </si>
  <si>
    <t>Vitis x interspécifique cv. Seibel 4603</t>
  </si>
  <si>
    <t>Vitis x interspécifique cv. Seibel 4605</t>
  </si>
  <si>
    <t>Vitis x interspécifique cv. Seibel 4614</t>
  </si>
  <si>
    <t>Vitis x interspécifique cv. Seibel 4615</t>
  </si>
  <si>
    <t>Vitis x interspécifique cv. Seibel 4629</t>
  </si>
  <si>
    <t>Vitis x interspécifique cv. Seibel 4633</t>
  </si>
  <si>
    <t>Vitis x interspécifique cv. Seibel 4636</t>
  </si>
  <si>
    <t>Vitis x interspécifique cv. Seibel 4638</t>
  </si>
  <si>
    <t>Vitis x interspécifique cv. Seibel 4644</t>
  </si>
  <si>
    <t>Vitis x interspécifique cv. Seibel 4648</t>
  </si>
  <si>
    <t>Vitis x interspécifique cv. Seibel 4669</t>
  </si>
  <si>
    <t>Vitis x interspécifique cv. Seibel 4672</t>
  </si>
  <si>
    <t>Vitis x interspécifique cv. Seibel 4677</t>
  </si>
  <si>
    <t>Vitis x interspécifique cv. Seibel 4681</t>
  </si>
  <si>
    <t>Vitis x interspécifique cv. Seibel 4697</t>
  </si>
  <si>
    <t>Vitis x interspécifique cv. Seibel 47</t>
  </si>
  <si>
    <t>Vitis x interspécifique cv. Seibel 4706</t>
  </si>
  <si>
    <t>Vitis x interspécifique cv. Seibel 4707</t>
  </si>
  <si>
    <t>Vitis x interspécifique cv. Seibel 4709</t>
  </si>
  <si>
    <t>Vitis x interspécifique cv. Seibel 4725</t>
  </si>
  <si>
    <t>Vitis x interspécifique cv. Seibel 4762</t>
  </si>
  <si>
    <t>Vitis x interspécifique cv. Seibel 4877 = 21 de Gléon</t>
  </si>
  <si>
    <t>Vitis x interspécifique cv. Seibel 491</t>
  </si>
  <si>
    <t>Vitis x interspécifique cv. Seibel 4955</t>
  </si>
  <si>
    <t>Vitis x interspécifique cv. Seibel 4964</t>
  </si>
  <si>
    <t>Vitis x interspécifique cv. Seibel 4982</t>
  </si>
  <si>
    <t>Vitis x interspécifique cv. Seibel 4987</t>
  </si>
  <si>
    <t>Vitis x interspécifique cv. Seibel 4989</t>
  </si>
  <si>
    <t>Vitis x interspécifique cv. Seibel 499</t>
  </si>
  <si>
    <t>Vitis x interspécifique cv. Seibel 4990</t>
  </si>
  <si>
    <t>Vitis x interspécifique cv. Seibel 4991</t>
  </si>
  <si>
    <t>Vitis x interspécifique cv. Seibel 4995</t>
  </si>
  <si>
    <t>Vitis x interspécifique cv. Seibel 5001</t>
  </si>
  <si>
    <t>Vitis x interspécifique cv. Seibel 5024</t>
  </si>
  <si>
    <t>Vitis x interspécifique cv. Seibel 5030</t>
  </si>
  <si>
    <t>Vitis x interspécifique cv. Seibel 5033</t>
  </si>
  <si>
    <t>Vitis x interspécifique cv. Seibel 5049</t>
  </si>
  <si>
    <t>Vitis x interspécifique cv. Seibel 5054</t>
  </si>
  <si>
    <t>Vitis x interspécifique cv. Seibel 5056</t>
  </si>
  <si>
    <t>Vitis x interspécifique cv. Seibel 5061</t>
  </si>
  <si>
    <t>Vitis x interspécifique cv. Seibel 5110</t>
  </si>
  <si>
    <t>Vitis x interspécifique cv. Seibel 5118</t>
  </si>
  <si>
    <t>Vitis x interspécifique cv. Seibel 5123</t>
  </si>
  <si>
    <t>Vitis x interspécifique cv. Seibel 5124</t>
  </si>
  <si>
    <t>Vitis x interspécifique cv. Seibel 5135</t>
  </si>
  <si>
    <t>Vitis x interspécifique cv. Seibel 5136</t>
  </si>
  <si>
    <t>Vitis x interspécifique cv. Seibel 5145</t>
  </si>
  <si>
    <t>Vitis x interspécifique cv. Seibel 5149</t>
  </si>
  <si>
    <t>Vitis x interspécifique cv. Seibel 5163</t>
  </si>
  <si>
    <t>Vitis x interspécifique cv. Seibel 5170</t>
  </si>
  <si>
    <t>Vitis x interspécifique cv. Seibel 5178</t>
  </si>
  <si>
    <t>Vitis x interspécifique cv. Seibel 5181</t>
  </si>
  <si>
    <t>Vitis x interspécifique cv. Seibel 5182</t>
  </si>
  <si>
    <t>Vitis x interspécifique cv. Seibel 5188</t>
  </si>
  <si>
    <t>Vitis x interspécifique cv. Seibel 5191</t>
  </si>
  <si>
    <t>Vitis x interspécifique cv. Seibel 5195</t>
  </si>
  <si>
    <t>Vitis x interspécifique cv. Seibel 5202</t>
  </si>
  <si>
    <t>Vitis x interspécifique cv. Seibel 5204</t>
  </si>
  <si>
    <t>Vitis x interspécifique cv. Seibel 5205</t>
  </si>
  <si>
    <t>Vitis x interspécifique cv. Seibel 5213</t>
  </si>
  <si>
    <t>Vitis x interspécifique cv. Seibel 5225</t>
  </si>
  <si>
    <t>Vitis x interspécifique cv. Seibel 5231</t>
  </si>
  <si>
    <t>Vitis x interspécifique cv. Seibel 5241</t>
  </si>
  <si>
    <t>Vitis x interspécifique cv. Seibel 5257</t>
  </si>
  <si>
    <t>Vitis x interspécifique cv. Seibel 5259</t>
  </si>
  <si>
    <t>Vitis x interspécifique cv. Seibel 5272</t>
  </si>
  <si>
    <t>Vitis x interspécifique cv. Seibel 5274</t>
  </si>
  <si>
    <t>Vitis x interspécifique cv. Seibel 5275</t>
  </si>
  <si>
    <t>Vitis x interspécifique cv. Seibel 5292</t>
  </si>
  <si>
    <t>Vitis x interspécifique cv. Seibel 5296</t>
  </si>
  <si>
    <t>Vitis x interspécifique cv. Seibel 5299</t>
  </si>
  <si>
    <t>Vitis x interspécifique cv. Seibel 5302</t>
  </si>
  <si>
    <t>Vitis x interspécifique cv. Seibel 5308</t>
  </si>
  <si>
    <t>Vitis x interspécifique cv. Seibel 5310</t>
  </si>
  <si>
    <t>Vitis x interspécifique cv. Seibel 5313</t>
  </si>
  <si>
    <t>Vitis x interspécifique cv. Seibel 5316</t>
  </si>
  <si>
    <t>Vitis x interspécifique cv. Seibel 5319</t>
  </si>
  <si>
    <t>Vitis x interspécifique cv. Seibel 5322</t>
  </si>
  <si>
    <t>Vitis x interspécifique cv. Seibel 5326</t>
  </si>
  <si>
    <t>Vitis x interspécifique cv. Seibel 5329</t>
  </si>
  <si>
    <t>Vitis x interspécifique cv. Seibel 5335</t>
  </si>
  <si>
    <t>Vitis x interspécifique cv. Seibel 5339</t>
  </si>
  <si>
    <t>Vitis x interspécifique cv. Seibel 5351</t>
  </si>
  <si>
    <t>Vitis x interspécifique cv. Seibel 5356</t>
  </si>
  <si>
    <t>Vitis x interspécifique cv. Seibel 5362</t>
  </si>
  <si>
    <t>Vitis x interspécifique cv. Seibel 5371</t>
  </si>
  <si>
    <t>Vitis x interspécifique cv. Seibel 5391</t>
  </si>
  <si>
    <t>Vitis x interspécifique cv. Seibel 54</t>
  </si>
  <si>
    <t>Vitis x interspécifique cv. Seibel 5405</t>
  </si>
  <si>
    <t>Vitis x interspécifique cv. Seibel 5408</t>
  </si>
  <si>
    <t>Vitis x interspécifique cv. Seibel 5409</t>
  </si>
  <si>
    <t>Vitis x interspécifique cv. Seibel 5410</t>
  </si>
  <si>
    <t>Vitis x interspécifique cv. Seibel 5412</t>
  </si>
  <si>
    <t>Vitis x interspécifique cv. Seibel 5431</t>
  </si>
  <si>
    <t>Vitis x interspécifique cv. Seibel 5437</t>
  </si>
  <si>
    <t>Vitis x interspécifique cv. Seibel 5450</t>
  </si>
  <si>
    <t>Vitis x interspécifique cv. Seibel 5466</t>
  </si>
  <si>
    <t>Vitis x interspécifique cv. Seibel 5474</t>
  </si>
  <si>
    <t>Vitis x interspécifique cv. Seibel 5484</t>
  </si>
  <si>
    <t>Vitis x interspécifique cv. Seibel 5485</t>
  </si>
  <si>
    <t>Vitis x interspécifique cv. Seibel 5486</t>
  </si>
  <si>
    <t>Vitis x interspécifique cv. Seibel 5487</t>
  </si>
  <si>
    <t>Vitis x interspécifique cv. Seibel 5504</t>
  </si>
  <si>
    <t>Vitis x interspécifique cv. Seibel 5539</t>
  </si>
  <si>
    <t>Vitis x interspécifique cv. Seibel 5551</t>
  </si>
  <si>
    <t>Vitis x interspécifique cv. Seibel 5560</t>
  </si>
  <si>
    <t>Vitis x interspécifique cv. Seibel 5561</t>
  </si>
  <si>
    <t>Vitis x interspécifique cv. Seibel 5574</t>
  </si>
  <si>
    <t>Vitis x interspécifique cv. Seibel 5580</t>
  </si>
  <si>
    <t>Vitis x interspécifique cv. Seibel 5586</t>
  </si>
  <si>
    <t>Vitis x interspécifique cv. Seibel 5593</t>
  </si>
  <si>
    <t>Vitis x interspécifique cv. Seibel 5624</t>
  </si>
  <si>
    <t>Vitis x interspécifique cv. Seibel 5632</t>
  </si>
  <si>
    <t>Vitis x interspécifique cv. Seibel 5652</t>
  </si>
  <si>
    <t>Vitis x interspécifique cv. Seibel 5653</t>
  </si>
  <si>
    <t>Vitis x interspécifique cv. Seibel 5656</t>
  </si>
  <si>
    <t>Vitis x interspécifique cv. Seibel 5658</t>
  </si>
  <si>
    <t>Vitis x interspécifique cv. Seibel 5663</t>
  </si>
  <si>
    <t>Vitis x interspécifique cv. Seibel 5683</t>
  </si>
  <si>
    <t>Vitis x interspécifique cv. Seibel 5689</t>
  </si>
  <si>
    <t>Vitis x interspécifique cv. Seibel 5717</t>
  </si>
  <si>
    <t>Vitis x interspécifique cv. Seibel 5744</t>
  </si>
  <si>
    <t>Vitis x interspécifique cv. Seibel 5757</t>
  </si>
  <si>
    <t>Vitis x interspécifique cv. Seibel 5763</t>
  </si>
  <si>
    <t>Vitis x interspécifique cv. Seibel 5773</t>
  </si>
  <si>
    <t>Vitis x interspécifique cv. Seibel 5775</t>
  </si>
  <si>
    <t>Vitis x interspécifique cv. Seibel 5778</t>
  </si>
  <si>
    <t>Vitis x interspécifique cv. Seibel 5785</t>
  </si>
  <si>
    <t>Vitis x interspécifique cv. Seibel 5810</t>
  </si>
  <si>
    <t>Vitis x interspécifique cv. Seibel 5813</t>
  </si>
  <si>
    <t>Vitis x interspécifique cv. Seibel 5815</t>
  </si>
  <si>
    <t>Vitis x interspécifique cv. Seibel 5819</t>
  </si>
  <si>
    <t>Vitis x interspécifique cv. Seibel 5820</t>
  </si>
  <si>
    <t>Vitis x interspécifique cv. Seibel 5826</t>
  </si>
  <si>
    <t>Vitis x interspécifique cv. Seibel 5839</t>
  </si>
  <si>
    <t>Vitis x interspécifique cv. Seibel 5854</t>
  </si>
  <si>
    <t>Vitis x interspécifique cv. Seibel 5860</t>
  </si>
  <si>
    <t>Vitis x interspécifique cv. Seibel 5883</t>
  </si>
  <si>
    <t>Vitis x interspécifique cv. Seibel 5889</t>
  </si>
  <si>
    <t>Vitis x interspécifique cv. Seibel 5890</t>
  </si>
  <si>
    <t>Vitis x interspécifique cv. Seibel 5891</t>
  </si>
  <si>
    <t>Vitis x interspécifique cv. Seibel 5897</t>
  </si>
  <si>
    <t>Vitis x interspécifique cv. Seibel 5900</t>
  </si>
  <si>
    <t>Vitis x interspécifique cv. Seibel 5903</t>
  </si>
  <si>
    <t>Vitis x interspécifique cv. Seibel 5907</t>
  </si>
  <si>
    <t>Vitis x interspécifique cv. Seibel 5908</t>
  </si>
  <si>
    <t>Vitis x interspécifique cv. Seibel 5912</t>
  </si>
  <si>
    <t>Vitis x interspécifique cv. Seibel 5915</t>
  </si>
  <si>
    <t>Vitis x interspécifique cv. Seibel 5916</t>
  </si>
  <si>
    <t>Vitis x interspécifique cv. Seibel 5917</t>
  </si>
  <si>
    <t>Vitis x interspécifique cv. Seibel 5937</t>
  </si>
  <si>
    <t>Vitis x interspécifique cv. Seibel 5946</t>
  </si>
  <si>
    <t>Vitis x interspécifique cv. Seibel 5952</t>
  </si>
  <si>
    <t>Vitis x interspécifique cv. Seibel 5966</t>
  </si>
  <si>
    <t>Vitis x interspécifique cv. Seibel 5979</t>
  </si>
  <si>
    <t>Vitis x interspécifique cv. Seibel 600</t>
  </si>
  <si>
    <t>Vitis x interspécifique cv. Seibel 6003</t>
  </si>
  <si>
    <t>Vitis x interspécifique cv. Seibel 6004</t>
  </si>
  <si>
    <t>Vitis x interspécifique cv. Seibel 6010</t>
  </si>
  <si>
    <t>Vitis x interspécifique cv. Seibel 6011</t>
  </si>
  <si>
    <t>Vitis x interspécifique cv. Seibel 6013</t>
  </si>
  <si>
    <t>Vitis x interspécifique cv. Seibel 6022</t>
  </si>
  <si>
    <t>Vitis x interspécifique cv. Seibel 6027</t>
  </si>
  <si>
    <t>Vitis x interspécifique cv. Seibel 6029</t>
  </si>
  <si>
    <t>Vitis x interspécifique cv. Seibel 6036</t>
  </si>
  <si>
    <t>Vitis x interspécifique cv. Seibel 6042</t>
  </si>
  <si>
    <t>Vitis x interspécifique cv. Seibel 6045</t>
  </si>
  <si>
    <t>Vitis x interspécifique cv. Seibel 6062</t>
  </si>
  <si>
    <t>Vitis x interspécifique cv. Seibel 6064</t>
  </si>
  <si>
    <t>Vitis x interspécifique cv. Seibel 6080</t>
  </si>
  <si>
    <t>Vitis x interspécifique cv. Seibel 6086</t>
  </si>
  <si>
    <t>Vitis x interspécifique cv. Seibel 6088</t>
  </si>
  <si>
    <t>Vitis x interspécifique cv. Seibel 6090</t>
  </si>
  <si>
    <t>Vitis x interspécifique cv. Seibel 6092</t>
  </si>
  <si>
    <t>Vitis x interspécifique cv. Seibel 6093</t>
  </si>
  <si>
    <t>Vitis x interspécifique cv. Seibel 6094</t>
  </si>
  <si>
    <t>Vitis x interspécifique cv. Seibel 6096</t>
  </si>
  <si>
    <t>Vitis x interspécifique cv. Seibel 6102</t>
  </si>
  <si>
    <t>Vitis x interspécifique cv. Seibel 6106</t>
  </si>
  <si>
    <t>Vitis x interspécifique cv. Seibel 6111</t>
  </si>
  <si>
    <t>Vitis x interspécifique cv. Seibel 6115</t>
  </si>
  <si>
    <t>Vitis x interspécifique cv. Seibel 6126</t>
  </si>
  <si>
    <t>Vitis x interspécifique cv. Seibel 6132</t>
  </si>
  <si>
    <t>Vitis x interspécifique cv. Seibel 6143</t>
  </si>
  <si>
    <t>Vitis x interspécifique cv. Seibel 6151</t>
  </si>
  <si>
    <t>Vitis x interspécifique cv. Seibel 6155</t>
  </si>
  <si>
    <t>Vitis x interspécifique cv. Seibel 6158</t>
  </si>
  <si>
    <t>Vitis x interspécifique cv. Seibel 6165</t>
  </si>
  <si>
    <t>Vitis x interspécifique cv. Seibel 6168</t>
  </si>
  <si>
    <t>Vitis x interspécifique cv. Seibel 6170</t>
  </si>
  <si>
    <t>Vitis x interspécifique cv. Seibel 6179</t>
  </si>
  <si>
    <t>Vitis x interspécifique cv. Seibel 6186</t>
  </si>
  <si>
    <t>Vitis x interspécifique cv. Seibel 6209</t>
  </si>
  <si>
    <t>Vitis x interspécifique cv. Seibel 6213</t>
  </si>
  <si>
    <t>Vitis x interspécifique cv. Seibel 6214</t>
  </si>
  <si>
    <t>Vitis x interspécifique cv. Seibel 6229</t>
  </si>
  <si>
    <t>Vitis x interspécifique cv. Seibel 6233</t>
  </si>
  <si>
    <t>Vitis x interspécifique cv. Seibel 6269</t>
  </si>
  <si>
    <t>Vitis x interspécifique cv. Seibel 6278</t>
  </si>
  <si>
    <t>Vitis x interspécifique cv. Seibel 6288</t>
  </si>
  <si>
    <t>Vitis x interspécifique cv. Seibel 6289</t>
  </si>
  <si>
    <t>Vitis x interspécifique cv. Seibel 6293</t>
  </si>
  <si>
    <t>Vitis x interspécifique cv. Seibel 63</t>
  </si>
  <si>
    <t>Vitis x interspécifique cv. Seibel 6318</t>
  </si>
  <si>
    <t>Vitis x interspécifique cv. Seibel 6339</t>
  </si>
  <si>
    <t>Vitis x interspécifique cv. Seibel 6350</t>
  </si>
  <si>
    <t>Vitis x interspécifique cv. Seibel 6403</t>
  </si>
  <si>
    <t>Vitis x interspécifique cv. Seibel 6419</t>
  </si>
  <si>
    <t>Vitis x interspécifique cv. Seibel 6423</t>
  </si>
  <si>
    <t>Vitis x interspécifique cv. Seibel 6425</t>
  </si>
  <si>
    <t>Vitis x interspécifique cv. Seibel 6426</t>
  </si>
  <si>
    <t>Vitis x interspécifique cv. Seibel 6439</t>
  </si>
  <si>
    <t>Vitis x interspécifique cv. Seibel 6455</t>
  </si>
  <si>
    <t>Vitis x interspécifique cv. Seibel 6460</t>
  </si>
  <si>
    <t>Vitis x interspécifique cv. Seibel 6468</t>
  </si>
  <si>
    <t>Vitis x interspécifique cv. Seibel 6478</t>
  </si>
  <si>
    <t>Vitis x interspécifique cv. Seibel 6484</t>
  </si>
  <si>
    <t>Vitis x interspécifique cv. Seibel 6488</t>
  </si>
  <si>
    <t>Vitis x interspécifique cv. Seibel 6491</t>
  </si>
  <si>
    <t>Vitis x interspécifique cv. Seibel 6496</t>
  </si>
  <si>
    <t>Vitis x interspécifique cv. Seibel 6500</t>
  </si>
  <si>
    <t>Vitis x interspécifique cv. Seibel 6572</t>
  </si>
  <si>
    <t>Vitis x interspécifique cv. Seibel 6578</t>
  </si>
  <si>
    <t>Vitis x interspécifique cv. Seibel 6605</t>
  </si>
  <si>
    <t>Vitis x interspécifique cv. Seibel 6606</t>
  </si>
  <si>
    <t>Vitis x interspécifique cv. Seibel 6623</t>
  </si>
  <si>
    <t>Vitis x interspécifique cv. Seibel 670</t>
  </si>
  <si>
    <t>Vitis x interspécifique cv. Seibel 6702</t>
  </si>
  <si>
    <t>Vitis x interspécifique cv. Seibel 6711</t>
  </si>
  <si>
    <t>Vitis x interspécifique cv. Seibel 6717</t>
  </si>
  <si>
    <t>Vitis x interspécifique cv. Seibel 6720</t>
  </si>
  <si>
    <t>Vitis x interspécifique cv. Seibel 6732</t>
  </si>
  <si>
    <t>Vitis x interspécifique cv. Seibel 6733</t>
  </si>
  <si>
    <t>Vitis x interspécifique cv. Seibel 6735</t>
  </si>
  <si>
    <t>Vitis x interspécifique cv. Seibel 6738</t>
  </si>
  <si>
    <t>Vitis x interspécifique cv. Seibel 6739</t>
  </si>
  <si>
    <t>Vitis x interspécifique cv. Seibel 6740</t>
  </si>
  <si>
    <t>Vitis x interspécifique cv. Seibel 6746</t>
  </si>
  <si>
    <t>Vitis x interspécifique cv. Seibel 6751</t>
  </si>
  <si>
    <t>Vitis x interspécifique cv. Seibel 6758</t>
  </si>
  <si>
    <t>Vitis x interspécifique cv. Seibel 6778</t>
  </si>
  <si>
    <t>Vitis x interspécifique cv. Seibel 6779</t>
  </si>
  <si>
    <t>Vitis x interspécifique cv. Seibel 6780</t>
  </si>
  <si>
    <t>Vitis x interspécifique cv. Seibel 6824</t>
  </si>
  <si>
    <t>Vitis x interspécifique cv. Seibel 6830</t>
  </si>
  <si>
    <t>Vitis x interspécifique cv. Seibel 6862</t>
  </si>
  <si>
    <t>Vitis x interspécifique cv. Seibel 6876</t>
  </si>
  <si>
    <t>Vitis x interspécifique cv. Seibel 6906</t>
  </si>
  <si>
    <t>Vitis x interspécifique cv. Seibel 6968</t>
  </si>
  <si>
    <t>Vitis x interspécifique cv. Seibel 6976</t>
  </si>
  <si>
    <t>Vitis x interspécifique cv. Seibel 6980</t>
  </si>
  <si>
    <t>Vitis x interspécifique cv. Seibel 70</t>
  </si>
  <si>
    <t>Vitis x interspécifique cv. Seibel 7000</t>
  </si>
  <si>
    <t>Vitis x interspécifique cv. Seibel 7001</t>
  </si>
  <si>
    <t>Vitis x interspécifique cv. Seibel 7005</t>
  </si>
  <si>
    <t>Vitis x interspécifique cv. Seibel 7011</t>
  </si>
  <si>
    <t>Vitis x interspécifique cv. Seibel 7016</t>
  </si>
  <si>
    <t>Vitis x interspécifique cv. Seibel 7022</t>
  </si>
  <si>
    <t>Vitis x interspécifique cv. Seibel 7033</t>
  </si>
  <si>
    <t>Vitis x interspécifique cv. Seibel 7036</t>
  </si>
  <si>
    <t>Vitis x interspécifique cv. Seibel 7042</t>
  </si>
  <si>
    <t>Vitis x interspécifique cv. Seibel 7044</t>
  </si>
  <si>
    <t>Vitis x interspécifique cv. Seibel 7046</t>
  </si>
  <si>
    <t>Vitis x interspécifique cv. Seibel 7047</t>
  </si>
  <si>
    <t>Vitis x interspécifique cv. Seibel 7052</t>
  </si>
  <si>
    <t>Vitis x interspécifique cv. Seibel 7056</t>
  </si>
  <si>
    <t>Vitis x interspécifique cv. Seibel 7071</t>
  </si>
  <si>
    <t>Vitis x interspécifique cv. Seibel 7080</t>
  </si>
  <si>
    <t>Vitis x interspécifique cv. Seibel 7082</t>
  </si>
  <si>
    <t>Vitis x interspécifique cv. Seibel 7085</t>
  </si>
  <si>
    <t>Vitis x interspécifique cv. Seibel 7090</t>
  </si>
  <si>
    <t>Vitis x interspécifique cv. Seibel 7093</t>
  </si>
  <si>
    <t>Vitis x interspécifique cv. Seibel 7099</t>
  </si>
  <si>
    <t>Vitis x interspécifique cv. Seibel 71</t>
  </si>
  <si>
    <t>Vitis x interspécifique cv. Seibel 7100</t>
  </si>
  <si>
    <t>Vitis x interspécifique cv. Seibel 7122 faux</t>
  </si>
  <si>
    <t>Vitis x interspécifique cv. Seibel 7123</t>
  </si>
  <si>
    <t>Vitis x interspécifique cv. Seibel 7130</t>
  </si>
  <si>
    <t>Vitis x interspécifique cv. Seibel 7135</t>
  </si>
  <si>
    <t>Vitis x interspécifique cv. Seibel 7136</t>
  </si>
  <si>
    <t>Vitis x interspécifique cv. Seibel 7140</t>
  </si>
  <si>
    <t>Vitis x interspécifique cv. Seibel 7144</t>
  </si>
  <si>
    <t>Vitis x interspécifique cv. Seibel 7145</t>
  </si>
  <si>
    <t>Vitis x interspécifique cv. Seibel 7157</t>
  </si>
  <si>
    <t>Vitis x interspécifique cv. Seibel 7162</t>
  </si>
  <si>
    <t>Vitis x interspécifique cv. Seibel 7181</t>
  </si>
  <si>
    <t>Vitis x interspécifique cv. Seibel 720</t>
  </si>
  <si>
    <t>Vitis x interspécifique cv. Seibel 7226</t>
  </si>
  <si>
    <t>Vitis x interspécifique cv. Seibel 7228</t>
  </si>
  <si>
    <t>Vitis x interspécifique cv. Seibel 7229</t>
  </si>
  <si>
    <t>Vitis x interspécifique cv. Seibel 7291</t>
  </si>
  <si>
    <t>Vitis x interspécifique cv. Seibel 7303</t>
  </si>
  <si>
    <t>Vitis x interspécifique cv. Seibel 7311</t>
  </si>
  <si>
    <t>Vitis x interspécifique cv. Seibel 7312</t>
  </si>
  <si>
    <t>Vitis x interspécifique cv. Seibel 7315</t>
  </si>
  <si>
    <t>Vitis x interspécifique cv. Seibel 7319</t>
  </si>
  <si>
    <t>Vitis x interspécifique cv. Seibel 7324</t>
  </si>
  <si>
    <t>Vitis x interspécifique cv. Seibel 7332</t>
  </si>
  <si>
    <t>Vitis x interspécifique cv. Seibel 7338</t>
  </si>
  <si>
    <t>Vitis x interspécifique cv. Seibel 7347</t>
  </si>
  <si>
    <t>Vitis x interspécifique cv. Seibel 7349</t>
  </si>
  <si>
    <t>Vitis x interspécifique cv. Seibel 7369</t>
  </si>
  <si>
    <t>Vitis x interspécifique cv. Seibel 7374</t>
  </si>
  <si>
    <t>Vitis x interspécifique cv. Seibel 7380</t>
  </si>
  <si>
    <t>Vitis x interspécifique cv. Seibel 7381</t>
  </si>
  <si>
    <t>Vitis x interspécifique cv. Seibel 7511</t>
  </si>
  <si>
    <t>Vitis x interspécifique cv. Seibel 7523</t>
  </si>
  <si>
    <t>Vitis x interspécifique cv. Seibel 7524</t>
  </si>
  <si>
    <t>Vitis x interspécifique cv. Seibel 753</t>
  </si>
  <si>
    <t>Vitis x interspécifique cv. Seibel 7530</t>
  </si>
  <si>
    <t>Vitis x interspécifique cv. Seibel 7545</t>
  </si>
  <si>
    <t>Vitis x interspécifique cv. Seibel 7566</t>
  </si>
  <si>
    <t>Vitis x interspécifique cv. Seibel 7568</t>
  </si>
  <si>
    <t>Vitis x interspécifique cv. Seibel 7574</t>
  </si>
  <si>
    <t>Vitis x interspécifique cv. Seibel 7584</t>
  </si>
  <si>
    <t>Vitis x interspécifique cv. Seibel 7587</t>
  </si>
  <si>
    <t>Vitis x interspécifique cv. Seibel 7598</t>
  </si>
  <si>
    <t>Vitis x interspécifique cv. Seibel 7603</t>
  </si>
  <si>
    <t>Vitis x interspécifique cv. Seibel 7606</t>
  </si>
  <si>
    <t>Vitis x interspécifique cv. Seibel 7608</t>
  </si>
  <si>
    <t>Vitis x interspécifique cv. Seibel 7609</t>
  </si>
  <si>
    <t>Vitis x interspécifique cv. Seibel 7617</t>
  </si>
  <si>
    <t>Vitis x interspécifique cv. Seibel 7620</t>
  </si>
  <si>
    <t>Vitis x interspécifique cv. Seibel 7622</t>
  </si>
  <si>
    <t>Vitis x interspécifique cv. Seibel 7632</t>
  </si>
  <si>
    <t>Vitis x interspécifique cv. Seibel 7635</t>
  </si>
  <si>
    <t>Vitis x interspécifique cv. Seibel 7668</t>
  </si>
  <si>
    <t>Vitis x interspécifique cv. Seibel 7672</t>
  </si>
  <si>
    <t>Vitis x interspécifique cv. Seibel 7673</t>
  </si>
  <si>
    <t>Vitis x interspécifique cv. Seibel 7721</t>
  </si>
  <si>
    <t>Vitis x interspécifique cv. Seibel 7787</t>
  </si>
  <si>
    <t>Vitis x interspécifique cv. Seibel 7791</t>
  </si>
  <si>
    <t>Vitis x interspécifique cv. Seibel 78</t>
  </si>
  <si>
    <t>Vitis x interspécifique cv. Seibel 7808</t>
  </si>
  <si>
    <t>Vitis x interspécifique cv. Seibel 782</t>
  </si>
  <si>
    <t>Vitis x interspécifique cv. Seibel 7822</t>
  </si>
  <si>
    <t>Vitis x interspécifique cv. Seibel 7828</t>
  </si>
  <si>
    <t>Vitis x interspécifique cv. Seibel 7833</t>
  </si>
  <si>
    <t>Vitis x interspécifique cv. Seibel 7871</t>
  </si>
  <si>
    <t>Vitis x interspécifique cv. Seibel 7882</t>
  </si>
  <si>
    <t>Vitis x interspécifique cv. Seibel 7892</t>
  </si>
  <si>
    <t>Vitis x interspécifique cv. Seibel 7905</t>
  </si>
  <si>
    <t>Vitis x interspécifique cv. Seibel 7963</t>
  </si>
  <si>
    <t>Vitis x interspécifique cv. Seibel 7984</t>
  </si>
  <si>
    <t>Vitis x interspécifique cv. Seibel 8</t>
  </si>
  <si>
    <t>Vitis x interspécifique cv. Seibel 8101</t>
  </si>
  <si>
    <t>Vitis x interspécifique cv. Seibel 8116</t>
  </si>
  <si>
    <t>Vitis x interspécifique cv. Seibel 8120</t>
  </si>
  <si>
    <t>Vitis x interspécifique cv. Seibel 8134</t>
  </si>
  <si>
    <t>Vitis x interspécifique cv. Seibel 82</t>
  </si>
  <si>
    <t>Vitis x interspécifique cv. Seibel 8203</t>
  </si>
  <si>
    <t>Vitis x interspécifique cv. Seibel 8206</t>
  </si>
  <si>
    <t>Vitis x interspécifique cv. Seibel 8209</t>
  </si>
  <si>
    <t>Vitis x interspécifique cv. Seibel 8213</t>
  </si>
  <si>
    <t>Vitis x interspécifique cv. Seibel 8214</t>
  </si>
  <si>
    <t>Vitis x interspécifique cv. Seibel 8216</t>
  </si>
  <si>
    <t>Vitis x interspécifique cv. Seibel 8217</t>
  </si>
  <si>
    <t>Vitis x interspécifique cv. Seibel 8218</t>
  </si>
  <si>
    <t>Vitis x interspécifique cv. Seibel 8219</t>
  </si>
  <si>
    <t>Vitis x interspécifique cv. Seibel 8220</t>
  </si>
  <si>
    <t>Vitis x interspécifique cv. Seibel 8223</t>
  </si>
  <si>
    <t>Vitis x interspécifique cv. Seibel 8224</t>
  </si>
  <si>
    <t>Vitis x interspécifique cv. Seibel 8225</t>
  </si>
  <si>
    <t>Vitis x interspécifique cv. Seibel 8229</t>
  </si>
  <si>
    <t>Vitis x interspécifique cv. Seibel 8231</t>
  </si>
  <si>
    <t>Vitis x interspécifique cv. Seibel 8238</t>
  </si>
  <si>
    <t>Vitis x interspécifique cv. Seibel 8239</t>
  </si>
  <si>
    <t>Vitis x interspécifique cv. Seibel 8243</t>
  </si>
  <si>
    <t>Vitis x interspécifique cv. Seibel 8259</t>
  </si>
  <si>
    <t>Vitis x interspécifique cv. Seibel 8265</t>
  </si>
  <si>
    <t>Vitis x interspécifique cv. Seibel 8336</t>
  </si>
  <si>
    <t>Vitis x interspécifique cv. Seibel 8337</t>
  </si>
  <si>
    <t>Vitis x interspécifique cv. Seibel 8343</t>
  </si>
  <si>
    <t>Vitis x interspécifique cv. Seibel 8355</t>
  </si>
  <si>
    <t>Vitis x interspécifique cv. Seibel 8361</t>
  </si>
  <si>
    <t>Vitis x interspécifique cv. Seibel 8365</t>
  </si>
  <si>
    <t>Vitis x interspécifique cv. Seibel 8376</t>
  </si>
  <si>
    <t>Vitis x interspécifique cv. Seibel 8380</t>
  </si>
  <si>
    <t>Vitis x interspécifique cv. Seibel 8382</t>
  </si>
  <si>
    <t>Vitis x interspécifique cv. Seibel 8390</t>
  </si>
  <si>
    <t>Vitis x interspécifique cv. Seibel 8392</t>
  </si>
  <si>
    <t>Vitis x interspécifique cv. Seibel 8397</t>
  </si>
  <si>
    <t>Vitis x interspécifique cv. Seibel 8402</t>
  </si>
  <si>
    <t>Vitis x interspécifique cv. Seibel 8407</t>
  </si>
  <si>
    <t>Vitis x interspécifique cv. Seibel 8418</t>
  </si>
  <si>
    <t>Vitis x interspécifique cv. Seibel 8447</t>
  </si>
  <si>
    <t>Vitis x interspécifique cv. Seibel 85</t>
  </si>
  <si>
    <t>Vitis x interspécifique cv. Seibel 8515</t>
  </si>
  <si>
    <t>Vitis x interspécifique cv. Seibel 8541</t>
  </si>
  <si>
    <t>Vitis x interspécifique cv. Seibel 8602</t>
  </si>
  <si>
    <t>Vitis x interspécifique cv. Seibel 8611</t>
  </si>
  <si>
    <t>Vitis x interspécifique cv. Seibel 8616</t>
  </si>
  <si>
    <t>Vitis x interspécifique cv. Seibel 8620</t>
  </si>
  <si>
    <t>Vitis x interspécifique cv. Seibel 8647</t>
  </si>
  <si>
    <t>Vitis x interspécifique cv. Seibel 867</t>
  </si>
  <si>
    <t>Vitis x interspécifique cv. Seibel 8675</t>
  </si>
  <si>
    <t>Vitis x interspécifique cv. Seibel 8678</t>
  </si>
  <si>
    <t>Vitis x interspécifique cv. Seibel 87</t>
  </si>
  <si>
    <t>Vitis x interspécifique cv. Seibel 8704</t>
  </si>
  <si>
    <t>Vitis x interspécifique cv. Seibel 8710</t>
  </si>
  <si>
    <t>Vitis x interspécifique cv. Seibel 8712</t>
  </si>
  <si>
    <t>Vitis x interspécifique cv. Seibel 8713</t>
  </si>
  <si>
    <t>Vitis x interspécifique cv. Seibel 8716</t>
  </si>
  <si>
    <t>Vitis x interspécifique cv. Seibel 8717</t>
  </si>
  <si>
    <t>Vitis x interspécifique cv. Seibel 8718</t>
  </si>
  <si>
    <t>Vitis x interspécifique cv. Seibel 8719</t>
  </si>
  <si>
    <t>Vitis x interspécifique cv. Seibel 8724</t>
  </si>
  <si>
    <t>Vitis x interspécifique cv. Seibel 8731</t>
  </si>
  <si>
    <t>Vitis x interspécifique cv. Seibel 8744</t>
  </si>
  <si>
    <t>Vitis x interspécifique cv. Seibel 8748</t>
  </si>
  <si>
    <t>Vitis x interspécifique cv. Seibel 8753</t>
  </si>
  <si>
    <t>Vitis x interspécifique cv. Seibel 8764</t>
  </si>
  <si>
    <t>Vitis x interspécifique cv. Seibel 877</t>
  </si>
  <si>
    <t>Vitis x interspécifique cv. Seibel 8786</t>
  </si>
  <si>
    <t>Vitis x interspécifique cv. Seibel 880</t>
  </si>
  <si>
    <t>Vitis x interspécifique cv. Seibel 8818</t>
  </si>
  <si>
    <t>Vitis x interspécifique cv. Seibel 8820</t>
  </si>
  <si>
    <t>Vitis x interspécifique cv. Seibel 8824</t>
  </si>
  <si>
    <t>Vitis x interspécifique cv. Seibel 8831</t>
  </si>
  <si>
    <t>Vitis x interspécifique cv. Seibel 8902</t>
  </si>
  <si>
    <t>Vitis x interspécifique cv. Seibel 8906</t>
  </si>
  <si>
    <t>Vitis x interspécifique cv. Seibel 8907</t>
  </si>
  <si>
    <t>Vitis x interspécifique cv. Seibel 8916</t>
  </si>
  <si>
    <t>Vitis x interspécifique cv. Seibel 8917</t>
  </si>
  <si>
    <t>Vitis x interspécifique cv. Seibel 8943</t>
  </si>
  <si>
    <t>Vitis x interspécifique cv. Seibel 8954</t>
  </si>
  <si>
    <t>Vitis x interspécifique cv. Seibel 8974</t>
  </si>
  <si>
    <t>Vitis x interspécifique cv. Seibel 9008</t>
  </si>
  <si>
    <t>Vitis x interspécifique cv. Seibel 9045</t>
  </si>
  <si>
    <t>Vitis x interspécifique cv. Seibel 9095</t>
  </si>
  <si>
    <t>Vitis x interspécifique cv. Seibel 9110</t>
  </si>
  <si>
    <t>Vitis x interspécifique cv. Seibel 9116</t>
  </si>
  <si>
    <t>Vitis x interspécifique cv. Seibel 9123</t>
  </si>
  <si>
    <t>Vitis x interspécifique cv. Seibel 9175</t>
  </si>
  <si>
    <t>Vitis x interspécifique cv. Seibel 9246</t>
  </si>
  <si>
    <t>Vitis x interspécifique cv. Seibel 9249</t>
  </si>
  <si>
    <t>Vitis x interspécifique cv. Seibel 9413</t>
  </si>
  <si>
    <t>Vitis x interspécifique cv. Seibel 9458</t>
  </si>
  <si>
    <t>Vitis x interspécifique cv. Seibel 9569</t>
  </si>
  <si>
    <t>Vitis x interspécifique cv. Seibel 9780</t>
  </si>
  <si>
    <t>Vitis x interspécifique cv. Seibel 9872</t>
  </si>
  <si>
    <t>Vitis x interspécifique cv. Seibel 9875/8</t>
  </si>
  <si>
    <t>Vitis x interspécifique cv. Seibel 9932</t>
  </si>
  <si>
    <t>Vitis x interspécifique cv. Seinoir = Seibel 8745</t>
  </si>
  <si>
    <t>Vitis x interspécifique cv. Semis de 41 B (Malleu)</t>
  </si>
  <si>
    <t>Vitis x interspécifique cv. Seyval = Seyve-Villard 5-276</t>
  </si>
  <si>
    <t>Vitis x interspécifique cv. Seyve Villard 23-23</t>
  </si>
  <si>
    <t>Vitis x interspécifique cv. Seyve-Villard 10-271</t>
  </si>
  <si>
    <t>Vitis x interspécifique cv. Seyve-Villard 10-300</t>
  </si>
  <si>
    <t>Vitis x interspécifique cv. Seyve-Villard 10-319</t>
  </si>
  <si>
    <t>Vitis x interspécifique cv. Seyve-Villard 10-347</t>
  </si>
  <si>
    <t>Vitis x interspécifique cv. Seyve-Villard 11-318</t>
  </si>
  <si>
    <t>Vitis x interspécifique cv. Seyve-Villard 12-129</t>
  </si>
  <si>
    <t>Vitis x interspécifique cv. Seyve-Villard 12-132</t>
  </si>
  <si>
    <t>Vitis x interspécifique cv. Seyve-Villard 12-259</t>
  </si>
  <si>
    <t>Vitis x interspécifique cv. Seyve-Villard 12-267</t>
  </si>
  <si>
    <t>Vitis x interspécifique cv. Seyve-Villard 12-286</t>
  </si>
  <si>
    <t>Vitis x interspécifique cv. Seyve-Villard 12-303</t>
  </si>
  <si>
    <t>Vitis x interspécifique cv. Seyve-Villard 12-308</t>
  </si>
  <si>
    <t>Vitis x interspécifique cv. Seyve-Villard 12-327</t>
  </si>
  <si>
    <t>Vitis x interspécifique cv. Seyve-Villard 12-328</t>
  </si>
  <si>
    <t>Vitis x interspécifique cv. Seyve-Villard 12-331</t>
  </si>
  <si>
    <t>Vitis x interspécifique cv. Seyve-Villard 12-347</t>
  </si>
  <si>
    <t>Vitis x interspécifique cv. Seyve-Villard 12-358</t>
  </si>
  <si>
    <t>Vitis x interspécifique cv. Seyve-Villard 12-364</t>
  </si>
  <si>
    <t>Vitis x interspécifique cv. Seyve-Villard 12-390</t>
  </si>
  <si>
    <t>Vitis x interspécifique cv. Seyve-Villard 12-391</t>
  </si>
  <si>
    <t>Vitis x interspécifique cv. Seyve-Villard 12-395</t>
  </si>
  <si>
    <t>Vitis x interspécifique cv. Seyve-Villard 12-397</t>
  </si>
  <si>
    <t>Vitis x interspécifique cv. Seyve-Villard 12-401</t>
  </si>
  <si>
    <t>Vitis x interspécifique cv. Seyve-Villard 12-413</t>
  </si>
  <si>
    <t>Vitis x interspécifique cv. Seyve-Villard 12-417</t>
  </si>
  <si>
    <t>Vitis x interspécifique cv. Seyve-Villard 12-426</t>
  </si>
  <si>
    <t>Vitis x interspécifique cv. Seyve-Villard 12-474</t>
  </si>
  <si>
    <t>Vitis x interspécifique cv. Seyve-Villard 12-481</t>
  </si>
  <si>
    <t>Vitis x interspécifique cv. Seyve-Villard 12-622</t>
  </si>
  <si>
    <t>Vitis x interspécifique cv. Seyve-Villard 12-734</t>
  </si>
  <si>
    <t>Vitis x interspécifique cv. Seyve-Villard 12-789</t>
  </si>
  <si>
    <t>Vitis x interspécifique cv. Seyve-Villard 13-359</t>
  </si>
  <si>
    <t>Vitis x interspécifique cv. Seyve-Villard 14-270</t>
  </si>
  <si>
    <t>Vitis x interspécifique cv. Seyve-Villard 14-281</t>
  </si>
  <si>
    <t>Vitis x interspécifique cv. Seyve-Villard 14-287</t>
  </si>
  <si>
    <t>Vitis x interspécifique cv. Seyve-Villard 14-472</t>
  </si>
  <si>
    <t>Vitis x interspécifique cv. Seyve-Villard 15-151</t>
  </si>
  <si>
    <t>Vitis x interspécifique cv. Seyve-Villard 15-174</t>
  </si>
  <si>
    <t>Vitis x interspécifique cv. Seyve-Villard 15-403</t>
  </si>
  <si>
    <t>Vitis x interspécifique cv. Seyve-Villard 15-505</t>
  </si>
  <si>
    <t>Vitis x interspécifique cv. Seyve-Villard 16-207</t>
  </si>
  <si>
    <t>Vitis x interspécifique cv. Seyve-Villard 1-72</t>
  </si>
  <si>
    <t>Vitis x interspécifique cv. Seyve-Villard 18-118</t>
  </si>
  <si>
    <t>Vitis x interspécifique cv. Seyve-Villard 18-304</t>
  </si>
  <si>
    <t>Vitis x interspécifique cv. Seyve-Villard 18-307</t>
  </si>
  <si>
    <t>Vitis x interspécifique cv. Seyve-Villard 18-402</t>
  </si>
  <si>
    <t>Vitis x interspécifique cv. Seyve-Villard 18-422</t>
  </si>
  <si>
    <t>Vitis x interspécifique cv. Seyve-Villard 18-425</t>
  </si>
  <si>
    <t>Vitis x interspécifique cv. Seyve-Villard 19-159</t>
  </si>
  <si>
    <t>Vitis x interspécifique cv. Seyve-Villard 19-228</t>
  </si>
  <si>
    <t>Vitis x interspécifique cv. Seyve-Villard 19-233</t>
  </si>
  <si>
    <t>Vitis x interspécifique cv. Seyve-Villard 19-275</t>
  </si>
  <si>
    <t>Vitis x interspécifique cv. Seyve-Villard 19-409</t>
  </si>
  <si>
    <t>Vitis x interspécifique cv. Seyve-Villard 19-410</t>
  </si>
  <si>
    <t>Vitis x interspécifique cv. Seyve-Villard 19-421</t>
  </si>
  <si>
    <t>Vitis x interspécifique cv. Seyve-Villard 19-439</t>
  </si>
  <si>
    <t>Vitis x interspécifique cv. Seyve-Villard 22-130</t>
  </si>
  <si>
    <t>Vitis x interspécifique cv. Seyve-Villard 22-140</t>
  </si>
  <si>
    <t>Vitis x interspécifique cv. Seyve-Villard 22-228</t>
  </si>
  <si>
    <t>Vitis x interspécifique cv. Seyve-Villard 22-25</t>
  </si>
  <si>
    <t>Vitis x interspécifique cv. Seyve-Villard 23-10</t>
  </si>
  <si>
    <t>Vitis x interspécifique cv. Seyve-Villard 23-118</t>
  </si>
  <si>
    <t>Vitis x interspécifique cv. Seyve-Villard 23120</t>
  </si>
  <si>
    <t>Vitis x interspécifique cv. Seyve-Villard 23-18</t>
  </si>
  <si>
    <t>Vitis x interspécifique cv. Seyve-Villard 23-251</t>
  </si>
  <si>
    <t>Vitis x interspécifique cv. Seyve-Villard 23-286</t>
  </si>
  <si>
    <t>Vitis x interspécifique cv. Seyve-Villard 23-296</t>
  </si>
  <si>
    <t>Vitis x interspécifique cv. Seyve-Villard 23-314</t>
  </si>
  <si>
    <t>Vitis x interspécifique cv. Seyve-Villard 23-346</t>
  </si>
  <si>
    <t>Vitis x interspécifique cv. Seyve-Villard 23-350</t>
  </si>
  <si>
    <t>Vitis x interspécifique cv. Seyve-Villard 23-353</t>
  </si>
  <si>
    <t>Vitis x interspécifique cv. Seyve-Villard 23-356</t>
  </si>
  <si>
    <t>Vitis x interspécifique cv. Seyve-Villard 23-359</t>
  </si>
  <si>
    <t>Vitis x interspécifique cv. Seyve-Villard 23-36</t>
  </si>
  <si>
    <t>Vitis x interspécifique cv. Seyve-Villard 23-369</t>
  </si>
  <si>
    <t>Vitis x interspécifique cv. Seyve-Villard 23-400</t>
  </si>
  <si>
    <t>Vitis x interspécifique cv. Seyve-Villard 23-421</t>
  </si>
  <si>
    <t>Vitis x interspécifique cv. Seyve-Villard 23-501</t>
  </si>
  <si>
    <t>Vitis x interspécifique cv. Seyve-Villard 23-502</t>
  </si>
  <si>
    <t>Vitis x interspécifique cv. Seyve-Villard 23-504</t>
  </si>
  <si>
    <t>Vitis x interspécifique cv. Seyve-Villard 23-510</t>
  </si>
  <si>
    <t>Vitis x interspécifique cv. Seyve-Villard 23-512</t>
  </si>
  <si>
    <t>Vitis x interspécifique cv. Seyve-Villard 23-519</t>
  </si>
  <si>
    <t>Vitis x interspécifique cv. Seyve-Villard 23-545</t>
  </si>
  <si>
    <t>Vitis x interspécifique cv. Seyve-Villard 23-564</t>
  </si>
  <si>
    <t>Vitis x interspécifique cv. Seyve-Villard 23-841</t>
  </si>
  <si>
    <t>Vitis x interspécifique cv. Seyve-Villard 23-898</t>
  </si>
  <si>
    <t>Vitis x interspécifique cv. Seyve-Villard 24-280</t>
  </si>
  <si>
    <t>Vitis x interspécifique cv. Seyve-Villard 24-282</t>
  </si>
  <si>
    <t>Vitis x interspécifique cv. Seyve-Villard 24-397</t>
  </si>
  <si>
    <t>Vitis x interspécifique cv. Seyve-Villard 24-418</t>
  </si>
  <si>
    <t>Vitis x interspécifique cv. Seyve-Villard 24-520</t>
  </si>
  <si>
    <t>Vitis x interspécifique cv. Seyve-Villard 24-531</t>
  </si>
  <si>
    <t>Vitis x interspécifique cv. Seyve-Villard 24-535</t>
  </si>
  <si>
    <t>Vitis x interspécifique cv. Seyve-Villard 24-614</t>
  </si>
  <si>
    <t>Vitis x interspécifique cv. Seyve-Villard 26-166</t>
  </si>
  <si>
    <t>Vitis x interspécifique cv. Seyve-Villard 26-205</t>
  </si>
  <si>
    <t>Vitis x interspécifique cv. Seyve-Villard 26-482</t>
  </si>
  <si>
    <t>Vitis x interspécifique cv. Seyve-Villard 26-490</t>
  </si>
  <si>
    <t>Vitis x interspécifique cv. Seyve-Villard 26-924</t>
  </si>
  <si>
    <t>Vitis x interspécifique cv. Seyve-Villard 27-236</t>
  </si>
  <si>
    <t>Vitis x interspécifique cv. Seyve-Villard 27-350</t>
  </si>
  <si>
    <t>Vitis x interspécifique cv. Seyve-Villard 27-531</t>
  </si>
  <si>
    <t>Vitis x interspécifique cv. Seyve-Villard 27-91</t>
  </si>
  <si>
    <t>Vitis x interspécifique cv. Seyve-Villard 28-415</t>
  </si>
  <si>
    <t>Vitis x interspécifique cv. Seyve-Villard 28-497</t>
  </si>
  <si>
    <t>Vitis x interspécifique cv. Seyve-Villard 28-527</t>
  </si>
  <si>
    <t>Vitis x interspécifique cv. Seyve-Villard 28-86</t>
  </si>
  <si>
    <t>Vitis x interspécifique cv. Seyve-Villard 29-399</t>
  </si>
  <si>
    <t>Vitis x interspécifique cv. Seyve-Villard 30-5</t>
  </si>
  <si>
    <t>Vitis x interspécifique cv. Seyve-Villard 30-56</t>
  </si>
  <si>
    <t>Vitis x interspécifique cv. Seyve-Villard 31-358</t>
  </si>
  <si>
    <t>Vitis x interspécifique cv. Seyve-Villard 3-160</t>
  </si>
  <si>
    <t>Vitis x interspécifique cv. Seyve-Villard 33-412</t>
  </si>
  <si>
    <t>Vitis x interspécifique cv. Seyve-Villard 34-211</t>
  </si>
  <si>
    <t>Vitis x interspécifique cv. Seyve-Villard 34-273</t>
  </si>
  <si>
    <t>Vitis x interspécifique cv. Seyve-Villard 36-152</t>
  </si>
  <si>
    <t>Vitis x interspécifique cv. Seyve-Villard 39-229</t>
  </si>
  <si>
    <t>Vitis x interspécifique cv. Seyve-Villard 39-522</t>
  </si>
  <si>
    <t>Vitis x interspécifique cv. Seyve-Villard 39-639</t>
  </si>
  <si>
    <t>Vitis x interspécifique cv. Seyve-Villard 41-471</t>
  </si>
  <si>
    <t>Vitis x interspécifique cv. Seyve-Villard 43-438</t>
  </si>
  <si>
    <t>Vitis x interspécifique cv. Seyve-Villard 45-440</t>
  </si>
  <si>
    <t>Vitis x interspécifique cv. Seyve-Villard 46-215</t>
  </si>
  <si>
    <t>Vitis x interspécifique cv. Seyve-Villard 46-434</t>
  </si>
  <si>
    <t>Vitis x interspécifique cv. Seyve-Villard 5-247</t>
  </si>
  <si>
    <t>Vitis x interspécifique cv. Seyve-Villard 7-111</t>
  </si>
  <si>
    <t>Vitis x interspécifique cv. Seyve-Villard 7-135</t>
  </si>
  <si>
    <t>Vitis x interspécifique cv. Seyve-Villard 7-216</t>
  </si>
  <si>
    <t>Vitis x interspécifique cv. Seyve-Villard 7-235</t>
  </si>
  <si>
    <t>Vitis x interspécifique cv. Siegfried rèbe</t>
  </si>
  <si>
    <t>Vitis x interspécifique cv. Sioux</t>
  </si>
  <si>
    <t>Vitis x interspécifique cv. Sirius</t>
  </si>
  <si>
    <t>Vitis x interspécifique cv. Solaris</t>
  </si>
  <si>
    <t>Vitis x interspécifique cv. Solonis</t>
  </si>
  <si>
    <t>Vitis x interspécifique cv. Solonis x Goldriesling</t>
  </si>
  <si>
    <t>Vitis x interspécifique cv. Sori = 353 Geisenheim</t>
  </si>
  <si>
    <t>Vitis x interspécifique cv. SO4 = Sélection Oppenheim 4</t>
  </si>
  <si>
    <t>Vitis x interspécifique cv. Staufer</t>
  </si>
  <si>
    <t>Vitis x interspécifique cv. Sulima</t>
  </si>
  <si>
    <t>Vitis x interspécifique cv. Super 99 Richter</t>
  </si>
  <si>
    <t>Vitis x interspécifique cv. Superbe</t>
  </si>
  <si>
    <t>Vitis x interspécifique cv. Surfin blanc</t>
  </si>
  <si>
    <t>Vitis x interspécifique cv. Sylvestre Warre</t>
  </si>
  <si>
    <t>Vitis x interspécifique cv. Takao</t>
  </si>
  <si>
    <t>Vitis x interspécifique cv. Tank = Couderc 4401</t>
  </si>
  <si>
    <t>Vitis x interspécifique cv. Téhère doré = Tissier Ravat 578</t>
  </si>
  <si>
    <t>Vitis x interspécifique cv. Teleki 10 A</t>
  </si>
  <si>
    <t>Vitis x interspécifique cv. Teresa Pirovano = Pirovano 192</t>
  </si>
  <si>
    <t>Vitis x interspécifique cv. Termidoro = Pirovano 33</t>
  </si>
  <si>
    <t>Vitis x interspécifique cv. Terzi 1</t>
  </si>
  <si>
    <t>Vitis x interspécifique cv. Terzi 108-6</t>
  </si>
  <si>
    <t>Vitis x interspécifique cv. Terzi 111-4</t>
  </si>
  <si>
    <t>Vitis x interspécifique cv. Terzi 1-6</t>
  </si>
  <si>
    <t>Vitis x interspécifique cv. Terzi 6-26</t>
  </si>
  <si>
    <t>Vitis x interspécifique cv. Terzi 6-6</t>
  </si>
  <si>
    <t>Vitis x interspécifique cv. Terzi 72-6</t>
  </si>
  <si>
    <t>Vitis x interspécifique cv. Terzi 78-13</t>
  </si>
  <si>
    <t>Vitis x interspécifique cv. Tinctarel n° 2 = Galibert 182-15</t>
  </si>
  <si>
    <t>Vitis x interspécifique cv. Tinctarel N°1 = Galibert 182-14</t>
  </si>
  <si>
    <t>Vitis x interspécifique cv. Tôtmur = Baco 2-16</t>
  </si>
  <si>
    <t>Vitis x interspécifique cv. Tréblanc</t>
  </si>
  <si>
    <t>Vitis x interspécifique cv. Triomphe d'Alsace = Kühlmann 319-3</t>
  </si>
  <si>
    <t>Vitis x interspécifique cv. Union Village</t>
  </si>
  <si>
    <t>Vitis x interspécifique cv. Uvade blanche n° 1 = Galibert 221-32</t>
  </si>
  <si>
    <t>Vitis x interspécifique cv. Uvade blanche n° 3 = Galibert 223-61</t>
  </si>
  <si>
    <t>Vitis x interspécifique cv. Uvade blanche n°2 = Galibert 223-59</t>
  </si>
  <si>
    <t>Vitis x interspécifique cv. Uvade blanche n°4 = Galibert 223-77</t>
  </si>
  <si>
    <t>Vitis x interspécifique cv. Uvanère</t>
  </si>
  <si>
    <t>Vitis x interspécifique cv. Uvette blanche n°1 = Galibert 239-41</t>
  </si>
  <si>
    <t>Vitis x interspécifique cv. Uvette blanche n°2 = Galibert 239-44</t>
  </si>
  <si>
    <t>Vitis x interspécifique cv. Uvette dorée n°1 = Galibert 230-91</t>
  </si>
  <si>
    <t>Vitis x interspécifique cv. Uvette dorée n°2 = Galibert 238-70</t>
  </si>
  <si>
    <t>Vitis x interspécifique cv. Uvine</t>
  </si>
  <si>
    <t>Vitis x interspécifique cv. V 15</t>
  </si>
  <si>
    <t>Vitis x interspécifique cv. Valérien = Seyve-Villard 23-410</t>
  </si>
  <si>
    <t>Vitis x interspécifique cv. Varousset = Seyve-Villard 23-657</t>
  </si>
  <si>
    <t>Vitis x interspécifique cv. Venango</t>
  </si>
  <si>
    <t>Vitis x interspécifique cv. Vialla</t>
  </si>
  <si>
    <t>Vitis x interspécifique cv. Victoire = Kühlmann 272-1</t>
  </si>
  <si>
    <t>Vitis x interspécifique cv. Vidal 254</t>
  </si>
  <si>
    <t>Vitis x interspécifique cv. Vidal 256</t>
  </si>
  <si>
    <t>Vitis x interspécifique cv. Vidal 286</t>
  </si>
  <si>
    <t>Vitis x interspécifique cv. Villard blanc = Seyve-Villard 12-375</t>
  </si>
  <si>
    <t>Vitis x interspécifique cv. Villard noir = Seyve-Villard 18-315</t>
  </si>
  <si>
    <t>Vitis x interspécifique cv. vinifera x aestivalis</t>
  </si>
  <si>
    <t>Vitis x interspécifique cv. vinifera x aestivalis x labrusca</t>
  </si>
  <si>
    <t>Vitis x interspécifique cv. vinifera x berlandieri</t>
  </si>
  <si>
    <t>Vitis x interspécifique cv. vinifera x californica</t>
  </si>
  <si>
    <t>Vitis x interspécifique cv. Vosgien</t>
  </si>
  <si>
    <t>Vitis x interspécifique cv. Wilhelma 1</t>
  </si>
  <si>
    <t>Vitis x interspécifique cv. Wilson grape = Kühlmann 252-1</t>
  </si>
  <si>
    <t>Vitis x interspécifique cv. 10-11</t>
  </si>
  <si>
    <t>Vitis x interspécifique cv. 101-14 MGT = Millardet et de Grasset 101-14</t>
  </si>
  <si>
    <t>Vitis x interspécifique cv. 102 EM</t>
  </si>
  <si>
    <t>Vitis x interspécifique cv. 10-5</t>
  </si>
  <si>
    <t>Vitis x interspécifique cv. 110 R = Richter 110</t>
  </si>
  <si>
    <t>Vitis x interspécifique cv. 1103 Pa = Paulsen 1103</t>
  </si>
  <si>
    <t>Vitis x interspécifique cv. 125 AA = Kober 125 AA</t>
  </si>
  <si>
    <t>Vitis x interspécifique cv. 136 EM</t>
  </si>
  <si>
    <t>Vitis x interspécifique cv. 140 Ru = Ruggeri 140</t>
  </si>
  <si>
    <t>Vitis x interspécifique cv. 142 EM</t>
  </si>
  <si>
    <t>Vitis x interspécifique cv. 1447 Pa = Paulsen 1447</t>
  </si>
  <si>
    <t>Vitis x interspécifique cv. 161-49 C = Couderc 161-49</t>
  </si>
  <si>
    <t>Vitis x interspécifique cv. 1616 C = Couderc 1616</t>
  </si>
  <si>
    <t>Vitis x interspécifique cv. 196-17 Cl = Castel 196-17</t>
  </si>
  <si>
    <t>Vitis x interspécifique cv. 216-3 Cl = Castel 216-3</t>
  </si>
  <si>
    <t>Vitis x interspécifique cv. 33 EM</t>
  </si>
  <si>
    <t>Vitis x interspécifique cv. 3309 C = Couderc 3309</t>
  </si>
  <si>
    <t>Vitis x interspécifique cv. 333 EM = 333 Ecole de Montpellier</t>
  </si>
  <si>
    <t>Vitis x interspécifique cv. 34 EM = 34 Ecole de Montpellier</t>
  </si>
  <si>
    <t>Vitis x interspécifique cv. 4010 Cl = Castel 4010</t>
  </si>
  <si>
    <t>Vitis x interspécifique cv. 41 B = Millardet et de Grasset 41 B</t>
  </si>
  <si>
    <t>Vitis x interspécifique cv. 420 A = Millardet et de Grasset 420 A</t>
  </si>
  <si>
    <t>Vitis x interspécifique cv. 420 Foex</t>
  </si>
  <si>
    <t>Vitis x interspécifique cv. 44-53 Ma = Malègue 44-53</t>
  </si>
  <si>
    <t>Vitis x interspécifique cv. 45 EM</t>
  </si>
  <si>
    <t>Vitis x interspécifique cv. 5 BB = Téléki sélection Kober 5 BB</t>
  </si>
  <si>
    <t>Vitis x interspécifique cv. 5 BB Evin</t>
  </si>
  <si>
    <t>Vitis x interspécifique cv. 5 BB Grimaud</t>
  </si>
  <si>
    <t>Vitis x interspécifique cv. 5 BB Tramier 2</t>
  </si>
  <si>
    <t>Vitis x interspécifique cv. 5 BB Trilobé</t>
  </si>
  <si>
    <t>Vitis x interspécifique cv. 5 C = Téléki 5 C</t>
  </si>
  <si>
    <t>Vitis x interspécifique cv. 503 Barr</t>
  </si>
  <si>
    <t>Vitis x interspécifique cv. 59 B</t>
  </si>
  <si>
    <t>Vitis x interspécifique cv. 6-23</t>
  </si>
  <si>
    <t>Vitis x interspécifique cv. 7-13</t>
  </si>
  <si>
    <t>Vitis x interspécifique cv. 7-16</t>
  </si>
  <si>
    <t>Vitis x interspécifique cv. 8 B = Téléki B</t>
  </si>
  <si>
    <t>Vitis x interspécifique cv. 8 B clone A</t>
  </si>
  <si>
    <t>Vitis x interspécifique cv. 8 B Faux</t>
  </si>
  <si>
    <t>Vitis x interspécifique cv. 8 B Femelle</t>
  </si>
  <si>
    <t>Vitis x interspécifique cv. 8 B Ferrari</t>
  </si>
  <si>
    <t>Vitis x interspécifique cv. 8-5</t>
  </si>
  <si>
    <t>Vitis x interspécifique cv. 99 R = Richter 99</t>
  </si>
  <si>
    <t>Vitis yanshanensis J.X.Chen</t>
  </si>
  <si>
    <t>Zea L.</t>
  </si>
  <si>
    <t>Zea mays L.</t>
  </si>
  <si>
    <t>Zinnia elegans</t>
  </si>
  <si>
    <t>2013-2014</t>
  </si>
  <si>
    <t>Dublianski</t>
  </si>
  <si>
    <t>Gaspard</t>
  </si>
  <si>
    <t>Gesunder</t>
  </si>
  <si>
    <t>Gorczanski</t>
  </si>
  <si>
    <t>Lembkes</t>
  </si>
  <si>
    <t>Major</t>
  </si>
  <si>
    <t>Markus</t>
  </si>
  <si>
    <t>Matador</t>
  </si>
  <si>
    <t>Moldavia</t>
  </si>
  <si>
    <t>Oleski</t>
  </si>
  <si>
    <t>Orléans</t>
  </si>
  <si>
    <t>Polux</t>
  </si>
  <si>
    <t>Pradel</t>
  </si>
  <si>
    <t>Prerouska</t>
  </si>
  <si>
    <t>Ramses</t>
  </si>
  <si>
    <t>Rapol</t>
  </si>
  <si>
    <t>Rochechouard</t>
  </si>
  <si>
    <t>Sinus</t>
  </si>
  <si>
    <t>Titus</t>
  </si>
  <si>
    <t>Tonus</t>
  </si>
  <si>
    <t>Victor</t>
  </si>
  <si>
    <t>Zeruca</t>
  </si>
  <si>
    <t>Askari</t>
  </si>
  <si>
    <t>Aztec</t>
  </si>
  <si>
    <t>Belinda</t>
  </si>
  <si>
    <t>Beryl</t>
  </si>
  <si>
    <t>Brink</t>
  </si>
  <si>
    <t>Constable</t>
  </si>
  <si>
    <t>Doral</t>
  </si>
  <si>
    <t>Emil</t>
  </si>
  <si>
    <t>Expander</t>
  </si>
  <si>
    <t>Janpol</t>
  </si>
  <si>
    <t>Korina</t>
  </si>
  <si>
    <t>Kurander</t>
  </si>
  <si>
    <t>Lesira</t>
  </si>
  <si>
    <t>Ligora</t>
  </si>
  <si>
    <t>Primor</t>
  </si>
  <si>
    <t>Rafal</t>
  </si>
  <si>
    <t>Start</t>
  </si>
  <si>
    <t>Valdor</t>
  </si>
  <si>
    <t>Adriana</t>
  </si>
  <si>
    <t>Akamar</t>
  </si>
  <si>
    <t>Alesi</t>
  </si>
  <si>
    <t>Aligator</t>
  </si>
  <si>
    <t>Amber</t>
  </si>
  <si>
    <t>Ariana</t>
  </si>
  <si>
    <t>Atlantic</t>
  </si>
  <si>
    <t>Aurum</t>
  </si>
  <si>
    <t>Bellini</t>
  </si>
  <si>
    <t>Boston</t>
  </si>
  <si>
    <t>Caddy</t>
  </si>
  <si>
    <t>Campala</t>
  </si>
  <si>
    <t>Canberra</t>
  </si>
  <si>
    <t>Cancan</t>
  </si>
  <si>
    <t>Capitol</t>
  </si>
  <si>
    <t>Capricorn</t>
  </si>
  <si>
    <t>CAPVERT</t>
  </si>
  <si>
    <t>Ceres</t>
  </si>
  <si>
    <t>Chelsi</t>
  </si>
  <si>
    <t>Cheops</t>
  </si>
  <si>
    <t>Courage</t>
  </si>
  <si>
    <t>Darmor</t>
  </si>
  <si>
    <t>Doublol</t>
  </si>
  <si>
    <t>Ecrin</t>
  </si>
  <si>
    <t>Eleonore</t>
  </si>
  <si>
    <t>Escort</t>
  </si>
  <si>
    <t>Evri</t>
  </si>
  <si>
    <t>Frederic</t>
  </si>
  <si>
    <t>Goeland</t>
  </si>
  <si>
    <t>Grizzly</t>
  </si>
  <si>
    <t>Ibex</t>
  </si>
  <si>
    <t>Idol</t>
  </si>
  <si>
    <t>Inca</t>
  </si>
  <si>
    <t>Jetton</t>
  </si>
  <si>
    <t>Kadore</t>
  </si>
  <si>
    <t>Kosto</t>
  </si>
  <si>
    <t>Lewis</t>
  </si>
  <si>
    <t>Liberator</t>
  </si>
  <si>
    <t>Licorne</t>
  </si>
  <si>
    <t>Lioness</t>
  </si>
  <si>
    <t>Liporta</t>
  </si>
  <si>
    <t>Lirabon</t>
  </si>
  <si>
    <t>Lirajet</t>
  </si>
  <si>
    <t>Madrigal</t>
  </si>
  <si>
    <t>Makila</t>
  </si>
  <si>
    <t>Mar</t>
  </si>
  <si>
    <t>Milena</t>
  </si>
  <si>
    <t>Montego</t>
  </si>
  <si>
    <t>Navajo</t>
  </si>
  <si>
    <t>Oase</t>
  </si>
  <si>
    <t>Olymp</t>
  </si>
  <si>
    <t>PAYROL</t>
  </si>
  <si>
    <t>Pollen</t>
  </si>
  <si>
    <t>Potomac</t>
  </si>
  <si>
    <t>Prince</t>
  </si>
  <si>
    <t>Recital</t>
  </si>
  <si>
    <t>Remy</t>
  </si>
  <si>
    <t>Rocket</t>
  </si>
  <si>
    <t>Roxet</t>
  </si>
  <si>
    <t>Sahara</t>
  </si>
  <si>
    <t>Salomont</t>
  </si>
  <si>
    <t>Shogun</t>
  </si>
  <si>
    <t>TAROX</t>
  </si>
  <si>
    <t>Tenor</t>
  </si>
  <si>
    <t>TOR</t>
  </si>
  <si>
    <t>Tradition</t>
  </si>
  <si>
    <t>Twister</t>
  </si>
  <si>
    <t>Zorro</t>
  </si>
  <si>
    <t>Kromerska1-DS1</t>
  </si>
  <si>
    <t>Madora2-DS3</t>
  </si>
  <si>
    <t>Madora3-DS1</t>
  </si>
  <si>
    <t>Olimpiade2-DS2</t>
  </si>
  <si>
    <t>Regal2-DS1</t>
  </si>
  <si>
    <t>Sarepta</t>
  </si>
  <si>
    <t>Bristol</t>
  </si>
  <si>
    <t>Tosca</t>
  </si>
  <si>
    <t>Aviso</t>
  </si>
  <si>
    <t>Jupiter</t>
  </si>
  <si>
    <t>Quinta</t>
  </si>
  <si>
    <t>ESASTRID</t>
  </si>
  <si>
    <t>Mohican</t>
  </si>
  <si>
    <t>ESC1132</t>
  </si>
  <si>
    <t>ADRIANA</t>
  </si>
  <si>
    <t>AMILLIA</t>
  </si>
  <si>
    <t>ANGELINA</t>
  </si>
  <si>
    <t>COOPER</t>
  </si>
  <si>
    <t>LADOGA</t>
  </si>
  <si>
    <t>MANITOBA</t>
  </si>
  <si>
    <t>OKAPI</t>
  </si>
  <si>
    <t>ONTARIO</t>
  </si>
  <si>
    <t>PAMELA</t>
  </si>
  <si>
    <t>TASMAN</t>
  </si>
  <si>
    <t>Maccarena</t>
  </si>
  <si>
    <t>RAGT-01</t>
  </si>
  <si>
    <t>RAGT-02</t>
  </si>
  <si>
    <t>RAGT-03</t>
  </si>
  <si>
    <t>RAGT-04</t>
  </si>
  <si>
    <t>RAGT-05</t>
  </si>
  <si>
    <t>RAGT-06</t>
  </si>
  <si>
    <t>RAGT-07</t>
  </si>
  <si>
    <t>RAGT-08</t>
  </si>
  <si>
    <t>RAGT-09</t>
  </si>
  <si>
    <t>RAGT-10</t>
  </si>
  <si>
    <t>SYN01</t>
  </si>
  <si>
    <t>SYN02</t>
  </si>
  <si>
    <t>SYN03</t>
  </si>
  <si>
    <t>SYN04</t>
  </si>
  <si>
    <t>SYN05</t>
  </si>
  <si>
    <t>SYN06</t>
  </si>
  <si>
    <t>SYN07</t>
  </si>
  <si>
    <t>SYN08</t>
  </si>
  <si>
    <t>SYN09</t>
  </si>
  <si>
    <t>SYN10</t>
  </si>
  <si>
    <t>RAGT-13</t>
  </si>
  <si>
    <t>RAGT-14</t>
  </si>
  <si>
    <t>RAGT-15</t>
  </si>
  <si>
    <t>SYNG11</t>
  </si>
  <si>
    <t>SYNG12</t>
  </si>
  <si>
    <t>RAPSO_002</t>
  </si>
  <si>
    <t>RAPSO_006</t>
  </si>
  <si>
    <t>RAPSO_008</t>
  </si>
  <si>
    <t>RAPSO_009</t>
  </si>
  <si>
    <t>RAPSO_011</t>
  </si>
  <si>
    <t>RAPSO_013</t>
  </si>
  <si>
    <t>RAPSO_014</t>
  </si>
  <si>
    <t>RAPSO_015</t>
  </si>
  <si>
    <t>RAPSO_017</t>
  </si>
  <si>
    <t>RAPSO_023</t>
  </si>
  <si>
    <t>RAPSO_027</t>
  </si>
  <si>
    <t>RAPSO_029</t>
  </si>
  <si>
    <t>RAPSO_030</t>
  </si>
  <si>
    <t>RAPSO_033</t>
  </si>
  <si>
    <t>RAPSO_035</t>
  </si>
  <si>
    <t>RAPSO_038</t>
  </si>
  <si>
    <t>RAPSO_040</t>
  </si>
  <si>
    <t>RAPSO_041</t>
  </si>
  <si>
    <t>RAPSO_043</t>
  </si>
  <si>
    <t>RAPSO_045</t>
  </si>
  <si>
    <t>RAPSO_046</t>
  </si>
  <si>
    <t>RAPSO_050</t>
  </si>
  <si>
    <t>RAPSO_051</t>
  </si>
  <si>
    <t>RAPSO_053</t>
  </si>
  <si>
    <t>RAPSO_054</t>
  </si>
  <si>
    <t>RAPSO_057</t>
  </si>
  <si>
    <t>RAPSO_062</t>
  </si>
  <si>
    <t>RAPSO_063</t>
  </si>
  <si>
    <t>RAPSO_064</t>
  </si>
  <si>
    <t>RAPSO_067</t>
  </si>
  <si>
    <t>RAPSO_068</t>
  </si>
  <si>
    <t>RAPSO_070</t>
  </si>
  <si>
    <t>RAPSO_072</t>
  </si>
  <si>
    <t>RAPSO_073</t>
  </si>
  <si>
    <t>RAPSO_075</t>
  </si>
  <si>
    <t>RAPSO_076</t>
  </si>
  <si>
    <t>RAPSO_077</t>
  </si>
  <si>
    <t>RAPSO_080</t>
  </si>
  <si>
    <t>RAPSO_081</t>
  </si>
  <si>
    <t>RAPSO_084</t>
  </si>
  <si>
    <t>RAPSO_085</t>
  </si>
  <si>
    <t>RAPSO_091</t>
  </si>
  <si>
    <t>RAPSO_098</t>
  </si>
  <si>
    <t>RAPSO_099</t>
  </si>
  <si>
    <t>RAPSO_102</t>
  </si>
  <si>
    <t>RAPSO_105</t>
  </si>
  <si>
    <t>RAPSO_108</t>
  </si>
  <si>
    <t>RAPSO_112</t>
  </si>
  <si>
    <t>RAPSO_115</t>
  </si>
  <si>
    <t>RAPSO_122</t>
  </si>
  <si>
    <t>RAPSO_124</t>
  </si>
  <si>
    <t>RAPSO_125</t>
  </si>
  <si>
    <t>RAPSO_128</t>
  </si>
  <si>
    <t>RAPSO_130</t>
  </si>
  <si>
    <t>RAPSO_131</t>
  </si>
  <si>
    <t>RAPSO_132</t>
  </si>
  <si>
    <t>RAPSO_135</t>
  </si>
  <si>
    <t>RAPSO_138</t>
  </si>
  <si>
    <t>RAPSO_139</t>
  </si>
  <si>
    <t>RAPSO_140</t>
  </si>
  <si>
    <t>RAPSO_144</t>
  </si>
  <si>
    <t>RAPSO_146</t>
  </si>
  <si>
    <t>RAPSO_148</t>
  </si>
  <si>
    <t>RAPSO_152</t>
  </si>
  <si>
    <t>RAPSO_154</t>
  </si>
  <si>
    <t>RAPSO_155</t>
  </si>
  <si>
    <t>RAPSO_156</t>
  </si>
  <si>
    <t>RAPSO_158</t>
  </si>
  <si>
    <t>RAPSO_160</t>
  </si>
  <si>
    <t>RAPSO_162</t>
  </si>
  <si>
    <t>RAPSO_165</t>
  </si>
  <si>
    <t>RAPSO_167</t>
  </si>
  <si>
    <t>RAPSO_168</t>
  </si>
  <si>
    <t>RAPSO_171</t>
  </si>
  <si>
    <t>RAPSO_174</t>
  </si>
  <si>
    <t>RAPSO_175</t>
  </si>
  <si>
    <t>RAPSO_176</t>
  </si>
  <si>
    <t>RAPSO_178</t>
  </si>
  <si>
    <t>RAPSO_180</t>
  </si>
  <si>
    <t>RAPSO_181</t>
  </si>
  <si>
    <t>RAPSO_187</t>
  </si>
  <si>
    <t>RAPSO_190</t>
  </si>
  <si>
    <t>RAPSO_193</t>
  </si>
  <si>
    <t>RAPSO_199</t>
  </si>
  <si>
    <t>RAPSO_202</t>
  </si>
  <si>
    <t>RAPSO_203</t>
  </si>
  <si>
    <t>RAPSO_207</t>
  </si>
  <si>
    <t>RAPSO_208</t>
  </si>
  <si>
    <t>RAPSO_209</t>
  </si>
  <si>
    <t>RAPSO_213</t>
  </si>
  <si>
    <t>RAPSO_215</t>
  </si>
  <si>
    <t>RAPSO_216</t>
  </si>
  <si>
    <t>RAPSO_219</t>
  </si>
  <si>
    <t>RAPSO_220</t>
  </si>
  <si>
    <t>RAPSO_222</t>
  </si>
  <si>
    <t>RAPSO_226</t>
  </si>
  <si>
    <t>RAPSO_227</t>
  </si>
  <si>
    <t>RAPSO_230</t>
  </si>
  <si>
    <t>RAPSO_231</t>
  </si>
  <si>
    <t>RAPSO_232</t>
  </si>
  <si>
    <t>RAPSO_234</t>
  </si>
  <si>
    <t>RAPSO_235</t>
  </si>
  <si>
    <t>RAPSO_238</t>
  </si>
  <si>
    <t>RAPSO_243</t>
  </si>
  <si>
    <t>RAPSO_245</t>
  </si>
  <si>
    <t>RAPSO_246</t>
  </si>
  <si>
    <t>RAPSO_248</t>
  </si>
  <si>
    <t>RAPSO_251</t>
  </si>
  <si>
    <t>RAPSO_253</t>
  </si>
  <si>
    <t>RAPSO_254</t>
  </si>
  <si>
    <t>RAPSO_256</t>
  </si>
  <si>
    <t>RAPSO_258</t>
  </si>
  <si>
    <t>RAPSO_259</t>
  </si>
  <si>
    <t>RAPSO_260</t>
  </si>
  <si>
    <t>RAPSO_261</t>
  </si>
  <si>
    <t>RAPSO_263</t>
  </si>
  <si>
    <t>RAPSO_265</t>
  </si>
  <si>
    <t>RAPSO_266</t>
  </si>
  <si>
    <t>RAPSO_267</t>
  </si>
  <si>
    <t>RAPSO_270</t>
  </si>
  <si>
    <t>RAPSO_271</t>
  </si>
  <si>
    <t>RAPSO_273</t>
  </si>
  <si>
    <t>RAPSO_277</t>
  </si>
  <si>
    <t>RAPSO_278</t>
  </si>
  <si>
    <t>RAPSO_281</t>
  </si>
  <si>
    <t>RAPSO_282</t>
  </si>
  <si>
    <t>RAPSO_292</t>
  </si>
  <si>
    <t>RAPSO_335</t>
  </si>
  <si>
    <t>RAPSO_342</t>
  </si>
  <si>
    <t>RAPSO_343</t>
  </si>
  <si>
    <t>RAPSO_349</t>
  </si>
  <si>
    <t>RAPSO_356</t>
  </si>
  <si>
    <t>RAPSO_363</t>
  </si>
  <si>
    <t>RAPSO_368</t>
  </si>
  <si>
    <t>RAPSO_375</t>
  </si>
  <si>
    <t>RAPSO_382</t>
  </si>
  <si>
    <t>RAPSO_387</t>
  </si>
  <si>
    <t>RAPSO_395</t>
  </si>
  <si>
    <t>RAPSO_402</t>
  </si>
  <si>
    <t>RAPSO_406</t>
  </si>
  <si>
    <t>RAPSO_411</t>
  </si>
  <si>
    <t>RAPSO_415</t>
  </si>
  <si>
    <t>RAPSO_418</t>
  </si>
  <si>
    <t>RAPSO_419</t>
  </si>
  <si>
    <t>RAPSO_430</t>
  </si>
  <si>
    <t>RAPSO_437</t>
  </si>
  <si>
    <t>RAPSO_456</t>
  </si>
  <si>
    <t>BRA_005</t>
  </si>
  <si>
    <t>BRA_006</t>
  </si>
  <si>
    <t>BRA_007</t>
  </si>
  <si>
    <t>BRA_008</t>
  </si>
  <si>
    <t>BRA_009</t>
  </si>
  <si>
    <t>BRA_010</t>
  </si>
  <si>
    <t>BRA_011</t>
  </si>
  <si>
    <t>MP001</t>
  </si>
  <si>
    <t>MP003</t>
  </si>
  <si>
    <t>RAPSO_294</t>
  </si>
  <si>
    <t>RAPSO_295</t>
  </si>
  <si>
    <t>RAPSO_296</t>
  </si>
  <si>
    <t>RAPSO_297</t>
  </si>
  <si>
    <t>RAPSO_298</t>
  </si>
  <si>
    <t>RAPSO_299</t>
  </si>
  <si>
    <t>RAPSO_300</t>
  </si>
  <si>
    <t>RAPSO_301</t>
  </si>
  <si>
    <t>RAPSO_302</t>
  </si>
  <si>
    <t>RAPSO_303</t>
  </si>
  <si>
    <t>RAPSO_304</t>
  </si>
  <si>
    <t>RAPSO_305</t>
  </si>
  <si>
    <t>RAPSO_306</t>
  </si>
  <si>
    <t>RAPSO_307</t>
  </si>
  <si>
    <t>RAPSO_308</t>
  </si>
  <si>
    <t>RAPSO_309</t>
  </si>
  <si>
    <t>RAPSO_310</t>
  </si>
  <si>
    <t>RAPSO_311</t>
  </si>
  <si>
    <t>RAPSO_312</t>
  </si>
  <si>
    <t>RAPSO_313</t>
  </si>
  <si>
    <t>RAPSO_314</t>
  </si>
  <si>
    <t>RAPSO_315</t>
  </si>
  <si>
    <t>RAPSO_316</t>
  </si>
  <si>
    <t>RAPSO_317</t>
  </si>
  <si>
    <t>RAPSO_318</t>
  </si>
  <si>
    <t>RAPSO_319</t>
  </si>
  <si>
    <t>RAPSO_320</t>
  </si>
  <si>
    <t>RAPSO_321</t>
  </si>
  <si>
    <t>RAPSO_322</t>
  </si>
  <si>
    <t>RAPSO_323</t>
  </si>
  <si>
    <t>RAPSO_324</t>
  </si>
  <si>
    <t>RAPSO_325</t>
  </si>
  <si>
    <t>RAPSO_326</t>
  </si>
  <si>
    <t>RAPSO_327</t>
  </si>
  <si>
    <t>RAPSO_328</t>
  </si>
  <si>
    <t>RAPSO_329</t>
  </si>
  <si>
    <t>RAPSO_330</t>
  </si>
  <si>
    <t>RAPSO_331</t>
  </si>
  <si>
    <t>RAPSO_332</t>
  </si>
  <si>
    <t>RAPSO_333</t>
  </si>
  <si>
    <t>RAPSO_334</t>
  </si>
  <si>
    <t>RAPSO_470</t>
  </si>
  <si>
    <t>RAPSO_471</t>
  </si>
  <si>
    <t>RAPSO_472</t>
  </si>
  <si>
    <t>RAPSO_473</t>
  </si>
  <si>
    <t>RAPSO_476</t>
  </si>
  <si>
    <t>RAPSO_477</t>
  </si>
  <si>
    <t>RAPSO_478</t>
  </si>
  <si>
    <t>RAPSO_479</t>
  </si>
  <si>
    <t>RAPSO_480</t>
  </si>
  <si>
    <t>Alsace 1360</t>
  </si>
  <si>
    <t>Fertodi elit</t>
  </si>
  <si>
    <t>Goldgelber Zarter Butter</t>
  </si>
  <si>
    <t>Gross Luzewiter</t>
  </si>
  <si>
    <t>Lembke</t>
  </si>
  <si>
    <t>Olquell Gulzover</t>
  </si>
  <si>
    <t>QuedLinburger Platzfester</t>
  </si>
  <si>
    <t>Bienvenu - R33</t>
  </si>
  <si>
    <t>Wira-INRA</t>
  </si>
  <si>
    <t>Bolko - POH 285</t>
  </si>
  <si>
    <t>NSL 96-25</t>
  </si>
  <si>
    <t>SW Gospel</t>
  </si>
  <si>
    <t xml:space="preserve">MANSHOLTS </t>
  </si>
  <si>
    <t xml:space="preserve">BLAGODATNYI </t>
  </si>
  <si>
    <t xml:space="preserve">CETMEKI </t>
  </si>
  <si>
    <t xml:space="preserve">DEBRUDER DIPPES </t>
  </si>
  <si>
    <t xml:space="preserve">EZSTERHAZY N.ST </t>
  </si>
  <si>
    <t xml:space="preserve">HOCHZUCHT REPOLE </t>
  </si>
  <si>
    <t xml:space="preserve">KOMBI </t>
  </si>
  <si>
    <t xml:space="preserve">KORMOVOI SKRIVERSKYI </t>
  </si>
  <si>
    <t xml:space="preserve">LJUBLANA </t>
  </si>
  <si>
    <t xml:space="preserve">MYTNINSKYI-2 </t>
  </si>
  <si>
    <t xml:space="preserve">NIEDERARNBACHER </t>
  </si>
  <si>
    <t xml:space="preserve">NOVOCHARTORYISKYI </t>
  </si>
  <si>
    <t xml:space="preserve">RANGI </t>
  </si>
  <si>
    <t xml:space="preserve">SNITYNSKYI </t>
  </si>
  <si>
    <t xml:space="preserve">KRASNODARSKYI </t>
  </si>
  <si>
    <t>ES-AGATHA</t>
  </si>
  <si>
    <t>ES-ALEGRIA</t>
  </si>
  <si>
    <t>ES-ALIENOR</t>
  </si>
  <si>
    <t>ES-CENTAURE</t>
  </si>
  <si>
    <t>ES-CUBIC</t>
  </si>
  <si>
    <t>ES-ANTONIA</t>
  </si>
  <si>
    <t>ES-BRAVA</t>
  </si>
  <si>
    <t>ES-VENUS</t>
  </si>
  <si>
    <t>ES-VIPER</t>
  </si>
  <si>
    <t>RAPSO_Compl_01 (euralis)</t>
  </si>
  <si>
    <t>RAPSO_Compl_02 (euralis)</t>
  </si>
  <si>
    <t>LE 1</t>
  </si>
  <si>
    <t>LE 2</t>
  </si>
  <si>
    <t>ALPAGA</t>
  </si>
  <si>
    <t>DKEXQUISITE</t>
  </si>
  <si>
    <t>Rhodon</t>
  </si>
  <si>
    <t>FRA_41_RHOD</t>
  </si>
  <si>
    <t>Prot_Yield</t>
  </si>
  <si>
    <t>Oil_Yield</t>
  </si>
  <si>
    <t>CROP</t>
  </si>
  <si>
    <t>Crop</t>
  </si>
  <si>
    <t>Seed_Impurities</t>
  </si>
  <si>
    <t>Glucosinolates</t>
  </si>
  <si>
    <t>panel_maisadour14</t>
  </si>
  <si>
    <t>P14MAD</t>
  </si>
  <si>
    <t>MAD</t>
  </si>
  <si>
    <t>Alsace_1360</t>
  </si>
  <si>
    <t>Fertodi_elit</t>
  </si>
  <si>
    <t>Goldgelber_Zarter_Butter</t>
  </si>
  <si>
    <t>Gross_Luzewiter</t>
  </si>
  <si>
    <t>Nain_de_Hambourg</t>
  </si>
  <si>
    <t>Olquell_Gulzover</t>
  </si>
  <si>
    <t>QuedLinburger_Platzfester</t>
  </si>
  <si>
    <t>Bienvenu_-_R33</t>
  </si>
  <si>
    <t>Bolko_-_POH_285</t>
  </si>
  <si>
    <t>NSL_96-25</t>
  </si>
  <si>
    <t>SW_Gospel</t>
  </si>
  <si>
    <t>RAPSO_Compl_01_(euralis)</t>
  </si>
  <si>
    <t>RAPSO_Compl_02_(euralis)</t>
  </si>
  <si>
    <t>LE_1</t>
  </si>
  <si>
    <t>LE_2</t>
  </si>
  <si>
    <t>KRASNODARSKYI</t>
  </si>
  <si>
    <t>RANGI</t>
  </si>
  <si>
    <t>NOVOCHARTORYISKYI</t>
  </si>
  <si>
    <t>MYTNINSKYI-2</t>
  </si>
  <si>
    <t>LJUBLANA</t>
  </si>
  <si>
    <t>KORMOVOI_SKRIVERSKYI</t>
  </si>
  <si>
    <t>KOMBI</t>
  </si>
  <si>
    <t>HOCHZUCHT_REPOLE</t>
  </si>
  <si>
    <t>EZSTERHAZY_N.ST</t>
  </si>
  <si>
    <t>DEBRUDER_DIPPES</t>
  </si>
  <si>
    <t>CETMEKI</t>
  </si>
  <si>
    <t>BLAGODATNYI</t>
  </si>
  <si>
    <t>MANSHOLTS</t>
  </si>
  <si>
    <t>temoin_1</t>
  </si>
  <si>
    <t>temoin_2</t>
  </si>
  <si>
    <t>NIEDERARNBACHER</t>
  </si>
  <si>
    <t>SNITYNSKYI</t>
  </si>
  <si>
    <t>PLANTDENS</t>
  </si>
  <si>
    <t>REGSTAND</t>
  </si>
  <si>
    <t>PLOTHARVEST</t>
  </si>
  <si>
    <t>HI</t>
  </si>
  <si>
    <t>NHI</t>
  </si>
  <si>
    <t>PLOTSURF</t>
  </si>
  <si>
    <t>PODSHAT</t>
  </si>
  <si>
    <t>SYNORM</t>
  </si>
  <si>
    <t>PlantSize</t>
  </si>
  <si>
    <t>GRWSTG_C1</t>
  </si>
  <si>
    <t>GRWSTG_F1</t>
  </si>
  <si>
    <t>GRWSTG_F2</t>
  </si>
  <si>
    <t>GRWSTG_FLO</t>
  </si>
  <si>
    <t>GRWSTG_ENDFLO</t>
  </si>
  <si>
    <t>GRWSTG_G1</t>
  </si>
  <si>
    <t>GRWSTG_G4</t>
  </si>
  <si>
    <t>GRWSTG_PODDEV</t>
  </si>
  <si>
    <t>GRWSTG_G5</t>
  </si>
  <si>
    <t>GRWSTG_PODMATURITY</t>
  </si>
  <si>
    <t>EMERG</t>
  </si>
  <si>
    <t>ERUCIC</t>
  </si>
  <si>
    <t>PALMITIC</t>
  </si>
  <si>
    <t>STEARIC</t>
  </si>
  <si>
    <t>OLEIC</t>
  </si>
  <si>
    <t>LINOLEIC</t>
  </si>
  <si>
    <t>LINOLENIC</t>
  </si>
  <si>
    <t>Pr</t>
  </si>
  <si>
    <t>GLS</t>
  </si>
  <si>
    <t>SEEDH2O_NIRS</t>
  </si>
  <si>
    <t>PRMEAL</t>
  </si>
  <si>
    <t>SEEDH2O_HARV</t>
  </si>
  <si>
    <t>SEEDH2O_LAB</t>
  </si>
  <si>
    <t>SEEDIMPUR</t>
  </si>
  <si>
    <t>BIOTIC</t>
  </si>
  <si>
    <t>CLIMATIC</t>
  </si>
  <si>
    <t>LODGING</t>
  </si>
  <si>
    <t>Plant_Density</t>
  </si>
  <si>
    <t>Regularity_Stand</t>
  </si>
  <si>
    <t>Plot_Harvest_Weight</t>
  </si>
  <si>
    <t>Harvest_Index</t>
  </si>
  <si>
    <t>Nitrogen_Harvest_Index</t>
  </si>
  <si>
    <t>Plot_Surface</t>
  </si>
  <si>
    <t>Pod_shattering</t>
  </si>
  <si>
    <t>Seed_Nb_Surface</t>
  </si>
  <si>
    <t xml:space="preserve">Seed_Yield_q/ha  </t>
  </si>
  <si>
    <t xml:space="preserve">Seed_Yield_Normalized_q/ha  </t>
  </si>
  <si>
    <t>1000_Seed_Weight</t>
  </si>
  <si>
    <t>Plant_Size</t>
  </si>
  <si>
    <t>Growth_Stage_C1</t>
  </si>
  <si>
    <t>Growth_Stage_F1</t>
  </si>
  <si>
    <t>Growth_Stage_F2</t>
  </si>
  <si>
    <t>Growth_Stage_Flowering</t>
  </si>
  <si>
    <t>Growth_Stage_End_Flowering</t>
  </si>
  <si>
    <t>Growth_Stage_G1</t>
  </si>
  <si>
    <t>Growth_Stage_G4</t>
  </si>
  <si>
    <t>Growth_Stage_Pod_Development</t>
  </si>
  <si>
    <t>Growth_Stage_G5</t>
  </si>
  <si>
    <t>Growth_Stage_Pod_Maturity</t>
  </si>
  <si>
    <t>Plant_Emergence</t>
  </si>
  <si>
    <t>Erucic_Acid</t>
  </si>
  <si>
    <t xml:space="preserve">Palmitic_Acid </t>
  </si>
  <si>
    <t>Stearic_Acid</t>
  </si>
  <si>
    <t xml:space="preserve">Oleic_Acid </t>
  </si>
  <si>
    <t xml:space="preserve">Linoleic_Acid </t>
  </si>
  <si>
    <t xml:space="preserve">Linolenic_Acid </t>
  </si>
  <si>
    <t>Oil_%</t>
  </si>
  <si>
    <t>Protein_%</t>
  </si>
  <si>
    <t>Seed_Moisture_NIRS</t>
  </si>
  <si>
    <t>Protein_Meal_%</t>
  </si>
  <si>
    <t>Seed_Moisture_Harvest</t>
  </si>
  <si>
    <t>Seed_Moisture_Lab</t>
  </si>
  <si>
    <t>Biotic_Stress</t>
  </si>
  <si>
    <t>Climatic_Stress</t>
  </si>
  <si>
    <t>Plant_Lodging</t>
  </si>
  <si>
    <t xml:space="preserve">Number of viable plants counted per surface unit. </t>
  </si>
  <si>
    <t>Scoring of the regularity of the plant stand.</t>
  </si>
  <si>
    <t>Weight (kg) of raw materials harvested by plot.</t>
  </si>
  <si>
    <t>Oil yield per ha.</t>
  </si>
  <si>
    <t>Surface of the elementary experimental plot.</t>
  </si>
  <si>
    <t>Scoring of pods open just before harvest.</t>
  </si>
  <si>
    <t>Protein yield per ha.</t>
  </si>
  <si>
    <t>Number of seeds per square meter.</t>
  </si>
  <si>
    <t>Weight (q) of seeds that was harvested per ha calculated with moisture and impurity contents at 0% each.</t>
  </si>
  <si>
    <t>Weight (q) of seeds that was harvested per ha with moisture and impurity contents standardized with commercial values at 9% (SEEDH2ONorm) and 2% (SEEDIMPURNorm) respectively.</t>
  </si>
  <si>
    <t>Determination of the weight of 1000 well-developed mature and dry seeds after harvest.</t>
  </si>
  <si>
    <t>Height of plants in an experimental plot.</t>
  </si>
  <si>
    <t>Bolting date when the first inter-node appears, corresponds to growth stage C1 (CETIOM) or 31 (BBCH scale).</t>
  </si>
  <si>
    <t>First flowers are open, corresponds to growth stage F1 (CETIOM) or 60 (BBCH scale).</t>
  </si>
  <si>
    <t>10% of the flowers are open on the main inflorescence, elongation of the main inflorescence. Corresponds to growth stage F2 (CETIOM) or 61 (BBCH scale).</t>
  </si>
  <si>
    <t>Additional flowering stages according to the BBCH scale (62-65).</t>
  </si>
  <si>
    <t>End of flowering on the main inflorescence, corresponds to growth stage 69 (BBCH scale).</t>
  </si>
  <si>
    <t>10% of the pods have reached their final size, flowering of secondary inflorescences. Corresponds to growth stage G1 (CETIOM) or 71 (BBCH scale).</t>
  </si>
  <si>
    <t>30% of the pods have reached their final size, flowering of secondary inflorescences. Corresponds to growth stage G4 (CETIOM) or 73 (BBCH scale).</t>
  </si>
  <si>
    <t>Additional stages for pod development according to the BBCH scale (72-79).</t>
  </si>
  <si>
    <t>10% of the seeds have reached maturity, seeds are brown and hard. Corresponds to growth stage G5 (CETIOM) or 81 (BBCH scale).</t>
  </si>
  <si>
    <t>Additional stages for pod maturity according to the BBCH scale (82-99).</t>
  </si>
  <si>
    <t xml:space="preserve">Percentage of seeds that emerge. </t>
  </si>
  <si>
    <t>Content of erucic acid in seeds determined by NIRS.</t>
  </si>
  <si>
    <t>Content of palmitic acid in seeds determined by NIRS.</t>
  </si>
  <si>
    <t>Content of stearic acid in seeds determined by NIRS.</t>
  </si>
  <si>
    <t>Content of oleic acid in seeds determined by NIRS.</t>
  </si>
  <si>
    <t>Content of linoleic acid in seedsdetermined by NIRS.</t>
  </si>
  <si>
    <t>Content of linolenic acid in seeds determined by NIRS.</t>
  </si>
  <si>
    <t>Content of oil in seeds determined by NIRS.</t>
  </si>
  <si>
    <t>Content of proteins in seeds determined by NIRS.</t>
  </si>
  <si>
    <t>Content of glucosinolates in seeds determined by NIRS.</t>
  </si>
  <si>
    <t>Moisture content in a sample of seeds determined by NIRS.</t>
  </si>
  <si>
    <t>Content of proteins in the meal determined by NIRS.</t>
  </si>
  <si>
    <t>Moisture content in a sample of seeds determined by humiditer.</t>
  </si>
  <si>
    <t>Moisture content in a sample of cleaned seeds determined by weighing.</t>
  </si>
  <si>
    <t>Percentage of impurities in a sample of seeds determined by weighing.</t>
  </si>
  <si>
    <t>Biotic attack during the crop cycle.</t>
  </si>
  <si>
    <t>Crop problems during the cycle.</t>
  </si>
  <si>
    <t>Climatic incidents during the crop cycle</t>
  </si>
  <si>
    <t>Proportion of seed biomass respect to the total plant biomass (including shoot and root).</t>
  </si>
  <si>
    <t>Proportion of N accumulated in seed to N accumulated in the total plant (including shoot and root).</t>
  </si>
  <si>
    <t>Note</t>
  </si>
  <si>
    <t>Seed nb.m-²</t>
  </si>
  <si>
    <t>Nb of calendar days from the 1st of January (+ or - if stage occurs in December).</t>
  </si>
  <si>
    <t>Nb of calendar days from the 1st of January.</t>
  </si>
  <si>
    <t>% total fatty acids</t>
  </si>
  <si>
    <t>% of Seed Dry Weight</t>
  </si>
  <si>
    <t>Comment about all relevant biotic stresses.</t>
  </si>
  <si>
    <t>Comment about all relevant pbs during the cycle.</t>
  </si>
  <si>
    <t>Comment about all relevant abiotic stresses.</t>
  </si>
  <si>
    <t>Plant nb.m-²</t>
  </si>
  <si>
    <t>q.ha-1</t>
  </si>
  <si>
    <t>μmol.g-1MS</t>
  </si>
  <si>
    <t>Scoring of the plant lodging of the plot.</t>
  </si>
  <si>
    <t>Visual notations (scale 0 - 9). 0 = NA, 1 = high irregular, 3 = irregular, 5 = moderately regular, 7 = regular, 9 = perfectly regular.</t>
  </si>
  <si>
    <t xml:space="preserve">A measurement of the amount (in kg) of raw material that was harvested per plot as determined by on-board weighing on the harvester. </t>
  </si>
  <si>
    <t>Collect plants over 1 m2, separate the plants into 3 fractions as follows: shoots + pods, seeds and roots. Samples are dried at 70°C for 48 hrs and then immediately weighted to get the dry weight of each fraction.                                                                                                        HI = (Seed DW / Total DW ) x 100</t>
  </si>
  <si>
    <t xml:space="preserve"> OY = (O x SY) </t>
  </si>
  <si>
    <t>Surface is determined by the experimental design.                                                              PLOTSURF = L x N x E. Where L = length of the sowing line, N = Nb of sowing lines, E = inter-line spacing.</t>
  </si>
  <si>
    <t>Visual notations (scale 0 - 9). 0 = NA, 1 = high PODSHAT &gt; 90%, 3 = 60-90%, 5 = 30-60%, 7 = 10-30%, 9 = &lt; 10%.</t>
  </si>
  <si>
    <t xml:space="preserve"> PrY = (Pr x SY) </t>
  </si>
  <si>
    <t xml:space="preserve"> SN = (SY / TSW) x 10000</t>
  </si>
  <si>
    <t xml:space="preserve"> SY = (PLOTHARVEST / PLOTSURF) x (((100 - SEEDH2O_HARV or LAB)/100) x ((100 - SEEDIMPUR)/100)) x 100</t>
  </si>
  <si>
    <t xml:space="preserve"> SYNORM = (PLOTHARVEST / PLOTSURF) x (((100 - SEEDH2O_HARV or LAB)/(100 - SEEDH2ONorm)) x ((100 - SEEDIMPUR)/(100 - SEEDIMPURNorm))) x 100</t>
  </si>
  <si>
    <t>The seed sample for SEEDH2O_LAB determination is used for seed counting (NBSEED_sample) using a precision counter.                                                                   TSW = (SEEDH2O_LAB / NBSEED_sample) x 1000</t>
  </si>
  <si>
    <t xml:space="preserve">Height is measured from ground to the top of the plants using a dipstick graduated in cm.                                                              </t>
  </si>
  <si>
    <t xml:space="preserve">Visual notations of the day when growth stage is reached by 50% of the plants in a given plot. </t>
  </si>
  <si>
    <t xml:space="preserve">When GRWSTG_F1 or GWRSTG_F2 are not observed, it is possible to note additional stages according to the BBCH scale such as : 62 = 20% of flowers are open on the main inflorescence, 63 = 30% of flowers are open on the main inflorescence, 64 = 40% of flowers are open on the main inflorescence, 65 = 50% of flowers are open on the main inflorescence (full flowering). Visual notations of the day when growth stage is reached by 50% of the plants in a given plot. </t>
  </si>
  <si>
    <t xml:space="preserve">When GRWSTG_G1 or GWRSTG_G4 are not observed, it is possible to note additional stages according to the BBCH scale such as : 72 = 20% of the pods have reached their final size, 74 = 40%, 75 = 50%, 76 = 60%, 77 = 70%, 78 = 80%, 79 = almost all pods. Visual notations of the day when growth stage is reached by 50% of the plants in a given plot. </t>
  </si>
  <si>
    <t xml:space="preserve">When GRWSTG_G5 is not observed, it is possible to note additional stages according to the BBCH scale such as : 82 = 20% of the pods have reached maturity and seeds are brown and hard, 83 = 30%, 84 = 40%, 85 = 50%, 86 = 60%, 87 = 70%, 88 = 80%, 89 = pod maturity is complete. Visual notations of the day when growth stage is reached by 50% of the plants in a given plot. </t>
  </si>
  <si>
    <t>NIRS assay. XXX calibration.</t>
  </si>
  <si>
    <t>Humidimeter. Rapeseed calibration.</t>
  </si>
  <si>
    <t xml:space="preserve">Differential weighing. A sample of around 5 grammes of cleaned dry mature seeds is weighted before and after drying at 103°C for  15 hours in order to determine the fresh weight (FWg) and the dry weight (DWg) respectively.                                             SEEDH2O_LAB = ((FWg – DWg) / FWg) x 100 </t>
  </si>
  <si>
    <t xml:space="preserve">Visual observations. </t>
  </si>
  <si>
    <t>Visual notation is attributed to the plants for each plot, taking into account the surface and the intensity of lodging   
 LODGING  =  0 : NA                                                                                                            1 : No lodging                                                                                                                       2 : Culture leaning, without impact                                                                     5 : Average loding, low impact                                                                                    7 : High lodging, serious impact                                                                              9 : Total lodging, compromised harvest</t>
  </si>
  <si>
    <t xml:space="preserve">Differential weighing. A sample of around 200 grammes of dry mature seeds is weighted before and after cleaning using a column in order to determine the gross weight (GWg) and the net weight (NWg) respectively.                                                                         SEEDIMPUR = ((GWg – NWg) / GWg) x 100 </t>
  </si>
  <si>
    <t>Plant counting on a line.                                                                                     EMERG = (Number of plants obtained / Number of seeds sown) x 100</t>
  </si>
  <si>
    <t>Samples from HI assay are analysed for N_%DW in the different fractions.                                                                                                                               NHI = (N_%DW_Seed / N_%DW_Plant) x 100</t>
  </si>
  <si>
    <t>Count the number of plants on linear sections defined in each sowing line at the exception of the border lines.  PLANTDENS = (Total nb of plants counted) / (Ls x Nc x E). Where Ls = length of a linear section in m (1 m or more when plant density is variable within a plot),                                                                                                                    Nc = nb of sowing lines chosen for plant counting, E = inter-line spacing.</t>
  </si>
  <si>
    <t>PLANTDENS_value</t>
  </si>
  <si>
    <t>PLANTDENS_date</t>
  </si>
  <si>
    <t>REGSTAND_value</t>
  </si>
  <si>
    <t>REGSTAND_date</t>
  </si>
  <si>
    <t>PLOTHARVEST_value</t>
  </si>
  <si>
    <t>PLOTHARVEST_date</t>
  </si>
  <si>
    <t>HI_value</t>
  </si>
  <si>
    <t>HI_date</t>
  </si>
  <si>
    <t>NHI_value</t>
  </si>
  <si>
    <t>NHI_date</t>
  </si>
  <si>
    <t>PLOTSURF_value</t>
  </si>
  <si>
    <t>PLOTSURF_date</t>
  </si>
  <si>
    <t>PODSHAT_value</t>
  </si>
  <si>
    <t>PODSHAT_date</t>
  </si>
  <si>
    <t>SY-date</t>
  </si>
  <si>
    <t>SYNORM_value</t>
  </si>
  <si>
    <t>SYNORM_date</t>
  </si>
  <si>
    <t>PLANTSIZE_value</t>
  </si>
  <si>
    <t>PLANTSIZE_date</t>
  </si>
  <si>
    <t>GRWSTG_C1_value</t>
  </si>
  <si>
    <t>GRWSTG_C1_date</t>
  </si>
  <si>
    <t>GRWSTG_F1_value</t>
  </si>
  <si>
    <t>GRWSTG_F1_date</t>
  </si>
  <si>
    <t>GRWSTG_F2_value</t>
  </si>
  <si>
    <t>GRWSTG_F2_date</t>
  </si>
  <si>
    <t>GRWSTG_FLO_value</t>
  </si>
  <si>
    <t>GRWSTG_FLO_date</t>
  </si>
  <si>
    <t>GRWSTG_ENDFLO_value</t>
  </si>
  <si>
    <t>GRWSTG_ENDFLO_date</t>
  </si>
  <si>
    <t>GRWSTG_G1_value</t>
  </si>
  <si>
    <t>GRWSTG_G1_date</t>
  </si>
  <si>
    <t>GRWSTG_G4_value</t>
  </si>
  <si>
    <t>GRWSTG_G4_date</t>
  </si>
  <si>
    <t>GRWSTG_PODDEV_value</t>
  </si>
  <si>
    <t>GRWSTG_PODDEV_date</t>
  </si>
  <si>
    <t>GRWSTG_G5_value</t>
  </si>
  <si>
    <t>GRWSTG_G5_date</t>
  </si>
  <si>
    <t>GRWSTG_PODMATURITY_value</t>
  </si>
  <si>
    <t>GRWSTG_PODMATURITY_date</t>
  </si>
  <si>
    <t>EMERG_value</t>
  </si>
  <si>
    <t>EMERG_date</t>
  </si>
  <si>
    <t>ERUCIC_value</t>
  </si>
  <si>
    <t>ERUCIC_date</t>
  </si>
  <si>
    <t>PALMITIC_value</t>
  </si>
  <si>
    <t>PALMITIC-date</t>
  </si>
  <si>
    <t>STEARIC_value</t>
  </si>
  <si>
    <t>STEARIC_date</t>
  </si>
  <si>
    <t>OLEIC_value</t>
  </si>
  <si>
    <t>OLEIC_date</t>
  </si>
  <si>
    <t>LINOLEIC_value</t>
  </si>
  <si>
    <t>LINOLEIC_date</t>
  </si>
  <si>
    <t>LINOLENIC_value</t>
  </si>
  <si>
    <t>LINOLENIC_date</t>
  </si>
  <si>
    <t>Pr_value</t>
  </si>
  <si>
    <t>Pr_date</t>
  </si>
  <si>
    <t>GLS_value</t>
  </si>
  <si>
    <t>GLS_date</t>
  </si>
  <si>
    <t>SEEDH2O_NIRS_value</t>
  </si>
  <si>
    <t>SEEDH2O_NIRS_date</t>
  </si>
  <si>
    <t>PRMEAL_value</t>
  </si>
  <si>
    <t>PRMEAL_date</t>
  </si>
  <si>
    <t>SEEDH2O_HARV_value</t>
  </si>
  <si>
    <t>SEEDH2O_HARV_date</t>
  </si>
  <si>
    <t>SEEDH2O_LAB_value</t>
  </si>
  <si>
    <t>SEEDH2O_LAB_date</t>
  </si>
  <si>
    <t>SEEDIMPUR_value</t>
  </si>
  <si>
    <t>SEEDIMPUR_date</t>
  </si>
  <si>
    <t>LODGING_value</t>
  </si>
  <si>
    <t>LODGING_date</t>
  </si>
  <si>
    <t>Fertilisation limitante (80U)</t>
  </si>
  <si>
    <t>Fertilisation optimale (160U)</t>
  </si>
  <si>
    <t>DKEXSTORM</t>
  </si>
  <si>
    <t xml:space="preserve">BIOTIC </t>
  </si>
  <si>
    <t>Meteo_data</t>
  </si>
  <si>
    <t>See tab</t>
  </si>
  <si>
    <t>Excel</t>
  </si>
  <si>
    <t>Soil_data</t>
  </si>
  <si>
    <t>INN_data</t>
  </si>
  <si>
    <t>Parcellaire_data</t>
  </si>
  <si>
    <t>ITK_data</t>
  </si>
  <si>
    <t>Action</t>
  </si>
  <si>
    <t>Produits</t>
  </si>
  <si>
    <t>Cibles</t>
  </si>
  <si>
    <t>Détails</t>
  </si>
  <si>
    <t>Herbicides</t>
  </si>
  <si>
    <t>Semis colza</t>
  </si>
  <si>
    <t>Insecticides</t>
  </si>
  <si>
    <t>Fertilisation 1</t>
  </si>
  <si>
    <t>Fongicides</t>
  </si>
  <si>
    <t>Récolte</t>
  </si>
  <si>
    <t>Pictor Pro 0,25kg/ha</t>
  </si>
  <si>
    <t>Colzor trio 3,5l/ha</t>
  </si>
  <si>
    <t>decis expert  0,3l/ha</t>
  </si>
  <si>
    <t>Irrigation</t>
  </si>
  <si>
    <t>à la levée</t>
  </si>
  <si>
    <t>160u dose N2  et 80u dose N1</t>
  </si>
  <si>
    <r>
      <rPr>
        <b/>
        <sz val="12"/>
        <rFont val="Geneva"/>
      </rPr>
      <t>Type of soil</t>
    </r>
    <r>
      <rPr>
        <sz val="12"/>
        <rFont val="Geneva"/>
        <family val="2"/>
        <charset val="1"/>
      </rPr>
      <t xml:space="preserve"> : Argilo-Calcaires</t>
    </r>
  </si>
  <si>
    <t>Pas de temps</t>
  </si>
  <si>
    <t>Journalier</t>
  </si>
  <si>
    <t>Date de début</t>
  </si>
  <si>
    <t>Date de fin</t>
  </si>
  <si>
    <t>Nom de la station</t>
  </si>
  <si>
    <t xml:space="preserve">Station </t>
  </si>
  <si>
    <t>___Temperature___</t>
  </si>
  <si>
    <t>Mean</t>
  </si>
  <si>
    <t>température moyenne  de la journée</t>
  </si>
  <si>
    <t>°C</t>
  </si>
  <si>
    <t>High</t>
  </si>
  <si>
    <t>température la plus élevée  de la journée</t>
  </si>
  <si>
    <t>Low</t>
  </si>
  <si>
    <t>température la plus basse  de la journée</t>
  </si>
  <si>
    <t>RH</t>
  </si>
  <si>
    <t>humidité relative moyenne de la journée</t>
  </si>
  <si>
    <t>Solar</t>
  </si>
  <si>
    <t>W/m2</t>
  </si>
  <si>
    <t>rayonnement moyen de la journée</t>
  </si>
  <si>
    <t>wat/m2</t>
  </si>
  <si>
    <t>Wind</t>
  </si>
  <si>
    <t>Speed</t>
  </si>
  <si>
    <t>vitesse du vent moyen de la journée</t>
  </si>
  <si>
    <t>km/h</t>
  </si>
  <si>
    <t>Rain-</t>
  </si>
  <si>
    <t>Fall</t>
  </si>
  <si>
    <t>précipitation de la journée</t>
  </si>
  <si>
    <t>mm</t>
  </si>
  <si>
    <t>ET</t>
  </si>
  <si>
    <t>Ref</t>
  </si>
  <si>
    <t xml:space="preserve">évapotranspiration de référence </t>
  </si>
  <si>
    <t>évapotranspiration calculée en fonction du coef choisi pour  la culture,</t>
  </si>
  <si>
    <t>Irrig</t>
  </si>
  <si>
    <t>ation</t>
  </si>
  <si>
    <t>perte en eau  de la journée</t>
  </si>
  <si>
    <t>Net</t>
  </si>
  <si>
    <t>Water</t>
  </si>
  <si>
    <t>cumul de la perte d'eau depuis le début du calcul d'ETP</t>
  </si>
  <si>
    <t>Cum</t>
  </si>
  <si>
    <t>4/5</t>
  </si>
  <si>
    <t>1/5</t>
  </si>
  <si>
    <t>Total</t>
  </si>
  <si>
    <t>N % DUMAS Spécial Ferti</t>
  </si>
  <si>
    <t>Manip</t>
  </si>
  <si>
    <t>Modalite</t>
  </si>
  <si>
    <t>Genotype</t>
  </si>
  <si>
    <t>Stade</t>
  </si>
  <si>
    <t>Nbr</t>
  </si>
  <si>
    <t>MF (g)</t>
  </si>
  <si>
    <t>MS (g)</t>
  </si>
  <si>
    <t>% Humidité</t>
  </si>
  <si>
    <t>MF Feuilles (g)</t>
  </si>
  <si>
    <t>MF Tige (g)</t>
  </si>
  <si>
    <t>MF Aér</t>
  </si>
  <si>
    <t>MS Feuilles (g)</t>
  </si>
  <si>
    <t>MS Tige (g)</t>
  </si>
  <si>
    <t>MS Aér (g)</t>
  </si>
  <si>
    <t>MS Totale (t)</t>
  </si>
  <si>
    <t>%N critique</t>
  </si>
  <si>
    <t>Feuilles</t>
  </si>
  <si>
    <t>Tiges</t>
  </si>
  <si>
    <t>Qté N Total</t>
  </si>
  <si>
    <t>% Azote MS (1/5)</t>
  </si>
  <si>
    <t>INN</t>
  </si>
  <si>
    <t>INN1</t>
  </si>
  <si>
    <t>INN2</t>
  </si>
  <si>
    <t>INN3</t>
  </si>
  <si>
    <t>INN4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</si>
  <si>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</si>
  <si>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</si>
  <si>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</si>
  <si>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</si>
  <si>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</si>
  <si>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</si>
  <si>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</si>
  <si>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</si>
  <si>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</si>
  <si>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</si>
  <si>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</si>
  <si>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</si>
  <si>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rep</t>
  </si>
  <si>
    <t xml:space="preserve"> </t>
  </si>
  <si>
    <t xml:space="preserve">    </t>
  </si>
  <si>
    <t xml:space="preserve">  </t>
  </si>
  <si>
    <t xml:space="preserve"> B1 N2</t>
  </si>
  <si>
    <t xml:space="preserve"> B2 N1</t>
  </si>
  <si>
    <t xml:space="preserve"> B3 N1</t>
  </si>
  <si>
    <t xml:space="preserve"> B4 N2</t>
  </si>
  <si>
    <t>Mesurée directement sur la machine avec une sonde Almaco</t>
  </si>
  <si>
    <t>Maes</t>
  </si>
  <si>
    <t>Olivier</t>
  </si>
  <si>
    <t>MAES@MAISADOUR.com</t>
  </si>
  <si>
    <t>MAISADOUR</t>
  </si>
  <si>
    <t>Pas de prélèvements effectués</t>
  </si>
  <si>
    <t>Pas de données : Station la plus proche : Le Breuil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</si>
</sst>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"/>
    <numFmt numFmtId="165" formatCode="d/mm/yyyy;@"/>
    <numFmt numFmtId="166" formatCode="0.0000"/>
  </numFmts>
  <fonts count="55">
    <font>
      <sz val="9"/>
      <name val="Geneva"/>
      <family val="2"/>
      <charset val="1"/>
    </font>
    <font>
      <u/>
      <sz val="10"/>
      <color indexed="12"/>
      <name val="Arial"/>
      <family val="2"/>
      <charset val="1"/>
    </font>
    <font>
      <u/>
      <sz val="11"/>
      <color indexed="12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238"/>
    </font>
    <font>
      <b/>
      <sz val="8"/>
      <name val="Arial"/>
      <family val="2"/>
      <charset val="1"/>
    </font>
    <font>
      <b/>
      <sz val="10"/>
      <name val="Arial"/>
      <family val="2"/>
      <charset val="1"/>
    </font>
    <font>
      <b/>
      <sz val="10"/>
      <color indexed="10"/>
      <name val="Arial"/>
      <family val="2"/>
      <charset val="1"/>
    </font>
    <font>
      <b/>
      <sz val="10"/>
      <color indexed="12"/>
      <name val="Arial"/>
      <family val="2"/>
      <charset val="1"/>
    </font>
    <font>
      <sz val="10"/>
      <color indexed="40"/>
      <name val="Arial"/>
      <family val="2"/>
      <charset val="1"/>
    </font>
    <font>
      <sz val="10"/>
      <color indexed="49"/>
      <name val="Arial"/>
      <family val="2"/>
      <charset val="1"/>
    </font>
    <font>
      <b/>
      <sz val="10"/>
      <color indexed="8"/>
      <name val="Arial"/>
      <family val="2"/>
      <charset val="1"/>
    </font>
    <font>
      <b/>
      <sz val="9"/>
      <name val="Geneva"/>
      <family val="2"/>
      <charset val="1"/>
    </font>
    <font>
      <b/>
      <sz val="9"/>
      <color indexed="10"/>
      <name val="Geneva"/>
      <family val="2"/>
      <charset val="1"/>
    </font>
    <font>
      <sz val="10"/>
      <color indexed="12"/>
      <name val="Arial"/>
      <family val="2"/>
      <charset val="1"/>
    </font>
    <font>
      <sz val="10"/>
      <color indexed="8"/>
      <name val="Arial"/>
      <family val="2"/>
      <charset val="1"/>
    </font>
    <font>
      <b/>
      <sz val="9"/>
      <color indexed="8"/>
      <name val="Tahoma"/>
      <family val="2"/>
      <charset val="1"/>
    </font>
    <font>
      <sz val="9"/>
      <color indexed="8"/>
      <name val="Tahoma"/>
      <family val="2"/>
      <charset val="1"/>
    </font>
    <font>
      <i/>
      <u/>
      <sz val="10"/>
      <name val="Arial"/>
      <family val="2"/>
      <charset val="1"/>
    </font>
    <font>
      <i/>
      <sz val="10"/>
      <name val="Arial"/>
      <family val="2"/>
      <charset val="1"/>
    </font>
    <font>
      <sz val="10"/>
      <color indexed="16"/>
      <name val="Arial"/>
      <family val="2"/>
      <charset val="1"/>
    </font>
    <font>
      <sz val="9"/>
      <name val="Geneva"/>
      <family val="2"/>
    </font>
    <font>
      <sz val="8"/>
      <color indexed="10"/>
      <name val="Calibri"/>
      <family val="2"/>
      <charset val="1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sz val="9"/>
      <name val="Arial"/>
      <family val="2"/>
    </font>
    <font>
      <sz val="10"/>
      <color indexed="56"/>
      <name val="Arial"/>
      <family val="2"/>
      <charset val="1"/>
    </font>
    <font>
      <sz val="9"/>
      <name val="Geneva"/>
      <family val="2"/>
      <charset val="1"/>
    </font>
    <font>
      <sz val="9"/>
      <color rgb="FFFF0000"/>
      <name val="Geneva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Arial"/>
      <family val="2"/>
      <charset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rgb="FFFF0000"/>
      <name val="Arial"/>
      <family val="2"/>
    </font>
    <font>
      <sz val="9"/>
      <color rgb="FFFF0000"/>
      <name val="Arial"/>
      <family val="2"/>
      <charset val="1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8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Geneva"/>
      <family val="2"/>
      <charset val="1"/>
    </font>
    <font>
      <b/>
      <sz val="12"/>
      <name val="Geneva"/>
    </font>
    <font>
      <sz val="12"/>
      <name val="Geneva"/>
    </font>
    <font>
      <b/>
      <sz val="12"/>
      <name val="Arial"/>
      <family val="2"/>
    </font>
    <font>
      <b/>
      <sz val="10"/>
      <name val="Arial"/>
      <family val="2"/>
    </font>
    <font>
      <sz val="10"/>
      <name val="Courier New"/>
      <family val="3"/>
    </font>
    <font>
      <sz val="11"/>
      <color rgb="FFFF0000"/>
      <name val="Calibri"/>
      <family val="2"/>
    </font>
    <font>
      <sz val="18"/>
      <name val="Arial"/>
      <family val="2"/>
    </font>
    <font>
      <sz val="14"/>
      <name val="Geneva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indexed="26"/>
        <bgColor indexed="47"/>
      </patternFill>
    </fill>
    <fill>
      <patternFill patternType="solid">
        <fgColor indexed="22"/>
        <bgColor indexed="47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8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63"/>
      </left>
      <right/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63"/>
      </left>
      <right style="hair">
        <color indexed="63"/>
      </right>
      <top/>
      <bottom style="hair">
        <color indexed="63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5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2" fillId="0" borderId="0" applyNumberFormat="0" applyFill="0" applyBorder="0" applyProtection="0"/>
    <xf numFmtId="0" fontId="1" fillId="0" borderId="0" applyNumberFormat="0" applyFill="0" applyBorder="0" applyProtection="0"/>
    <xf numFmtId="0" fontId="3" fillId="0" borderId="0"/>
    <xf numFmtId="0" fontId="30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5" fillId="0" borderId="0"/>
    <xf numFmtId="0" fontId="22" fillId="0" borderId="0"/>
    <xf numFmtId="0" fontId="27" fillId="0" borderId="0" applyNumberFormat="0" applyFont="0" applyFill="0" applyBorder="0" applyAlignment="0" applyProtection="0"/>
    <xf numFmtId="0" fontId="27" fillId="0" borderId="0"/>
  </cellStyleXfs>
  <cellXfs count="285">
    <xf numFmtId="0" fontId="0" fillId="0" borderId="0" xfId="0"/>
    <xf numFmtId="0" fontId="3" fillId="0" borderId="0" xfId="0" applyFont="1" applyAlignment="1">
      <alignment horizontal="left"/>
    </xf>
    <xf numFmtId="0" fontId="6" fillId="0" borderId="0" xfId="6" applyFont="1" applyAlignment="1">
      <alignment horizontal="left"/>
    </xf>
    <xf numFmtId="164" fontId="6" fillId="0" borderId="0" xfId="6" applyNumberFormat="1" applyFont="1" applyAlignment="1">
      <alignment horizontal="left"/>
    </xf>
    <xf numFmtId="0" fontId="7" fillId="0" borderId="0" xfId="6" applyFont="1" applyAlignment="1">
      <alignment horizontal="left"/>
    </xf>
    <xf numFmtId="0" fontId="3" fillId="0" borderId="0" xfId="9" applyFont="1" applyAlignment="1">
      <alignment horizontal="left"/>
    </xf>
    <xf numFmtId="164" fontId="7" fillId="0" borderId="0" xfId="6" applyNumberFormat="1" applyFont="1" applyAlignment="1">
      <alignment horizontal="left"/>
    </xf>
    <xf numFmtId="0" fontId="3" fillId="0" borderId="0" xfId="6" applyFont="1" applyAlignment="1">
      <alignment horizontal="left"/>
    </xf>
    <xf numFmtId="0" fontId="3" fillId="0" borderId="0" xfId="9" applyFont="1" applyBorder="1" applyAlignment="1">
      <alignment horizontal="left"/>
    </xf>
    <xf numFmtId="0" fontId="11" fillId="0" borderId="0" xfId="9" applyFont="1" applyBorder="1" applyAlignment="1">
      <alignment horizontal="left"/>
    </xf>
    <xf numFmtId="0" fontId="7" fillId="0" borderId="0" xfId="9" applyFont="1" applyAlignment="1">
      <alignment horizontal="left"/>
    </xf>
    <xf numFmtId="0" fontId="9" fillId="0" borderId="0" xfId="9" applyFont="1" applyAlignment="1">
      <alignment horizontal="left"/>
    </xf>
    <xf numFmtId="0" fontId="8" fillId="0" borderId="0" xfId="9" applyFont="1" applyFill="1" applyAlignment="1">
      <alignment horizontal="left"/>
    </xf>
    <xf numFmtId="0" fontId="7" fillId="2" borderId="1" xfId="9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49" fontId="12" fillId="2" borderId="1" xfId="0" applyNumberFormat="1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7" fillId="0" borderId="1" xfId="9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" xfId="9" applyFont="1" applyFill="1" applyBorder="1" applyAlignment="1">
      <alignment horizontal="left" vertical="center" wrapText="1"/>
    </xf>
    <xf numFmtId="0" fontId="3" fillId="0" borderId="1" xfId="5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5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1" xfId="9" applyFont="1" applyBorder="1" applyAlignment="1">
      <alignment horizontal="left" vertical="center" wrapText="1"/>
    </xf>
    <xf numFmtId="0" fontId="3" fillId="0" borderId="1" xfId="0" applyFont="1" applyFill="1" applyBorder="1" applyAlignment="1" applyProtection="1">
      <alignment horizontal="left" vertical="center" wrapText="1"/>
      <protection locked="0"/>
    </xf>
    <xf numFmtId="49" fontId="3" fillId="0" borderId="1" xfId="0" applyNumberFormat="1" applyFont="1" applyFill="1" applyBorder="1" applyAlignment="1">
      <alignment horizontal="left" vertical="center" wrapText="1"/>
    </xf>
    <xf numFmtId="0" fontId="3" fillId="0" borderId="7" xfId="0" applyFont="1" applyFill="1" applyBorder="1" applyAlignment="1" applyProtection="1">
      <alignment horizontal="left" vertical="center" wrapText="1"/>
      <protection locked="0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9" applyFont="1" applyFill="1" applyBorder="1" applyAlignment="1">
      <alignment horizontal="center" vertical="center" wrapText="1"/>
    </xf>
    <xf numFmtId="0" fontId="3" fillId="0" borderId="1" xfId="9" applyFont="1" applyBorder="1" applyAlignment="1">
      <alignment horizontal="left" vertical="center" wrapText="1"/>
    </xf>
    <xf numFmtId="0" fontId="3" fillId="0" borderId="7" xfId="9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Border="1" applyAlignment="1">
      <alignment horizontal="left" vertical="center" wrapText="1"/>
    </xf>
    <xf numFmtId="0" fontId="3" fillId="0" borderId="0" xfId="9" applyFont="1" applyBorder="1" applyAlignment="1">
      <alignment horizontal="left" vertical="center" wrapText="1"/>
    </xf>
    <xf numFmtId="0" fontId="3" fillId="0" borderId="0" xfId="9" applyFont="1" applyBorder="1" applyAlignment="1">
      <alignment horizontal="left" wrapText="1"/>
    </xf>
    <xf numFmtId="0" fontId="3" fillId="0" borderId="8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8" fillId="0" borderId="8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2" borderId="1" xfId="9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7" fillId="0" borderId="2" xfId="9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2" fillId="0" borderId="2" xfId="9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3" fillId="0" borderId="1" xfId="9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left" wrapText="1"/>
    </xf>
    <xf numFmtId="0" fontId="3" fillId="0" borderId="0" xfId="9" applyFont="1" applyBorder="1" applyAlignment="1">
      <alignment horizontal="left" vertical="center"/>
    </xf>
    <xf numFmtId="0" fontId="8" fillId="0" borderId="0" xfId="9" applyFont="1" applyFill="1" applyBorder="1" applyAlignment="1">
      <alignment horizontal="left"/>
    </xf>
    <xf numFmtId="0" fontId="8" fillId="2" borderId="1" xfId="9" applyFont="1" applyFill="1" applyBorder="1" applyAlignment="1">
      <alignment horizontal="left"/>
    </xf>
    <xf numFmtId="0" fontId="12" fillId="2" borderId="1" xfId="9" applyFont="1" applyFill="1" applyBorder="1" applyAlignment="1">
      <alignment horizontal="left"/>
    </xf>
    <xf numFmtId="0" fontId="15" fillId="0" borderId="1" xfId="9" applyFont="1" applyBorder="1" applyAlignment="1">
      <alignment horizontal="left" vertical="center" wrapText="1"/>
    </xf>
    <xf numFmtId="0" fontId="3" fillId="0" borderId="1" xfId="9" applyFont="1" applyBorder="1" applyAlignment="1">
      <alignment horizontal="left"/>
    </xf>
    <xf numFmtId="0" fontId="3" fillId="0" borderId="0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/>
    </xf>
    <xf numFmtId="0" fontId="7" fillId="0" borderId="0" xfId="9" applyFont="1" applyBorder="1" applyAlignment="1">
      <alignment horizontal="left" vertical="center" wrapText="1"/>
    </xf>
    <xf numFmtId="0" fontId="8" fillId="0" borderId="0" xfId="9" applyFont="1" applyBorder="1" applyAlignment="1">
      <alignment horizontal="left" vertical="center" wrapText="1"/>
    </xf>
    <xf numFmtId="0" fontId="7" fillId="0" borderId="0" xfId="9" applyFont="1" applyBorder="1" applyAlignment="1">
      <alignment horizontal="left" vertical="center"/>
    </xf>
    <xf numFmtId="0" fontId="7" fillId="0" borderId="0" xfId="9" applyFont="1" applyFill="1" applyBorder="1" applyAlignment="1">
      <alignment horizontal="left" vertical="center"/>
    </xf>
    <xf numFmtId="0" fontId="8" fillId="2" borderId="1" xfId="0" applyFont="1" applyFill="1" applyBorder="1" applyAlignment="1" applyProtection="1">
      <alignment horizontal="left"/>
    </xf>
    <xf numFmtId="0" fontId="12" fillId="2" borderId="1" xfId="0" applyFont="1" applyFill="1" applyBorder="1" applyAlignment="1" applyProtection="1">
      <alignment horizontal="left"/>
    </xf>
    <xf numFmtId="0" fontId="12" fillId="2" borderId="7" xfId="0" applyFont="1" applyFill="1" applyBorder="1" applyAlignment="1" applyProtection="1">
      <alignment horizontal="left"/>
    </xf>
    <xf numFmtId="0" fontId="3" fillId="0" borderId="5" xfId="0" applyFont="1" applyBorder="1" applyAlignment="1">
      <alignment horizontal="left" wrapText="1"/>
    </xf>
    <xf numFmtId="0" fontId="7" fillId="0" borderId="6" xfId="0" applyFont="1" applyBorder="1" applyAlignment="1">
      <alignment horizontal="left" vertical="center" wrapText="1"/>
    </xf>
    <xf numFmtId="0" fontId="3" fillId="0" borderId="1" xfId="0" applyFont="1" applyFill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1" fillId="0" borderId="7" xfId="1" applyNumberFormat="1" applyFont="1" applyFill="1" applyBorder="1" applyAlignment="1" applyProtection="1">
      <alignment horizontal="left" vertical="center" wrapText="1"/>
    </xf>
    <xf numFmtId="0" fontId="8" fillId="2" borderId="1" xfId="10" applyFont="1" applyFill="1" applyBorder="1" applyAlignment="1">
      <alignment horizontal="left"/>
    </xf>
    <xf numFmtId="0" fontId="7" fillId="2" borderId="1" xfId="10" applyFont="1" applyFill="1" applyBorder="1" applyAlignment="1">
      <alignment horizontal="left"/>
    </xf>
    <xf numFmtId="0" fontId="3" fillId="0" borderId="1" xfId="1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wrapText="1"/>
    </xf>
    <xf numFmtId="0" fontId="3" fillId="0" borderId="8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49" fontId="8" fillId="2" borderId="1" xfId="0" applyNumberFormat="1" applyFont="1" applyFill="1" applyBorder="1" applyAlignment="1" applyProtection="1">
      <alignment horizontal="left"/>
    </xf>
    <xf numFmtId="49" fontId="12" fillId="2" borderId="1" xfId="0" applyNumberFormat="1" applyFont="1" applyFill="1" applyBorder="1" applyAlignment="1" applyProtection="1">
      <alignment horizontal="left"/>
    </xf>
    <xf numFmtId="0" fontId="9" fillId="2" borderId="1" xfId="0" applyFont="1" applyFill="1" applyBorder="1" applyAlignment="1" applyProtection="1">
      <alignment horizontal="left"/>
      <protection locked="0"/>
    </xf>
    <xf numFmtId="0" fontId="12" fillId="2" borderId="6" xfId="0" applyFont="1" applyFill="1" applyBorder="1" applyAlignment="1">
      <alignment horizontal="left"/>
    </xf>
    <xf numFmtId="49" fontId="19" fillId="0" borderId="1" xfId="0" applyNumberFormat="1" applyFont="1" applyFill="1" applyBorder="1" applyAlignment="1" applyProtection="1">
      <alignment horizontal="left" vertical="center" wrapText="1"/>
    </xf>
    <xf numFmtId="49" fontId="19" fillId="0" borderId="1" xfId="0" applyNumberFormat="1" applyFont="1" applyFill="1" applyBorder="1" applyAlignment="1" applyProtection="1">
      <alignment horizontal="left" wrapText="1"/>
    </xf>
    <xf numFmtId="0" fontId="3" fillId="0" borderId="0" xfId="0" applyFont="1" applyFill="1" applyBorder="1" applyAlignment="1">
      <alignment horizontal="left"/>
    </xf>
    <xf numFmtId="0" fontId="19" fillId="0" borderId="1" xfId="9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/>
    </xf>
    <xf numFmtId="0" fontId="7" fillId="0" borderId="0" xfId="0" applyFont="1"/>
    <xf numFmtId="0" fontId="0" fillId="2" borderId="1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0" borderId="1" xfId="3" applyNumberFormat="1" applyFont="1" applyFill="1" applyBorder="1" applyAlignment="1" applyProtection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4" fillId="2" borderId="1" xfId="0" applyFont="1" applyFill="1" applyBorder="1"/>
    <xf numFmtId="0" fontId="3" fillId="0" borderId="1" xfId="0" applyFont="1" applyFill="1" applyBorder="1" applyAlignment="1" applyProtection="1">
      <alignment horizontal="center"/>
      <protection locked="0"/>
    </xf>
    <xf numFmtId="0" fontId="21" fillId="3" borderId="11" xfId="0" applyFont="1" applyFill="1" applyBorder="1" applyAlignment="1">
      <alignment vertical="center"/>
    </xf>
    <xf numFmtId="0" fontId="0" fillId="0" borderId="12" xfId="0" applyFill="1" applyBorder="1"/>
    <xf numFmtId="0" fontId="16" fillId="4" borderId="12" xfId="0" applyFont="1" applyFill="1" applyBorder="1"/>
    <xf numFmtId="0" fontId="8" fillId="3" borderId="13" xfId="0" applyFont="1" applyFill="1" applyBorder="1" applyAlignment="1">
      <alignment horizontal="center" vertical="center"/>
    </xf>
    <xf numFmtId="0" fontId="12" fillId="0" borderId="14" xfId="9" applyFont="1" applyFill="1" applyBorder="1" applyAlignment="1">
      <alignment horizontal="center"/>
    </xf>
    <xf numFmtId="0" fontId="9" fillId="4" borderId="14" xfId="0" applyFont="1" applyFill="1" applyBorder="1" applyAlignment="1">
      <alignment horizontal="center"/>
    </xf>
    <xf numFmtId="0" fontId="16" fillId="3" borderId="15" xfId="0" applyFont="1" applyFill="1" applyBorder="1" applyAlignment="1">
      <alignment vertical="center"/>
    </xf>
    <xf numFmtId="0" fontId="0" fillId="0" borderId="12" xfId="0" applyBorder="1"/>
    <xf numFmtId="0" fontId="8" fillId="3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Fill="1" applyBorder="1"/>
    <xf numFmtId="0" fontId="12" fillId="0" borderId="1" xfId="9" applyFont="1" applyFill="1" applyBorder="1" applyAlignment="1">
      <alignment horizontal="center"/>
    </xf>
    <xf numFmtId="0" fontId="23" fillId="0" borderId="1" xfId="0" applyFont="1" applyBorder="1"/>
    <xf numFmtId="0" fontId="16" fillId="3" borderId="11" xfId="0" applyFont="1" applyFill="1" applyBorder="1" applyAlignment="1">
      <alignment vertical="center"/>
    </xf>
    <xf numFmtId="0" fontId="12" fillId="0" borderId="14" xfId="9" applyFont="1" applyBorder="1" applyAlignment="1">
      <alignment horizontal="center" vertical="center"/>
    </xf>
    <xf numFmtId="0" fontId="16" fillId="3" borderId="16" xfId="0" applyFont="1" applyFill="1" applyBorder="1" applyAlignment="1">
      <alignment vertical="center"/>
    </xf>
    <xf numFmtId="0" fontId="24" fillId="0" borderId="0" xfId="1" applyNumberFormat="1" applyFont="1" applyFill="1" applyBorder="1" applyAlignment="1" applyProtection="1">
      <protection locked="0"/>
    </xf>
    <xf numFmtId="0" fontId="22" fillId="0" borderId="0" xfId="0" applyFont="1" applyAlignment="1">
      <alignment wrapText="1"/>
    </xf>
    <xf numFmtId="0" fontId="3" fillId="5" borderId="11" xfId="0" applyFont="1" applyFill="1" applyBorder="1" applyAlignment="1">
      <alignment vertical="center"/>
    </xf>
    <xf numFmtId="0" fontId="3" fillId="0" borderId="0" xfId="0" applyFont="1" applyProtection="1">
      <protection locked="0"/>
    </xf>
    <xf numFmtId="0" fontId="7" fillId="5" borderId="13" xfId="0" applyFont="1" applyFill="1" applyBorder="1" applyAlignment="1">
      <alignment horizontal="center" vertical="center"/>
    </xf>
    <xf numFmtId="0" fontId="7" fillId="0" borderId="0" xfId="0" applyFont="1" applyProtection="1"/>
    <xf numFmtId="0" fontId="22" fillId="3" borderId="16" xfId="0" applyFont="1" applyFill="1" applyBorder="1" applyAlignment="1">
      <alignment vertical="center"/>
    </xf>
    <xf numFmtId="0" fontId="3" fillId="5" borderId="16" xfId="0" applyFont="1" applyFill="1" applyBorder="1" applyAlignment="1">
      <alignment vertical="center"/>
    </xf>
    <xf numFmtId="0" fontId="25" fillId="3" borderId="11" xfId="0" applyFont="1" applyFill="1" applyBorder="1" applyAlignment="1">
      <alignment vertical="center"/>
    </xf>
    <xf numFmtId="0" fontId="25" fillId="0" borderId="12" xfId="0" applyFont="1" applyFill="1" applyBorder="1"/>
    <xf numFmtId="0" fontId="26" fillId="0" borderId="0" xfId="0" applyFont="1" applyAlignment="1">
      <alignment horizontal="right"/>
    </xf>
    <xf numFmtId="0" fontId="26" fillId="0" borderId="0" xfId="0" applyFont="1"/>
    <xf numFmtId="0" fontId="27" fillId="0" borderId="0" xfId="0" applyFont="1" applyAlignment="1" applyProtection="1">
      <protection locked="0"/>
    </xf>
    <xf numFmtId="0" fontId="26" fillId="0" borderId="0" xfId="0" applyFont="1" applyFill="1" applyAlignment="1">
      <alignment horizontal="right"/>
    </xf>
    <xf numFmtId="0" fontId="26" fillId="0" borderId="0" xfId="0" applyFont="1" applyFill="1"/>
    <xf numFmtId="0" fontId="28" fillId="0" borderId="0" xfId="0" applyFont="1" applyAlignment="1">
      <alignment horizontal="right"/>
    </xf>
    <xf numFmtId="0" fontId="21" fillId="6" borderId="12" xfId="5" applyFont="1" applyFill="1" applyBorder="1"/>
    <xf numFmtId="0" fontId="29" fillId="0" borderId="12" xfId="5" applyFont="1" applyFill="1" applyBorder="1"/>
    <xf numFmtId="0" fontId="3" fillId="0" borderId="12" xfId="5" applyBorder="1"/>
    <xf numFmtId="0" fontId="3" fillId="0" borderId="0" xfId="5"/>
    <xf numFmtId="0" fontId="8" fillId="6" borderId="1" xfId="5" applyFont="1" applyFill="1" applyBorder="1"/>
    <xf numFmtId="0" fontId="7" fillId="0" borderId="1" xfId="5" applyFont="1" applyFill="1" applyBorder="1"/>
    <xf numFmtId="0" fontId="7" fillId="0" borderId="1" xfId="5" applyFont="1" applyBorder="1"/>
    <xf numFmtId="0" fontId="0" fillId="7" borderId="12" xfId="0" applyFill="1" applyBorder="1"/>
    <xf numFmtId="0" fontId="14" fillId="7" borderId="1" xfId="0" applyFont="1" applyFill="1" applyBorder="1"/>
    <xf numFmtId="0" fontId="13" fillId="0" borderId="0" xfId="0" applyFont="1"/>
    <xf numFmtId="0" fontId="0" fillId="0" borderId="0" xfId="0" applyFont="1"/>
    <xf numFmtId="0" fontId="22" fillId="0" borderId="0" xfId="0" applyFont="1"/>
    <xf numFmtId="14" fontId="0" fillId="0" borderId="12" xfId="0" applyNumberFormat="1" applyFill="1" applyBorder="1"/>
    <xf numFmtId="165" fontId="27" fillId="0" borderId="0" xfId="0" applyNumberFormat="1" applyFont="1" applyAlignment="1" applyProtection="1">
      <protection locked="0"/>
    </xf>
    <xf numFmtId="165" fontId="26" fillId="0" borderId="0" xfId="0" applyNumberFormat="1" applyFont="1" applyAlignment="1">
      <alignment horizontal="right"/>
    </xf>
    <xf numFmtId="0" fontId="26" fillId="0" borderId="0" xfId="0" applyFont="1" applyAlignment="1">
      <alignment horizontal="left"/>
    </xf>
    <xf numFmtId="0" fontId="1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2" fillId="0" borderId="14" xfId="9" applyFont="1" applyFill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/>
      <protection locked="0"/>
    </xf>
    <xf numFmtId="165" fontId="0" fillId="0" borderId="12" xfId="0" applyNumberFormat="1" applyFill="1" applyBorder="1" applyAlignment="1">
      <alignment horizontal="center" vertical="center"/>
    </xf>
    <xf numFmtId="0" fontId="0" fillId="0" borderId="17" xfId="6" applyFont="1" applyBorder="1" applyAlignment="1">
      <alignment horizontal="center" vertical="center" wrapText="1"/>
    </xf>
    <xf numFmtId="0" fontId="35" fillId="0" borderId="17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/>
    </xf>
    <xf numFmtId="0" fontId="12" fillId="0" borderId="2" xfId="9" applyFont="1" applyFill="1" applyBorder="1" applyAlignment="1">
      <alignment horizontal="center" vertical="center"/>
    </xf>
    <xf numFmtId="0" fontId="12" fillId="0" borderId="2" xfId="9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 wrapText="1"/>
    </xf>
    <xf numFmtId="0" fontId="16" fillId="3" borderId="17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 wrapText="1"/>
    </xf>
    <xf numFmtId="0" fontId="36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165" fontId="0" fillId="0" borderId="12" xfId="0" applyNumberFormat="1" applyFont="1" applyFill="1" applyBorder="1" applyAlignment="1">
      <alignment horizontal="center" vertical="center"/>
    </xf>
    <xf numFmtId="0" fontId="26" fillId="0" borderId="0" xfId="0" applyNumberFormat="1" applyFont="1" applyAlignment="1">
      <alignment horizontal="right"/>
    </xf>
    <xf numFmtId="0" fontId="3" fillId="3" borderId="0" xfId="0" applyFont="1" applyFill="1" applyBorder="1" applyAlignment="1">
      <alignment vertical="center"/>
    </xf>
    <xf numFmtId="0" fontId="0" fillId="0" borderId="12" xfId="0" applyFont="1" applyFill="1" applyBorder="1"/>
    <xf numFmtId="0" fontId="3" fillId="4" borderId="12" xfId="0" applyFont="1" applyFill="1" applyBorder="1"/>
    <xf numFmtId="0" fontId="34" fillId="3" borderId="0" xfId="0" applyFont="1" applyFill="1" applyBorder="1" applyAlignment="1">
      <alignment vertical="center"/>
    </xf>
    <xf numFmtId="0" fontId="31" fillId="0" borderId="12" xfId="0" applyFont="1" applyFill="1" applyBorder="1"/>
    <xf numFmtId="0" fontId="34" fillId="4" borderId="12" xfId="0" applyFont="1" applyFill="1" applyBorder="1"/>
    <xf numFmtId="0" fontId="39" fillId="0" borderId="0" xfId="0" applyFont="1" applyAlignment="1">
      <alignment horizontal="right"/>
    </xf>
    <xf numFmtId="165" fontId="40" fillId="0" borderId="0" xfId="0" applyNumberFormat="1" applyFont="1" applyAlignment="1">
      <alignment horizontal="right"/>
    </xf>
    <xf numFmtId="0" fontId="40" fillId="0" borderId="0" xfId="0" applyNumberFormat="1" applyFont="1" applyAlignment="1">
      <alignment horizontal="right"/>
    </xf>
    <xf numFmtId="0" fontId="40" fillId="0" borderId="0" xfId="0" applyFont="1" applyAlignment="1">
      <alignment horizontal="right"/>
    </xf>
    <xf numFmtId="0" fontId="40" fillId="0" borderId="0" xfId="0" applyFont="1"/>
    <xf numFmtId="0" fontId="31" fillId="0" borderId="0" xfId="0" applyFont="1"/>
    <xf numFmtId="0" fontId="31" fillId="0" borderId="0" xfId="0" applyNumberFormat="1" applyFont="1"/>
    <xf numFmtId="0" fontId="0" fillId="0" borderId="0" xfId="0" applyFill="1" applyBorder="1"/>
    <xf numFmtId="0" fontId="28" fillId="0" borderId="12" xfId="0" applyFont="1" applyBorder="1"/>
    <xf numFmtId="0" fontId="39" fillId="0" borderId="12" xfId="0" applyFont="1" applyBorder="1"/>
    <xf numFmtId="0" fontId="31" fillId="0" borderId="0" xfId="0" applyFont="1" applyFill="1" applyBorder="1"/>
    <xf numFmtId="0" fontId="31" fillId="0" borderId="12" xfId="0" applyFont="1" applyBorder="1"/>
    <xf numFmtId="0" fontId="43" fillId="0" borderId="0" xfId="6" applyFont="1" applyAlignment="1">
      <alignment horizontal="left" vertical="center"/>
    </xf>
    <xf numFmtId="0" fontId="44" fillId="8" borderId="17" xfId="12" applyFont="1" applyFill="1" applyBorder="1" applyAlignment="1">
      <alignment horizontal="center"/>
    </xf>
    <xf numFmtId="14" fontId="45" fillId="9" borderId="17" xfId="12" applyNumberFormat="1" applyFont="1" applyFill="1" applyBorder="1" applyAlignment="1">
      <alignment horizontal="center"/>
    </xf>
    <xf numFmtId="14" fontId="45" fillId="0" borderId="17" xfId="12" applyNumberFormat="1" applyFont="1" applyBorder="1" applyAlignment="1">
      <alignment horizontal="center"/>
    </xf>
    <xf numFmtId="0" fontId="45" fillId="0" borderId="17" xfId="12" applyFont="1" applyBorder="1" applyAlignment="1">
      <alignment horizontal="center"/>
    </xf>
    <xf numFmtId="0" fontId="48" fillId="0" borderId="0" xfId="0" applyFont="1"/>
    <xf numFmtId="0" fontId="27" fillId="0" borderId="0" xfId="13" applyNumberFormat="1" applyFont="1" applyFill="1" applyBorder="1" applyAlignment="1">
      <alignment horizontal="center"/>
    </xf>
    <xf numFmtId="14" fontId="27" fillId="0" borderId="0" xfId="13" applyNumberFormat="1" applyFont="1" applyFill="1" applyBorder="1" applyAlignment="1">
      <alignment horizontal="center"/>
    </xf>
    <xf numFmtId="0" fontId="22" fillId="0" borderId="0" xfId="12" applyBorder="1" applyAlignment="1">
      <alignment horizontal="center"/>
    </xf>
    <xf numFmtId="0" fontId="35" fillId="0" borderId="0" xfId="12" applyFont="1" applyBorder="1" applyAlignment="1">
      <alignment horizontal="center"/>
    </xf>
    <xf numFmtId="0" fontId="35" fillId="0" borderId="0" xfId="12" applyFont="1" applyFill="1" applyBorder="1" applyAlignment="1">
      <alignment horizontal="center"/>
    </xf>
    <xf numFmtId="0" fontId="22" fillId="0" borderId="0" xfId="12" applyAlignment="1">
      <alignment horizontal="center"/>
    </xf>
    <xf numFmtId="0" fontId="22" fillId="0" borderId="0" xfId="12"/>
    <xf numFmtId="0" fontId="27" fillId="0" borderId="0" xfId="14"/>
    <xf numFmtId="0" fontId="27" fillId="0" borderId="0" xfId="14" applyAlignment="1">
      <alignment horizontal="center"/>
    </xf>
    <xf numFmtId="0" fontId="22" fillId="0" borderId="17" xfId="12" applyBorder="1"/>
    <xf numFmtId="0" fontId="50" fillId="8" borderId="28" xfId="14" applyFont="1" applyFill="1" applyBorder="1" applyAlignment="1">
      <alignment horizontal="center"/>
    </xf>
    <xf numFmtId="0" fontId="50" fillId="8" borderId="29" xfId="14" applyFont="1" applyFill="1" applyBorder="1" applyAlignment="1">
      <alignment horizontal="center"/>
    </xf>
    <xf numFmtId="0" fontId="50" fillId="8" borderId="30" xfId="14" applyFont="1" applyFill="1" applyBorder="1" applyAlignment="1">
      <alignment horizontal="center"/>
    </xf>
    <xf numFmtId="0" fontId="50" fillId="8" borderId="31" xfId="14" applyFont="1" applyFill="1" applyBorder="1" applyAlignment="1">
      <alignment horizontal="center"/>
    </xf>
    <xf numFmtId="0" fontId="50" fillId="8" borderId="32" xfId="14" applyFont="1" applyFill="1" applyBorder="1" applyAlignment="1">
      <alignment horizontal="center"/>
    </xf>
    <xf numFmtId="0" fontId="50" fillId="8" borderId="33" xfId="14" applyFont="1" applyFill="1" applyBorder="1" applyAlignment="1">
      <alignment horizontal="center"/>
    </xf>
    <xf numFmtId="0" fontId="50" fillId="8" borderId="34" xfId="14" applyFont="1" applyFill="1" applyBorder="1" applyAlignment="1">
      <alignment horizontal="center"/>
    </xf>
    <xf numFmtId="0" fontId="50" fillId="8" borderId="35" xfId="14" applyFont="1" applyFill="1" applyBorder="1" applyAlignment="1">
      <alignment horizontal="center"/>
    </xf>
    <xf numFmtId="0" fontId="50" fillId="8" borderId="17" xfId="14" applyFont="1" applyFill="1" applyBorder="1" applyAlignment="1">
      <alignment horizontal="center"/>
    </xf>
    <xf numFmtId="0" fontId="50" fillId="10" borderId="17" xfId="14" applyFont="1" applyFill="1" applyBorder="1" applyAlignment="1">
      <alignment horizontal="center"/>
    </xf>
    <xf numFmtId="0" fontId="27" fillId="0" borderId="28" xfId="14" applyFont="1" applyBorder="1" applyAlignment="1">
      <alignment horizontal="center"/>
    </xf>
    <xf numFmtId="14" fontId="27" fillId="0" borderId="28" xfId="14" applyNumberFormat="1" applyFont="1" applyBorder="1" applyAlignment="1">
      <alignment horizontal="center"/>
    </xf>
    <xf numFmtId="0" fontId="27" fillId="0" borderId="28" xfId="14" applyNumberFormat="1" applyBorder="1" applyAlignment="1">
      <alignment horizontal="center"/>
    </xf>
    <xf numFmtId="0" fontId="27" fillId="0" borderId="28" xfId="14" applyBorder="1" applyAlignment="1">
      <alignment horizontal="center"/>
    </xf>
    <xf numFmtId="0" fontId="27" fillId="0" borderId="21" xfId="14" applyBorder="1" applyAlignment="1">
      <alignment horizontal="center"/>
    </xf>
    <xf numFmtId="0" fontId="27" fillId="0" borderId="29" xfId="14" applyBorder="1" applyAlignment="1">
      <alignment horizontal="center"/>
    </xf>
    <xf numFmtId="0" fontId="27" fillId="0" borderId="30" xfId="14" applyBorder="1" applyAlignment="1">
      <alignment horizontal="center"/>
    </xf>
    <xf numFmtId="0" fontId="27" fillId="0" borderId="17" xfId="14" applyBorder="1" applyAlignment="1">
      <alignment horizontal="center"/>
    </xf>
    <xf numFmtId="2" fontId="27" fillId="0" borderId="38" xfId="14" applyNumberFormat="1" applyBorder="1" applyAlignment="1">
      <alignment horizontal="center"/>
    </xf>
    <xf numFmtId="2" fontId="27" fillId="0" borderId="28" xfId="14" applyNumberFormat="1" applyBorder="1" applyAlignment="1">
      <alignment horizontal="center"/>
    </xf>
    <xf numFmtId="166" fontId="22" fillId="0" borderId="17" xfId="12" applyNumberFormat="1" applyBorder="1" applyAlignment="1">
      <alignment horizontal="center"/>
    </xf>
    <xf numFmtId="0" fontId="27" fillId="0" borderId="44" xfId="14" applyBorder="1" applyAlignment="1">
      <alignment horizontal="center"/>
    </xf>
    <xf numFmtId="166" fontId="22" fillId="0" borderId="17" xfId="12" applyNumberFormat="1" applyFill="1" applyBorder="1" applyAlignment="1">
      <alignment horizontal="center"/>
    </xf>
    <xf numFmtId="0" fontId="50" fillId="0" borderId="0" xfId="14" applyFont="1"/>
    <xf numFmtId="0" fontId="27" fillId="0" borderId="0" xfId="14" applyFont="1"/>
    <xf numFmtId="0" fontId="51" fillId="0" borderId="0" xfId="0" applyFont="1" applyFill="1" applyBorder="1"/>
    <xf numFmtId="0" fontId="42" fillId="0" borderId="0" xfId="0" applyFont="1" applyFill="1" applyBorder="1"/>
    <xf numFmtId="0" fontId="42" fillId="0" borderId="17" xfId="0" applyFont="1" applyFill="1" applyBorder="1"/>
    <xf numFmtId="0" fontId="52" fillId="11" borderId="17" xfId="0" applyFont="1" applyFill="1" applyBorder="1"/>
    <xf numFmtId="0" fontId="28" fillId="0" borderId="0" xfId="0" applyFont="1" applyBorder="1"/>
    <xf numFmtId="0" fontId="39" fillId="0" borderId="0" xfId="0" applyFont="1" applyBorder="1"/>
    <xf numFmtId="0" fontId="42" fillId="12" borderId="17" xfId="0" applyFont="1" applyFill="1" applyBorder="1"/>
    <xf numFmtId="0" fontId="1" fillId="0" borderId="0" xfId="1" applyNumberFormat="1" applyFill="1" applyBorder="1" applyProtection="1">
      <protection locked="0"/>
    </xf>
    <xf numFmtId="0" fontId="3" fillId="0" borderId="1" xfId="0" applyFont="1" applyFill="1" applyBorder="1" applyAlignment="1" applyProtection="1">
      <alignment horizontal="left" vertical="center" wrapText="1"/>
      <protection locked="0"/>
    </xf>
    <xf numFmtId="0" fontId="7" fillId="0" borderId="0" xfId="9" applyFont="1" applyBorder="1" applyAlignment="1">
      <alignment horizontal="left"/>
    </xf>
    <xf numFmtId="0" fontId="7" fillId="0" borderId="1" xfId="9" applyFont="1" applyBorder="1" applyAlignment="1">
      <alignment horizontal="left" vertical="center"/>
    </xf>
    <xf numFmtId="0" fontId="8" fillId="0" borderId="2" xfId="9" applyFont="1" applyBorder="1" applyAlignment="1">
      <alignment horizontal="left"/>
    </xf>
    <xf numFmtId="0" fontId="7" fillId="0" borderId="3" xfId="9" applyFont="1" applyBorder="1" applyAlignment="1">
      <alignment horizontal="left"/>
    </xf>
    <xf numFmtId="0" fontId="9" fillId="0" borderId="4" xfId="9" applyFont="1" applyBorder="1" applyAlignment="1">
      <alignment horizontal="left"/>
    </xf>
    <xf numFmtId="0" fontId="12" fillId="0" borderId="1" xfId="9" applyFont="1" applyBorder="1" applyAlignment="1">
      <alignment horizontal="left" vertical="center" wrapText="1"/>
    </xf>
    <xf numFmtId="0" fontId="7" fillId="0" borderId="1" xfId="9" applyFont="1" applyFill="1" applyBorder="1" applyAlignment="1">
      <alignment horizontal="left" vertical="center" wrapText="1"/>
    </xf>
    <xf numFmtId="0" fontId="3" fillId="0" borderId="1" xfId="9" applyFont="1" applyFill="1" applyBorder="1" applyAlignment="1">
      <alignment horizontal="left" vertical="center" wrapText="1"/>
    </xf>
    <xf numFmtId="0" fontId="54" fillId="12" borderId="0" xfId="0" applyFont="1" applyFill="1" applyAlignment="1">
      <alignment horizontal="center"/>
    </xf>
    <xf numFmtId="0" fontId="22" fillId="0" borderId="0" xfId="12" applyAlignment="1">
      <alignment horizontal="center"/>
    </xf>
    <xf numFmtId="0" fontId="35" fillId="0" borderId="0" xfId="12" applyFont="1" applyBorder="1" applyAlignment="1">
      <alignment horizontal="center"/>
    </xf>
    <xf numFmtId="0" fontId="22" fillId="0" borderId="0" xfId="12" applyBorder="1" applyAlignment="1">
      <alignment horizontal="center" vertical="center"/>
    </xf>
    <xf numFmtId="0" fontId="53" fillId="12" borderId="0" xfId="14" applyFont="1" applyFill="1" applyBorder="1" applyAlignment="1">
      <alignment horizontal="center" vertical="center"/>
    </xf>
    <xf numFmtId="0" fontId="27" fillId="0" borderId="42" xfId="14" applyBorder="1" applyAlignment="1">
      <alignment horizontal="center"/>
    </xf>
    <xf numFmtId="0" fontId="27" fillId="0" borderId="43" xfId="14" applyBorder="1" applyAlignment="1">
      <alignment horizontal="center"/>
    </xf>
    <xf numFmtId="0" fontId="27" fillId="0" borderId="27" xfId="14" applyBorder="1" applyAlignment="1">
      <alignment horizontal="center"/>
    </xf>
    <xf numFmtId="0" fontId="27" fillId="0" borderId="37" xfId="14" applyBorder="1" applyAlignment="1">
      <alignment horizontal="center"/>
    </xf>
    <xf numFmtId="0" fontId="22" fillId="0" borderId="17" xfId="12" applyBorder="1" applyAlignment="1">
      <alignment horizontal="center"/>
    </xf>
    <xf numFmtId="0" fontId="27" fillId="0" borderId="21" xfId="14" applyBorder="1" applyAlignment="1">
      <alignment horizontal="center"/>
    </xf>
    <xf numFmtId="0" fontId="27" fillId="0" borderId="41" xfId="14" applyBorder="1" applyAlignment="1">
      <alignment horizontal="center"/>
    </xf>
    <xf numFmtId="0" fontId="27" fillId="0" borderId="39" xfId="14" applyBorder="1" applyAlignment="1">
      <alignment horizontal="center"/>
    </xf>
    <xf numFmtId="0" fontId="27" fillId="0" borderId="40" xfId="14" applyBorder="1" applyAlignment="1">
      <alignment horizontal="center"/>
    </xf>
    <xf numFmtId="49" fontId="49" fillId="9" borderId="21" xfId="14" applyNumberFormat="1" applyFont="1" applyFill="1" applyBorder="1" applyAlignment="1">
      <alignment horizontal="center"/>
    </xf>
    <xf numFmtId="49" fontId="49" fillId="9" borderId="22" xfId="14" applyNumberFormat="1" applyFont="1" applyFill="1" applyBorder="1" applyAlignment="1">
      <alignment horizontal="center"/>
    </xf>
    <xf numFmtId="49" fontId="49" fillId="9" borderId="23" xfId="14" applyNumberFormat="1" applyFont="1" applyFill="1" applyBorder="1" applyAlignment="1">
      <alignment horizontal="center"/>
    </xf>
    <xf numFmtId="49" fontId="49" fillId="9" borderId="24" xfId="14" applyNumberFormat="1" applyFont="1" applyFill="1" applyBorder="1" applyAlignment="1">
      <alignment horizontal="center"/>
    </xf>
    <xf numFmtId="0" fontId="47" fillId="9" borderId="25" xfId="12" applyFont="1" applyFill="1" applyBorder="1" applyAlignment="1">
      <alignment horizontal="center"/>
    </xf>
    <xf numFmtId="0" fontId="47" fillId="9" borderId="26" xfId="12" applyFont="1" applyFill="1" applyBorder="1" applyAlignment="1">
      <alignment horizontal="center"/>
    </xf>
    <xf numFmtId="0" fontId="41" fillId="9" borderId="17" xfId="12" applyFont="1" applyFill="1" applyBorder="1" applyAlignment="1">
      <alignment horizontal="center"/>
    </xf>
    <xf numFmtId="0" fontId="41" fillId="9" borderId="27" xfId="12" applyFont="1" applyFill="1" applyBorder="1" applyAlignment="1">
      <alignment horizontal="center"/>
    </xf>
    <xf numFmtId="0" fontId="27" fillId="0" borderId="36" xfId="14" applyBorder="1" applyAlignment="1">
      <alignment horizontal="center"/>
    </xf>
  </cellXfs>
  <cellStyles count="15">
    <cellStyle name="Lien hypertexte" xfId="1" builtinId="8"/>
    <cellStyle name="Lien hypertexte 2" xfId="2"/>
    <cellStyle name="Lien hypertexte 3" xfId="3"/>
    <cellStyle name="Lien hypertexte 4" xfId="4"/>
    <cellStyle name="Normal" xfId="0" builtinId="0"/>
    <cellStyle name="Normal 10" xfId="5"/>
    <cellStyle name="Normal 2" xfId="6"/>
    <cellStyle name="Normal 2 2" xfId="14"/>
    <cellStyle name="Normal 3" xfId="7"/>
    <cellStyle name="Normal 3 2" xfId="8"/>
    <cellStyle name="Normal 4" xfId="9"/>
    <cellStyle name="Normal 5" xfId="10"/>
    <cellStyle name="Normal 6" xfId="12"/>
    <cellStyle name="Normal 7" xfId="13"/>
    <cellStyle name="Normalny 2" xfId="1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FAC090"/>
      <rgbColor rgb="00808080"/>
      <rgbColor rgb="009999FF"/>
      <rgbColor rgb="00993366"/>
      <rgbColor rgb="00FCD5B5"/>
      <rgbColor rgb="00DCE6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00B0F0"/>
      <rgbColor rgb="0099CC00"/>
      <rgbColor rgb="00FFCC00"/>
      <rgbColor rgb="00FF9900"/>
      <rgbColor rgb="00FF6600"/>
      <rgbColor rgb="00666699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urgi.versailles.inra.fr/Species/Wheat/Sequence-Repository" TargetMode="External"/><Relationship Id="rId1" Type="http://schemas.openxmlformats.org/officeDocument/2006/relationships/hyperlink" Target="mailto:jacques.dupond@email.com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MAES@MAISADOUR.com" TargetMode="External"/><Relationship Id="rId1" Type="http://schemas.openxmlformats.org/officeDocument/2006/relationships/hyperlink" Target="mailto:nathalie.nesi@rennes.inra.fr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95"/>
  <sheetViews>
    <sheetView zoomScale="95" zoomScaleNormal="95" workbookViewId="0">
      <selection activeCell="A30" sqref="A30"/>
    </sheetView>
  </sheetViews>
  <sheetFormatPr baseColWidth="10" defaultRowHeight="12.75"/>
  <cols>
    <col min="1" max="1" width="31.140625" style="1" customWidth="1"/>
    <col min="2" max="2" width="28.42578125" style="1" customWidth="1"/>
    <col min="3" max="3" width="35" style="1" customWidth="1"/>
    <col min="4" max="4" width="36.28515625" style="1" customWidth="1"/>
    <col min="5" max="5" width="31" style="1" customWidth="1"/>
    <col min="6" max="6" width="26.5703125" style="1" customWidth="1"/>
    <col min="7" max="7" width="24.85546875" style="1" customWidth="1"/>
    <col min="8" max="8" width="37.7109375" style="1" customWidth="1"/>
    <col min="9" max="9" width="21.140625" style="1" customWidth="1"/>
    <col min="10" max="10" width="19" style="1" customWidth="1"/>
    <col min="11" max="11" width="18" style="1" customWidth="1"/>
    <col min="12" max="12" width="20.7109375" style="1" customWidth="1"/>
    <col min="13" max="13" width="23.85546875" style="1" customWidth="1"/>
    <col min="14" max="14" width="27.7109375" style="1" customWidth="1"/>
    <col min="15" max="15" width="28" style="1" customWidth="1"/>
    <col min="16" max="16" width="15.28515625" style="1" customWidth="1"/>
    <col min="17" max="17" width="17.42578125" style="1" customWidth="1"/>
    <col min="18" max="18" width="26.42578125" style="1" customWidth="1"/>
    <col min="19" max="19" width="15.5703125" style="1" customWidth="1"/>
    <col min="20" max="20" width="13.5703125" style="1" customWidth="1"/>
    <col min="21" max="21" width="15.85546875" style="1" customWidth="1"/>
    <col min="22" max="23" width="12.5703125" style="1" customWidth="1"/>
    <col min="24" max="24" width="11.42578125" style="1"/>
    <col min="25" max="25" width="12.5703125" style="1" customWidth="1"/>
    <col min="26" max="16384" width="11.42578125" style="1"/>
  </cols>
  <sheetData>
    <row r="1" spans="1:256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>
      <c r="A2" s="2" t="s">
        <v>2</v>
      </c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>
      <c r="A3" s="2" t="s">
        <v>3</v>
      </c>
      <c r="B3" s="3" t="s">
        <v>4</v>
      </c>
      <c r="C3" s="4"/>
      <c r="D3" s="5"/>
      <c r="E3" s="5"/>
      <c r="F3" s="5"/>
      <c r="G3" s="5"/>
      <c r="H3" s="5"/>
      <c r="I3" s="5"/>
      <c r="J3" s="5"/>
      <c r="K3" s="5"/>
      <c r="L3" s="5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>
      <c r="A4" s="4"/>
      <c r="B4" s="6"/>
      <c r="C4" s="7"/>
      <c r="D4" s="5"/>
      <c r="E4" s="5"/>
      <c r="F4" s="5"/>
      <c r="G4" s="5"/>
      <c r="H4" s="5"/>
      <c r="I4" s="5"/>
      <c r="J4" s="5"/>
      <c r="K4" s="5"/>
      <c r="L4" s="5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>
      <c r="A5" s="254" t="s">
        <v>5</v>
      </c>
      <c r="B5" s="254"/>
      <c r="C5" s="254"/>
      <c r="D5" s="254"/>
      <c r="E5" s="254"/>
      <c r="F5" s="8"/>
      <c r="G5" s="8"/>
      <c r="H5" s="8"/>
      <c r="I5" s="8"/>
      <c r="J5" s="5"/>
      <c r="K5" s="5"/>
      <c r="L5" s="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>
      <c r="A6" s="5"/>
      <c r="B6" s="5"/>
      <c r="C6" s="5"/>
      <c r="D6" s="5"/>
      <c r="E6" s="5"/>
      <c r="F6" s="8"/>
      <c r="G6" s="8"/>
      <c r="H6" s="8"/>
      <c r="I6" s="8"/>
      <c r="J6" s="5"/>
      <c r="K6" s="5"/>
      <c r="L6" s="5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>
      <c r="A7" s="255" t="s">
        <v>6</v>
      </c>
      <c r="B7" s="256" t="s">
        <v>7</v>
      </c>
      <c r="C7" s="256"/>
      <c r="D7" s="256"/>
      <c r="E7" s="256"/>
      <c r="F7" s="8"/>
      <c r="G7" s="8"/>
      <c r="H7" s="8"/>
      <c r="I7" s="8"/>
      <c r="J7" s="5"/>
      <c r="K7" s="5"/>
      <c r="L7" s="5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>
      <c r="A8" s="255"/>
      <c r="B8" s="257" t="s">
        <v>8</v>
      </c>
      <c r="C8" s="257"/>
      <c r="D8" s="257"/>
      <c r="E8" s="257"/>
      <c r="F8" s="8"/>
      <c r="G8" s="8"/>
      <c r="H8" s="8"/>
      <c r="I8" s="8"/>
      <c r="J8" s="5"/>
      <c r="K8" s="5"/>
      <c r="L8" s="5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>
      <c r="A9" s="255"/>
      <c r="B9" s="258" t="s">
        <v>9</v>
      </c>
      <c r="C9" s="258"/>
      <c r="D9" s="258"/>
      <c r="E9" s="258"/>
      <c r="F9" s="9"/>
      <c r="G9" s="9"/>
      <c r="H9" s="9"/>
      <c r="I9" s="8"/>
      <c r="J9" s="5"/>
      <c r="K9" s="5"/>
      <c r="L9" s="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>
      <c r="A10" s="5"/>
      <c r="B10" s="5"/>
      <c r="C10" s="5"/>
      <c r="D10" s="5"/>
      <c r="E10" s="5"/>
      <c r="F10" s="8"/>
      <c r="G10" s="8"/>
      <c r="H10" s="8"/>
      <c r="I10" s="8"/>
      <c r="J10" s="5"/>
      <c r="K10" s="5"/>
      <c r="L10" s="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>
      <c r="A11" s="10" t="s">
        <v>10</v>
      </c>
      <c r="B11" s="5"/>
      <c r="C11" s="5"/>
      <c r="D11" s="5"/>
      <c r="E11" s="5"/>
      <c r="F11" s="8"/>
      <c r="G11" s="8"/>
      <c r="H11" s="8"/>
      <c r="I11" s="8"/>
      <c r="J11" s="5"/>
      <c r="K11" s="5"/>
      <c r="L11" s="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>
      <c r="A12" s="10"/>
      <c r="B12" s="5"/>
      <c r="C12" s="5"/>
      <c r="D12" s="5"/>
      <c r="E12" s="5"/>
      <c r="F12" s="8"/>
      <c r="G12" s="8"/>
      <c r="H12" s="8"/>
      <c r="I12" s="8"/>
      <c r="J12" s="5"/>
      <c r="K12" s="5"/>
      <c r="L12" s="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>
      <c r="A13" s="1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>
      <c r="A14" s="12" t="s">
        <v>11</v>
      </c>
      <c r="B14" s="10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>
      <c r="A15" s="13"/>
      <c r="B15" s="14" t="s">
        <v>13</v>
      </c>
      <c r="C15" s="14" t="s">
        <v>14</v>
      </c>
      <c r="D15" s="15" t="s">
        <v>15</v>
      </c>
      <c r="E15" s="15" t="s">
        <v>16</v>
      </c>
      <c r="F15" s="15" t="s">
        <v>17</v>
      </c>
      <c r="G15" s="15" t="s">
        <v>18</v>
      </c>
      <c r="H15" s="15" t="s">
        <v>19</v>
      </c>
      <c r="I15" s="16" t="s">
        <v>20</v>
      </c>
      <c r="J15" s="17" t="s">
        <v>21</v>
      </c>
      <c r="K15" s="17" t="s">
        <v>22</v>
      </c>
      <c r="L15" s="15" t="s">
        <v>23</v>
      </c>
      <c r="M15" s="15" t="s">
        <v>24</v>
      </c>
      <c r="N15" s="15" t="s">
        <v>25</v>
      </c>
      <c r="O15" s="15" t="s">
        <v>26</v>
      </c>
      <c r="P15" s="15" t="s">
        <v>27</v>
      </c>
      <c r="Q15" s="15" t="s">
        <v>28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s="25" customFormat="1" ht="70.5" customHeight="1">
      <c r="A16" s="18" t="s">
        <v>29</v>
      </c>
      <c r="B16" s="19" t="s">
        <v>30</v>
      </c>
      <c r="C16" s="19" t="s">
        <v>31</v>
      </c>
      <c r="D16" s="20" t="s">
        <v>32</v>
      </c>
      <c r="E16" s="20" t="s">
        <v>33</v>
      </c>
      <c r="F16" s="21" t="s">
        <v>34</v>
      </c>
      <c r="G16" s="19" t="s">
        <v>35</v>
      </c>
      <c r="H16" s="22" t="s">
        <v>36</v>
      </c>
      <c r="I16" s="23" t="s">
        <v>37</v>
      </c>
      <c r="J16" s="23" t="s">
        <v>38</v>
      </c>
      <c r="K16" s="23" t="s">
        <v>39</v>
      </c>
      <c r="L16" s="23" t="s">
        <v>40</v>
      </c>
      <c r="M16" s="23" t="s">
        <v>41</v>
      </c>
      <c r="N16" s="24" t="s">
        <v>42</v>
      </c>
      <c r="O16" s="23" t="s">
        <v>43</v>
      </c>
      <c r="P16" s="23" t="s">
        <v>44</v>
      </c>
      <c r="Q16" s="23" t="s">
        <v>45</v>
      </c>
    </row>
    <row r="17" spans="1:256" ht="25.5">
      <c r="A17" s="26" t="s">
        <v>46</v>
      </c>
      <c r="B17" s="27" t="s">
        <v>47</v>
      </c>
      <c r="C17" s="27" t="s">
        <v>48</v>
      </c>
      <c r="D17" s="28" t="s">
        <v>49</v>
      </c>
      <c r="E17" s="28" t="s">
        <v>50</v>
      </c>
      <c r="F17" s="28" t="s">
        <v>51</v>
      </c>
      <c r="G17" s="27" t="s">
        <v>52</v>
      </c>
      <c r="H17" s="29">
        <v>2012</v>
      </c>
      <c r="I17" s="28" t="s">
        <v>53</v>
      </c>
      <c r="J17" s="30" t="s">
        <v>54</v>
      </c>
      <c r="K17" s="30" t="s">
        <v>55</v>
      </c>
      <c r="L17" s="30"/>
      <c r="M17" s="30"/>
      <c r="N17" s="31" t="s">
        <v>56</v>
      </c>
      <c r="O17" s="30"/>
      <c r="P17" s="30" t="s">
        <v>57</v>
      </c>
      <c r="Q17" s="30" t="s">
        <v>58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s="35" customFormat="1" ht="38.25">
      <c r="A18" s="26" t="s">
        <v>59</v>
      </c>
      <c r="B18" s="32" t="s">
        <v>60</v>
      </c>
      <c r="C18" s="32" t="s">
        <v>60</v>
      </c>
      <c r="D18" s="32" t="s">
        <v>61</v>
      </c>
      <c r="E18" s="32" t="s">
        <v>61</v>
      </c>
      <c r="F18" s="32" t="s">
        <v>60</v>
      </c>
      <c r="G18" s="32" t="s">
        <v>60</v>
      </c>
      <c r="H18" s="33" t="s">
        <v>60</v>
      </c>
      <c r="I18" s="32" t="s">
        <v>62</v>
      </c>
      <c r="J18" s="32" t="s">
        <v>60</v>
      </c>
      <c r="K18" s="32" t="s">
        <v>60</v>
      </c>
      <c r="L18" s="34" t="s">
        <v>60</v>
      </c>
      <c r="M18" s="34" t="s">
        <v>60</v>
      </c>
      <c r="N18" s="34" t="s">
        <v>60</v>
      </c>
      <c r="O18" s="34" t="s">
        <v>60</v>
      </c>
      <c r="P18" s="34" t="s">
        <v>60</v>
      </c>
      <c r="Q18" s="34" t="s">
        <v>60</v>
      </c>
    </row>
    <row r="19" spans="1:256">
      <c r="A19" s="36"/>
      <c r="B19" s="37"/>
      <c r="C19" s="37"/>
      <c r="D19" s="37"/>
      <c r="E19" s="37"/>
      <c r="F19" s="37"/>
      <c r="G19" s="37"/>
      <c r="H19" s="37"/>
      <c r="I19" s="38"/>
      <c r="J19" s="38"/>
      <c r="K19" s="38"/>
      <c r="L19" s="38"/>
      <c r="M19" s="38"/>
      <c r="N19" s="38"/>
      <c r="O19" s="38"/>
      <c r="P19" s="8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>
      <c r="A20" s="39"/>
      <c r="B20" s="40"/>
      <c r="C20" s="40"/>
      <c r="D20" s="40"/>
      <c r="E20" s="40"/>
      <c r="F20" s="4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44" customFormat="1" ht="12.75" customHeight="1">
      <c r="A21" s="41" t="s">
        <v>63</v>
      </c>
      <c r="B21" s="42" t="s">
        <v>64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56">
      <c r="A22" s="45"/>
      <c r="B22" s="14" t="s">
        <v>65</v>
      </c>
      <c r="C22" s="15" t="s">
        <v>66</v>
      </c>
      <c r="D22" s="15" t="s">
        <v>67</v>
      </c>
      <c r="E22" s="15" t="s">
        <v>68</v>
      </c>
      <c r="F22" s="46" t="s">
        <v>69</v>
      </c>
      <c r="G22" s="46" t="s">
        <v>70</v>
      </c>
      <c r="H22" s="47" t="s">
        <v>71</v>
      </c>
      <c r="I22" s="15" t="s">
        <v>72</v>
      </c>
      <c r="J22" s="15" t="s">
        <v>73</v>
      </c>
      <c r="K22" s="15" t="s">
        <v>74</v>
      </c>
      <c r="L22" s="15" t="s">
        <v>75</v>
      </c>
      <c r="M22" s="15" t="s">
        <v>76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ht="63.75">
      <c r="A23" s="48" t="s">
        <v>29</v>
      </c>
      <c r="B23" s="19" t="s">
        <v>77</v>
      </c>
      <c r="C23" s="23" t="s">
        <v>78</v>
      </c>
      <c r="D23" s="23" t="s">
        <v>79</v>
      </c>
      <c r="E23" s="23" t="s">
        <v>80</v>
      </c>
      <c r="F23" s="49" t="s">
        <v>81</v>
      </c>
      <c r="G23" s="49" t="s">
        <v>82</v>
      </c>
      <c r="H23" s="49" t="s">
        <v>83</v>
      </c>
      <c r="I23" s="23" t="s">
        <v>84</v>
      </c>
      <c r="J23" s="23" t="s">
        <v>85</v>
      </c>
      <c r="K23" s="23" t="s">
        <v>86</v>
      </c>
      <c r="L23" s="20" t="s">
        <v>87</v>
      </c>
      <c r="M23" s="23" t="s">
        <v>88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>
      <c r="A24" s="50" t="s">
        <v>89</v>
      </c>
      <c r="B24" s="27" t="s">
        <v>90</v>
      </c>
      <c r="C24" s="30"/>
      <c r="D24" s="30"/>
      <c r="E24" s="30"/>
      <c r="F24" s="51"/>
      <c r="G24" s="51"/>
      <c r="H24" s="51" t="s">
        <v>91</v>
      </c>
      <c r="I24" s="30" t="s">
        <v>92</v>
      </c>
      <c r="J24" s="30" t="s">
        <v>93</v>
      </c>
      <c r="K24" s="30"/>
      <c r="L24" s="30"/>
      <c r="M24" s="30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ht="51">
      <c r="A25" s="26" t="s">
        <v>59</v>
      </c>
      <c r="B25" s="32" t="s">
        <v>60</v>
      </c>
      <c r="C25" s="32" t="s">
        <v>62</v>
      </c>
      <c r="D25" s="32" t="s">
        <v>62</v>
      </c>
      <c r="E25" s="52" t="s">
        <v>62</v>
      </c>
      <c r="F25" s="53" t="s">
        <v>60</v>
      </c>
      <c r="G25" s="53" t="s">
        <v>60</v>
      </c>
      <c r="H25" s="53" t="s">
        <v>60</v>
      </c>
      <c r="I25" s="32" t="s">
        <v>94</v>
      </c>
      <c r="J25" s="52" t="s">
        <v>60</v>
      </c>
      <c r="K25" s="52" t="s">
        <v>60</v>
      </c>
      <c r="L25" s="32" t="s">
        <v>60</v>
      </c>
      <c r="M25" s="32" t="s">
        <v>60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>
      <c r="A26" s="36"/>
      <c r="B26" s="43"/>
      <c r="C26" s="40"/>
      <c r="D26" s="54"/>
      <c r="E26" s="40"/>
      <c r="F26" s="40"/>
      <c r="G26" s="40"/>
      <c r="H26" s="40"/>
      <c r="I26" s="40"/>
      <c r="J26" s="40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>
      <c r="A27" s="8"/>
      <c r="B27" s="55"/>
      <c r="C27" s="8"/>
      <c r="D27" s="5"/>
      <c r="E27" s="5"/>
      <c r="F27" s="5"/>
      <c r="G27" s="5"/>
      <c r="H27" s="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>
      <c r="A28" s="56" t="s">
        <v>95</v>
      </c>
      <c r="B28" s="10" t="s">
        <v>96</v>
      </c>
      <c r="C28" s="8"/>
      <c r="D28" s="5"/>
      <c r="E28" s="5"/>
      <c r="F28" s="5"/>
      <c r="G28" s="5"/>
      <c r="H28" s="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>
      <c r="A29" s="45"/>
      <c r="B29" s="57" t="s">
        <v>97</v>
      </c>
      <c r="C29" s="57" t="s">
        <v>98</v>
      </c>
      <c r="D29" s="57" t="s">
        <v>99</v>
      </c>
      <c r="E29" s="58" t="s">
        <v>100</v>
      </c>
      <c r="F29" s="58" t="s">
        <v>101</v>
      </c>
      <c r="G29" s="57" t="s">
        <v>102</v>
      </c>
      <c r="H29" s="57" t="s">
        <v>103</v>
      </c>
      <c r="I29" s="58" t="s">
        <v>104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ht="63.75" customHeight="1">
      <c r="A30" s="18" t="s">
        <v>29</v>
      </c>
      <c r="B30" s="20" t="s">
        <v>105</v>
      </c>
      <c r="C30" s="20" t="s">
        <v>106</v>
      </c>
      <c r="D30" s="20" t="s">
        <v>107</v>
      </c>
      <c r="E30" s="20" t="s">
        <v>108</v>
      </c>
      <c r="F30" s="20" t="s">
        <v>109</v>
      </c>
      <c r="G30" s="20" t="s">
        <v>110</v>
      </c>
      <c r="H30" s="20" t="s">
        <v>111</v>
      </c>
      <c r="I30" s="20" t="s">
        <v>112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ht="12.75" customHeight="1">
      <c r="A31" s="50" t="s">
        <v>89</v>
      </c>
      <c r="B31" s="32" t="s">
        <v>113</v>
      </c>
      <c r="C31" s="32" t="s">
        <v>114</v>
      </c>
      <c r="D31" s="32" t="s">
        <v>115</v>
      </c>
      <c r="E31" s="32" t="s">
        <v>116</v>
      </c>
      <c r="F31" s="32" t="s">
        <v>117</v>
      </c>
      <c r="G31" s="59" t="s">
        <v>118</v>
      </c>
      <c r="H31" s="32" t="s">
        <v>119</v>
      </c>
      <c r="I31" s="32" t="s">
        <v>120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>
      <c r="A32" s="26" t="s">
        <v>59</v>
      </c>
      <c r="B32" s="32" t="s">
        <v>60</v>
      </c>
      <c r="C32" s="32" t="s">
        <v>60</v>
      </c>
      <c r="D32" s="32" t="s">
        <v>60</v>
      </c>
      <c r="E32" s="60" t="s">
        <v>121</v>
      </c>
      <c r="F32" s="60" t="s">
        <v>122</v>
      </c>
      <c r="G32" s="32" t="s">
        <v>60</v>
      </c>
      <c r="H32" s="32" t="s">
        <v>60</v>
      </c>
      <c r="I32" s="32" t="s">
        <v>60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62" customFormat="1">
      <c r="A33" s="36"/>
      <c r="B33" s="61"/>
      <c r="C33" s="61"/>
      <c r="D33" s="61"/>
      <c r="E33" s="40"/>
      <c r="F33" s="40"/>
      <c r="G33" s="40"/>
      <c r="H33" s="40"/>
      <c r="I33" s="40"/>
    </row>
    <row r="34" spans="1:256">
      <c r="A34" s="63"/>
      <c r="B34" s="37"/>
      <c r="C34" s="37"/>
      <c r="D34" s="37"/>
      <c r="E34" s="8"/>
      <c r="F34" s="8"/>
      <c r="G34" s="37"/>
      <c r="H34" s="3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>
      <c r="A35" s="64" t="s">
        <v>123</v>
      </c>
      <c r="B35" s="65" t="s">
        <v>124</v>
      </c>
      <c r="C35" s="37"/>
      <c r="D35" s="37"/>
      <c r="E35" s="8"/>
      <c r="F35" s="8"/>
      <c r="G35" s="37"/>
      <c r="H35" s="37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>
      <c r="A36"/>
      <c r="B36" s="66" t="s">
        <v>125</v>
      </c>
      <c r="C36" s="37"/>
      <c r="D36" s="37"/>
      <c r="E36" s="8"/>
      <c r="F36" s="8"/>
      <c r="G36" s="37"/>
      <c r="H36" s="37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>
      <c r="A37" s="45"/>
      <c r="B37" s="67" t="s">
        <v>126</v>
      </c>
      <c r="C37" s="67" t="s">
        <v>127</v>
      </c>
      <c r="D37" s="68" t="s">
        <v>128</v>
      </c>
      <c r="E37" s="68" t="s">
        <v>29</v>
      </c>
      <c r="F37" s="68" t="s">
        <v>129</v>
      </c>
      <c r="G37" s="68" t="s">
        <v>130</v>
      </c>
      <c r="H37" s="69" t="s">
        <v>131</v>
      </c>
      <c r="I37" s="68" t="s">
        <v>74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ht="63.75" customHeight="1">
      <c r="A38" s="18" t="s">
        <v>29</v>
      </c>
      <c r="B38" s="23" t="s">
        <v>132</v>
      </c>
      <c r="C38" s="70" t="s">
        <v>133</v>
      </c>
      <c r="D38" s="20" t="s">
        <v>134</v>
      </c>
      <c r="E38" s="19" t="s">
        <v>135</v>
      </c>
      <c r="F38" s="20" t="s">
        <v>136</v>
      </c>
      <c r="G38" s="19" t="s">
        <v>137</v>
      </c>
      <c r="H38" s="71" t="s">
        <v>138</v>
      </c>
      <c r="I38" s="23" t="s">
        <v>139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ht="12.75" customHeight="1">
      <c r="A39" s="50" t="s">
        <v>89</v>
      </c>
      <c r="B39" s="51" t="s">
        <v>140</v>
      </c>
      <c r="C39" s="72" t="s">
        <v>141</v>
      </c>
      <c r="D39" s="73" t="s">
        <v>142</v>
      </c>
      <c r="E39" s="32"/>
      <c r="F39" s="32" t="s">
        <v>143</v>
      </c>
      <c r="G39" s="32"/>
      <c r="H39" s="74"/>
      <c r="I39" s="32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>
      <c r="A40" s="26" t="s">
        <v>59</v>
      </c>
      <c r="B40" s="51" t="s">
        <v>60</v>
      </c>
      <c r="C40" s="32" t="s">
        <v>60</v>
      </c>
      <c r="D40" s="32" t="s">
        <v>60</v>
      </c>
      <c r="E40" s="32" t="s">
        <v>60</v>
      </c>
      <c r="F40" s="32" t="s">
        <v>60</v>
      </c>
      <c r="G40" s="32" t="s">
        <v>60</v>
      </c>
      <c r="H40" s="33" t="s">
        <v>60</v>
      </c>
      <c r="I40" s="32" t="s">
        <v>60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>
      <c r="A41" s="36"/>
      <c r="B41" s="37"/>
      <c r="C41" s="37"/>
      <c r="D41" s="37"/>
      <c r="E41" s="8"/>
      <c r="F41" s="8"/>
      <c r="G41" s="37"/>
      <c r="H41" s="37"/>
      <c r="I41" s="37"/>
      <c r="J41" s="37"/>
      <c r="K41" s="37"/>
      <c r="L41" s="37"/>
      <c r="M41" s="8"/>
      <c r="N41" s="37"/>
      <c r="O41" s="37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>
      <c r="A42" s="63"/>
      <c r="B42" s="37"/>
      <c r="C42" s="37"/>
      <c r="D42" s="37"/>
      <c r="E42" s="8"/>
      <c r="F42" s="8"/>
      <c r="G42" s="37"/>
      <c r="H42" s="37"/>
      <c r="I42" s="37"/>
      <c r="J42" s="37"/>
      <c r="K42" s="37"/>
      <c r="L42" s="37"/>
      <c r="M42" s="8"/>
      <c r="N42" s="37"/>
      <c r="O42" s="37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>
      <c r="A43" s="64" t="s">
        <v>144</v>
      </c>
      <c r="B43" s="65" t="s">
        <v>145</v>
      </c>
      <c r="C43" s="37"/>
      <c r="D43" s="37"/>
      <c r="E43" s="8"/>
      <c r="F43" s="37"/>
      <c r="G43" s="37"/>
      <c r="H43" s="37"/>
      <c r="I43" s="8"/>
      <c r="J43" s="37"/>
      <c r="K43" s="37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>
      <c r="A44" s="45"/>
      <c r="B44" s="75" t="s">
        <v>146</v>
      </c>
      <c r="C44" s="75" t="s">
        <v>147</v>
      </c>
      <c r="D44" s="75" t="s">
        <v>148</v>
      </c>
      <c r="E44" s="76" t="s">
        <v>149</v>
      </c>
      <c r="F44" s="75" t="s">
        <v>150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ht="63.75" customHeight="1">
      <c r="A45" s="18" t="s">
        <v>29</v>
      </c>
      <c r="B45" s="20" t="s">
        <v>151</v>
      </c>
      <c r="C45" s="20" t="s">
        <v>152</v>
      </c>
      <c r="D45" s="20" t="s">
        <v>153</v>
      </c>
      <c r="E45" s="77" t="s">
        <v>154</v>
      </c>
      <c r="F45" s="20" t="s">
        <v>155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ht="12.75" customHeight="1">
      <c r="A46" s="50" t="s">
        <v>89</v>
      </c>
      <c r="B46" s="78" t="s">
        <v>156</v>
      </c>
      <c r="C46" s="72" t="s">
        <v>157</v>
      </c>
      <c r="D46" s="72" t="s">
        <v>158</v>
      </c>
      <c r="E46" s="77"/>
      <c r="F46" s="72" t="s">
        <v>159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>
      <c r="A47" s="26" t="s">
        <v>59</v>
      </c>
      <c r="B47" s="32" t="s">
        <v>60</v>
      </c>
      <c r="C47" s="32" t="s">
        <v>60</v>
      </c>
      <c r="D47" s="32" t="s">
        <v>60</v>
      </c>
      <c r="E47" s="77" t="s">
        <v>60</v>
      </c>
      <c r="F47" s="60" t="s">
        <v>60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>
      <c r="A48" s="36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80" customFormat="1" ht="12.75" customHeight="1">
      <c r="A49" s="79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56" ht="12.75" customHeight="1">
      <c r="A50" s="81" t="s">
        <v>160</v>
      </c>
      <c r="B50" s="42" t="s">
        <v>161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ht="12.75" customHeight="1">
      <c r="A51" s="79"/>
      <c r="B51" s="42" t="s">
        <v>162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>
      <c r="A52" s="45"/>
      <c r="B52" s="14" t="s">
        <v>163</v>
      </c>
      <c r="C52" s="14" t="s">
        <v>164</v>
      </c>
      <c r="D52" s="14" t="s">
        <v>165</v>
      </c>
      <c r="E52" s="15" t="s">
        <v>166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ht="63.75" customHeight="1">
      <c r="A53" s="18" t="s">
        <v>29</v>
      </c>
      <c r="B53" s="20" t="s">
        <v>167</v>
      </c>
      <c r="C53" s="20" t="s">
        <v>168</v>
      </c>
      <c r="D53" s="20" t="s">
        <v>169</v>
      </c>
      <c r="E53" s="20" t="s">
        <v>170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ht="25.5">
      <c r="A54" s="50" t="s">
        <v>89</v>
      </c>
      <c r="B54" s="82" t="s">
        <v>171</v>
      </c>
      <c r="C54" s="82" t="s">
        <v>172</v>
      </c>
      <c r="D54" s="82" t="s">
        <v>173</v>
      </c>
      <c r="E54" s="78" t="s">
        <v>174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>
      <c r="A55" s="26" t="s">
        <v>59</v>
      </c>
      <c r="B55" s="32" t="s">
        <v>60</v>
      </c>
      <c r="C55" s="32" t="s">
        <v>60</v>
      </c>
      <c r="D55" s="32" t="s">
        <v>60</v>
      </c>
      <c r="E55" s="60" t="s">
        <v>60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s="44" customFormat="1">
      <c r="A56" s="36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 spans="1:256" ht="12.75" customHeight="1">
      <c r="A57" s="79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ht="12.75" customHeight="1">
      <c r="A58" s="81" t="s">
        <v>175</v>
      </c>
      <c r="B58" s="42" t="s">
        <v>176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ht="12.75" customHeight="1">
      <c r="A59" s="79"/>
      <c r="B59" s="42" t="s">
        <v>177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>
      <c r="A60" s="45"/>
      <c r="B60" s="67" t="s">
        <v>178</v>
      </c>
      <c r="C60" s="68" t="s">
        <v>179</v>
      </c>
      <c r="D60" s="68" t="s">
        <v>29</v>
      </c>
      <c r="E60" s="68" t="s">
        <v>180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ht="63.75" customHeight="1">
      <c r="A61" s="18" t="s">
        <v>29</v>
      </c>
      <c r="B61" s="20" t="s">
        <v>181</v>
      </c>
      <c r="C61" s="20" t="s">
        <v>182</v>
      </c>
      <c r="D61" s="20" t="s">
        <v>183</v>
      </c>
      <c r="E61" s="18" t="s">
        <v>184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ht="13.15" customHeight="1">
      <c r="A62" s="259" t="s">
        <v>89</v>
      </c>
      <c r="B62" s="20" t="s">
        <v>185</v>
      </c>
      <c r="C62" s="20" t="s">
        <v>186</v>
      </c>
      <c r="D62" s="20"/>
      <c r="E62" s="20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>
      <c r="A63" s="259"/>
      <c r="B63" s="82" t="s">
        <v>187</v>
      </c>
      <c r="C63" s="82" t="s">
        <v>187</v>
      </c>
      <c r="D63"/>
      <c r="E63" s="82" t="s">
        <v>185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>
      <c r="A64" s="26" t="s">
        <v>59</v>
      </c>
      <c r="B64" s="32" t="s">
        <v>60</v>
      </c>
      <c r="C64" s="32" t="s">
        <v>60</v>
      </c>
      <c r="D64" s="32" t="s">
        <v>60</v>
      </c>
      <c r="E64" s="60" t="s">
        <v>60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s="44" customFormat="1">
      <c r="A65" s="36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56" s="44" customFormat="1" ht="12.75" customHeight="1">
      <c r="A66" s="79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 spans="1:256" ht="12.75" customHeight="1">
      <c r="A67" s="81" t="s">
        <v>188</v>
      </c>
      <c r="B67" s="42" t="s">
        <v>189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>
      <c r="A68" s="45"/>
      <c r="B68" s="83" t="s">
        <v>150</v>
      </c>
      <c r="C68" s="84" t="s">
        <v>190</v>
      </c>
      <c r="D68" s="84" t="s">
        <v>191</v>
      </c>
      <c r="E68" s="85" t="s">
        <v>21</v>
      </c>
      <c r="F68" s="85" t="s">
        <v>22</v>
      </c>
      <c r="G68" s="85" t="s">
        <v>192</v>
      </c>
      <c r="H68" s="17" t="s">
        <v>193</v>
      </c>
      <c r="I68" s="86" t="s">
        <v>194</v>
      </c>
      <c r="J68" s="15" t="s">
        <v>195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ht="52.9" customHeight="1">
      <c r="A69" s="260" t="s">
        <v>29</v>
      </c>
      <c r="B69" s="261" t="s">
        <v>196</v>
      </c>
      <c r="C69" s="87" t="s">
        <v>197</v>
      </c>
      <c r="D69" s="87" t="s">
        <v>198</v>
      </c>
      <c r="E69" s="253" t="s">
        <v>199</v>
      </c>
      <c r="F69" s="253" t="s">
        <v>200</v>
      </c>
      <c r="G69" s="253" t="s">
        <v>201</v>
      </c>
      <c r="H69" s="253" t="s">
        <v>202</v>
      </c>
      <c r="I69" s="88" t="s">
        <v>203</v>
      </c>
      <c r="J69" s="87" t="s">
        <v>203</v>
      </c>
      <c r="K69" s="89"/>
      <c r="L69" s="8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ht="38.25">
      <c r="A70" s="260"/>
      <c r="B70" s="261"/>
      <c r="C70" s="90" t="s">
        <v>204</v>
      </c>
      <c r="D70" s="90" t="s">
        <v>205</v>
      </c>
      <c r="E70" s="253"/>
      <c r="F70" s="253"/>
      <c r="G70" s="253"/>
      <c r="H70" s="253"/>
      <c r="I70" s="90" t="s">
        <v>206</v>
      </c>
      <c r="J70" s="90" t="s">
        <v>207</v>
      </c>
      <c r="K70" s="40"/>
      <c r="L70" s="4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ht="25.5">
      <c r="A71" s="50" t="s">
        <v>89</v>
      </c>
      <c r="B71" s="72" t="s">
        <v>159</v>
      </c>
      <c r="C71" s="90" t="s">
        <v>208</v>
      </c>
      <c r="D71" s="90" t="s">
        <v>209</v>
      </c>
      <c r="E71" s="20">
        <v>1</v>
      </c>
      <c r="F71" s="51">
        <v>3</v>
      </c>
      <c r="G71" s="51"/>
      <c r="H71" s="51"/>
      <c r="I71" s="90" t="s">
        <v>210</v>
      </c>
      <c r="J71" s="90" t="s">
        <v>211</v>
      </c>
      <c r="K71" s="40"/>
      <c r="L71" s="40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>
      <c r="A72" s="26" t="s">
        <v>59</v>
      </c>
      <c r="B72" s="32" t="s">
        <v>60</v>
      </c>
      <c r="C72" s="32" t="s">
        <v>60</v>
      </c>
      <c r="D72" s="32" t="s">
        <v>60</v>
      </c>
      <c r="E72" s="60" t="s">
        <v>60</v>
      </c>
      <c r="F72" s="60" t="s">
        <v>60</v>
      </c>
      <c r="G72" s="51" t="s">
        <v>62</v>
      </c>
      <c r="H72" s="51" t="s">
        <v>62</v>
      </c>
      <c r="I72" s="91" t="s">
        <v>212</v>
      </c>
      <c r="J72" s="51" t="s">
        <v>213</v>
      </c>
      <c r="K72" s="40"/>
      <c r="L72" s="40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>
      <c r="A73" s="63"/>
      <c r="B73" s="37"/>
      <c r="C73" s="37"/>
      <c r="D73" s="37"/>
      <c r="E73" s="8"/>
      <c r="F73" s="40"/>
      <c r="G73" s="40"/>
      <c r="H73" s="40"/>
      <c r="I73" s="40"/>
      <c r="J73" s="40"/>
      <c r="K73" s="40"/>
      <c r="L73" s="40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>
      <c r="A74" s="36"/>
      <c r="B74" s="43"/>
      <c r="C74" s="40"/>
      <c r="D74" s="54"/>
      <c r="E74" s="40"/>
      <c r="F74" s="40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>
      <c r="A75" s="92" t="s">
        <v>214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96" customFormat="1">
      <c r="A76" s="93"/>
      <c r="B76" s="94" t="s">
        <v>215</v>
      </c>
      <c r="C76" s="95" t="s">
        <v>216</v>
      </c>
      <c r="D76" s="94" t="s">
        <v>217</v>
      </c>
      <c r="E76" s="95" t="s">
        <v>218</v>
      </c>
      <c r="F76" s="95" t="s">
        <v>219</v>
      </c>
      <c r="G76" s="95" t="s">
        <v>29</v>
      </c>
    </row>
    <row r="77" spans="1:256" s="100" customFormat="1" ht="25.5">
      <c r="A77" s="97" t="s">
        <v>29</v>
      </c>
      <c r="B77" s="98" t="s">
        <v>220</v>
      </c>
      <c r="C77" s="98" t="s">
        <v>221</v>
      </c>
      <c r="D77" s="98" t="s">
        <v>222</v>
      </c>
      <c r="E77" s="98" t="s">
        <v>223</v>
      </c>
      <c r="F77" s="99" t="s">
        <v>224</v>
      </c>
      <c r="G77" s="98" t="s">
        <v>225</v>
      </c>
    </row>
    <row r="78" spans="1:256" s="96" customFormat="1" ht="38.25">
      <c r="A78" s="101" t="s">
        <v>46</v>
      </c>
      <c r="B78" s="102" t="s">
        <v>226</v>
      </c>
      <c r="C78" s="103" t="s">
        <v>227</v>
      </c>
      <c r="D78" s="98" t="s">
        <v>228</v>
      </c>
      <c r="E78" s="53">
        <v>39</v>
      </c>
      <c r="F78" s="104">
        <v>40568</v>
      </c>
      <c r="G78" s="53"/>
    </row>
    <row r="79" spans="1:256" ht="38.25">
      <c r="A79" s="105" t="s">
        <v>59</v>
      </c>
      <c r="B79" s="98" t="s">
        <v>60</v>
      </c>
      <c r="C79" s="98" t="s">
        <v>60</v>
      </c>
      <c r="D79" s="98" t="s">
        <v>229</v>
      </c>
      <c r="E79" s="53" t="s">
        <v>62</v>
      </c>
      <c r="F79" s="53" t="s">
        <v>230</v>
      </c>
      <c r="G79" s="98" t="s">
        <v>60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>
      <c r="A80" s="106"/>
      <c r="B80" s="107"/>
      <c r="C80" s="107"/>
      <c r="D80" s="107"/>
      <c r="E80" s="108"/>
      <c r="F80" s="108"/>
      <c r="G80" s="107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>
      <c r="A81" s="39"/>
      <c r="B81" s="40"/>
      <c r="C81" s="40"/>
      <c r="D81" s="40"/>
      <c r="E81" s="40"/>
      <c r="F81" s="40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s="44" customFormat="1" ht="12.75" customHeight="1">
      <c r="A82" s="81" t="s">
        <v>231</v>
      </c>
      <c r="B82" s="42" t="s">
        <v>232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</row>
    <row r="83" spans="1:256">
      <c r="A83" s="45"/>
      <c r="B83" s="109" t="s">
        <v>233</v>
      </c>
      <c r="C83" s="109" t="s">
        <v>234</v>
      </c>
      <c r="D83" s="109" t="s">
        <v>235</v>
      </c>
      <c r="E83"/>
      <c r="F83"/>
      <c r="G83"/>
      <c r="H83"/>
      <c r="I83"/>
      <c r="J83"/>
    </row>
    <row r="84" spans="1:256" ht="38.25" customHeight="1">
      <c r="A84" s="48" t="s">
        <v>29</v>
      </c>
      <c r="B84" s="21" t="s">
        <v>236</v>
      </c>
      <c r="C84" s="21" t="s">
        <v>237</v>
      </c>
      <c r="D84" s="21" t="s">
        <v>238</v>
      </c>
      <c r="E84"/>
      <c r="F84"/>
      <c r="G84"/>
      <c r="H84"/>
      <c r="I84"/>
      <c r="J84"/>
    </row>
    <row r="85" spans="1:256">
      <c r="A85" s="50" t="s">
        <v>89</v>
      </c>
      <c r="B85" s="31">
        <v>1</v>
      </c>
      <c r="C85" s="110">
        <v>3</v>
      </c>
      <c r="D85" s="31" t="s">
        <v>239</v>
      </c>
      <c r="E85"/>
      <c r="F85"/>
      <c r="G85"/>
      <c r="H85"/>
      <c r="I85"/>
      <c r="J85"/>
    </row>
    <row r="86" spans="1:256" ht="140.25">
      <c r="A86" s="26" t="s">
        <v>59</v>
      </c>
      <c r="B86" s="49" t="s">
        <v>240</v>
      </c>
      <c r="C86" s="49" t="s">
        <v>241</v>
      </c>
      <c r="D86" s="49" t="s">
        <v>242</v>
      </c>
      <c r="E86"/>
      <c r="F86"/>
      <c r="G86"/>
      <c r="H86"/>
      <c r="I86"/>
      <c r="J86"/>
    </row>
    <row r="89" spans="1:256" ht="12.75" customHeight="1"/>
    <row r="90" spans="1:256" ht="12.75" customHeight="1"/>
    <row r="92" spans="1:256" ht="12.75" customHeight="1"/>
    <row r="93" spans="1:256" ht="12.75" customHeight="1"/>
    <row r="95" spans="1:256" ht="12.75" customHeight="1"/>
  </sheetData>
  <sheetProtection selectLockedCells="1" selectUnlockedCells="1"/>
  <mergeCells count="12">
    <mergeCell ref="H69:H70"/>
    <mergeCell ref="A5:E5"/>
    <mergeCell ref="A7:A9"/>
    <mergeCell ref="B7:E7"/>
    <mergeCell ref="B8:E8"/>
    <mergeCell ref="B9:E9"/>
    <mergeCell ref="A62:A63"/>
    <mergeCell ref="A69:A70"/>
    <mergeCell ref="B69:B70"/>
    <mergeCell ref="E69:E70"/>
    <mergeCell ref="F69:F70"/>
    <mergeCell ref="G69:G70"/>
  </mergeCells>
  <hyperlinks>
    <hyperlink ref="G31" r:id="rId1"/>
    <hyperlink ref="C78" r:id="rId2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P2"/>
  <sheetViews>
    <sheetView zoomScale="95" zoomScaleNormal="95" workbookViewId="0">
      <selection activeCell="G11" sqref="G11"/>
    </sheetView>
  </sheetViews>
  <sheetFormatPr baseColWidth="10" defaultColWidth="12.85546875" defaultRowHeight="12.75"/>
  <cols>
    <col min="1" max="1" width="18" style="111" bestFit="1" customWidth="1"/>
    <col min="2" max="2" width="10.5703125" style="111" customWidth="1"/>
    <col min="3" max="3" width="15.85546875" style="112" customWidth="1"/>
    <col min="4" max="4" width="13.85546875" style="112" customWidth="1"/>
    <col min="5" max="5" width="12.42578125" style="112" customWidth="1"/>
    <col min="6" max="6" width="15.85546875" style="112" customWidth="1"/>
    <col min="7" max="7" width="22.28515625" style="112" customWidth="1"/>
    <col min="8" max="8" width="6.28515625" style="112" customWidth="1"/>
    <col min="9" max="10" width="2.42578125" style="113" customWidth="1"/>
    <col min="11" max="11" width="19.28515625" style="112" customWidth="1"/>
    <col min="12" max="13" width="12.42578125" style="112" customWidth="1"/>
    <col min="14" max="14" width="17" style="112" customWidth="1"/>
    <col min="15" max="15" width="8.7109375" style="112" customWidth="1"/>
    <col min="16" max="16" width="13.5703125" style="112" customWidth="1"/>
  </cols>
  <sheetData>
    <row r="1" spans="1:16">
      <c r="A1" s="114" t="s">
        <v>13</v>
      </c>
      <c r="B1" s="114" t="s">
        <v>14</v>
      </c>
      <c r="C1" s="115" t="s">
        <v>15</v>
      </c>
      <c r="D1" s="115" t="s">
        <v>16</v>
      </c>
      <c r="E1" s="115" t="s">
        <v>17</v>
      </c>
      <c r="F1" s="115" t="s">
        <v>18</v>
      </c>
      <c r="G1" s="115" t="s">
        <v>19</v>
      </c>
      <c r="H1" s="115" t="s">
        <v>20</v>
      </c>
      <c r="I1" s="116" t="s">
        <v>21</v>
      </c>
      <c r="J1" s="116" t="s">
        <v>22</v>
      </c>
      <c r="K1" s="115" t="s">
        <v>23</v>
      </c>
      <c r="L1" s="115" t="s">
        <v>24</v>
      </c>
      <c r="M1" s="115" t="s">
        <v>25</v>
      </c>
      <c r="N1" s="115" t="s">
        <v>26</v>
      </c>
      <c r="O1" s="115" t="s">
        <v>27</v>
      </c>
      <c r="P1" s="115" t="s">
        <v>28</v>
      </c>
    </row>
    <row r="2" spans="1:16">
      <c r="A2" s="111" t="s">
        <v>7866</v>
      </c>
      <c r="B2" s="111" t="s">
        <v>7867</v>
      </c>
      <c r="C2" s="155">
        <v>41521</v>
      </c>
      <c r="D2" s="155">
        <v>41837</v>
      </c>
      <c r="G2" s="112" t="s">
        <v>7451</v>
      </c>
      <c r="N2" s="112" t="s">
        <v>243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L2"/>
  <sheetViews>
    <sheetView workbookViewId="0">
      <selection activeCell="D2" sqref="D2"/>
    </sheetView>
  </sheetViews>
  <sheetFormatPr baseColWidth="10" defaultColWidth="10.7109375" defaultRowHeight="12.75"/>
  <cols>
    <col min="1" max="1" width="11.85546875" style="117" customWidth="1"/>
    <col min="2" max="2" width="9.140625" style="118" customWidth="1"/>
    <col min="3" max="3" width="11" style="118" customWidth="1"/>
    <col min="4" max="4" width="10.140625" style="118" customWidth="1"/>
    <col min="5" max="5" width="10.42578125" style="118" customWidth="1"/>
    <col min="6" max="6" width="6.5703125" style="118" customWidth="1"/>
    <col min="7" max="7" width="25.140625" style="117" customWidth="1"/>
    <col min="8" max="8" width="11.28515625" style="118" customWidth="1"/>
    <col min="9" max="9" width="12.140625" style="118" customWidth="1"/>
    <col min="10" max="10" width="10.42578125" style="118" customWidth="1"/>
    <col min="11" max="11" width="19.28515625" style="112" customWidth="1"/>
    <col min="12" max="12" width="22.42578125" style="112" customWidth="1"/>
  </cols>
  <sheetData>
    <row r="1" spans="1:12" s="92" customFormat="1">
      <c r="A1" s="119" t="s">
        <v>65</v>
      </c>
      <c r="B1" s="120" t="s">
        <v>66</v>
      </c>
      <c r="C1" s="120" t="s">
        <v>67</v>
      </c>
      <c r="D1" s="120" t="s">
        <v>68</v>
      </c>
      <c r="E1" s="120" t="s">
        <v>69</v>
      </c>
      <c r="F1" s="120" t="s">
        <v>70</v>
      </c>
      <c r="G1" s="119" t="s">
        <v>71</v>
      </c>
      <c r="H1" s="121" t="s">
        <v>72</v>
      </c>
      <c r="I1" s="121" t="s">
        <v>73</v>
      </c>
      <c r="J1" s="120" t="s">
        <v>74</v>
      </c>
      <c r="K1" s="122" t="s">
        <v>75</v>
      </c>
      <c r="L1" s="122" t="s">
        <v>76</v>
      </c>
    </row>
    <row r="2" spans="1:12">
      <c r="A2" s="117" t="s">
        <v>7858</v>
      </c>
      <c r="B2" s="118">
        <v>47.443240000000003</v>
      </c>
      <c r="C2" s="118">
        <v>1.14943</v>
      </c>
      <c r="G2" s="117" t="s">
        <v>7859</v>
      </c>
      <c r="H2" s="123"/>
      <c r="I2" s="123"/>
      <c r="J2" s="118" t="s">
        <v>7868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H3"/>
  <sheetViews>
    <sheetView zoomScale="95" zoomScaleNormal="95" workbookViewId="0">
      <selection activeCell="G3" sqref="G3"/>
    </sheetView>
  </sheetViews>
  <sheetFormatPr baseColWidth="10" defaultColWidth="10.7109375" defaultRowHeight="12.75"/>
  <cols>
    <col min="1" max="1" width="8.7109375" style="124" customWidth="1"/>
    <col min="2" max="2" width="10.85546875" style="124" customWidth="1"/>
    <col min="3" max="3" width="11.140625" style="124" customWidth="1"/>
    <col min="4" max="4" width="7.42578125" style="112" customWidth="1"/>
    <col min="5" max="5" width="4.5703125" style="118" customWidth="1"/>
    <col min="6" max="6" width="26" style="124" customWidth="1"/>
    <col min="7" max="7" width="23.7109375" style="124" customWidth="1"/>
    <col min="8" max="8" width="12" style="112" customWidth="1"/>
  </cols>
  <sheetData>
    <row r="1" spans="1:8">
      <c r="A1" s="114" t="s">
        <v>97</v>
      </c>
      <c r="B1" s="114" t="s">
        <v>98</v>
      </c>
      <c r="C1" s="114" t="s">
        <v>99</v>
      </c>
      <c r="D1" s="115" t="s">
        <v>100</v>
      </c>
      <c r="E1" s="125" t="s">
        <v>101</v>
      </c>
      <c r="F1" s="114" t="s">
        <v>102</v>
      </c>
      <c r="G1" s="114" t="s">
        <v>103</v>
      </c>
      <c r="H1" s="115" t="s">
        <v>104</v>
      </c>
    </row>
    <row r="2" spans="1:8">
      <c r="A2" s="126" t="s">
        <v>113</v>
      </c>
      <c r="B2" s="126" t="s">
        <v>244</v>
      </c>
      <c r="C2" s="126" t="s">
        <v>245</v>
      </c>
      <c r="F2" s="127" t="s">
        <v>246</v>
      </c>
      <c r="G2" s="126" t="s">
        <v>119</v>
      </c>
      <c r="H2" s="128" t="s">
        <v>247</v>
      </c>
    </row>
    <row r="3" spans="1:8">
      <c r="B3" s="124" t="s">
        <v>8241</v>
      </c>
      <c r="C3" s="124" t="s">
        <v>8242</v>
      </c>
      <c r="F3" s="252" t="s">
        <v>8243</v>
      </c>
      <c r="G3" s="124" t="s">
        <v>8244</v>
      </c>
    </row>
  </sheetData>
  <sheetProtection selectLockedCells="1" selectUnlockedCells="1"/>
  <dataValidations count="1">
    <dataValidation type="list" allowBlank="1" showErrorMessage="1" sqref="G2">
      <formula1>InstitutionName</formula1>
      <formula2>0</formula2>
    </dataValidation>
  </dataValidations>
  <hyperlinks>
    <hyperlink ref="F2" r:id="rId1"/>
    <hyperlink ref="F3" r:id="rId2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H45"/>
  <sheetViews>
    <sheetView zoomScale="80" zoomScaleNormal="80" workbookViewId="0">
      <selection activeCell="J33" sqref="J33"/>
    </sheetView>
  </sheetViews>
  <sheetFormatPr baseColWidth="10" defaultColWidth="12.7109375" defaultRowHeight="12.75"/>
  <cols>
    <col min="1" max="1" width="41.42578125" style="161" customWidth="1"/>
    <col min="2" max="2" width="25.140625" style="161" bestFit="1" customWidth="1"/>
    <col min="3" max="3" width="30.5703125" style="164" bestFit="1" customWidth="1"/>
    <col min="4" max="4" width="65.42578125" style="165" customWidth="1"/>
    <col min="5" max="5" width="39" style="165" customWidth="1"/>
    <col min="6" max="6" width="54.5703125" style="165" customWidth="1"/>
    <col min="7" max="7" width="15.42578125" style="164" customWidth="1"/>
    <col min="8" max="8" width="10.42578125" style="164" customWidth="1"/>
    <col min="9" max="16384" width="12.7109375" style="166"/>
  </cols>
  <sheetData>
    <row r="1" spans="1:8" s="163" customFormat="1" ht="13.5" thickBot="1">
      <c r="A1" s="170" t="s">
        <v>126</v>
      </c>
      <c r="B1" s="170" t="s">
        <v>127</v>
      </c>
      <c r="C1" s="171" t="s">
        <v>128</v>
      </c>
      <c r="D1" s="172" t="s">
        <v>29</v>
      </c>
      <c r="E1" s="172" t="s">
        <v>129</v>
      </c>
      <c r="F1" s="172" t="s">
        <v>130</v>
      </c>
      <c r="G1" s="162" t="s">
        <v>131</v>
      </c>
      <c r="H1" s="162" t="s">
        <v>74</v>
      </c>
    </row>
    <row r="2" spans="1:8" ht="89.25">
      <c r="A2" s="176" t="s">
        <v>248</v>
      </c>
      <c r="B2" s="176" t="s">
        <v>7901</v>
      </c>
      <c r="C2" s="177" t="s">
        <v>7937</v>
      </c>
      <c r="D2" s="178" t="s">
        <v>7975</v>
      </c>
      <c r="E2" s="178" t="s">
        <v>8026</v>
      </c>
      <c r="F2" s="169" t="s">
        <v>8054</v>
      </c>
    </row>
    <row r="3" spans="1:8" ht="25.5">
      <c r="A3" s="176" t="s">
        <v>248</v>
      </c>
      <c r="B3" s="176" t="s">
        <v>7902</v>
      </c>
      <c r="C3" s="177" t="s">
        <v>7938</v>
      </c>
      <c r="D3" s="178" t="s">
        <v>7976</v>
      </c>
      <c r="E3" s="178" t="s">
        <v>8017</v>
      </c>
      <c r="F3" s="169" t="s">
        <v>8030</v>
      </c>
    </row>
    <row r="4" spans="1:8" ht="38.25">
      <c r="A4" s="176" t="s">
        <v>248</v>
      </c>
      <c r="B4" s="176" t="s">
        <v>7903</v>
      </c>
      <c r="C4" s="177" t="s">
        <v>7939</v>
      </c>
      <c r="D4" s="178" t="s">
        <v>7977</v>
      </c>
      <c r="E4" s="178" t="s">
        <v>250</v>
      </c>
      <c r="F4" s="169" t="s">
        <v>8031</v>
      </c>
    </row>
    <row r="5" spans="1:8" ht="63.75">
      <c r="A5" s="176" t="s">
        <v>248</v>
      </c>
      <c r="B5" s="176" t="s">
        <v>7904</v>
      </c>
      <c r="C5" s="177" t="s">
        <v>7940</v>
      </c>
      <c r="D5" s="178" t="s">
        <v>8015</v>
      </c>
      <c r="E5" s="178" t="s">
        <v>251</v>
      </c>
      <c r="F5" s="169" t="s">
        <v>8032</v>
      </c>
    </row>
    <row r="6" spans="1:8" ht="38.25">
      <c r="A6" s="176" t="s">
        <v>248</v>
      </c>
      <c r="B6" s="176" t="s">
        <v>7905</v>
      </c>
      <c r="C6" s="177" t="s">
        <v>7941</v>
      </c>
      <c r="D6" s="178" t="s">
        <v>8016</v>
      </c>
      <c r="E6" s="178" t="s">
        <v>251</v>
      </c>
      <c r="F6" s="169" t="s">
        <v>8053</v>
      </c>
    </row>
    <row r="7" spans="1:8">
      <c r="A7" s="176" t="s">
        <v>248</v>
      </c>
      <c r="B7" s="176" t="s">
        <v>258</v>
      </c>
      <c r="C7" s="177" t="s">
        <v>7861</v>
      </c>
      <c r="D7" s="178" t="s">
        <v>7978</v>
      </c>
      <c r="E7" s="178" t="s">
        <v>8027</v>
      </c>
      <c r="F7" s="169" t="s">
        <v>8033</v>
      </c>
    </row>
    <row r="8" spans="1:8" ht="38.25">
      <c r="A8" s="176" t="s">
        <v>248</v>
      </c>
      <c r="B8" s="176" t="s">
        <v>7906</v>
      </c>
      <c r="C8" s="177" t="s">
        <v>7942</v>
      </c>
      <c r="D8" s="178" t="s">
        <v>7979</v>
      </c>
      <c r="E8" s="178" t="s">
        <v>249</v>
      </c>
      <c r="F8" s="169" t="s">
        <v>8034</v>
      </c>
    </row>
    <row r="9" spans="1:8" ht="25.5">
      <c r="A9" s="176" t="s">
        <v>248</v>
      </c>
      <c r="B9" s="176" t="s">
        <v>7907</v>
      </c>
      <c r="C9" s="177" t="s">
        <v>7943</v>
      </c>
      <c r="D9" s="178" t="s">
        <v>7980</v>
      </c>
      <c r="E9" s="178" t="s">
        <v>8017</v>
      </c>
      <c r="F9" s="169" t="s">
        <v>8035</v>
      </c>
    </row>
    <row r="10" spans="1:8">
      <c r="A10" s="176" t="s">
        <v>248</v>
      </c>
      <c r="B10" s="176" t="s">
        <v>257</v>
      </c>
      <c r="C10" s="177" t="s">
        <v>7860</v>
      </c>
      <c r="D10" s="178" t="s">
        <v>7981</v>
      </c>
      <c r="E10" s="178" t="s">
        <v>8027</v>
      </c>
      <c r="F10" s="169" t="s">
        <v>8036</v>
      </c>
    </row>
    <row r="11" spans="1:8">
      <c r="A11" s="176" t="s">
        <v>248</v>
      </c>
      <c r="B11" s="176" t="s">
        <v>255</v>
      </c>
      <c r="C11" s="177" t="s">
        <v>7944</v>
      </c>
      <c r="D11" s="178" t="s">
        <v>7982</v>
      </c>
      <c r="E11" s="178" t="s">
        <v>8018</v>
      </c>
      <c r="F11" s="169" t="s">
        <v>8037</v>
      </c>
    </row>
    <row r="12" spans="1:8" ht="25.5">
      <c r="A12" s="176" t="s">
        <v>248</v>
      </c>
      <c r="B12" s="176" t="s">
        <v>252</v>
      </c>
      <c r="C12" s="177" t="s">
        <v>7945</v>
      </c>
      <c r="D12" s="178" t="s">
        <v>7983</v>
      </c>
      <c r="E12" s="178" t="s">
        <v>8027</v>
      </c>
      <c r="F12" s="169" t="s">
        <v>8038</v>
      </c>
    </row>
    <row r="13" spans="1:8" ht="38.25">
      <c r="A13" s="176" t="s">
        <v>248</v>
      </c>
      <c r="B13" s="176" t="s">
        <v>7908</v>
      </c>
      <c r="C13" s="177" t="s">
        <v>7946</v>
      </c>
      <c r="D13" s="178" t="s">
        <v>7984</v>
      </c>
      <c r="E13" s="178" t="s">
        <v>8027</v>
      </c>
      <c r="F13" s="169" t="s">
        <v>8039</v>
      </c>
    </row>
    <row r="14" spans="1:8" ht="38.25">
      <c r="A14" s="176" t="s">
        <v>248</v>
      </c>
      <c r="B14" s="176" t="s">
        <v>253</v>
      </c>
      <c r="C14" s="177" t="s">
        <v>7947</v>
      </c>
      <c r="D14" s="178" t="s">
        <v>7985</v>
      </c>
      <c r="E14" s="178" t="s">
        <v>254</v>
      </c>
      <c r="F14" s="169" t="s">
        <v>8040</v>
      </c>
    </row>
    <row r="15" spans="1:8" ht="25.5">
      <c r="A15" s="176" t="s">
        <v>248</v>
      </c>
      <c r="B15" s="176" t="s">
        <v>7909</v>
      </c>
      <c r="C15" s="177" t="s">
        <v>7948</v>
      </c>
      <c r="D15" s="178" t="s">
        <v>7986</v>
      </c>
      <c r="E15" s="178" t="s">
        <v>143</v>
      </c>
      <c r="F15" s="169" t="s">
        <v>8041</v>
      </c>
      <c r="H15" s="167"/>
    </row>
    <row r="16" spans="1:8" ht="25.5">
      <c r="A16" s="176" t="s">
        <v>248</v>
      </c>
      <c r="B16" s="176" t="s">
        <v>7910</v>
      </c>
      <c r="C16" s="177" t="s">
        <v>7949</v>
      </c>
      <c r="D16" s="178" t="s">
        <v>7987</v>
      </c>
      <c r="E16" s="178" t="s">
        <v>8019</v>
      </c>
      <c r="F16" s="169" t="s">
        <v>8042</v>
      </c>
    </row>
    <row r="17" spans="1:8" ht="25.5">
      <c r="A17" s="176" t="s">
        <v>248</v>
      </c>
      <c r="B17" s="176" t="s">
        <v>7911</v>
      </c>
      <c r="C17" s="177" t="s">
        <v>7950</v>
      </c>
      <c r="D17" s="178" t="s">
        <v>7988</v>
      </c>
      <c r="E17" s="178" t="s">
        <v>8020</v>
      </c>
      <c r="F17" s="169" t="s">
        <v>8042</v>
      </c>
    </row>
    <row r="18" spans="1:8" ht="33" customHeight="1">
      <c r="A18" s="179" t="s">
        <v>248</v>
      </c>
      <c r="B18" s="179" t="s">
        <v>7912</v>
      </c>
      <c r="C18" s="180" t="s">
        <v>7951</v>
      </c>
      <c r="D18" s="181" t="s">
        <v>7989</v>
      </c>
      <c r="E18" s="181" t="s">
        <v>8020</v>
      </c>
      <c r="F18" s="182" t="s">
        <v>8042</v>
      </c>
      <c r="G18" s="183"/>
      <c r="H18" s="183"/>
    </row>
    <row r="19" spans="1:8" ht="102">
      <c r="A19" s="179" t="s">
        <v>248</v>
      </c>
      <c r="B19" s="179" t="s">
        <v>7913</v>
      </c>
      <c r="C19" s="180" t="s">
        <v>7952</v>
      </c>
      <c r="D19" s="168" t="s">
        <v>7990</v>
      </c>
      <c r="E19" s="181" t="s">
        <v>8020</v>
      </c>
      <c r="F19" s="182" t="s">
        <v>8043</v>
      </c>
      <c r="G19" s="183"/>
      <c r="H19" s="183"/>
    </row>
    <row r="20" spans="1:8" ht="25.5">
      <c r="A20" s="179" t="s">
        <v>248</v>
      </c>
      <c r="B20" s="179" t="s">
        <v>7914</v>
      </c>
      <c r="C20" s="180" t="s">
        <v>7953</v>
      </c>
      <c r="D20" s="181" t="s">
        <v>7991</v>
      </c>
      <c r="E20" s="181" t="s">
        <v>8020</v>
      </c>
      <c r="F20" s="182" t="s">
        <v>8042</v>
      </c>
      <c r="G20" s="183"/>
      <c r="H20" s="183"/>
    </row>
    <row r="21" spans="1:8" ht="33" customHeight="1">
      <c r="A21" s="179" t="s">
        <v>248</v>
      </c>
      <c r="B21" s="179" t="s">
        <v>7915</v>
      </c>
      <c r="C21" s="180" t="s">
        <v>7954</v>
      </c>
      <c r="D21" s="181" t="s">
        <v>7992</v>
      </c>
      <c r="E21" s="181" t="s">
        <v>8020</v>
      </c>
      <c r="F21" s="182" t="s">
        <v>8042</v>
      </c>
      <c r="G21" s="183"/>
      <c r="H21" s="183"/>
    </row>
    <row r="22" spans="1:8" ht="32.25" customHeight="1">
      <c r="A22" s="179" t="s">
        <v>248</v>
      </c>
      <c r="B22" s="179" t="s">
        <v>7916</v>
      </c>
      <c r="C22" s="180" t="s">
        <v>7955</v>
      </c>
      <c r="D22" s="181" t="s">
        <v>7993</v>
      </c>
      <c r="E22" s="181" t="s">
        <v>8020</v>
      </c>
      <c r="F22" s="182" t="s">
        <v>8042</v>
      </c>
      <c r="G22" s="183"/>
      <c r="H22" s="183"/>
    </row>
    <row r="23" spans="1:8" ht="76.5">
      <c r="A23" s="179" t="s">
        <v>248</v>
      </c>
      <c r="B23" s="179" t="s">
        <v>7917</v>
      </c>
      <c r="C23" s="180" t="s">
        <v>7956</v>
      </c>
      <c r="D23" s="181" t="s">
        <v>7994</v>
      </c>
      <c r="E23" s="181" t="s">
        <v>8020</v>
      </c>
      <c r="F23" s="182" t="s">
        <v>8044</v>
      </c>
      <c r="G23" s="183"/>
      <c r="H23" s="184"/>
    </row>
    <row r="24" spans="1:8" ht="25.5">
      <c r="A24" s="179" t="s">
        <v>248</v>
      </c>
      <c r="B24" s="179" t="s">
        <v>7918</v>
      </c>
      <c r="C24" s="180" t="s">
        <v>7957</v>
      </c>
      <c r="D24" s="181" t="s">
        <v>7995</v>
      </c>
      <c r="E24" s="181" t="s">
        <v>8020</v>
      </c>
      <c r="F24" s="182" t="s">
        <v>8042</v>
      </c>
      <c r="G24" s="183"/>
      <c r="H24" s="184"/>
    </row>
    <row r="25" spans="1:8" ht="81" customHeight="1">
      <c r="A25" s="179" t="s">
        <v>248</v>
      </c>
      <c r="B25" s="179" t="s">
        <v>7919</v>
      </c>
      <c r="C25" s="180" t="s">
        <v>7958</v>
      </c>
      <c r="D25" s="181" t="s">
        <v>7996</v>
      </c>
      <c r="E25" s="181" t="s">
        <v>8020</v>
      </c>
      <c r="F25" s="182" t="s">
        <v>8045</v>
      </c>
      <c r="G25" s="183"/>
      <c r="H25" s="184"/>
    </row>
    <row r="26" spans="1:8" ht="38.25">
      <c r="A26" s="179" t="s">
        <v>248</v>
      </c>
      <c r="B26" s="179" t="s">
        <v>7920</v>
      </c>
      <c r="C26" s="180" t="s">
        <v>7959</v>
      </c>
      <c r="D26" s="181" t="s">
        <v>7997</v>
      </c>
      <c r="E26" s="181" t="s">
        <v>251</v>
      </c>
      <c r="F26" s="182" t="s">
        <v>8052</v>
      </c>
      <c r="G26" s="183"/>
      <c r="H26" s="184"/>
    </row>
    <row r="27" spans="1:8">
      <c r="A27" s="179" t="s">
        <v>248</v>
      </c>
      <c r="B27" s="179" t="s">
        <v>7921</v>
      </c>
      <c r="C27" s="180" t="s">
        <v>7960</v>
      </c>
      <c r="D27" s="181" t="s">
        <v>7998</v>
      </c>
      <c r="E27" s="181" t="s">
        <v>8021</v>
      </c>
      <c r="F27" s="182" t="s">
        <v>8046</v>
      </c>
      <c r="G27" s="183"/>
      <c r="H27" s="184"/>
    </row>
    <row r="28" spans="1:8">
      <c r="A28" s="179" t="s">
        <v>248</v>
      </c>
      <c r="B28" s="179" t="s">
        <v>7922</v>
      </c>
      <c r="C28" s="180" t="s">
        <v>7961</v>
      </c>
      <c r="D28" s="181" t="s">
        <v>7999</v>
      </c>
      <c r="E28" s="181" t="s">
        <v>8021</v>
      </c>
      <c r="F28" s="182" t="s">
        <v>8046</v>
      </c>
      <c r="G28" s="183"/>
      <c r="H28" s="184"/>
    </row>
    <row r="29" spans="1:8">
      <c r="A29" s="179" t="s">
        <v>248</v>
      </c>
      <c r="B29" s="179" t="s">
        <v>7923</v>
      </c>
      <c r="C29" s="180" t="s">
        <v>7962</v>
      </c>
      <c r="D29" s="181" t="s">
        <v>8000</v>
      </c>
      <c r="E29" s="181" t="s">
        <v>8021</v>
      </c>
      <c r="F29" s="182" t="s">
        <v>8046</v>
      </c>
      <c r="G29" s="183"/>
      <c r="H29" s="184"/>
    </row>
    <row r="30" spans="1:8">
      <c r="A30" s="179" t="s">
        <v>248</v>
      </c>
      <c r="B30" s="179" t="s">
        <v>7924</v>
      </c>
      <c r="C30" s="180" t="s">
        <v>7963</v>
      </c>
      <c r="D30" s="181" t="s">
        <v>8001</v>
      </c>
      <c r="E30" s="181" t="s">
        <v>8021</v>
      </c>
      <c r="F30" s="182" t="s">
        <v>8046</v>
      </c>
      <c r="G30" s="183"/>
      <c r="H30" s="184"/>
    </row>
    <row r="31" spans="1:8">
      <c r="A31" s="179" t="s">
        <v>248</v>
      </c>
      <c r="B31" s="179" t="s">
        <v>7925</v>
      </c>
      <c r="C31" s="180" t="s">
        <v>7964</v>
      </c>
      <c r="D31" s="181" t="s">
        <v>8002</v>
      </c>
      <c r="E31" s="181" t="s">
        <v>8021</v>
      </c>
      <c r="F31" s="182" t="s">
        <v>8046</v>
      </c>
      <c r="G31" s="183"/>
      <c r="H31" s="184"/>
    </row>
    <row r="32" spans="1:8">
      <c r="A32" s="179" t="s">
        <v>248</v>
      </c>
      <c r="B32" s="179" t="s">
        <v>7926</v>
      </c>
      <c r="C32" s="180" t="s">
        <v>7965</v>
      </c>
      <c r="D32" s="181" t="s">
        <v>8003</v>
      </c>
      <c r="E32" s="181" t="s">
        <v>8021</v>
      </c>
      <c r="F32" s="182" t="s">
        <v>8046</v>
      </c>
      <c r="G32" s="183"/>
      <c r="H32" s="184"/>
    </row>
    <row r="33" spans="1:8">
      <c r="A33" s="179" t="s">
        <v>248</v>
      </c>
      <c r="B33" s="179" t="s">
        <v>256</v>
      </c>
      <c r="C33" s="180" t="s">
        <v>7966</v>
      </c>
      <c r="D33" s="181" t="s">
        <v>8004</v>
      </c>
      <c r="E33" s="181" t="s">
        <v>8022</v>
      </c>
      <c r="F33" s="182" t="s">
        <v>8046</v>
      </c>
      <c r="G33" s="183"/>
      <c r="H33" s="184"/>
    </row>
    <row r="34" spans="1:8">
      <c r="A34" s="179" t="s">
        <v>248</v>
      </c>
      <c r="B34" s="179" t="s">
        <v>7927</v>
      </c>
      <c r="C34" s="180" t="s">
        <v>7967</v>
      </c>
      <c r="D34" s="181" t="s">
        <v>8005</v>
      </c>
      <c r="E34" s="181" t="s">
        <v>8022</v>
      </c>
      <c r="F34" s="182" t="s">
        <v>8046</v>
      </c>
      <c r="G34" s="183"/>
      <c r="H34" s="184"/>
    </row>
    <row r="35" spans="1:8">
      <c r="A35" s="179" t="s">
        <v>248</v>
      </c>
      <c r="B35" s="179" t="s">
        <v>7928</v>
      </c>
      <c r="C35" s="180" t="s">
        <v>7865</v>
      </c>
      <c r="D35" s="181" t="s">
        <v>8006</v>
      </c>
      <c r="E35" s="181" t="s">
        <v>8028</v>
      </c>
      <c r="F35" s="182" t="s">
        <v>8046</v>
      </c>
      <c r="G35" s="183"/>
      <c r="H35" s="183"/>
    </row>
    <row r="36" spans="1:8">
      <c r="A36" s="179" t="s">
        <v>248</v>
      </c>
      <c r="B36" s="179" t="s">
        <v>7929</v>
      </c>
      <c r="C36" s="180" t="s">
        <v>7968</v>
      </c>
      <c r="D36" s="181" t="s">
        <v>8007</v>
      </c>
      <c r="E36" s="181" t="s">
        <v>251</v>
      </c>
      <c r="F36" s="182" t="s">
        <v>8046</v>
      </c>
      <c r="G36" s="183"/>
      <c r="H36" s="183"/>
    </row>
    <row r="37" spans="1:8">
      <c r="A37" s="179" t="s">
        <v>248</v>
      </c>
      <c r="B37" s="179" t="s">
        <v>7930</v>
      </c>
      <c r="C37" s="180" t="s">
        <v>7969</v>
      </c>
      <c r="D37" s="181" t="s">
        <v>8008</v>
      </c>
      <c r="E37" s="181" t="s">
        <v>8022</v>
      </c>
      <c r="F37" s="182" t="s">
        <v>8046</v>
      </c>
      <c r="G37" s="183"/>
      <c r="H37" s="183"/>
    </row>
    <row r="38" spans="1:8">
      <c r="A38" s="179" t="s">
        <v>248</v>
      </c>
      <c r="B38" s="179" t="s">
        <v>7931</v>
      </c>
      <c r="C38" s="180" t="s">
        <v>7970</v>
      </c>
      <c r="D38" s="181" t="s">
        <v>8009</v>
      </c>
      <c r="E38" s="181" t="s">
        <v>251</v>
      </c>
      <c r="F38" s="182" t="s">
        <v>8047</v>
      </c>
      <c r="G38" s="183"/>
      <c r="H38" s="183" t="s">
        <v>8240</v>
      </c>
    </row>
    <row r="39" spans="1:8" ht="63.75">
      <c r="A39" s="179" t="s">
        <v>248</v>
      </c>
      <c r="B39" s="179" t="s">
        <v>7932</v>
      </c>
      <c r="C39" s="180" t="s">
        <v>7971</v>
      </c>
      <c r="D39" s="181" t="s">
        <v>8010</v>
      </c>
      <c r="E39" s="181" t="s">
        <v>251</v>
      </c>
      <c r="F39" s="182" t="s">
        <v>8048</v>
      </c>
      <c r="G39" s="183"/>
      <c r="H39" s="183"/>
    </row>
    <row r="40" spans="1:8" ht="69.75" customHeight="1">
      <c r="A40" s="179" t="s">
        <v>248</v>
      </c>
      <c r="B40" s="179" t="s">
        <v>7933</v>
      </c>
      <c r="C40" s="180" t="s">
        <v>7864</v>
      </c>
      <c r="D40" s="181" t="s">
        <v>8011</v>
      </c>
      <c r="E40" s="181" t="s">
        <v>251</v>
      </c>
      <c r="F40" s="182" t="s">
        <v>8051</v>
      </c>
      <c r="G40" s="183"/>
      <c r="H40" s="183"/>
    </row>
    <row r="41" spans="1:8">
      <c r="A41" s="179" t="s">
        <v>248</v>
      </c>
      <c r="B41" s="179" t="s">
        <v>7934</v>
      </c>
      <c r="C41" s="180" t="s">
        <v>7972</v>
      </c>
      <c r="D41" s="181" t="s">
        <v>8012</v>
      </c>
      <c r="E41" s="181" t="s">
        <v>8023</v>
      </c>
      <c r="F41" s="182" t="s">
        <v>8049</v>
      </c>
      <c r="G41" s="183"/>
      <c r="H41" s="183"/>
    </row>
    <row r="42" spans="1:8" ht="24">
      <c r="A42" s="179" t="s">
        <v>248</v>
      </c>
      <c r="B42" s="179" t="s">
        <v>7862</v>
      </c>
      <c r="C42" s="180" t="s">
        <v>7863</v>
      </c>
      <c r="D42" s="181" t="s">
        <v>8013</v>
      </c>
      <c r="E42" s="181" t="s">
        <v>8024</v>
      </c>
      <c r="F42" s="182" t="s">
        <v>8049</v>
      </c>
      <c r="G42" s="183"/>
      <c r="H42" s="183"/>
    </row>
    <row r="43" spans="1:8">
      <c r="A43" s="179" t="s">
        <v>248</v>
      </c>
      <c r="B43" s="179" t="s">
        <v>7935</v>
      </c>
      <c r="C43" s="180" t="s">
        <v>7973</v>
      </c>
      <c r="D43" s="181" t="s">
        <v>8014</v>
      </c>
      <c r="E43" s="181" t="s">
        <v>8025</v>
      </c>
      <c r="F43" s="182" t="s">
        <v>8049</v>
      </c>
      <c r="G43" s="183"/>
      <c r="H43" s="183"/>
    </row>
    <row r="44" spans="1:8" ht="105" customHeight="1">
      <c r="A44" s="179" t="s">
        <v>248</v>
      </c>
      <c r="B44" s="179" t="s">
        <v>7936</v>
      </c>
      <c r="C44" s="180" t="s">
        <v>7974</v>
      </c>
      <c r="D44" s="181" t="s">
        <v>8029</v>
      </c>
      <c r="E44" s="181" t="s">
        <v>8017</v>
      </c>
      <c r="F44" s="182" t="s">
        <v>8050</v>
      </c>
      <c r="G44" s="183"/>
      <c r="H44" s="183"/>
    </row>
    <row r="45" spans="1:8">
      <c r="A45" s="173"/>
      <c r="B45" s="173"/>
      <c r="C45" s="174"/>
      <c r="D45" s="175"/>
      <c r="E45" s="175"/>
      <c r="F45" s="175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E213"/>
  <sheetViews>
    <sheetView topLeftCell="A101" zoomScale="95" zoomScaleNormal="95" workbookViewId="0">
      <selection activeCell="B155" sqref="B155"/>
    </sheetView>
  </sheetViews>
  <sheetFormatPr baseColWidth="10" defaultColWidth="12.7109375" defaultRowHeight="12.75"/>
  <cols>
    <col min="1" max="1" width="21.85546875" style="124" customWidth="1"/>
    <col min="2" max="2" width="24.42578125" style="124" customWidth="1"/>
    <col min="3" max="3" width="26" style="124" customWidth="1"/>
    <col min="4" max="4" width="18.5703125" style="129" customWidth="1"/>
    <col min="5" max="5" width="12.140625" style="124" bestFit="1" customWidth="1"/>
    <col min="6" max="16384" width="12.7109375" style="130"/>
  </cols>
  <sheetData>
    <row r="1" spans="1:5" s="132" customFormat="1" ht="13.5" thickBot="1">
      <c r="A1" s="114" t="s">
        <v>146</v>
      </c>
      <c r="B1" s="114" t="s">
        <v>147</v>
      </c>
      <c r="C1" s="114" t="s">
        <v>148</v>
      </c>
      <c r="D1" s="131" t="s">
        <v>149</v>
      </c>
      <c r="E1" s="114" t="s">
        <v>150</v>
      </c>
    </row>
    <row r="2" spans="1:5">
      <c r="A2" s="133" t="s">
        <v>259</v>
      </c>
      <c r="B2" s="126" t="s">
        <v>7869</v>
      </c>
      <c r="C2" s="126" t="s">
        <v>7816</v>
      </c>
      <c r="D2" s="134"/>
      <c r="E2" s="126" t="s">
        <v>7610</v>
      </c>
    </row>
    <row r="3" spans="1:5">
      <c r="A3" s="133" t="s">
        <v>259</v>
      </c>
      <c r="B3" s="124" t="s">
        <v>7452</v>
      </c>
      <c r="C3" s="124" t="s">
        <v>7452</v>
      </c>
      <c r="E3" s="124" t="s">
        <v>7611</v>
      </c>
    </row>
    <row r="4" spans="1:5">
      <c r="A4" s="133" t="s">
        <v>259</v>
      </c>
      <c r="B4" s="124" t="s">
        <v>7870</v>
      </c>
      <c r="C4" s="124" t="s">
        <v>7817</v>
      </c>
      <c r="E4" s="124" t="s">
        <v>7612</v>
      </c>
    </row>
    <row r="5" spans="1:5">
      <c r="A5" s="133" t="s">
        <v>259</v>
      </c>
      <c r="B5" s="124" t="s">
        <v>261</v>
      </c>
      <c r="C5" s="124" t="s">
        <v>261</v>
      </c>
      <c r="E5" s="124" t="s">
        <v>7613</v>
      </c>
    </row>
    <row r="6" spans="1:5">
      <c r="A6" s="133" t="s">
        <v>259</v>
      </c>
      <c r="B6" s="124" t="s">
        <v>7453</v>
      </c>
      <c r="C6" s="124" t="s">
        <v>7453</v>
      </c>
      <c r="E6" s="124" t="s">
        <v>7614</v>
      </c>
    </row>
    <row r="7" spans="1:5">
      <c r="A7" s="133" t="s">
        <v>259</v>
      </c>
      <c r="B7" s="124" t="s">
        <v>7454</v>
      </c>
      <c r="C7" s="124" t="s">
        <v>7454</v>
      </c>
      <c r="E7" s="124" t="s">
        <v>7615</v>
      </c>
    </row>
    <row r="8" spans="1:5">
      <c r="A8" s="133" t="s">
        <v>259</v>
      </c>
      <c r="B8" s="124" t="s">
        <v>7871</v>
      </c>
      <c r="C8" s="124" t="s">
        <v>7818</v>
      </c>
      <c r="E8" s="124" t="s">
        <v>7616</v>
      </c>
    </row>
    <row r="9" spans="1:5">
      <c r="A9" s="133" t="s">
        <v>259</v>
      </c>
      <c r="B9" s="124" t="s">
        <v>7455</v>
      </c>
      <c r="C9" s="124" t="s">
        <v>7455</v>
      </c>
      <c r="E9" s="124" t="s">
        <v>7617</v>
      </c>
    </row>
    <row r="10" spans="1:5">
      <c r="A10" s="133" t="s">
        <v>259</v>
      </c>
      <c r="B10" s="124" t="s">
        <v>7872</v>
      </c>
      <c r="C10" s="124" t="s">
        <v>7819</v>
      </c>
      <c r="E10" s="124" t="s">
        <v>7618</v>
      </c>
    </row>
    <row r="11" spans="1:5">
      <c r="A11" s="133" t="s">
        <v>259</v>
      </c>
      <c r="B11" s="124" t="s">
        <v>7820</v>
      </c>
      <c r="C11" s="124" t="s">
        <v>7820</v>
      </c>
      <c r="E11" s="124" t="s">
        <v>7619</v>
      </c>
    </row>
    <row r="12" spans="1:5">
      <c r="A12" s="133" t="s">
        <v>259</v>
      </c>
      <c r="B12" s="124" t="s">
        <v>7457</v>
      </c>
      <c r="C12" s="124" t="s">
        <v>7457</v>
      </c>
      <c r="E12" s="124" t="s">
        <v>7620</v>
      </c>
    </row>
    <row r="13" spans="1:5">
      <c r="A13" s="133" t="s">
        <v>259</v>
      </c>
      <c r="B13" s="124" t="s">
        <v>7458</v>
      </c>
      <c r="C13" s="124" t="s">
        <v>7458</v>
      </c>
      <c r="E13" s="124" t="s">
        <v>7621</v>
      </c>
    </row>
    <row r="14" spans="1:5">
      <c r="A14" s="133" t="s">
        <v>259</v>
      </c>
      <c r="B14" s="124" t="s">
        <v>7459</v>
      </c>
      <c r="C14" s="124" t="s">
        <v>7459</v>
      </c>
      <c r="E14" s="124" t="s">
        <v>7622</v>
      </c>
    </row>
    <row r="15" spans="1:5">
      <c r="A15" s="133" t="s">
        <v>259</v>
      </c>
      <c r="B15" s="124" t="s">
        <v>7460</v>
      </c>
      <c r="C15" s="124" t="s">
        <v>7460</v>
      </c>
      <c r="E15" s="124" t="s">
        <v>7623</v>
      </c>
    </row>
    <row r="16" spans="1:5">
      <c r="A16" s="133" t="s">
        <v>259</v>
      </c>
      <c r="B16" s="124" t="s">
        <v>7873</v>
      </c>
      <c r="C16" s="124" t="s">
        <v>267</v>
      </c>
      <c r="E16" s="124" t="s">
        <v>7624</v>
      </c>
    </row>
    <row r="17" spans="1:5">
      <c r="A17" s="133" t="s">
        <v>259</v>
      </c>
      <c r="B17" s="124" t="s">
        <v>7461</v>
      </c>
      <c r="C17" s="124" t="s">
        <v>7461</v>
      </c>
      <c r="E17" s="124" t="s">
        <v>7625</v>
      </c>
    </row>
    <row r="18" spans="1:5">
      <c r="A18" s="133" t="s">
        <v>259</v>
      </c>
      <c r="B18" s="124" t="s">
        <v>7874</v>
      </c>
      <c r="C18" s="124" t="s">
        <v>7821</v>
      </c>
      <c r="E18" s="124" t="s">
        <v>7626</v>
      </c>
    </row>
    <row r="19" spans="1:5">
      <c r="A19" s="133" t="s">
        <v>259</v>
      </c>
      <c r="B19" s="124" t="s">
        <v>7462</v>
      </c>
      <c r="C19" s="124" t="s">
        <v>7462</v>
      </c>
      <c r="E19" s="124" t="s">
        <v>7627</v>
      </c>
    </row>
    <row r="20" spans="1:5">
      <c r="A20" s="133" t="s">
        <v>259</v>
      </c>
      <c r="B20" s="124" t="s">
        <v>7463</v>
      </c>
      <c r="C20" s="124" t="s">
        <v>7463</v>
      </c>
      <c r="E20" s="124" t="s">
        <v>7628</v>
      </c>
    </row>
    <row r="21" spans="1:5">
      <c r="A21" s="133" t="s">
        <v>259</v>
      </c>
      <c r="B21" s="124" t="s">
        <v>7464</v>
      </c>
      <c r="C21" s="124" t="s">
        <v>7464</v>
      </c>
      <c r="E21" s="124" t="s">
        <v>7629</v>
      </c>
    </row>
    <row r="22" spans="1:5">
      <c r="A22" s="133" t="s">
        <v>259</v>
      </c>
      <c r="B22" s="124" t="s">
        <v>7465</v>
      </c>
      <c r="C22" s="124" t="s">
        <v>7465</v>
      </c>
      <c r="E22" s="124" t="s">
        <v>7630</v>
      </c>
    </row>
    <row r="23" spans="1:5">
      <c r="A23" s="133" t="s">
        <v>259</v>
      </c>
      <c r="B23" s="124" t="s">
        <v>7875</v>
      </c>
      <c r="C23" s="124" t="s">
        <v>7822</v>
      </c>
      <c r="E23" s="124" t="s">
        <v>7631</v>
      </c>
    </row>
    <row r="24" spans="1:5">
      <c r="A24" s="133" t="s">
        <v>259</v>
      </c>
      <c r="B24" s="124" t="s">
        <v>7466</v>
      </c>
      <c r="C24" s="124" t="s">
        <v>7466</v>
      </c>
      <c r="E24" s="124" t="s">
        <v>7632</v>
      </c>
    </row>
    <row r="25" spans="1:5">
      <c r="A25" s="133" t="s">
        <v>259</v>
      </c>
      <c r="B25" s="124" t="s">
        <v>7467</v>
      </c>
      <c r="C25" s="124" t="s">
        <v>7467</v>
      </c>
      <c r="E25" s="124" t="s">
        <v>7633</v>
      </c>
    </row>
    <row r="26" spans="1:5">
      <c r="A26" s="133" t="s">
        <v>259</v>
      </c>
      <c r="B26" s="124" t="s">
        <v>7468</v>
      </c>
      <c r="C26" s="124" t="s">
        <v>7468</v>
      </c>
      <c r="E26" s="124" t="s">
        <v>7634</v>
      </c>
    </row>
    <row r="27" spans="1:5">
      <c r="A27" s="133" t="s">
        <v>259</v>
      </c>
      <c r="B27" s="124" t="s">
        <v>7469</v>
      </c>
      <c r="C27" s="124" t="s">
        <v>7469</v>
      </c>
      <c r="E27" s="124" t="s">
        <v>7635</v>
      </c>
    </row>
    <row r="28" spans="1:5">
      <c r="A28" s="133" t="s">
        <v>259</v>
      </c>
      <c r="B28" s="124" t="s">
        <v>7470</v>
      </c>
      <c r="C28" s="124" t="s">
        <v>7470</v>
      </c>
      <c r="E28" s="124" t="s">
        <v>7636</v>
      </c>
    </row>
    <row r="29" spans="1:5">
      <c r="A29" s="133" t="s">
        <v>259</v>
      </c>
      <c r="B29" s="124" t="s">
        <v>7471</v>
      </c>
      <c r="C29" s="124" t="s">
        <v>7471</v>
      </c>
      <c r="E29" s="124" t="s">
        <v>7637</v>
      </c>
    </row>
    <row r="30" spans="1:5">
      <c r="A30" s="133" t="s">
        <v>259</v>
      </c>
      <c r="B30" s="124" t="s">
        <v>7472</v>
      </c>
      <c r="C30" s="124" t="s">
        <v>7472</v>
      </c>
      <c r="E30" s="124" t="s">
        <v>7638</v>
      </c>
    </row>
    <row r="31" spans="1:5">
      <c r="A31" s="133" t="s">
        <v>259</v>
      </c>
      <c r="B31" s="124" t="s">
        <v>260</v>
      </c>
      <c r="C31" s="124" t="s">
        <v>260</v>
      </c>
      <c r="E31" s="124" t="s">
        <v>7639</v>
      </c>
    </row>
    <row r="32" spans="1:5">
      <c r="A32" s="133" t="s">
        <v>259</v>
      </c>
      <c r="B32" s="124" t="s">
        <v>7473</v>
      </c>
      <c r="C32" s="124" t="s">
        <v>7473</v>
      </c>
      <c r="E32" s="124" t="s">
        <v>7640</v>
      </c>
    </row>
    <row r="33" spans="1:5">
      <c r="A33" s="133" t="s">
        <v>259</v>
      </c>
      <c r="B33" s="124" t="s">
        <v>7474</v>
      </c>
      <c r="C33" s="124" t="s">
        <v>7474</v>
      </c>
      <c r="E33" s="124" t="s">
        <v>7641</v>
      </c>
    </row>
    <row r="34" spans="1:5">
      <c r="A34" s="133" t="s">
        <v>259</v>
      </c>
      <c r="B34" s="124" t="s">
        <v>7475</v>
      </c>
      <c r="C34" s="124" t="s">
        <v>7475</v>
      </c>
      <c r="E34" s="124" t="s">
        <v>7642</v>
      </c>
    </row>
    <row r="35" spans="1:5">
      <c r="A35" s="133" t="s">
        <v>259</v>
      </c>
      <c r="B35" s="124" t="s">
        <v>7476</v>
      </c>
      <c r="C35" s="124" t="s">
        <v>7476</v>
      </c>
      <c r="E35" s="124" t="s">
        <v>7643</v>
      </c>
    </row>
    <row r="36" spans="1:5">
      <c r="A36" s="133" t="s">
        <v>259</v>
      </c>
      <c r="B36" s="124" t="s">
        <v>7477</v>
      </c>
      <c r="C36" s="124" t="s">
        <v>7477</v>
      </c>
      <c r="E36" s="124" t="s">
        <v>7644</v>
      </c>
    </row>
    <row r="37" spans="1:5">
      <c r="A37" s="133" t="s">
        <v>259</v>
      </c>
      <c r="B37" s="124" t="s">
        <v>7876</v>
      </c>
      <c r="C37" s="124" t="s">
        <v>7823</v>
      </c>
      <c r="E37" s="124" t="s">
        <v>7645</v>
      </c>
    </row>
    <row r="38" spans="1:5">
      <c r="A38" s="133" t="s">
        <v>259</v>
      </c>
      <c r="B38" s="124" t="s">
        <v>7478</v>
      </c>
      <c r="C38" s="124" t="s">
        <v>7478</v>
      </c>
      <c r="E38" s="124" t="s">
        <v>7646</v>
      </c>
    </row>
    <row r="39" spans="1:5">
      <c r="A39" s="133" t="s">
        <v>259</v>
      </c>
      <c r="B39" s="124" t="s">
        <v>7479</v>
      </c>
      <c r="C39" s="124" t="s">
        <v>7479</v>
      </c>
      <c r="E39" s="124" t="s">
        <v>7647</v>
      </c>
    </row>
    <row r="40" spans="1:5">
      <c r="A40" s="133" t="s">
        <v>259</v>
      </c>
      <c r="B40" s="124" t="s">
        <v>7480</v>
      </c>
      <c r="C40" s="124" t="s">
        <v>7480</v>
      </c>
      <c r="E40" s="124" t="s">
        <v>7648</v>
      </c>
    </row>
    <row r="41" spans="1:5">
      <c r="A41" s="133" t="s">
        <v>259</v>
      </c>
      <c r="B41" s="124" t="s">
        <v>7481</v>
      </c>
      <c r="C41" s="124" t="s">
        <v>7481</v>
      </c>
      <c r="E41" s="124" t="s">
        <v>7649</v>
      </c>
    </row>
    <row r="42" spans="1:5">
      <c r="A42" s="133" t="s">
        <v>259</v>
      </c>
      <c r="B42" s="124" t="s">
        <v>7482</v>
      </c>
      <c r="C42" s="124" t="s">
        <v>7482</v>
      </c>
      <c r="E42" s="124" t="s">
        <v>7650</v>
      </c>
    </row>
    <row r="43" spans="1:5">
      <c r="A43" s="133" t="s">
        <v>259</v>
      </c>
      <c r="B43" s="124" t="s">
        <v>7483</v>
      </c>
      <c r="C43" s="124" t="s">
        <v>7483</v>
      </c>
      <c r="E43" s="124" t="s">
        <v>7651</v>
      </c>
    </row>
    <row r="44" spans="1:5">
      <c r="A44" s="133" t="s">
        <v>259</v>
      </c>
      <c r="B44" s="124" t="s">
        <v>7484</v>
      </c>
      <c r="C44" s="124" t="s">
        <v>7484</v>
      </c>
      <c r="E44" s="124" t="s">
        <v>7652</v>
      </c>
    </row>
    <row r="45" spans="1:5">
      <c r="A45" s="133" t="s">
        <v>259</v>
      </c>
      <c r="B45" s="124" t="s">
        <v>7485</v>
      </c>
      <c r="C45" s="124" t="s">
        <v>7485</v>
      </c>
      <c r="E45" s="124" t="s">
        <v>7653</v>
      </c>
    </row>
    <row r="46" spans="1:5">
      <c r="A46" s="133" t="s">
        <v>259</v>
      </c>
      <c r="B46" s="124" t="s">
        <v>7486</v>
      </c>
      <c r="C46" s="124" t="s">
        <v>7486</v>
      </c>
      <c r="E46" s="124" t="s">
        <v>7654</v>
      </c>
    </row>
    <row r="47" spans="1:5">
      <c r="A47" s="133" t="s">
        <v>259</v>
      </c>
      <c r="B47" s="124" t="s">
        <v>7487</v>
      </c>
      <c r="C47" s="124" t="s">
        <v>7487</v>
      </c>
      <c r="E47" s="124" t="s">
        <v>7655</v>
      </c>
    </row>
    <row r="48" spans="1:5">
      <c r="A48" s="133" t="s">
        <v>259</v>
      </c>
      <c r="B48" s="124" t="s">
        <v>264</v>
      </c>
      <c r="C48" s="124" t="s">
        <v>264</v>
      </c>
      <c r="E48" s="124" t="s">
        <v>7656</v>
      </c>
    </row>
    <row r="49" spans="1:5">
      <c r="A49" s="133" t="s">
        <v>259</v>
      </c>
      <c r="B49" s="124" t="s">
        <v>7488</v>
      </c>
      <c r="C49" s="124" t="s">
        <v>7488</v>
      </c>
      <c r="E49" s="124" t="s">
        <v>7657</v>
      </c>
    </row>
    <row r="50" spans="1:5">
      <c r="A50" s="133" t="s">
        <v>259</v>
      </c>
      <c r="B50" s="124" t="s">
        <v>7489</v>
      </c>
      <c r="C50" s="124" t="s">
        <v>7489</v>
      </c>
      <c r="E50" s="124" t="s">
        <v>7658</v>
      </c>
    </row>
    <row r="51" spans="1:5">
      <c r="A51" s="133" t="s">
        <v>259</v>
      </c>
      <c r="B51" s="124" t="s">
        <v>7490</v>
      </c>
      <c r="C51" s="124" t="s">
        <v>7490</v>
      </c>
      <c r="E51" s="124" t="s">
        <v>7659</v>
      </c>
    </row>
    <row r="52" spans="1:5">
      <c r="A52" s="133" t="s">
        <v>259</v>
      </c>
      <c r="B52" s="124" t="s">
        <v>7491</v>
      </c>
      <c r="C52" s="124" t="s">
        <v>7491</v>
      </c>
      <c r="E52" s="124" t="s">
        <v>7660</v>
      </c>
    </row>
    <row r="53" spans="1:5">
      <c r="A53" s="133" t="s">
        <v>259</v>
      </c>
      <c r="B53" s="124" t="s">
        <v>7824</v>
      </c>
      <c r="C53" s="124" t="s">
        <v>7824</v>
      </c>
      <c r="E53" s="124" t="s">
        <v>7661</v>
      </c>
    </row>
    <row r="54" spans="1:5">
      <c r="A54" s="133" t="s">
        <v>259</v>
      </c>
      <c r="B54" s="124" t="s">
        <v>7492</v>
      </c>
      <c r="C54" s="124" t="s">
        <v>7492</v>
      </c>
      <c r="E54" s="124" t="s">
        <v>7662</v>
      </c>
    </row>
    <row r="55" spans="1:5">
      <c r="A55" s="133" t="s">
        <v>259</v>
      </c>
      <c r="B55" s="124" t="s">
        <v>7493</v>
      </c>
      <c r="C55" s="124" t="s">
        <v>7493</v>
      </c>
      <c r="E55" s="124" t="s">
        <v>7663</v>
      </c>
    </row>
    <row r="56" spans="1:5">
      <c r="A56" s="133" t="s">
        <v>259</v>
      </c>
      <c r="B56" s="124" t="s">
        <v>7494</v>
      </c>
      <c r="C56" s="124" t="s">
        <v>7494</v>
      </c>
      <c r="E56" s="124" t="s">
        <v>7664</v>
      </c>
    </row>
    <row r="57" spans="1:5">
      <c r="A57" s="133" t="s">
        <v>259</v>
      </c>
      <c r="B57" s="124" t="s">
        <v>7495</v>
      </c>
      <c r="C57" s="124" t="s">
        <v>7495</v>
      </c>
      <c r="E57" s="124" t="s">
        <v>7665</v>
      </c>
    </row>
    <row r="58" spans="1:5">
      <c r="A58" s="133" t="s">
        <v>259</v>
      </c>
      <c r="B58" s="124" t="s">
        <v>7496</v>
      </c>
      <c r="C58" s="124" t="s">
        <v>7496</v>
      </c>
      <c r="E58" s="124" t="s">
        <v>7666</v>
      </c>
    </row>
    <row r="59" spans="1:5">
      <c r="A59" s="133" t="s">
        <v>259</v>
      </c>
      <c r="B59" s="124" t="s">
        <v>7497</v>
      </c>
      <c r="C59" s="124" t="s">
        <v>7497</v>
      </c>
      <c r="E59" s="124" t="s">
        <v>7667</v>
      </c>
    </row>
    <row r="60" spans="1:5">
      <c r="A60" s="133" t="s">
        <v>259</v>
      </c>
      <c r="B60" s="124" t="s">
        <v>7498</v>
      </c>
      <c r="C60" s="124" t="s">
        <v>7498</v>
      </c>
      <c r="E60" s="124" t="s">
        <v>7668</v>
      </c>
    </row>
    <row r="61" spans="1:5">
      <c r="A61" s="133" t="s">
        <v>259</v>
      </c>
      <c r="B61" s="124" t="s">
        <v>7499</v>
      </c>
      <c r="C61" s="124" t="s">
        <v>7499</v>
      </c>
      <c r="E61" s="124" t="s">
        <v>7669</v>
      </c>
    </row>
    <row r="62" spans="1:5">
      <c r="A62" s="133" t="s">
        <v>259</v>
      </c>
      <c r="B62" s="124" t="s">
        <v>7500</v>
      </c>
      <c r="C62" s="124" t="s">
        <v>7500</v>
      </c>
      <c r="E62" s="124" t="s">
        <v>7670</v>
      </c>
    </row>
    <row r="63" spans="1:5">
      <c r="A63" s="133" t="s">
        <v>259</v>
      </c>
      <c r="B63" s="124" t="s">
        <v>7877</v>
      </c>
      <c r="C63" s="124" t="s">
        <v>7825</v>
      </c>
      <c r="E63" s="124" t="s">
        <v>7671</v>
      </c>
    </row>
    <row r="64" spans="1:5">
      <c r="A64" s="133" t="s">
        <v>259</v>
      </c>
      <c r="B64" s="124" t="s">
        <v>7501</v>
      </c>
      <c r="C64" s="124" t="s">
        <v>7501</v>
      </c>
      <c r="E64" s="124" t="s">
        <v>7672</v>
      </c>
    </row>
    <row r="65" spans="1:5">
      <c r="A65" s="133" t="s">
        <v>259</v>
      </c>
      <c r="B65" s="124" t="s">
        <v>7502</v>
      </c>
      <c r="C65" s="124" t="s">
        <v>7502</v>
      </c>
      <c r="E65" s="124" t="s">
        <v>7673</v>
      </c>
    </row>
    <row r="66" spans="1:5">
      <c r="A66" s="133" t="s">
        <v>259</v>
      </c>
      <c r="B66" s="124" t="s">
        <v>7503</v>
      </c>
      <c r="C66" s="124" t="s">
        <v>7503</v>
      </c>
      <c r="E66" s="124" t="s">
        <v>7674</v>
      </c>
    </row>
    <row r="67" spans="1:5">
      <c r="A67" s="133" t="s">
        <v>259</v>
      </c>
      <c r="B67" s="124" t="s">
        <v>7504</v>
      </c>
      <c r="C67" s="124" t="s">
        <v>7504</v>
      </c>
      <c r="E67" s="124" t="s">
        <v>7675</v>
      </c>
    </row>
    <row r="68" spans="1:5">
      <c r="A68" s="133" t="s">
        <v>259</v>
      </c>
      <c r="B68" s="124" t="s">
        <v>7505</v>
      </c>
      <c r="C68" s="124" t="s">
        <v>7505</v>
      </c>
      <c r="E68" s="124" t="s">
        <v>7676</v>
      </c>
    </row>
    <row r="69" spans="1:5">
      <c r="A69" s="133" t="s">
        <v>259</v>
      </c>
      <c r="B69" s="124" t="s">
        <v>7506</v>
      </c>
      <c r="C69" s="124" t="s">
        <v>7506</v>
      </c>
      <c r="E69" s="124" t="s">
        <v>7677</v>
      </c>
    </row>
    <row r="70" spans="1:5">
      <c r="A70" s="133" t="s">
        <v>259</v>
      </c>
      <c r="B70" s="124" t="s">
        <v>7507</v>
      </c>
      <c r="C70" s="124" t="s">
        <v>7507</v>
      </c>
      <c r="E70" s="124" t="s">
        <v>7678</v>
      </c>
    </row>
    <row r="71" spans="1:5">
      <c r="A71" s="133" t="s">
        <v>259</v>
      </c>
      <c r="B71" s="124" t="s">
        <v>7508</v>
      </c>
      <c r="C71" s="124" t="s">
        <v>7508</v>
      </c>
      <c r="E71" s="124" t="s">
        <v>7679</v>
      </c>
    </row>
    <row r="72" spans="1:5">
      <c r="A72" s="133" t="s">
        <v>259</v>
      </c>
      <c r="B72" s="124" t="s">
        <v>7509</v>
      </c>
      <c r="C72" s="124" t="s">
        <v>7509</v>
      </c>
      <c r="E72" s="124" t="s">
        <v>7680</v>
      </c>
    </row>
    <row r="73" spans="1:5">
      <c r="A73" s="133" t="s">
        <v>259</v>
      </c>
      <c r="B73" s="124" t="s">
        <v>7510</v>
      </c>
      <c r="C73" s="124" t="s">
        <v>7510</v>
      </c>
      <c r="E73" s="124" t="s">
        <v>7681</v>
      </c>
    </row>
    <row r="74" spans="1:5">
      <c r="A74" s="133" t="s">
        <v>259</v>
      </c>
      <c r="B74" s="124" t="s">
        <v>7511</v>
      </c>
      <c r="C74" s="124" t="s">
        <v>7511</v>
      </c>
      <c r="E74" s="124" t="s">
        <v>7682</v>
      </c>
    </row>
    <row r="75" spans="1:5">
      <c r="A75" s="133" t="s">
        <v>259</v>
      </c>
      <c r="B75" s="124" t="s">
        <v>262</v>
      </c>
      <c r="C75" s="124" t="s">
        <v>262</v>
      </c>
      <c r="E75" s="124" t="s">
        <v>7683</v>
      </c>
    </row>
    <row r="76" spans="1:5">
      <c r="A76" s="133" t="s">
        <v>259</v>
      </c>
      <c r="B76" s="124" t="s">
        <v>265</v>
      </c>
      <c r="C76" s="124" t="s">
        <v>265</v>
      </c>
      <c r="E76" s="124" t="s">
        <v>7684</v>
      </c>
    </row>
    <row r="77" spans="1:5">
      <c r="A77" s="133" t="s">
        <v>259</v>
      </c>
      <c r="B77" s="124" t="s">
        <v>7512</v>
      </c>
      <c r="C77" s="124" t="s">
        <v>7512</v>
      </c>
      <c r="E77" s="124" t="s">
        <v>7685</v>
      </c>
    </row>
    <row r="78" spans="1:5">
      <c r="A78" s="133" t="s">
        <v>259</v>
      </c>
      <c r="B78" s="124" t="s">
        <v>7513</v>
      </c>
      <c r="C78" s="124" t="s">
        <v>7513</v>
      </c>
      <c r="E78" s="124" t="s">
        <v>7686</v>
      </c>
    </row>
    <row r="79" spans="1:5">
      <c r="A79" s="133" t="s">
        <v>259</v>
      </c>
      <c r="B79" s="124" t="s">
        <v>7514</v>
      </c>
      <c r="C79" s="124" t="s">
        <v>7514</v>
      </c>
      <c r="E79" s="124" t="s">
        <v>7687</v>
      </c>
    </row>
    <row r="80" spans="1:5">
      <c r="A80" s="133" t="s">
        <v>259</v>
      </c>
      <c r="B80" s="124" t="s">
        <v>7515</v>
      </c>
      <c r="C80" s="124" t="s">
        <v>7515</v>
      </c>
      <c r="E80" s="124" t="s">
        <v>7688</v>
      </c>
    </row>
    <row r="81" spans="1:5">
      <c r="A81" s="133" t="s">
        <v>259</v>
      </c>
      <c r="B81" s="124" t="s">
        <v>7516</v>
      </c>
      <c r="C81" s="124" t="s">
        <v>7516</v>
      </c>
      <c r="E81" s="124" t="s">
        <v>7689</v>
      </c>
    </row>
    <row r="82" spans="1:5">
      <c r="A82" s="133" t="s">
        <v>259</v>
      </c>
      <c r="B82" s="124" t="s">
        <v>7517</v>
      </c>
      <c r="C82" s="124" t="s">
        <v>7517</v>
      </c>
      <c r="E82" s="124" t="s">
        <v>7690</v>
      </c>
    </row>
    <row r="83" spans="1:5">
      <c r="A83" s="133" t="s">
        <v>259</v>
      </c>
      <c r="B83" s="124" t="s">
        <v>7518</v>
      </c>
      <c r="C83" s="124" t="s">
        <v>7518</v>
      </c>
      <c r="E83" s="124" t="s">
        <v>7691</v>
      </c>
    </row>
    <row r="84" spans="1:5">
      <c r="A84" s="133" t="s">
        <v>259</v>
      </c>
      <c r="B84" s="124" t="s">
        <v>266</v>
      </c>
      <c r="C84" s="124" t="s">
        <v>266</v>
      </c>
      <c r="E84" s="124" t="s">
        <v>7692</v>
      </c>
    </row>
    <row r="85" spans="1:5">
      <c r="A85" s="133" t="s">
        <v>259</v>
      </c>
      <c r="B85" s="124" t="s">
        <v>7519</v>
      </c>
      <c r="C85" s="124" t="s">
        <v>7519</v>
      </c>
      <c r="E85" s="124" t="s">
        <v>7693</v>
      </c>
    </row>
    <row r="86" spans="1:5">
      <c r="A86" s="133" t="s">
        <v>259</v>
      </c>
      <c r="B86" s="124" t="s">
        <v>7520</v>
      </c>
      <c r="C86" s="124" t="s">
        <v>7520</v>
      </c>
      <c r="E86" s="124" t="s">
        <v>7694</v>
      </c>
    </row>
    <row r="87" spans="1:5">
      <c r="A87" s="133" t="s">
        <v>259</v>
      </c>
      <c r="B87" s="124" t="s">
        <v>7521</v>
      </c>
      <c r="C87" s="124" t="s">
        <v>7521</v>
      </c>
      <c r="E87" s="124" t="s">
        <v>7695</v>
      </c>
    </row>
    <row r="88" spans="1:5">
      <c r="A88" s="133" t="s">
        <v>259</v>
      </c>
      <c r="B88" s="124" t="s">
        <v>7522</v>
      </c>
      <c r="C88" s="124" t="s">
        <v>7522</v>
      </c>
      <c r="E88" s="124" t="s">
        <v>7696</v>
      </c>
    </row>
    <row r="89" spans="1:5">
      <c r="A89" s="133" t="s">
        <v>259</v>
      </c>
      <c r="B89" s="124" t="s">
        <v>7523</v>
      </c>
      <c r="C89" s="124" t="s">
        <v>7523</v>
      </c>
      <c r="E89" s="124" t="s">
        <v>7697</v>
      </c>
    </row>
    <row r="90" spans="1:5">
      <c r="A90" s="133" t="s">
        <v>259</v>
      </c>
      <c r="B90" s="124" t="s">
        <v>7524</v>
      </c>
      <c r="C90" s="124" t="s">
        <v>7524</v>
      </c>
      <c r="E90" s="124" t="s">
        <v>7698</v>
      </c>
    </row>
    <row r="91" spans="1:5">
      <c r="A91" s="133" t="s">
        <v>259</v>
      </c>
      <c r="B91" s="124" t="s">
        <v>7525</v>
      </c>
      <c r="C91" s="124" t="s">
        <v>7525</v>
      </c>
      <c r="E91" s="124" t="s">
        <v>7699</v>
      </c>
    </row>
    <row r="92" spans="1:5">
      <c r="A92" s="133" t="s">
        <v>259</v>
      </c>
      <c r="B92" s="124" t="s">
        <v>7526</v>
      </c>
      <c r="C92" s="124" t="s">
        <v>7526</v>
      </c>
      <c r="E92" s="124" t="s">
        <v>7700</v>
      </c>
    </row>
    <row r="93" spans="1:5">
      <c r="A93" s="133" t="s">
        <v>259</v>
      </c>
      <c r="B93" s="124" t="s">
        <v>7527</v>
      </c>
      <c r="C93" s="124" t="s">
        <v>7527</v>
      </c>
      <c r="E93" s="124" t="s">
        <v>7701</v>
      </c>
    </row>
    <row r="94" spans="1:5">
      <c r="A94" s="133" t="s">
        <v>259</v>
      </c>
      <c r="B94" s="124" t="s">
        <v>7528</v>
      </c>
      <c r="C94" s="124" t="s">
        <v>7528</v>
      </c>
      <c r="E94" s="124" t="s">
        <v>7702</v>
      </c>
    </row>
    <row r="95" spans="1:5">
      <c r="A95" s="133" t="s">
        <v>259</v>
      </c>
      <c r="B95" s="124" t="s">
        <v>7529</v>
      </c>
      <c r="C95" s="124" t="s">
        <v>7529</v>
      </c>
      <c r="E95" s="124" t="s">
        <v>7703</v>
      </c>
    </row>
    <row r="96" spans="1:5">
      <c r="A96" s="133" t="s">
        <v>259</v>
      </c>
      <c r="B96" s="124" t="s">
        <v>7530</v>
      </c>
      <c r="C96" s="124" t="s">
        <v>7530</v>
      </c>
      <c r="E96" s="124" t="s">
        <v>7704</v>
      </c>
    </row>
    <row r="97" spans="1:5">
      <c r="A97" s="133" t="s">
        <v>259</v>
      </c>
      <c r="B97" s="124" t="s">
        <v>7531</v>
      </c>
      <c r="C97" s="124" t="s">
        <v>7531</v>
      </c>
      <c r="E97" s="124" t="s">
        <v>7705</v>
      </c>
    </row>
    <row r="98" spans="1:5">
      <c r="A98" s="133" t="s">
        <v>259</v>
      </c>
      <c r="B98" s="124" t="s">
        <v>7532</v>
      </c>
      <c r="C98" s="124" t="s">
        <v>7532</v>
      </c>
      <c r="E98" s="124" t="s">
        <v>7706</v>
      </c>
    </row>
    <row r="99" spans="1:5">
      <c r="A99" s="133" t="s">
        <v>259</v>
      </c>
      <c r="B99" s="124" t="s">
        <v>7533</v>
      </c>
      <c r="C99" s="124" t="s">
        <v>7533</v>
      </c>
      <c r="E99" s="124" t="s">
        <v>7707</v>
      </c>
    </row>
    <row r="100" spans="1:5">
      <c r="A100" s="133" t="s">
        <v>259</v>
      </c>
      <c r="B100" s="124" t="s">
        <v>7534</v>
      </c>
      <c r="C100" s="124" t="s">
        <v>7534</v>
      </c>
      <c r="E100" s="124" t="s">
        <v>7708</v>
      </c>
    </row>
    <row r="101" spans="1:5">
      <c r="A101" s="133" t="s">
        <v>259</v>
      </c>
      <c r="B101" s="124" t="s">
        <v>7535</v>
      </c>
      <c r="C101" s="124" t="s">
        <v>7535</v>
      </c>
      <c r="E101" s="124" t="s">
        <v>7709</v>
      </c>
    </row>
    <row r="102" spans="1:5">
      <c r="A102" s="133" t="s">
        <v>259</v>
      </c>
      <c r="B102" s="124" t="s">
        <v>7536</v>
      </c>
      <c r="C102" s="124" t="s">
        <v>7536</v>
      </c>
      <c r="E102" s="124" t="s">
        <v>7710</v>
      </c>
    </row>
    <row r="103" spans="1:5">
      <c r="A103" s="133" t="s">
        <v>259</v>
      </c>
      <c r="B103" s="124" t="s">
        <v>7537</v>
      </c>
      <c r="C103" s="124" t="s">
        <v>7537</v>
      </c>
      <c r="E103" s="124" t="s">
        <v>7711</v>
      </c>
    </row>
    <row r="104" spans="1:5">
      <c r="A104" s="133" t="s">
        <v>259</v>
      </c>
      <c r="B104" s="124" t="s">
        <v>7538</v>
      </c>
      <c r="C104" s="124" t="s">
        <v>7538</v>
      </c>
      <c r="E104" s="124" t="s">
        <v>7712</v>
      </c>
    </row>
    <row r="105" spans="1:5">
      <c r="A105" s="133" t="s">
        <v>259</v>
      </c>
      <c r="B105" s="124" t="s">
        <v>7539</v>
      </c>
      <c r="C105" s="124" t="s">
        <v>7539</v>
      </c>
      <c r="E105" s="124" t="s">
        <v>7713</v>
      </c>
    </row>
    <row r="106" spans="1:5">
      <c r="A106" s="133" t="s">
        <v>259</v>
      </c>
      <c r="B106" s="124" t="s">
        <v>7540</v>
      </c>
      <c r="C106" s="124" t="s">
        <v>7540</v>
      </c>
      <c r="E106" s="124" t="s">
        <v>7714</v>
      </c>
    </row>
    <row r="107" spans="1:5">
      <c r="A107" s="133" t="s">
        <v>259</v>
      </c>
      <c r="B107" s="124" t="s">
        <v>7878</v>
      </c>
      <c r="C107" s="124" t="s">
        <v>7826</v>
      </c>
      <c r="E107" s="124" t="s">
        <v>7715</v>
      </c>
    </row>
    <row r="108" spans="1:5">
      <c r="A108" s="133" t="s">
        <v>259</v>
      </c>
      <c r="B108" s="124" t="s">
        <v>7541</v>
      </c>
      <c r="C108" s="124" t="s">
        <v>7541</v>
      </c>
      <c r="E108" s="124" t="s">
        <v>7716</v>
      </c>
    </row>
    <row r="109" spans="1:5">
      <c r="A109" s="133" t="s">
        <v>259</v>
      </c>
      <c r="B109" s="124" t="s">
        <v>7542</v>
      </c>
      <c r="C109" s="124" t="s">
        <v>7542</v>
      </c>
      <c r="E109" s="124" t="s">
        <v>7717</v>
      </c>
    </row>
    <row r="110" spans="1:5">
      <c r="A110" s="133" t="s">
        <v>259</v>
      </c>
      <c r="B110" s="124" t="s">
        <v>263</v>
      </c>
      <c r="C110" s="124" t="s">
        <v>263</v>
      </c>
      <c r="E110" s="124" t="s">
        <v>7718</v>
      </c>
    </row>
    <row r="111" spans="1:5">
      <c r="A111" s="133" t="s">
        <v>259</v>
      </c>
      <c r="B111" s="124" t="s">
        <v>7543</v>
      </c>
      <c r="C111" s="124" t="s">
        <v>7543</v>
      </c>
      <c r="E111" s="124" t="s">
        <v>7719</v>
      </c>
    </row>
    <row r="112" spans="1:5">
      <c r="A112" s="133" t="s">
        <v>259</v>
      </c>
      <c r="B112" s="124" t="s">
        <v>7544</v>
      </c>
      <c r="C112" s="124" t="s">
        <v>7544</v>
      </c>
      <c r="E112" s="124" t="s">
        <v>7720</v>
      </c>
    </row>
    <row r="113" spans="1:5">
      <c r="A113" s="133" t="s">
        <v>259</v>
      </c>
      <c r="B113" s="124" t="s">
        <v>7545</v>
      </c>
      <c r="C113" s="124" t="s">
        <v>7545</v>
      </c>
      <c r="E113" s="124" t="s">
        <v>7721</v>
      </c>
    </row>
    <row r="114" spans="1:5">
      <c r="A114" s="133" t="s">
        <v>259</v>
      </c>
      <c r="B114" s="124" t="s">
        <v>7546</v>
      </c>
      <c r="C114" s="124" t="s">
        <v>7546</v>
      </c>
      <c r="E114" s="124" t="s">
        <v>7722</v>
      </c>
    </row>
    <row r="115" spans="1:5">
      <c r="A115" s="133" t="s">
        <v>259</v>
      </c>
      <c r="B115" s="124" t="s">
        <v>7547</v>
      </c>
      <c r="C115" s="124" t="s">
        <v>7547</v>
      </c>
      <c r="E115" s="124" t="s">
        <v>7723</v>
      </c>
    </row>
    <row r="116" spans="1:5">
      <c r="A116" s="133" t="s">
        <v>259</v>
      </c>
      <c r="B116" s="124" t="s">
        <v>7548</v>
      </c>
      <c r="C116" s="124" t="s">
        <v>7548</v>
      </c>
      <c r="E116" s="124" t="s">
        <v>7724</v>
      </c>
    </row>
    <row r="117" spans="1:5">
      <c r="A117" s="133" t="s">
        <v>259</v>
      </c>
      <c r="B117" s="124" t="s">
        <v>7549</v>
      </c>
      <c r="C117" s="124" t="s">
        <v>7549</v>
      </c>
      <c r="E117" s="124" t="s">
        <v>7725</v>
      </c>
    </row>
    <row r="118" spans="1:5">
      <c r="A118" s="133" t="s">
        <v>259</v>
      </c>
      <c r="B118" s="124" t="s">
        <v>7550</v>
      </c>
      <c r="C118" s="124" t="s">
        <v>7550</v>
      </c>
      <c r="E118" s="124" t="s">
        <v>7726</v>
      </c>
    </row>
    <row r="119" spans="1:5">
      <c r="A119" s="133" t="s">
        <v>259</v>
      </c>
      <c r="B119" s="124" t="s">
        <v>7551</v>
      </c>
      <c r="C119" s="124" t="s">
        <v>7551</v>
      </c>
      <c r="E119" s="124" t="s">
        <v>7727</v>
      </c>
    </row>
    <row r="120" spans="1:5">
      <c r="A120" s="133" t="s">
        <v>259</v>
      </c>
      <c r="B120" s="124" t="s">
        <v>7552</v>
      </c>
      <c r="C120" s="124" t="s">
        <v>7552</v>
      </c>
      <c r="E120" s="124" t="s">
        <v>7728</v>
      </c>
    </row>
    <row r="121" spans="1:5">
      <c r="A121" s="133" t="s">
        <v>259</v>
      </c>
      <c r="B121" s="124" t="s">
        <v>7553</v>
      </c>
      <c r="C121" s="124" t="s">
        <v>7553</v>
      </c>
      <c r="E121" s="124" t="s">
        <v>7729</v>
      </c>
    </row>
    <row r="122" spans="1:5">
      <c r="A122" s="133" t="s">
        <v>259</v>
      </c>
      <c r="B122" s="124" t="s">
        <v>7879</v>
      </c>
      <c r="C122" s="124" t="s">
        <v>7827</v>
      </c>
      <c r="E122" s="124" t="s">
        <v>7730</v>
      </c>
    </row>
    <row r="123" spans="1:5">
      <c r="A123" s="133" t="s">
        <v>259</v>
      </c>
      <c r="B123" s="124" t="s">
        <v>7554</v>
      </c>
      <c r="C123" s="124" t="s">
        <v>7554</v>
      </c>
      <c r="E123" s="124" t="s">
        <v>7731</v>
      </c>
    </row>
    <row r="124" spans="1:5">
      <c r="A124" s="133" t="s">
        <v>259</v>
      </c>
      <c r="B124" s="124" t="s">
        <v>7555</v>
      </c>
      <c r="C124" s="124" t="s">
        <v>7555</v>
      </c>
      <c r="E124" s="124" t="s">
        <v>7732</v>
      </c>
    </row>
    <row r="125" spans="1:5">
      <c r="A125" s="133" t="s">
        <v>259</v>
      </c>
      <c r="B125" s="124" t="s">
        <v>7556</v>
      </c>
      <c r="C125" s="124" t="s">
        <v>7556</v>
      </c>
      <c r="E125" s="124" t="s">
        <v>7733</v>
      </c>
    </row>
    <row r="126" spans="1:5">
      <c r="A126" s="133" t="s">
        <v>259</v>
      </c>
      <c r="B126" s="124" t="s">
        <v>7557</v>
      </c>
      <c r="C126" s="124" t="s">
        <v>7557</v>
      </c>
      <c r="E126" s="124" t="s">
        <v>7734</v>
      </c>
    </row>
    <row r="127" spans="1:5">
      <c r="A127" s="133" t="s">
        <v>259</v>
      </c>
      <c r="B127" s="124" t="s">
        <v>7558</v>
      </c>
      <c r="C127" s="124" t="s">
        <v>7558</v>
      </c>
      <c r="E127" s="124" t="s">
        <v>7735</v>
      </c>
    </row>
    <row r="128" spans="1:5">
      <c r="A128" s="133" t="s">
        <v>259</v>
      </c>
      <c r="B128" s="124" t="s">
        <v>7559</v>
      </c>
      <c r="C128" s="124" t="s">
        <v>7559</v>
      </c>
      <c r="E128" s="124" t="s">
        <v>7736</v>
      </c>
    </row>
    <row r="129" spans="1:5">
      <c r="A129" s="133" t="s">
        <v>259</v>
      </c>
      <c r="B129" s="124" t="s">
        <v>7560</v>
      </c>
      <c r="C129" s="124" t="s">
        <v>7560</v>
      </c>
      <c r="E129" s="124" t="s">
        <v>7737</v>
      </c>
    </row>
    <row r="130" spans="1:5">
      <c r="A130" s="133" t="s">
        <v>259</v>
      </c>
      <c r="B130" s="124" t="s">
        <v>7561</v>
      </c>
      <c r="C130" s="124" t="s">
        <v>7561</v>
      </c>
      <c r="E130" s="124" t="s">
        <v>7738</v>
      </c>
    </row>
    <row r="131" spans="1:5">
      <c r="A131" s="133" t="s">
        <v>259</v>
      </c>
      <c r="B131" s="124" t="s">
        <v>7562</v>
      </c>
      <c r="C131" s="124" t="s">
        <v>7562</v>
      </c>
      <c r="E131" s="124" t="s">
        <v>7739</v>
      </c>
    </row>
    <row r="132" spans="1:5">
      <c r="A132" s="133" t="s">
        <v>259</v>
      </c>
      <c r="B132" s="124" t="s">
        <v>7563</v>
      </c>
      <c r="C132" s="124" t="s">
        <v>7563</v>
      </c>
      <c r="E132" s="124" t="s">
        <v>7740</v>
      </c>
    </row>
    <row r="133" spans="1:5">
      <c r="A133" s="133" t="s">
        <v>259</v>
      </c>
      <c r="B133" s="124" t="s">
        <v>7564</v>
      </c>
      <c r="C133" s="124" t="s">
        <v>7564</v>
      </c>
      <c r="E133" s="124" t="s">
        <v>7741</v>
      </c>
    </row>
    <row r="134" spans="1:5">
      <c r="A134" s="133" t="s">
        <v>259</v>
      </c>
      <c r="B134" s="124" t="s">
        <v>7896</v>
      </c>
      <c r="C134" s="124" t="s">
        <v>7828</v>
      </c>
      <c r="E134" s="124" t="s">
        <v>7742</v>
      </c>
    </row>
    <row r="135" spans="1:5">
      <c r="A135" s="133" t="s">
        <v>259</v>
      </c>
      <c r="B135" s="124" t="s">
        <v>7895</v>
      </c>
      <c r="C135" s="124" t="s">
        <v>7829</v>
      </c>
      <c r="E135" s="124" t="s">
        <v>7743</v>
      </c>
    </row>
    <row r="136" spans="1:5">
      <c r="A136" s="133" t="s">
        <v>259</v>
      </c>
      <c r="B136" s="124" t="s">
        <v>7894</v>
      </c>
      <c r="C136" s="124" t="s">
        <v>7830</v>
      </c>
      <c r="E136" s="124" t="s">
        <v>7744</v>
      </c>
    </row>
    <row r="137" spans="1:5">
      <c r="A137" s="133" t="s">
        <v>259</v>
      </c>
      <c r="B137" s="124" t="s">
        <v>7893</v>
      </c>
      <c r="C137" s="124" t="s">
        <v>7831</v>
      </c>
      <c r="E137" s="124" t="s">
        <v>7745</v>
      </c>
    </row>
    <row r="138" spans="1:5">
      <c r="A138" s="133" t="s">
        <v>259</v>
      </c>
      <c r="B138" s="124" t="s">
        <v>7892</v>
      </c>
      <c r="C138" s="124" t="s">
        <v>7832</v>
      </c>
      <c r="E138" s="124" t="s">
        <v>7746</v>
      </c>
    </row>
    <row r="139" spans="1:5">
      <c r="A139" s="133" t="s">
        <v>259</v>
      </c>
      <c r="B139" s="124" t="s">
        <v>7891</v>
      </c>
      <c r="C139" s="124" t="s">
        <v>7833</v>
      </c>
      <c r="E139" s="124" t="s">
        <v>7747</v>
      </c>
    </row>
    <row r="140" spans="1:5">
      <c r="A140" s="133" t="s">
        <v>259</v>
      </c>
      <c r="B140" s="124" t="s">
        <v>7890</v>
      </c>
      <c r="C140" s="124" t="s">
        <v>7834</v>
      </c>
      <c r="E140" s="124" t="s">
        <v>7748</v>
      </c>
    </row>
    <row r="141" spans="1:5">
      <c r="A141" s="133" t="s">
        <v>259</v>
      </c>
      <c r="B141" s="124" t="s">
        <v>7889</v>
      </c>
      <c r="C141" s="124" t="s">
        <v>7835</v>
      </c>
      <c r="E141" s="124" t="s">
        <v>7749</v>
      </c>
    </row>
    <row r="142" spans="1:5">
      <c r="A142" s="133" t="s">
        <v>259</v>
      </c>
      <c r="B142" s="124" t="s">
        <v>7888</v>
      </c>
      <c r="C142" s="124" t="s">
        <v>7836</v>
      </c>
      <c r="E142" s="124" t="s">
        <v>7750</v>
      </c>
    </row>
    <row r="143" spans="1:5">
      <c r="A143" s="133" t="s">
        <v>259</v>
      </c>
      <c r="B143" s="124" t="s">
        <v>7887</v>
      </c>
      <c r="C143" s="124" t="s">
        <v>7837</v>
      </c>
      <c r="E143" s="124" t="s">
        <v>7751</v>
      </c>
    </row>
    <row r="144" spans="1:5">
      <c r="A144" s="133" t="s">
        <v>259</v>
      </c>
      <c r="B144" s="124" t="s">
        <v>7899</v>
      </c>
      <c r="C144" s="124" t="s">
        <v>7838</v>
      </c>
      <c r="E144" s="124" t="s">
        <v>7752</v>
      </c>
    </row>
    <row r="145" spans="1:5">
      <c r="A145" s="133" t="s">
        <v>259</v>
      </c>
      <c r="B145" s="124" t="s">
        <v>7886</v>
      </c>
      <c r="C145" s="124" t="s">
        <v>7839</v>
      </c>
      <c r="E145" s="124" t="s">
        <v>7753</v>
      </c>
    </row>
    <row r="146" spans="1:5">
      <c r="A146" s="133" t="s">
        <v>259</v>
      </c>
      <c r="B146" s="124" t="s">
        <v>7885</v>
      </c>
      <c r="C146" s="124" t="s">
        <v>7840</v>
      </c>
      <c r="E146" s="124" t="s">
        <v>7754</v>
      </c>
    </row>
    <row r="147" spans="1:5">
      <c r="A147" s="133" t="s">
        <v>259</v>
      </c>
      <c r="B147" s="124" t="s">
        <v>7900</v>
      </c>
      <c r="C147" s="124" t="s">
        <v>7841</v>
      </c>
      <c r="E147" s="124" t="s">
        <v>7755</v>
      </c>
    </row>
    <row r="148" spans="1:5">
      <c r="A148" s="133" t="s">
        <v>259</v>
      </c>
      <c r="B148" s="124" t="s">
        <v>7884</v>
      </c>
      <c r="C148" s="124" t="s">
        <v>7842</v>
      </c>
      <c r="E148" s="124" t="s">
        <v>7756</v>
      </c>
    </row>
    <row r="149" spans="1:5">
      <c r="A149" s="133" t="s">
        <v>259</v>
      </c>
      <c r="B149" s="124" t="s">
        <v>7565</v>
      </c>
      <c r="C149" s="124" t="s">
        <v>7565</v>
      </c>
      <c r="E149" s="124" t="s">
        <v>7757</v>
      </c>
    </row>
    <row r="150" spans="1:5">
      <c r="A150" s="133" t="s">
        <v>259</v>
      </c>
      <c r="B150" s="124" t="s">
        <v>7566</v>
      </c>
      <c r="C150" s="124" t="s">
        <v>7566</v>
      </c>
      <c r="E150" s="124" t="s">
        <v>7758</v>
      </c>
    </row>
    <row r="151" spans="1:5">
      <c r="A151" s="133" t="s">
        <v>259</v>
      </c>
      <c r="B151" s="124" t="s">
        <v>7567</v>
      </c>
      <c r="C151" s="124" t="s">
        <v>7567</v>
      </c>
      <c r="E151" s="124" t="s">
        <v>7759</v>
      </c>
    </row>
    <row r="152" spans="1:5">
      <c r="A152" s="133" t="s">
        <v>259</v>
      </c>
      <c r="B152" s="124" t="s">
        <v>7568</v>
      </c>
      <c r="C152" s="124" t="s">
        <v>7568</v>
      </c>
      <c r="E152" s="124" t="s">
        <v>7760</v>
      </c>
    </row>
    <row r="153" spans="1:5">
      <c r="A153" s="133" t="s">
        <v>259</v>
      </c>
      <c r="B153" s="124" t="s">
        <v>7569</v>
      </c>
      <c r="C153" s="124" t="s">
        <v>7569</v>
      </c>
      <c r="E153" s="124" t="s">
        <v>7761</v>
      </c>
    </row>
    <row r="154" spans="1:5">
      <c r="A154" s="133" t="s">
        <v>259</v>
      </c>
      <c r="B154" s="124" t="s">
        <v>7570</v>
      </c>
      <c r="C154" s="124" t="s">
        <v>7570</v>
      </c>
      <c r="E154" s="124" t="s">
        <v>7762</v>
      </c>
    </row>
    <row r="155" spans="1:5">
      <c r="A155" s="133" t="s">
        <v>259</v>
      </c>
      <c r="B155" s="124" t="s">
        <v>7456</v>
      </c>
      <c r="C155" s="124" t="s">
        <v>7456</v>
      </c>
      <c r="E155" s="124" t="s">
        <v>7763</v>
      </c>
    </row>
    <row r="156" spans="1:5">
      <c r="A156" s="133" t="s">
        <v>259</v>
      </c>
      <c r="B156" s="124" t="s">
        <v>7571</v>
      </c>
      <c r="C156" s="124" t="s">
        <v>7571</v>
      </c>
      <c r="E156" s="124" t="s">
        <v>7764</v>
      </c>
    </row>
    <row r="157" spans="1:5">
      <c r="A157" s="133" t="s">
        <v>259</v>
      </c>
      <c r="B157" s="124" t="s">
        <v>7572</v>
      </c>
      <c r="C157" s="124" t="s">
        <v>7572</v>
      </c>
      <c r="E157" s="124" t="s">
        <v>7765</v>
      </c>
    </row>
    <row r="158" spans="1:5">
      <c r="A158" s="133" t="s">
        <v>259</v>
      </c>
      <c r="B158" s="124" t="s">
        <v>7843</v>
      </c>
      <c r="C158" s="124" t="s">
        <v>7843</v>
      </c>
      <c r="E158" s="124" t="s">
        <v>7766</v>
      </c>
    </row>
    <row r="159" spans="1:5">
      <c r="A159" s="133" t="s">
        <v>259</v>
      </c>
      <c r="B159" s="124" t="s">
        <v>7844</v>
      </c>
      <c r="C159" s="124" t="s">
        <v>7844</v>
      </c>
      <c r="E159" s="124" t="s">
        <v>7767</v>
      </c>
    </row>
    <row r="160" spans="1:5">
      <c r="A160" s="133" t="s">
        <v>259</v>
      </c>
      <c r="B160" s="124" t="s">
        <v>7845</v>
      </c>
      <c r="C160" s="124" t="s">
        <v>7845</v>
      </c>
      <c r="E160" s="124" t="s">
        <v>7768</v>
      </c>
    </row>
    <row r="161" spans="1:5">
      <c r="A161" s="133" t="s">
        <v>259</v>
      </c>
      <c r="B161" s="124" t="s">
        <v>7846</v>
      </c>
      <c r="C161" s="124" t="s">
        <v>7846</v>
      </c>
      <c r="E161" s="124" t="s">
        <v>7769</v>
      </c>
    </row>
    <row r="162" spans="1:5">
      <c r="A162" s="133" t="s">
        <v>259</v>
      </c>
      <c r="B162" s="124" t="s">
        <v>7847</v>
      </c>
      <c r="C162" s="124" t="s">
        <v>7847</v>
      </c>
      <c r="E162" s="124" t="s">
        <v>7770</v>
      </c>
    </row>
    <row r="163" spans="1:5">
      <c r="A163" s="133" t="s">
        <v>259</v>
      </c>
      <c r="B163" s="124" t="s">
        <v>7573</v>
      </c>
      <c r="C163" s="124" t="s">
        <v>7573</v>
      </c>
      <c r="E163" s="124" t="s">
        <v>7771</v>
      </c>
    </row>
    <row r="164" spans="1:5">
      <c r="A164" s="133" t="s">
        <v>259</v>
      </c>
      <c r="B164" s="124" t="s">
        <v>7848</v>
      </c>
      <c r="C164" s="124" t="s">
        <v>7848</v>
      </c>
      <c r="E164" s="124" t="s">
        <v>7772</v>
      </c>
    </row>
    <row r="165" spans="1:5">
      <c r="A165" s="133" t="s">
        <v>259</v>
      </c>
      <c r="B165" s="124" t="s">
        <v>7849</v>
      </c>
      <c r="C165" s="124" t="s">
        <v>7849</v>
      </c>
      <c r="E165" s="124" t="s">
        <v>7773</v>
      </c>
    </row>
    <row r="166" spans="1:5">
      <c r="A166" s="133" t="s">
        <v>259</v>
      </c>
      <c r="B166" s="124" t="s">
        <v>7850</v>
      </c>
      <c r="C166" s="124" t="s">
        <v>7850</v>
      </c>
      <c r="E166" s="124" t="s">
        <v>7774</v>
      </c>
    </row>
    <row r="167" spans="1:5">
      <c r="A167" s="133" t="s">
        <v>259</v>
      </c>
      <c r="B167" s="124" t="s">
        <v>7851</v>
      </c>
      <c r="C167" s="124" t="s">
        <v>7851</v>
      </c>
      <c r="E167" s="124" t="s">
        <v>7775</v>
      </c>
    </row>
    <row r="168" spans="1:5">
      <c r="A168" s="133" t="s">
        <v>259</v>
      </c>
      <c r="B168" s="124" t="s">
        <v>7574</v>
      </c>
      <c r="C168" s="124" t="s">
        <v>7574</v>
      </c>
      <c r="E168" s="124" t="s">
        <v>7776</v>
      </c>
    </row>
    <row r="169" spans="1:5">
      <c r="A169" s="133" t="s">
        <v>259</v>
      </c>
      <c r="B169" s="124" t="s">
        <v>7575</v>
      </c>
      <c r="C169" s="124" t="s">
        <v>7575</v>
      </c>
      <c r="E169" s="124" t="s">
        <v>7777</v>
      </c>
    </row>
    <row r="170" spans="1:5">
      <c r="A170" s="133" t="s">
        <v>259</v>
      </c>
      <c r="B170" s="124" t="s">
        <v>7576</v>
      </c>
      <c r="C170" s="124" t="s">
        <v>7576</v>
      </c>
      <c r="E170" s="124" t="s">
        <v>7778</v>
      </c>
    </row>
    <row r="171" spans="1:5">
      <c r="A171" s="133" t="s">
        <v>259</v>
      </c>
      <c r="B171" s="124" t="s">
        <v>7577</v>
      </c>
      <c r="C171" s="124" t="s">
        <v>7577</v>
      </c>
      <c r="E171" s="124" t="s">
        <v>7779</v>
      </c>
    </row>
    <row r="172" spans="1:5">
      <c r="A172" s="133" t="s">
        <v>259</v>
      </c>
      <c r="B172" s="124" t="s">
        <v>7578</v>
      </c>
      <c r="C172" s="124" t="s">
        <v>7578</v>
      </c>
      <c r="E172" s="124" t="s">
        <v>7780</v>
      </c>
    </row>
    <row r="173" spans="1:5">
      <c r="A173" s="133" t="s">
        <v>259</v>
      </c>
      <c r="B173" s="124" t="s">
        <v>7579</v>
      </c>
      <c r="C173" s="124" t="s">
        <v>7579</v>
      </c>
      <c r="E173" s="124" t="s">
        <v>7781</v>
      </c>
    </row>
    <row r="174" spans="1:5">
      <c r="A174" s="133" t="s">
        <v>259</v>
      </c>
      <c r="B174" s="124" t="s">
        <v>7580</v>
      </c>
      <c r="C174" s="124" t="s">
        <v>7580</v>
      </c>
      <c r="E174" s="124" t="s">
        <v>7782</v>
      </c>
    </row>
    <row r="175" spans="1:5">
      <c r="A175" s="133" t="s">
        <v>259</v>
      </c>
      <c r="B175" s="124" t="s">
        <v>7581</v>
      </c>
      <c r="C175" s="124" t="s">
        <v>7581</v>
      </c>
      <c r="E175" s="124" t="s">
        <v>7783</v>
      </c>
    </row>
    <row r="176" spans="1:5">
      <c r="A176" s="133" t="s">
        <v>259</v>
      </c>
      <c r="B176" s="124" t="s">
        <v>7582</v>
      </c>
      <c r="C176" s="124" t="s">
        <v>7582</v>
      </c>
      <c r="E176" s="124" t="s">
        <v>7784</v>
      </c>
    </row>
    <row r="177" spans="1:5">
      <c r="A177" s="133" t="s">
        <v>259</v>
      </c>
      <c r="B177" s="124" t="s">
        <v>7583</v>
      </c>
      <c r="C177" s="124" t="s">
        <v>7583</v>
      </c>
      <c r="E177" s="124" t="s">
        <v>7785</v>
      </c>
    </row>
    <row r="178" spans="1:5">
      <c r="A178" s="133" t="s">
        <v>259</v>
      </c>
      <c r="B178" s="124" t="s">
        <v>7584</v>
      </c>
      <c r="C178" s="124" t="s">
        <v>7584</v>
      </c>
      <c r="E178" s="124" t="s">
        <v>7786</v>
      </c>
    </row>
    <row r="179" spans="1:5">
      <c r="A179" s="133" t="s">
        <v>259</v>
      </c>
      <c r="B179" s="124" t="s">
        <v>7585</v>
      </c>
      <c r="C179" s="124" t="s">
        <v>7585</v>
      </c>
      <c r="E179" s="124" t="s">
        <v>7787</v>
      </c>
    </row>
    <row r="180" spans="1:5">
      <c r="A180" s="133" t="s">
        <v>259</v>
      </c>
      <c r="B180" s="124" t="s">
        <v>7586</v>
      </c>
      <c r="C180" s="124" t="s">
        <v>7586</v>
      </c>
      <c r="E180" s="124" t="s">
        <v>7788</v>
      </c>
    </row>
    <row r="181" spans="1:5">
      <c r="A181" s="133" t="s">
        <v>259</v>
      </c>
      <c r="B181" s="124" t="s">
        <v>7587</v>
      </c>
      <c r="C181" s="124" t="s">
        <v>7587</v>
      </c>
      <c r="E181" s="124" t="s">
        <v>7789</v>
      </c>
    </row>
    <row r="182" spans="1:5">
      <c r="A182" s="133" t="s">
        <v>259</v>
      </c>
      <c r="B182" s="124" t="s">
        <v>7588</v>
      </c>
      <c r="C182" s="124" t="s">
        <v>7588</v>
      </c>
      <c r="E182" s="124" t="s">
        <v>7790</v>
      </c>
    </row>
    <row r="183" spans="1:5">
      <c r="A183" s="133" t="s">
        <v>259</v>
      </c>
      <c r="B183" s="124" t="s">
        <v>7589</v>
      </c>
      <c r="C183" s="124" t="s">
        <v>7589</v>
      </c>
      <c r="E183" s="124" t="s">
        <v>7791</v>
      </c>
    </row>
    <row r="184" spans="1:5">
      <c r="A184" s="133" t="s">
        <v>259</v>
      </c>
      <c r="B184" s="124" t="s">
        <v>7590</v>
      </c>
      <c r="C184" s="124" t="s">
        <v>7590</v>
      </c>
      <c r="E184" s="124" t="s">
        <v>7792</v>
      </c>
    </row>
    <row r="185" spans="1:5">
      <c r="A185" s="133" t="s">
        <v>259</v>
      </c>
      <c r="B185" s="124" t="s">
        <v>7591</v>
      </c>
      <c r="C185" s="124" t="s">
        <v>7591</v>
      </c>
      <c r="E185" s="124" t="s">
        <v>7793</v>
      </c>
    </row>
    <row r="186" spans="1:5">
      <c r="A186" s="133" t="s">
        <v>259</v>
      </c>
      <c r="B186" s="124" t="s">
        <v>7592</v>
      </c>
      <c r="C186" s="124" t="s">
        <v>7592</v>
      </c>
      <c r="E186" s="124" t="s">
        <v>7794</v>
      </c>
    </row>
    <row r="187" spans="1:5">
      <c r="A187" s="133" t="s">
        <v>259</v>
      </c>
      <c r="B187" s="124" t="s">
        <v>7593</v>
      </c>
      <c r="C187" s="124" t="s">
        <v>7593</v>
      </c>
      <c r="E187" s="124" t="s">
        <v>7795</v>
      </c>
    </row>
    <row r="188" spans="1:5">
      <c r="A188" s="133" t="s">
        <v>259</v>
      </c>
      <c r="B188" s="124" t="s">
        <v>7594</v>
      </c>
      <c r="C188" s="124" t="s">
        <v>7594</v>
      </c>
      <c r="E188" s="124" t="s">
        <v>7796</v>
      </c>
    </row>
    <row r="189" spans="1:5">
      <c r="A189" s="133" t="s">
        <v>259</v>
      </c>
      <c r="B189" s="124" t="s">
        <v>7595</v>
      </c>
      <c r="C189" s="124" t="s">
        <v>7595</v>
      </c>
      <c r="E189" s="124" t="s">
        <v>7797</v>
      </c>
    </row>
    <row r="190" spans="1:5">
      <c r="A190" s="133" t="s">
        <v>259</v>
      </c>
      <c r="B190" s="124" t="s">
        <v>7596</v>
      </c>
      <c r="C190" s="124" t="s">
        <v>7596</v>
      </c>
      <c r="E190" s="124" t="s">
        <v>7798</v>
      </c>
    </row>
    <row r="191" spans="1:5">
      <c r="A191" s="133" t="s">
        <v>259</v>
      </c>
      <c r="B191" s="124" t="s">
        <v>7597</v>
      </c>
      <c r="C191" s="124" t="s">
        <v>7597</v>
      </c>
      <c r="E191" s="124" t="s">
        <v>7799</v>
      </c>
    </row>
    <row r="192" spans="1:5">
      <c r="A192" s="133" t="s">
        <v>259</v>
      </c>
      <c r="B192" s="124" t="s">
        <v>7598</v>
      </c>
      <c r="C192" s="124" t="s">
        <v>7598</v>
      </c>
      <c r="E192" s="124" t="s">
        <v>7800</v>
      </c>
    </row>
    <row r="193" spans="1:5">
      <c r="A193" s="133" t="s">
        <v>259</v>
      </c>
      <c r="B193" s="124" t="s">
        <v>7599</v>
      </c>
      <c r="C193" s="124" t="s">
        <v>7599</v>
      </c>
      <c r="E193" s="124" t="s">
        <v>7801</v>
      </c>
    </row>
    <row r="194" spans="1:5">
      <c r="A194" s="133" t="s">
        <v>259</v>
      </c>
      <c r="B194" s="124" t="s">
        <v>7600</v>
      </c>
      <c r="C194" s="124" t="s">
        <v>7600</v>
      </c>
      <c r="E194" s="124" t="s">
        <v>7802</v>
      </c>
    </row>
    <row r="195" spans="1:5">
      <c r="A195" s="133" t="s">
        <v>259</v>
      </c>
      <c r="B195" s="124" t="s">
        <v>7601</v>
      </c>
      <c r="C195" s="124" t="s">
        <v>7601</v>
      </c>
      <c r="E195" s="124" t="s">
        <v>7803</v>
      </c>
    </row>
    <row r="196" spans="1:5">
      <c r="A196" s="133" t="s">
        <v>259</v>
      </c>
      <c r="B196" s="124" t="s">
        <v>7602</v>
      </c>
      <c r="C196" s="124" t="s">
        <v>7602</v>
      </c>
      <c r="E196" s="124" t="s">
        <v>7804</v>
      </c>
    </row>
    <row r="197" spans="1:5">
      <c r="A197" s="133" t="s">
        <v>259</v>
      </c>
      <c r="B197" s="124" t="s">
        <v>7603</v>
      </c>
      <c r="C197" s="124" t="s">
        <v>7603</v>
      </c>
      <c r="E197" s="124" t="s">
        <v>7805</v>
      </c>
    </row>
    <row r="198" spans="1:5">
      <c r="A198" s="133" t="s">
        <v>259</v>
      </c>
      <c r="B198" s="124" t="s">
        <v>7604</v>
      </c>
      <c r="C198" s="124" t="s">
        <v>7604</v>
      </c>
      <c r="E198" s="124" t="s">
        <v>7806</v>
      </c>
    </row>
    <row r="199" spans="1:5">
      <c r="A199" s="133" t="s">
        <v>259</v>
      </c>
      <c r="B199" s="124" t="s">
        <v>7880</v>
      </c>
      <c r="C199" s="124" t="s">
        <v>7852</v>
      </c>
      <c r="E199" s="124" t="s">
        <v>7807</v>
      </c>
    </row>
    <row r="200" spans="1:5">
      <c r="A200" s="133" t="s">
        <v>259</v>
      </c>
      <c r="B200" s="124" t="s">
        <v>7881</v>
      </c>
      <c r="C200" s="124" t="s">
        <v>7853</v>
      </c>
      <c r="E200" s="124" t="s">
        <v>7808</v>
      </c>
    </row>
    <row r="201" spans="1:5">
      <c r="A201" s="133" t="s">
        <v>259</v>
      </c>
      <c r="B201" s="124" t="s">
        <v>7882</v>
      </c>
      <c r="C201" s="124" t="s">
        <v>7854</v>
      </c>
      <c r="E201" s="124" t="s">
        <v>7809</v>
      </c>
    </row>
    <row r="202" spans="1:5">
      <c r="A202" s="133" t="s">
        <v>259</v>
      </c>
      <c r="B202" s="124" t="s">
        <v>7883</v>
      </c>
      <c r="C202" s="124" t="s">
        <v>7855</v>
      </c>
      <c r="E202" s="124" t="s">
        <v>7810</v>
      </c>
    </row>
    <row r="203" spans="1:5">
      <c r="A203" s="133" t="s">
        <v>259</v>
      </c>
      <c r="B203" s="124" t="s">
        <v>7605</v>
      </c>
      <c r="C203" s="124" t="s">
        <v>7605</v>
      </c>
      <c r="E203" s="124" t="s">
        <v>7811</v>
      </c>
    </row>
    <row r="204" spans="1:5">
      <c r="A204" s="133" t="s">
        <v>259</v>
      </c>
      <c r="B204" s="124" t="s">
        <v>7606</v>
      </c>
      <c r="C204" s="124" t="s">
        <v>7606</v>
      </c>
      <c r="E204" s="124" t="s">
        <v>7812</v>
      </c>
    </row>
    <row r="205" spans="1:5">
      <c r="A205" s="133" t="s">
        <v>259</v>
      </c>
      <c r="B205" s="124" t="s">
        <v>7607</v>
      </c>
      <c r="C205" s="124" t="s">
        <v>7607</v>
      </c>
      <c r="E205" s="124" t="s">
        <v>7813</v>
      </c>
    </row>
    <row r="206" spans="1:5">
      <c r="A206" s="133" t="s">
        <v>259</v>
      </c>
      <c r="B206" s="124" t="s">
        <v>7608</v>
      </c>
      <c r="C206" s="124" t="s">
        <v>7608</v>
      </c>
      <c r="E206" s="124" t="s">
        <v>7814</v>
      </c>
    </row>
    <row r="207" spans="1:5">
      <c r="A207" s="133" t="s">
        <v>259</v>
      </c>
      <c r="B207" s="124" t="s">
        <v>7609</v>
      </c>
      <c r="C207" s="124" t="s">
        <v>7609</v>
      </c>
      <c r="E207" s="124" t="s">
        <v>7815</v>
      </c>
    </row>
    <row r="208" spans="1:5">
      <c r="A208" s="133" t="s">
        <v>259</v>
      </c>
      <c r="B208" s="124" t="s">
        <v>7856</v>
      </c>
      <c r="C208" s="124" t="s">
        <v>7856</v>
      </c>
      <c r="E208" s="124" t="s">
        <v>7897</v>
      </c>
    </row>
    <row r="209" spans="1:5">
      <c r="A209" s="133" t="s">
        <v>259</v>
      </c>
      <c r="B209" s="124" t="s">
        <v>7857</v>
      </c>
      <c r="C209" s="124" t="s">
        <v>7857</v>
      </c>
      <c r="E209" s="124" t="s">
        <v>7898</v>
      </c>
    </row>
    <row r="210" spans="1:5">
      <c r="E210" s="126"/>
    </row>
    <row r="211" spans="1:5">
      <c r="E211" s="126"/>
    </row>
    <row r="212" spans="1:5">
      <c r="E212" s="126"/>
    </row>
    <row r="213" spans="1:5">
      <c r="E213" s="126"/>
    </row>
  </sheetData>
  <sheetProtection selectLockedCells="1" selectUnlockedCells="1"/>
  <dataValidations count="2">
    <dataValidation type="list" allowBlank="1" showErrorMessage="1" sqref="D2:D17">
      <formula1>HoldingInstitution</formula1>
      <formula2>0</formula2>
    </dataValidation>
    <dataValidation type="list" allowBlank="1" showErrorMessage="1" sqref="A2:A209">
      <formula1>TaxonScientificName</formula1>
      <formula2>0</formula2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D3"/>
  <sheetViews>
    <sheetView zoomScale="89" zoomScaleNormal="89" workbookViewId="0">
      <selection activeCell="D8" sqref="D8"/>
    </sheetView>
  </sheetViews>
  <sheetFormatPr baseColWidth="10" defaultColWidth="10.7109375" defaultRowHeight="12.75"/>
  <cols>
    <col min="1" max="1" width="7.42578125" style="124" customWidth="1"/>
    <col min="2" max="2" width="11.7109375" style="124" customWidth="1"/>
    <col min="3" max="3" width="12.140625" style="124" customWidth="1"/>
    <col min="4" max="4" width="23.5703125" style="112" bestFit="1" customWidth="1"/>
  </cols>
  <sheetData>
    <row r="1" spans="1:4">
      <c r="A1" s="114" t="s">
        <v>163</v>
      </c>
      <c r="B1" s="114" t="s">
        <v>164</v>
      </c>
      <c r="C1" s="114" t="s">
        <v>165</v>
      </c>
      <c r="D1" s="115" t="s">
        <v>166</v>
      </c>
    </row>
    <row r="2" spans="1:4">
      <c r="A2" s="126" t="s">
        <v>268</v>
      </c>
      <c r="B2" s="126" t="s">
        <v>269</v>
      </c>
      <c r="C2" s="126" t="s">
        <v>270</v>
      </c>
      <c r="D2" s="112" t="s">
        <v>8124</v>
      </c>
    </row>
    <row r="3" spans="1:4">
      <c r="A3" s="124" t="s">
        <v>268</v>
      </c>
      <c r="B3" s="124" t="s">
        <v>271</v>
      </c>
      <c r="C3" s="124" t="s">
        <v>272</v>
      </c>
      <c r="D3" s="112" t="s">
        <v>8125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D3"/>
  <sheetViews>
    <sheetView zoomScale="95" zoomScaleNormal="95" workbookViewId="0">
      <selection activeCell="F43" sqref="F43"/>
    </sheetView>
  </sheetViews>
  <sheetFormatPr baseColWidth="10" defaultColWidth="12.85546875" defaultRowHeight="12.75"/>
  <cols>
    <col min="1" max="1" width="13.28515625" style="124" customWidth="1"/>
    <col min="2" max="2" width="13.7109375" style="112" customWidth="1"/>
    <col min="3" max="3" width="12.42578125" style="112" customWidth="1"/>
    <col min="4" max="4" width="13" style="112" customWidth="1"/>
  </cols>
  <sheetData>
    <row r="1" spans="1:4">
      <c r="A1" s="114" t="s">
        <v>178</v>
      </c>
      <c r="B1" s="115" t="s">
        <v>179</v>
      </c>
      <c r="C1" s="115" t="s">
        <v>29</v>
      </c>
      <c r="D1" s="115" t="s">
        <v>180</v>
      </c>
    </row>
    <row r="2" spans="1:4">
      <c r="A2" s="126" t="s">
        <v>273</v>
      </c>
      <c r="B2" s="112" t="s">
        <v>273</v>
      </c>
    </row>
    <row r="3" spans="1:4">
      <c r="A3" s="135" t="s">
        <v>274</v>
      </c>
      <c r="B3" s="136" t="s">
        <v>275</v>
      </c>
      <c r="D3" s="112" t="s">
        <v>273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CM865"/>
  <sheetViews>
    <sheetView zoomScale="95" zoomScaleNormal="95" workbookViewId="0">
      <pane ySplit="1" topLeftCell="A2" activePane="bottomLeft" state="frozen"/>
      <selection pane="bottomLeft" activeCell="I16" sqref="I16"/>
    </sheetView>
  </sheetViews>
  <sheetFormatPr baseColWidth="10" defaultColWidth="11.28515625" defaultRowHeight="12.75"/>
  <cols>
    <col min="1" max="1" width="12.140625" style="159" customWidth="1"/>
    <col min="2" max="2" width="8" style="112" customWidth="1"/>
    <col min="3" max="3" width="5.42578125" style="112" customWidth="1"/>
    <col min="4" max="4" width="8.85546875" style="112" customWidth="1"/>
    <col min="5" max="5" width="7.140625" style="113" bestFit="1" customWidth="1"/>
    <col min="6" max="6" width="7" style="113" bestFit="1" customWidth="1"/>
    <col min="7" max="7" width="5.5703125" style="113" customWidth="1"/>
    <col min="8" max="8" width="5.42578125" style="113" customWidth="1"/>
    <col min="9" max="10" width="10.85546875" style="112" customWidth="1"/>
    <col min="11" max="11" width="9.28515625" style="137" customWidth="1"/>
    <col min="12" max="12" width="8.7109375" style="157" customWidth="1"/>
    <col min="13" max="13" width="20.85546875" style="157" bestFit="1" customWidth="1"/>
    <col min="14" max="14" width="20.28515625" style="157" bestFit="1" customWidth="1"/>
    <col min="15" max="15" width="11.7109375" style="137" customWidth="1"/>
    <col min="16" max="16" width="11.140625" style="157" customWidth="1"/>
    <col min="17" max="17" width="13.7109375" style="137" customWidth="1"/>
    <col min="18" max="18" width="11.28515625" style="157"/>
    <col min="19" max="19" width="13.7109375" style="137" customWidth="1"/>
    <col min="20" max="20" width="12.140625" style="157" customWidth="1"/>
    <col min="21" max="21" width="16.85546875" style="137" bestFit="1" customWidth="1"/>
    <col min="22" max="22" width="8.7109375" style="157" customWidth="1"/>
    <col min="23" max="23" width="14.140625" style="137" customWidth="1"/>
    <col min="24" max="24" width="13.5703125" style="157" customWidth="1"/>
    <col min="25" max="25" width="12.85546875" style="137" customWidth="1"/>
    <col min="26" max="26" width="10.140625" style="157" customWidth="1"/>
    <col min="27" max="27" width="9.140625" style="137" bestFit="1" customWidth="1"/>
    <col min="28" max="28" width="8.7109375" style="157" customWidth="1"/>
    <col min="29" max="29" width="13.7109375" style="137" customWidth="1"/>
    <col min="30" max="30" width="9.85546875" style="157" bestFit="1" customWidth="1"/>
    <col min="31" max="31" width="13.7109375" style="137" customWidth="1"/>
    <col min="32" max="32" width="14.42578125" style="157" bestFit="1" customWidth="1"/>
    <col min="33" max="33" width="13.28515625" style="157" bestFit="1" customWidth="1"/>
    <col min="34" max="34" width="12.5703125" style="157" bestFit="1" customWidth="1"/>
    <col min="35" max="35" width="11.85546875" style="157" bestFit="1" customWidth="1"/>
    <col min="36" max="36" width="11.28515625" style="157" bestFit="1" customWidth="1"/>
    <col min="37" max="37" width="15.7109375" style="137" customWidth="1"/>
    <col min="38" max="38" width="9.28515625" style="157" customWidth="1"/>
    <col min="39" max="39" width="15.7109375" style="137" customWidth="1"/>
    <col min="40" max="40" width="8.85546875" style="157" customWidth="1"/>
    <col min="41" max="56" width="11.28515625" style="137"/>
    <col min="57" max="16384" width="11.28515625" style="138"/>
  </cols>
  <sheetData>
    <row r="1" spans="1:91" s="141" customFormat="1">
      <c r="A1" s="160" t="s">
        <v>150</v>
      </c>
      <c r="B1" s="115" t="s">
        <v>171</v>
      </c>
      <c r="C1" s="115" t="s">
        <v>187</v>
      </c>
      <c r="D1" s="115" t="s">
        <v>276</v>
      </c>
      <c r="E1" s="116" t="s">
        <v>21</v>
      </c>
      <c r="F1" s="116" t="s">
        <v>22</v>
      </c>
      <c r="G1" s="116" t="s">
        <v>192</v>
      </c>
      <c r="H1" s="116" t="s">
        <v>193</v>
      </c>
      <c r="I1" s="139" t="s">
        <v>8055</v>
      </c>
      <c r="J1" s="115" t="s">
        <v>8056</v>
      </c>
      <c r="K1" s="139" t="s">
        <v>8057</v>
      </c>
      <c r="L1" s="156" t="s">
        <v>8058</v>
      </c>
      <c r="M1" s="139" t="s">
        <v>8059</v>
      </c>
      <c r="N1" s="156" t="s">
        <v>8060</v>
      </c>
      <c r="O1" s="139" t="s">
        <v>8061</v>
      </c>
      <c r="P1" s="156" t="s">
        <v>8062</v>
      </c>
      <c r="Q1" s="139" t="s">
        <v>8063</v>
      </c>
      <c r="R1" s="156" t="s">
        <v>8064</v>
      </c>
      <c r="S1" s="139" t="s">
        <v>286</v>
      </c>
      <c r="T1" s="156" t="s">
        <v>287</v>
      </c>
      <c r="U1" s="139" t="s">
        <v>8065</v>
      </c>
      <c r="V1" s="156" t="s">
        <v>8066</v>
      </c>
      <c r="W1" s="139" t="s">
        <v>8067</v>
      </c>
      <c r="X1" s="156" t="s">
        <v>8068</v>
      </c>
      <c r="Y1" s="139" t="s">
        <v>284</v>
      </c>
      <c r="Z1" s="156" t="s">
        <v>285</v>
      </c>
      <c r="AA1" s="139" t="s">
        <v>280</v>
      </c>
      <c r="AB1" s="156" t="s">
        <v>281</v>
      </c>
      <c r="AC1" s="139" t="s">
        <v>277</v>
      </c>
      <c r="AD1" s="156" t="s">
        <v>8069</v>
      </c>
      <c r="AE1" s="139" t="s">
        <v>8070</v>
      </c>
      <c r="AF1" s="156" t="s">
        <v>8071</v>
      </c>
      <c r="AG1" s="139" t="s">
        <v>278</v>
      </c>
      <c r="AH1" s="156" t="s">
        <v>279</v>
      </c>
      <c r="AI1" s="139" t="s">
        <v>8072</v>
      </c>
      <c r="AJ1" s="156" t="s">
        <v>8073</v>
      </c>
      <c r="AK1" s="139" t="s">
        <v>8074</v>
      </c>
      <c r="AL1" s="156" t="s">
        <v>8075</v>
      </c>
      <c r="AM1" s="139" t="s">
        <v>8076</v>
      </c>
      <c r="AN1" s="156" t="s">
        <v>8077</v>
      </c>
      <c r="AO1" s="156" t="s">
        <v>8078</v>
      </c>
      <c r="AP1" s="156" t="s">
        <v>8079</v>
      </c>
      <c r="AQ1" s="156" t="s">
        <v>8080</v>
      </c>
      <c r="AR1" s="156" t="s">
        <v>8081</v>
      </c>
      <c r="AS1" s="156" t="s">
        <v>8082</v>
      </c>
      <c r="AT1" s="156" t="s">
        <v>8083</v>
      </c>
      <c r="AU1" s="156" t="s">
        <v>8084</v>
      </c>
      <c r="AV1" s="156" t="s">
        <v>8085</v>
      </c>
      <c r="AW1" s="156" t="s">
        <v>8086</v>
      </c>
      <c r="AX1" s="156" t="s">
        <v>8087</v>
      </c>
      <c r="AY1" s="158" t="s">
        <v>8088</v>
      </c>
      <c r="AZ1" s="158" t="s">
        <v>8089</v>
      </c>
      <c r="BA1" s="158" t="s">
        <v>8090</v>
      </c>
      <c r="BB1" s="158" t="s">
        <v>8091</v>
      </c>
      <c r="BC1" s="158" t="s">
        <v>8092</v>
      </c>
      <c r="BD1" s="140" t="s">
        <v>8093</v>
      </c>
      <c r="BE1" s="141" t="s">
        <v>8094</v>
      </c>
      <c r="BF1" s="141" t="s">
        <v>8095</v>
      </c>
      <c r="BG1" s="141" t="s">
        <v>8096</v>
      </c>
      <c r="BH1" s="141" t="s">
        <v>8097</v>
      </c>
      <c r="BI1" s="141" t="s">
        <v>8098</v>
      </c>
      <c r="BJ1" s="141" t="s">
        <v>8099</v>
      </c>
      <c r="BK1" s="141" t="s">
        <v>8100</v>
      </c>
      <c r="BL1" s="141" t="s">
        <v>8101</v>
      </c>
      <c r="BM1" s="141" t="s">
        <v>8102</v>
      </c>
      <c r="BN1" s="141" t="s">
        <v>8103</v>
      </c>
      <c r="BO1" s="141" t="s">
        <v>8104</v>
      </c>
      <c r="BP1" s="141" t="s">
        <v>8105</v>
      </c>
      <c r="BQ1" s="141" t="s">
        <v>8106</v>
      </c>
      <c r="BR1" s="141" t="s">
        <v>8107</v>
      </c>
      <c r="BS1" s="141" t="s">
        <v>282</v>
      </c>
      <c r="BT1" s="141" t="s">
        <v>283</v>
      </c>
      <c r="BU1" s="141" t="s">
        <v>8108</v>
      </c>
      <c r="BV1" s="141" t="s">
        <v>8109</v>
      </c>
      <c r="BW1" s="141" t="s">
        <v>8110</v>
      </c>
      <c r="BX1" s="141" t="s">
        <v>8111</v>
      </c>
      <c r="BY1" s="141" t="s">
        <v>8112</v>
      </c>
      <c r="BZ1" s="141" t="s">
        <v>8113</v>
      </c>
      <c r="CA1" s="141" t="s">
        <v>8114</v>
      </c>
      <c r="CB1" s="141" t="s">
        <v>8115</v>
      </c>
      <c r="CC1" s="141" t="s">
        <v>8116</v>
      </c>
      <c r="CD1" s="141" t="s">
        <v>8117</v>
      </c>
      <c r="CE1" s="141" t="s">
        <v>8118</v>
      </c>
      <c r="CF1" s="141" t="s">
        <v>8119</v>
      </c>
      <c r="CG1" s="141" t="s">
        <v>8120</v>
      </c>
      <c r="CH1" s="141" t="s">
        <v>8121</v>
      </c>
      <c r="CI1" s="141" t="s">
        <v>8127</v>
      </c>
      <c r="CJ1" s="141" t="s">
        <v>7862</v>
      </c>
      <c r="CK1" s="141" t="s">
        <v>7935</v>
      </c>
      <c r="CL1" s="141" t="s">
        <v>8122</v>
      </c>
      <c r="CM1" s="141" t="s">
        <v>8123</v>
      </c>
    </row>
    <row r="2" spans="1:91" s="196" customFormat="1">
      <c r="A2" s="159" t="s">
        <v>7783</v>
      </c>
      <c r="B2" s="112" t="s">
        <v>271</v>
      </c>
      <c r="C2" s="112">
        <v>1</v>
      </c>
      <c r="D2" s="112">
        <v>174</v>
      </c>
      <c r="E2" s="113">
        <v>1</v>
      </c>
      <c r="F2" s="113">
        <v>1</v>
      </c>
      <c r="G2" s="113"/>
      <c r="H2" s="113"/>
      <c r="I2" s="199"/>
      <c r="J2" s="112"/>
      <c r="K2" s="137"/>
      <c r="L2" s="157"/>
      <c r="M2" s="185">
        <v>7.41</v>
      </c>
      <c r="N2" s="157">
        <v>41837</v>
      </c>
      <c r="O2" s="137"/>
      <c r="P2" s="157"/>
      <c r="Q2" s="137"/>
      <c r="R2" s="185"/>
      <c r="S2" s="137">
        <v>20.36</v>
      </c>
      <c r="T2" s="157">
        <v>41837</v>
      </c>
      <c r="U2" s="142">
        <v>18</v>
      </c>
      <c r="V2" s="157"/>
      <c r="W2" s="137"/>
      <c r="X2" s="157"/>
      <c r="Y2" s="142">
        <f t="shared" ref="Y2:Y65" si="0">(AE2*BU2)/100</f>
        <v>14.313599999999999</v>
      </c>
      <c r="Z2" s="157">
        <v>41837</v>
      </c>
      <c r="AA2" s="137"/>
      <c r="AB2" s="157"/>
      <c r="AC2" s="137"/>
      <c r="AD2" s="157"/>
      <c r="AE2" s="137">
        <v>39.76</v>
      </c>
      <c r="AF2" s="157">
        <v>41837</v>
      </c>
      <c r="AG2" s="185">
        <v>4.67</v>
      </c>
      <c r="AH2" s="157">
        <v>41837</v>
      </c>
      <c r="AI2" s="157"/>
      <c r="AJ2" s="157"/>
      <c r="AK2" s="137"/>
      <c r="AL2" s="157"/>
      <c r="AM2" s="137">
        <v>90</v>
      </c>
      <c r="AN2" s="15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8"/>
      <c r="BF2" s="138"/>
      <c r="BG2" s="138"/>
      <c r="BH2" s="138"/>
      <c r="BI2" s="138"/>
      <c r="BJ2" s="138"/>
      <c r="BK2" s="138"/>
      <c r="BL2" s="138"/>
      <c r="BM2" s="138">
        <v>60.03</v>
      </c>
      <c r="BN2" s="157">
        <v>41837</v>
      </c>
      <c r="BO2" s="138"/>
      <c r="BP2" s="138"/>
      <c r="BQ2" s="138"/>
      <c r="BR2" s="138"/>
      <c r="BS2" s="138">
        <v>51.2</v>
      </c>
      <c r="BT2" s="157">
        <v>41837</v>
      </c>
      <c r="BU2" s="138">
        <v>36</v>
      </c>
      <c r="BV2" s="157">
        <v>41837</v>
      </c>
      <c r="BW2" s="138">
        <v>15.6</v>
      </c>
      <c r="BX2" s="157">
        <v>41837</v>
      </c>
      <c r="BY2" s="138"/>
      <c r="BZ2" s="138"/>
      <c r="CA2" s="138"/>
      <c r="CB2" s="138"/>
      <c r="CC2" s="138">
        <v>11.4</v>
      </c>
      <c r="CD2" s="157">
        <v>41837</v>
      </c>
      <c r="CE2" s="138"/>
      <c r="CF2" s="138"/>
      <c r="CG2" s="138"/>
      <c r="CH2" s="138"/>
      <c r="CI2" s="138">
        <v>7</v>
      </c>
      <c r="CJ2" s="138"/>
      <c r="CK2" s="138"/>
      <c r="CL2" s="138"/>
      <c r="CM2" s="138"/>
    </row>
    <row r="3" spans="1:91" s="196" customFormat="1">
      <c r="A3" s="159" t="s">
        <v>7656</v>
      </c>
      <c r="B3" s="112" t="s">
        <v>271</v>
      </c>
      <c r="C3" s="112">
        <v>1</v>
      </c>
      <c r="D3" s="112">
        <v>165</v>
      </c>
      <c r="E3" s="113">
        <v>2</v>
      </c>
      <c r="F3" s="113">
        <v>1</v>
      </c>
      <c r="G3" s="113"/>
      <c r="H3" s="113"/>
      <c r="I3" s="199"/>
      <c r="J3" s="199"/>
      <c r="K3" s="137"/>
      <c r="L3" s="157"/>
      <c r="M3" s="185">
        <v>6.56</v>
      </c>
      <c r="N3" s="157">
        <v>41837</v>
      </c>
      <c r="O3" s="137"/>
      <c r="P3" s="157"/>
      <c r="Q3" s="137"/>
      <c r="R3" s="185"/>
      <c r="S3" s="137">
        <v>18.940000000000001</v>
      </c>
      <c r="T3" s="157">
        <v>41837</v>
      </c>
      <c r="U3" s="142">
        <v>18</v>
      </c>
      <c r="V3" s="157"/>
      <c r="W3" s="137"/>
      <c r="X3" s="157"/>
      <c r="Y3" s="142">
        <f t="shared" si="0"/>
        <v>14.38758</v>
      </c>
      <c r="Z3" s="157">
        <v>41837</v>
      </c>
      <c r="AA3" s="137"/>
      <c r="AB3" s="157"/>
      <c r="AC3" s="137"/>
      <c r="AD3" s="157"/>
      <c r="AE3" s="137">
        <v>35.79</v>
      </c>
      <c r="AF3" s="157">
        <v>41837</v>
      </c>
      <c r="AG3" s="185">
        <v>4.2699999999999996</v>
      </c>
      <c r="AH3" s="157">
        <v>41837</v>
      </c>
      <c r="AI3" s="157"/>
      <c r="AJ3" s="157"/>
      <c r="AK3" s="137"/>
      <c r="AL3" s="157"/>
      <c r="AM3" s="137">
        <v>83</v>
      </c>
      <c r="AN3" s="15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8"/>
      <c r="BF3" s="138"/>
      <c r="BG3" s="138"/>
      <c r="BH3" s="138"/>
      <c r="BI3" s="138"/>
      <c r="BJ3" s="138"/>
      <c r="BK3" s="138"/>
      <c r="BL3" s="138"/>
      <c r="BM3" s="138">
        <v>60.55</v>
      </c>
      <c r="BN3" s="157">
        <v>41837</v>
      </c>
      <c r="BO3" s="138"/>
      <c r="BP3" s="138"/>
      <c r="BQ3" s="138"/>
      <c r="BR3" s="138"/>
      <c r="BS3" s="138">
        <v>52.93</v>
      </c>
      <c r="BT3" s="157">
        <v>41837</v>
      </c>
      <c r="BU3" s="138">
        <v>40.200000000000003</v>
      </c>
      <c r="BV3" s="157">
        <v>41837</v>
      </c>
      <c r="BW3" s="138">
        <v>48.6</v>
      </c>
      <c r="BX3" s="157">
        <v>41837</v>
      </c>
      <c r="BY3" s="138"/>
      <c r="BZ3" s="138"/>
      <c r="CA3" s="138"/>
      <c r="CB3" s="138"/>
      <c r="CC3" s="138">
        <v>9.9</v>
      </c>
      <c r="CD3" s="157">
        <v>41837</v>
      </c>
      <c r="CE3" s="138"/>
      <c r="CF3" s="138"/>
      <c r="CG3" s="138"/>
      <c r="CH3" s="138"/>
      <c r="CI3" s="138">
        <v>5</v>
      </c>
      <c r="CJ3" s="138"/>
      <c r="CK3" s="138"/>
      <c r="CL3" s="138"/>
      <c r="CM3" s="138"/>
    </row>
    <row r="4" spans="1:91" s="196" customFormat="1">
      <c r="A4" s="159" t="s">
        <v>7625</v>
      </c>
      <c r="B4" s="112" t="s">
        <v>271</v>
      </c>
      <c r="C4" s="112">
        <v>1</v>
      </c>
      <c r="D4" s="112">
        <v>158</v>
      </c>
      <c r="E4" s="113">
        <v>3</v>
      </c>
      <c r="F4" s="113">
        <v>1</v>
      </c>
      <c r="G4" s="113"/>
      <c r="H4" s="113"/>
      <c r="I4" s="199"/>
      <c r="J4" s="199"/>
      <c r="K4" s="137"/>
      <c r="L4" s="157"/>
      <c r="M4" s="185">
        <v>5.03</v>
      </c>
      <c r="N4" s="157">
        <v>41837</v>
      </c>
      <c r="O4" s="137"/>
      <c r="P4" s="157"/>
      <c r="Q4" s="137"/>
      <c r="R4" s="185"/>
      <c r="S4" s="137">
        <v>13.35</v>
      </c>
      <c r="T4" s="157">
        <v>41837</v>
      </c>
      <c r="U4" s="142">
        <v>18</v>
      </c>
      <c r="V4" s="157"/>
      <c r="W4" s="137"/>
      <c r="X4" s="157"/>
      <c r="Y4" s="142">
        <f t="shared" si="0"/>
        <v>10.653600000000001</v>
      </c>
      <c r="Z4" s="157">
        <v>41837</v>
      </c>
      <c r="AA4" s="137"/>
      <c r="AB4" s="157"/>
      <c r="AC4" s="137"/>
      <c r="AD4" s="157"/>
      <c r="AE4" s="137">
        <v>27.6</v>
      </c>
      <c r="AF4" s="157">
        <v>41837</v>
      </c>
      <c r="AG4" s="185">
        <v>5.04</v>
      </c>
      <c r="AH4" s="157">
        <v>41837</v>
      </c>
      <c r="AI4" s="157"/>
      <c r="AJ4" s="157"/>
      <c r="AK4" s="137"/>
      <c r="AL4" s="157"/>
      <c r="AM4" s="137">
        <v>90</v>
      </c>
      <c r="AN4" s="15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8"/>
      <c r="BF4" s="138"/>
      <c r="BG4" s="138"/>
      <c r="BH4" s="138"/>
      <c r="BI4" s="138"/>
      <c r="BJ4" s="138"/>
      <c r="BK4" s="138"/>
      <c r="BL4" s="138"/>
      <c r="BM4" s="138">
        <v>60.87</v>
      </c>
      <c r="BN4" s="157">
        <v>41837</v>
      </c>
      <c r="BO4" s="138"/>
      <c r="BP4" s="138"/>
      <c r="BQ4" s="138"/>
      <c r="BR4" s="138"/>
      <c r="BS4" s="138">
        <v>48.37</v>
      </c>
      <c r="BT4" s="157">
        <v>41837</v>
      </c>
      <c r="BU4" s="138">
        <v>38.6</v>
      </c>
      <c r="BV4" s="157">
        <v>41837</v>
      </c>
      <c r="BW4" s="138">
        <v>60.8</v>
      </c>
      <c r="BX4" s="157">
        <v>41837</v>
      </c>
      <c r="BY4" s="138"/>
      <c r="BZ4" s="138"/>
      <c r="CA4" s="138"/>
      <c r="CB4" s="138"/>
      <c r="CC4" s="138">
        <v>9.4</v>
      </c>
      <c r="CD4" s="157">
        <v>41837</v>
      </c>
      <c r="CE4" s="138"/>
      <c r="CF4" s="138"/>
      <c r="CG4" s="138"/>
      <c r="CH4" s="138"/>
      <c r="CI4" s="138">
        <v>7</v>
      </c>
      <c r="CJ4" s="138"/>
      <c r="CK4" s="138"/>
      <c r="CL4" s="138"/>
      <c r="CM4" s="138"/>
    </row>
    <row r="5" spans="1:91" s="196" customFormat="1">
      <c r="A5" s="159" t="s">
        <v>7815</v>
      </c>
      <c r="B5" s="112" t="s">
        <v>271</v>
      </c>
      <c r="C5" s="112">
        <v>1</v>
      </c>
      <c r="D5" s="112">
        <v>118</v>
      </c>
      <c r="E5" s="113">
        <v>4</v>
      </c>
      <c r="F5" s="113">
        <v>1</v>
      </c>
      <c r="G5" s="113"/>
      <c r="H5" s="113"/>
      <c r="I5" s="199"/>
      <c r="J5" s="112"/>
      <c r="K5" s="137"/>
      <c r="L5" s="157"/>
      <c r="M5" s="185">
        <v>6.14</v>
      </c>
      <c r="N5" s="157">
        <v>41837</v>
      </c>
      <c r="O5" s="137"/>
      <c r="P5" s="157"/>
      <c r="Q5" s="137"/>
      <c r="R5" s="185"/>
      <c r="S5" s="137">
        <v>17.18</v>
      </c>
      <c r="T5" s="157">
        <v>41837</v>
      </c>
      <c r="U5" s="142">
        <v>18</v>
      </c>
      <c r="V5" s="157"/>
      <c r="W5" s="137"/>
      <c r="X5" s="157"/>
      <c r="Y5" s="142">
        <f t="shared" si="0"/>
        <v>11.9595</v>
      </c>
      <c r="Z5" s="157">
        <v>41837</v>
      </c>
      <c r="AA5" s="137"/>
      <c r="AB5" s="157"/>
      <c r="AC5" s="137"/>
      <c r="AD5" s="157"/>
      <c r="AE5" s="137">
        <v>33.5</v>
      </c>
      <c r="AF5" s="157">
        <v>41837</v>
      </c>
      <c r="AG5" s="185">
        <v>4.8899999999999997</v>
      </c>
      <c r="AH5" s="157">
        <v>41837</v>
      </c>
      <c r="AI5" s="157"/>
      <c r="AJ5" s="157"/>
      <c r="AK5" s="137"/>
      <c r="AL5" s="157"/>
      <c r="AM5" s="137">
        <v>92</v>
      </c>
      <c r="AN5" s="157"/>
      <c r="AO5" s="137"/>
      <c r="AP5" s="137"/>
      <c r="AQ5" s="137"/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8"/>
      <c r="BF5" s="138"/>
      <c r="BG5" s="138"/>
      <c r="BH5" s="138"/>
      <c r="BI5" s="138"/>
      <c r="BJ5" s="138"/>
      <c r="BK5" s="138"/>
      <c r="BL5" s="138"/>
      <c r="BM5" s="138">
        <v>61.58</v>
      </c>
      <c r="BN5" s="157">
        <v>41837</v>
      </c>
      <c r="BO5" s="138"/>
      <c r="BP5" s="138"/>
      <c r="BQ5" s="138"/>
      <c r="BR5" s="138"/>
      <c r="BS5" s="138">
        <v>51.29</v>
      </c>
      <c r="BT5" s="157">
        <v>41837</v>
      </c>
      <c r="BU5" s="138">
        <v>35.700000000000003</v>
      </c>
      <c r="BV5" s="157">
        <v>41837</v>
      </c>
      <c r="BW5" s="138">
        <v>16.100000000000001</v>
      </c>
      <c r="BX5" s="157">
        <v>41837</v>
      </c>
      <c r="BY5" s="138"/>
      <c r="BZ5" s="138"/>
      <c r="CA5" s="138"/>
      <c r="CB5" s="138"/>
      <c r="CC5" s="138">
        <v>9.9</v>
      </c>
      <c r="CD5" s="157">
        <v>41837</v>
      </c>
      <c r="CE5" s="138"/>
      <c r="CF5" s="138"/>
      <c r="CG5" s="138"/>
      <c r="CH5" s="138"/>
      <c r="CI5" s="138">
        <v>9</v>
      </c>
      <c r="CJ5" s="138"/>
      <c r="CK5" s="138"/>
      <c r="CL5" s="138"/>
      <c r="CM5" s="138"/>
    </row>
    <row r="6" spans="1:91" s="196" customFormat="1">
      <c r="A6" s="159" t="s">
        <v>7613</v>
      </c>
      <c r="B6" s="112" t="s">
        <v>271</v>
      </c>
      <c r="C6" s="112">
        <v>1</v>
      </c>
      <c r="D6" s="112">
        <v>19</v>
      </c>
      <c r="E6" s="113">
        <v>5</v>
      </c>
      <c r="F6" s="113">
        <v>1</v>
      </c>
      <c r="G6" s="113"/>
      <c r="H6" s="113"/>
      <c r="I6" s="249"/>
      <c r="J6" s="112"/>
      <c r="K6" s="142"/>
      <c r="L6" s="157"/>
      <c r="M6" s="185">
        <v>2.02</v>
      </c>
      <c r="N6" s="157">
        <v>41837</v>
      </c>
      <c r="O6" s="137"/>
      <c r="P6" s="157"/>
      <c r="Q6" s="142"/>
      <c r="R6" s="185"/>
      <c r="S6" s="142">
        <v>5.43</v>
      </c>
      <c r="T6" s="157">
        <v>41837</v>
      </c>
      <c r="U6" s="142">
        <v>18</v>
      </c>
      <c r="V6" s="157"/>
      <c r="W6" s="142"/>
      <c r="X6" s="157"/>
      <c r="Y6" s="142">
        <f t="shared" si="0"/>
        <v>4.2554800000000004</v>
      </c>
      <c r="Z6" s="157">
        <v>41837</v>
      </c>
      <c r="AA6" s="142"/>
      <c r="AB6" s="157"/>
      <c r="AC6" s="137"/>
      <c r="AD6" s="157"/>
      <c r="AE6" s="142">
        <v>11.14</v>
      </c>
      <c r="AF6" s="157">
        <v>41837</v>
      </c>
      <c r="AG6" s="185">
        <v>4.57</v>
      </c>
      <c r="AH6" s="157">
        <v>41837</v>
      </c>
      <c r="AI6" s="157"/>
      <c r="AJ6" s="157"/>
      <c r="AK6" s="142"/>
      <c r="AL6" s="157"/>
      <c r="AM6" s="142">
        <v>83</v>
      </c>
      <c r="AN6" s="15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8"/>
      <c r="BF6" s="138"/>
      <c r="BG6" s="138"/>
      <c r="BH6" s="138"/>
      <c r="BI6" s="138"/>
      <c r="BJ6" s="138"/>
      <c r="BK6" s="138"/>
      <c r="BL6" s="138"/>
      <c r="BM6" s="138">
        <v>62.71</v>
      </c>
      <c r="BN6" s="157">
        <v>41837</v>
      </c>
      <c r="BO6" s="138"/>
      <c r="BP6" s="138"/>
      <c r="BQ6" s="138"/>
      <c r="BR6" s="138"/>
      <c r="BS6" s="138">
        <v>48.71</v>
      </c>
      <c r="BT6" s="157">
        <v>41837</v>
      </c>
      <c r="BU6" s="138">
        <v>38.200000000000003</v>
      </c>
      <c r="BV6" s="157">
        <v>41837</v>
      </c>
      <c r="BW6" s="138">
        <v>49</v>
      </c>
      <c r="BX6" s="157">
        <v>41837</v>
      </c>
      <c r="BY6" s="138"/>
      <c r="BZ6" s="138"/>
      <c r="CA6" s="138"/>
      <c r="CB6" s="138"/>
      <c r="CC6" s="138">
        <v>8.9</v>
      </c>
      <c r="CD6" s="157">
        <v>41837</v>
      </c>
      <c r="CE6" s="138"/>
      <c r="CF6" s="138"/>
      <c r="CG6" s="138"/>
      <c r="CH6" s="138"/>
      <c r="CI6" s="138">
        <v>1</v>
      </c>
      <c r="CJ6" s="138"/>
      <c r="CK6" s="138"/>
      <c r="CL6" s="138"/>
      <c r="CM6" s="138"/>
    </row>
    <row r="7" spans="1:91" s="196" customFormat="1">
      <c r="A7" s="159" t="s">
        <v>7712</v>
      </c>
      <c r="B7" s="112" t="s">
        <v>271</v>
      </c>
      <c r="C7" s="112">
        <v>1</v>
      </c>
      <c r="D7" s="112">
        <v>124</v>
      </c>
      <c r="E7" s="113">
        <v>6</v>
      </c>
      <c r="F7" s="113">
        <v>1</v>
      </c>
      <c r="G7" s="113"/>
      <c r="H7" s="113"/>
      <c r="I7" s="199"/>
      <c r="J7" s="112"/>
      <c r="K7" s="137"/>
      <c r="L7" s="157"/>
      <c r="M7" s="185">
        <v>6.82</v>
      </c>
      <c r="N7" s="157">
        <v>41837</v>
      </c>
      <c r="O7" s="137"/>
      <c r="P7" s="157"/>
      <c r="Q7" s="137"/>
      <c r="R7" s="185"/>
      <c r="S7" s="137">
        <v>19.27</v>
      </c>
      <c r="T7" s="157">
        <v>41837</v>
      </c>
      <c r="U7" s="142">
        <v>18</v>
      </c>
      <c r="V7" s="157"/>
      <c r="W7" s="137"/>
      <c r="X7" s="157"/>
      <c r="Y7" s="142">
        <f t="shared" si="0"/>
        <v>13.868930000000001</v>
      </c>
      <c r="Z7" s="157">
        <v>41837</v>
      </c>
      <c r="AA7" s="137"/>
      <c r="AB7" s="157"/>
      <c r="AC7" s="137"/>
      <c r="AD7" s="157"/>
      <c r="AE7" s="137">
        <v>37.79</v>
      </c>
      <c r="AF7" s="157">
        <v>41837</v>
      </c>
      <c r="AG7" s="185">
        <v>5.09</v>
      </c>
      <c r="AH7" s="157">
        <v>41837</v>
      </c>
      <c r="AI7" s="157"/>
      <c r="AJ7" s="157"/>
      <c r="AK7" s="137"/>
      <c r="AL7" s="157"/>
      <c r="AM7" s="137">
        <v>92</v>
      </c>
      <c r="AN7" s="15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8"/>
      <c r="BF7" s="138"/>
      <c r="BG7" s="138"/>
      <c r="BH7" s="138"/>
      <c r="BI7" s="138"/>
      <c r="BJ7" s="138"/>
      <c r="BK7" s="138"/>
      <c r="BL7" s="138"/>
      <c r="BM7" s="138">
        <v>59.83</v>
      </c>
      <c r="BN7" s="157">
        <v>41837</v>
      </c>
      <c r="BO7" s="138"/>
      <c r="BP7" s="138"/>
      <c r="BQ7" s="138"/>
      <c r="BR7" s="138"/>
      <c r="BS7" s="138">
        <v>50.99</v>
      </c>
      <c r="BT7" s="157">
        <v>41837</v>
      </c>
      <c r="BU7" s="138">
        <v>36.700000000000003</v>
      </c>
      <c r="BV7" s="157">
        <v>41837</v>
      </c>
      <c r="BW7" s="138">
        <v>17.100000000000001</v>
      </c>
      <c r="BX7" s="157">
        <v>41837</v>
      </c>
      <c r="BY7" s="138"/>
      <c r="BZ7" s="138"/>
      <c r="CA7" s="138"/>
      <c r="CB7" s="138"/>
      <c r="CC7" s="138">
        <v>8.5</v>
      </c>
      <c r="CD7" s="157">
        <v>41837</v>
      </c>
      <c r="CE7" s="138"/>
      <c r="CF7" s="138"/>
      <c r="CG7" s="138"/>
      <c r="CH7" s="138"/>
      <c r="CI7" s="138">
        <v>7</v>
      </c>
      <c r="CJ7" s="138"/>
      <c r="CK7" s="138"/>
      <c r="CL7" s="138"/>
      <c r="CM7" s="138"/>
    </row>
    <row r="8" spans="1:91" s="196" customFormat="1">
      <c r="A8" s="159" t="s">
        <v>7674</v>
      </c>
      <c r="B8" s="112" t="s">
        <v>271</v>
      </c>
      <c r="C8" s="112">
        <v>1</v>
      </c>
      <c r="D8" s="112">
        <v>104</v>
      </c>
      <c r="E8" s="113">
        <v>7</v>
      </c>
      <c r="F8" s="113">
        <v>1</v>
      </c>
      <c r="G8" s="113"/>
      <c r="H8" s="113"/>
      <c r="I8" s="199"/>
      <c r="J8" s="112"/>
      <c r="K8" s="137"/>
      <c r="L8" s="157"/>
      <c r="M8" s="185">
        <v>6.54</v>
      </c>
      <c r="N8" s="157">
        <v>41837</v>
      </c>
      <c r="O8" s="137"/>
      <c r="P8" s="157"/>
      <c r="Q8" s="137"/>
      <c r="R8" s="185"/>
      <c r="S8" s="137">
        <v>19.02</v>
      </c>
      <c r="T8" s="157">
        <v>41837</v>
      </c>
      <c r="U8" s="142">
        <v>18</v>
      </c>
      <c r="V8" s="157"/>
      <c r="W8" s="137"/>
      <c r="X8" s="157"/>
      <c r="Y8" s="142">
        <f t="shared" si="0"/>
        <v>13.852449999999999</v>
      </c>
      <c r="Z8" s="157">
        <v>41837</v>
      </c>
      <c r="AA8" s="137"/>
      <c r="AB8" s="157"/>
      <c r="AC8" s="137"/>
      <c r="AD8" s="157"/>
      <c r="AE8" s="137">
        <v>36.549999999999997</v>
      </c>
      <c r="AF8" s="157">
        <v>41837</v>
      </c>
      <c r="AG8" s="185">
        <v>5.19</v>
      </c>
      <c r="AH8" s="157">
        <v>41837</v>
      </c>
      <c r="AI8" s="157"/>
      <c r="AJ8" s="157"/>
      <c r="AK8" s="137"/>
      <c r="AL8" s="157"/>
      <c r="AM8" s="137">
        <v>94</v>
      </c>
      <c r="AN8" s="15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8"/>
      <c r="BF8" s="138"/>
      <c r="BG8" s="138"/>
      <c r="BH8" s="138"/>
      <c r="BI8" s="138"/>
      <c r="BJ8" s="138"/>
      <c r="BK8" s="138"/>
      <c r="BL8" s="138"/>
      <c r="BM8" s="138">
        <v>58.97</v>
      </c>
      <c r="BN8" s="157">
        <v>41837</v>
      </c>
      <c r="BO8" s="138"/>
      <c r="BP8" s="138"/>
      <c r="BQ8" s="138"/>
      <c r="BR8" s="138"/>
      <c r="BS8" s="138">
        <v>52.04</v>
      </c>
      <c r="BT8" s="157">
        <v>41837</v>
      </c>
      <c r="BU8" s="138">
        <v>37.9</v>
      </c>
      <c r="BV8" s="157">
        <v>41837</v>
      </c>
      <c r="BW8" s="138">
        <v>14.2</v>
      </c>
      <c r="BX8" s="157">
        <v>41837</v>
      </c>
      <c r="BY8" s="138"/>
      <c r="BZ8" s="138"/>
      <c r="CA8" s="138"/>
      <c r="CB8" s="138"/>
      <c r="CC8" s="138">
        <v>7.7</v>
      </c>
      <c r="CD8" s="157">
        <v>41837</v>
      </c>
      <c r="CE8" s="138"/>
      <c r="CF8" s="138"/>
      <c r="CG8" s="138"/>
      <c r="CH8" s="138"/>
      <c r="CI8" s="138">
        <v>9</v>
      </c>
      <c r="CJ8" s="138"/>
      <c r="CK8" s="138"/>
      <c r="CL8" s="138"/>
      <c r="CM8" s="138"/>
    </row>
    <row r="9" spans="1:91" s="196" customFormat="1">
      <c r="A9" s="159" t="s">
        <v>7731</v>
      </c>
      <c r="B9" s="112" t="s">
        <v>271</v>
      </c>
      <c r="C9" s="112">
        <v>1</v>
      </c>
      <c r="D9" s="112">
        <v>111</v>
      </c>
      <c r="E9" s="113">
        <v>8</v>
      </c>
      <c r="F9" s="113">
        <v>1</v>
      </c>
      <c r="G9" s="113"/>
      <c r="H9" s="113"/>
      <c r="I9" s="199"/>
      <c r="J9" s="112"/>
      <c r="K9" s="137"/>
      <c r="L9" s="157"/>
      <c r="M9" s="185">
        <v>5.09</v>
      </c>
      <c r="N9" s="157">
        <v>41837</v>
      </c>
      <c r="O9" s="137"/>
      <c r="P9" s="157"/>
      <c r="Q9" s="137"/>
      <c r="R9" s="185"/>
      <c r="S9" s="137">
        <v>14.09</v>
      </c>
      <c r="T9" s="157">
        <v>41837</v>
      </c>
      <c r="U9" s="142">
        <v>18</v>
      </c>
      <c r="V9" s="157"/>
      <c r="W9" s="137"/>
      <c r="X9" s="157"/>
      <c r="Y9" s="142">
        <f t="shared" si="0"/>
        <v>10.822349999999998</v>
      </c>
      <c r="Z9" s="157">
        <v>41837</v>
      </c>
      <c r="AA9" s="137"/>
      <c r="AB9" s="157"/>
      <c r="AC9" s="137"/>
      <c r="AD9" s="157"/>
      <c r="AE9" s="137">
        <v>28.11</v>
      </c>
      <c r="AF9" s="157">
        <v>41837</v>
      </c>
      <c r="AG9" s="185">
        <v>4.8600000000000003</v>
      </c>
      <c r="AH9" s="157">
        <v>41837</v>
      </c>
      <c r="AI9" s="157"/>
      <c r="AJ9" s="157"/>
      <c r="AK9" s="137"/>
      <c r="AL9" s="157"/>
      <c r="AM9" s="137">
        <v>94</v>
      </c>
      <c r="AN9" s="15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8"/>
      <c r="BF9" s="138"/>
      <c r="BG9" s="138"/>
      <c r="BH9" s="138"/>
      <c r="BI9" s="138"/>
      <c r="BJ9" s="138"/>
      <c r="BK9" s="138"/>
      <c r="BL9" s="138"/>
      <c r="BM9" s="138">
        <v>60.64</v>
      </c>
      <c r="BN9" s="157">
        <v>41837</v>
      </c>
      <c r="BO9" s="138"/>
      <c r="BP9" s="138"/>
      <c r="BQ9" s="138"/>
      <c r="BR9" s="138"/>
      <c r="BS9" s="138">
        <v>50.11</v>
      </c>
      <c r="BT9" s="157">
        <v>41837</v>
      </c>
      <c r="BU9" s="138">
        <v>38.5</v>
      </c>
      <c r="BV9" s="157">
        <v>41837</v>
      </c>
      <c r="BW9" s="138">
        <v>13.3</v>
      </c>
      <c r="BX9" s="157">
        <v>41837</v>
      </c>
      <c r="BY9" s="138"/>
      <c r="BZ9" s="138"/>
      <c r="CA9" s="138"/>
      <c r="CB9" s="138"/>
      <c r="CC9" s="138">
        <v>8.8000000000000007</v>
      </c>
      <c r="CD9" s="157">
        <v>41837</v>
      </c>
      <c r="CE9" s="138"/>
      <c r="CF9" s="138"/>
      <c r="CG9" s="138"/>
      <c r="CH9" s="138"/>
      <c r="CI9" s="138">
        <v>3</v>
      </c>
      <c r="CJ9" s="138"/>
      <c r="CK9" s="138"/>
      <c r="CL9" s="138"/>
      <c r="CM9" s="138"/>
    </row>
    <row r="10" spans="1:91">
      <c r="A10" s="159" t="s">
        <v>7759</v>
      </c>
      <c r="B10" s="112" t="s">
        <v>271</v>
      </c>
      <c r="C10" s="112">
        <v>1</v>
      </c>
      <c r="D10" s="112">
        <v>33</v>
      </c>
      <c r="E10" s="113">
        <v>9</v>
      </c>
      <c r="F10" s="113">
        <v>1</v>
      </c>
      <c r="I10" s="199"/>
      <c r="M10" s="185">
        <v>4.8099999999999996</v>
      </c>
      <c r="N10" s="157">
        <v>41837</v>
      </c>
      <c r="R10" s="185"/>
      <c r="S10" s="137">
        <v>13.18</v>
      </c>
      <c r="T10" s="157">
        <v>41837</v>
      </c>
      <c r="U10" s="142">
        <v>18</v>
      </c>
      <c r="Y10" s="142">
        <f t="shared" si="0"/>
        <v>10.4754</v>
      </c>
      <c r="Z10" s="157">
        <v>41837</v>
      </c>
      <c r="AE10" s="137">
        <v>26.86</v>
      </c>
      <c r="AF10" s="157">
        <v>41837</v>
      </c>
      <c r="AG10" s="185">
        <v>3.96</v>
      </c>
      <c r="AH10" s="157">
        <v>41837</v>
      </c>
      <c r="AM10" s="137">
        <v>92</v>
      </c>
      <c r="BM10" s="138">
        <v>59.68</v>
      </c>
      <c r="BN10" s="157">
        <v>41837</v>
      </c>
      <c r="BS10" s="138">
        <v>49.06</v>
      </c>
      <c r="BT10" s="157">
        <v>41837</v>
      </c>
      <c r="BU10" s="138">
        <v>39</v>
      </c>
      <c r="BV10" s="157">
        <v>41837</v>
      </c>
      <c r="BW10" s="138">
        <v>13.7</v>
      </c>
      <c r="BX10" s="157">
        <v>41837</v>
      </c>
      <c r="CC10" s="138">
        <v>7.8</v>
      </c>
      <c r="CD10" s="157">
        <v>41837</v>
      </c>
      <c r="CI10" s="138">
        <v>5</v>
      </c>
    </row>
    <row r="11" spans="1:91">
      <c r="A11" s="159" t="s">
        <v>7736</v>
      </c>
      <c r="B11" s="112" t="s">
        <v>271</v>
      </c>
      <c r="C11" s="112">
        <v>1</v>
      </c>
      <c r="D11" s="112">
        <v>94</v>
      </c>
      <c r="E11" s="113">
        <v>10</v>
      </c>
      <c r="F11" s="113">
        <v>1</v>
      </c>
      <c r="I11" s="199"/>
      <c r="M11" s="185">
        <v>6.28</v>
      </c>
      <c r="N11" s="157">
        <v>41837</v>
      </c>
      <c r="R11" s="185"/>
      <c r="S11" s="137">
        <v>17.32</v>
      </c>
      <c r="T11" s="157">
        <v>41837</v>
      </c>
      <c r="U11" s="142">
        <v>18</v>
      </c>
      <c r="Y11" s="142">
        <f t="shared" si="0"/>
        <v>13.227679999999999</v>
      </c>
      <c r="Z11" s="157">
        <v>41837</v>
      </c>
      <c r="AE11" s="137">
        <v>35.18</v>
      </c>
      <c r="AF11" s="157">
        <v>41837</v>
      </c>
      <c r="AG11" s="185">
        <v>4.5</v>
      </c>
      <c r="AH11" s="157">
        <v>41837</v>
      </c>
      <c r="AM11" s="137">
        <v>90</v>
      </c>
      <c r="BM11" s="138">
        <v>58.1</v>
      </c>
      <c r="BN11" s="157">
        <v>41837</v>
      </c>
      <c r="BS11" s="138">
        <v>49.24</v>
      </c>
      <c r="BT11" s="157">
        <v>41837</v>
      </c>
      <c r="BU11" s="138">
        <v>37.6</v>
      </c>
      <c r="BV11" s="157">
        <v>41837</v>
      </c>
      <c r="BW11" s="138">
        <v>14.7</v>
      </c>
      <c r="BX11" s="157">
        <v>41837</v>
      </c>
      <c r="CC11" s="138">
        <v>7.5</v>
      </c>
      <c r="CD11" s="157">
        <v>41837</v>
      </c>
      <c r="CI11" s="138">
        <v>9</v>
      </c>
    </row>
    <row r="12" spans="1:91">
      <c r="A12" s="159" t="s">
        <v>7729</v>
      </c>
      <c r="B12" s="112" t="s">
        <v>271</v>
      </c>
      <c r="C12" s="112">
        <v>1</v>
      </c>
      <c r="D12" s="112">
        <v>178</v>
      </c>
      <c r="E12" s="113">
        <v>11</v>
      </c>
      <c r="F12" s="113">
        <v>1</v>
      </c>
      <c r="I12" s="199"/>
      <c r="M12" s="185">
        <v>5.87</v>
      </c>
      <c r="N12" s="157">
        <v>41837</v>
      </c>
      <c r="R12" s="185"/>
      <c r="S12" s="137">
        <v>16.23</v>
      </c>
      <c r="T12" s="157">
        <v>41837</v>
      </c>
      <c r="U12" s="142">
        <v>18</v>
      </c>
      <c r="Y12" s="142">
        <f t="shared" si="0"/>
        <v>13.141960000000001</v>
      </c>
      <c r="Z12" s="157">
        <v>41837</v>
      </c>
      <c r="AE12" s="137">
        <v>33.020000000000003</v>
      </c>
      <c r="AF12" s="157">
        <v>41837</v>
      </c>
      <c r="AG12" s="185">
        <v>4.66</v>
      </c>
      <c r="AH12" s="157">
        <v>41837</v>
      </c>
      <c r="AM12" s="137">
        <v>94</v>
      </c>
      <c r="BM12" s="138">
        <v>60.61</v>
      </c>
      <c r="BN12" s="157">
        <v>41837</v>
      </c>
      <c r="BS12" s="138">
        <v>49.16</v>
      </c>
      <c r="BT12" s="157">
        <v>41837</v>
      </c>
      <c r="BU12" s="138">
        <v>39.799999999999997</v>
      </c>
      <c r="BV12" s="157">
        <v>41837</v>
      </c>
      <c r="BW12" s="138">
        <v>19.399999999999999</v>
      </c>
      <c r="BX12" s="157">
        <v>41837</v>
      </c>
      <c r="CC12" s="138">
        <v>7.1</v>
      </c>
      <c r="CD12" s="157">
        <v>41837</v>
      </c>
      <c r="CI12" s="138">
        <v>3</v>
      </c>
    </row>
    <row r="13" spans="1:91">
      <c r="A13" s="159" t="s">
        <v>7612</v>
      </c>
      <c r="B13" s="112" t="s">
        <v>271</v>
      </c>
      <c r="C13" s="112">
        <v>1</v>
      </c>
      <c r="D13" s="112">
        <v>120</v>
      </c>
      <c r="E13" s="113">
        <v>12</v>
      </c>
      <c r="F13" s="113">
        <v>1</v>
      </c>
      <c r="I13" s="199"/>
      <c r="M13" s="185">
        <v>3.86</v>
      </c>
      <c r="N13" s="157">
        <v>41837</v>
      </c>
      <c r="R13" s="185"/>
      <c r="S13" s="137">
        <v>10.55</v>
      </c>
      <c r="T13" s="157">
        <v>41837</v>
      </c>
      <c r="U13" s="142">
        <v>18</v>
      </c>
      <c r="Y13" s="142">
        <f t="shared" si="0"/>
        <v>8.7844499999999996</v>
      </c>
      <c r="Z13" s="157">
        <v>41837</v>
      </c>
      <c r="AE13" s="137">
        <v>21.69</v>
      </c>
      <c r="AF13" s="157">
        <v>41837</v>
      </c>
      <c r="AG13" s="185">
        <v>4.9400000000000004</v>
      </c>
      <c r="AH13" s="157">
        <v>41837</v>
      </c>
      <c r="AM13" s="137">
        <v>96</v>
      </c>
      <c r="BM13" s="138">
        <v>63.59</v>
      </c>
      <c r="BN13" s="157">
        <v>41837</v>
      </c>
      <c r="BS13" s="138">
        <v>48.64</v>
      </c>
      <c r="BT13" s="157">
        <v>41837</v>
      </c>
      <c r="BU13" s="138">
        <v>40.5</v>
      </c>
      <c r="BV13" s="157">
        <v>41837</v>
      </c>
      <c r="BW13" s="138">
        <v>55</v>
      </c>
      <c r="BX13" s="157">
        <v>41837</v>
      </c>
      <c r="CC13" s="138">
        <v>7.2</v>
      </c>
      <c r="CD13" s="157">
        <v>41837</v>
      </c>
      <c r="CI13" s="138">
        <v>5</v>
      </c>
    </row>
    <row r="14" spans="1:91" s="196" customFormat="1">
      <c r="A14" s="159" t="s">
        <v>7745</v>
      </c>
      <c r="B14" s="112" t="s">
        <v>271</v>
      </c>
      <c r="C14" s="112">
        <v>1</v>
      </c>
      <c r="D14" s="112">
        <v>161</v>
      </c>
      <c r="E14" s="113">
        <v>13</v>
      </c>
      <c r="F14" s="113">
        <v>1</v>
      </c>
      <c r="G14" s="113"/>
      <c r="H14" s="113"/>
      <c r="I14" s="199"/>
      <c r="J14" s="112"/>
      <c r="K14" s="137"/>
      <c r="L14" s="157"/>
      <c r="M14" s="185">
        <v>3.53</v>
      </c>
      <c r="N14" s="157">
        <v>41837</v>
      </c>
      <c r="O14" s="137"/>
      <c r="P14" s="157"/>
      <c r="Q14" s="137"/>
      <c r="R14" s="185"/>
      <c r="S14" s="137">
        <v>9.48</v>
      </c>
      <c r="T14" s="157">
        <v>41837</v>
      </c>
      <c r="U14" s="142">
        <v>18</v>
      </c>
      <c r="V14" s="157"/>
      <c r="W14" s="137"/>
      <c r="X14" s="157"/>
      <c r="Y14" s="142">
        <f t="shared" si="0"/>
        <v>8.4603600000000014</v>
      </c>
      <c r="Z14" s="157">
        <v>41837</v>
      </c>
      <c r="AA14" s="137"/>
      <c r="AB14" s="157"/>
      <c r="AC14" s="137"/>
      <c r="AD14" s="157"/>
      <c r="AE14" s="137">
        <v>19.86</v>
      </c>
      <c r="AF14" s="157">
        <v>41837</v>
      </c>
      <c r="AG14" s="185">
        <v>4.6399999999999997</v>
      </c>
      <c r="AH14" s="157">
        <v>41837</v>
      </c>
      <c r="AI14" s="157"/>
      <c r="AJ14" s="157"/>
      <c r="AK14" s="137"/>
      <c r="AL14" s="157"/>
      <c r="AM14" s="137">
        <v>96</v>
      </c>
      <c r="AN14" s="15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8"/>
      <c r="BF14" s="138"/>
      <c r="BG14" s="138"/>
      <c r="BH14" s="138"/>
      <c r="BI14" s="138"/>
      <c r="BJ14" s="138"/>
      <c r="BK14" s="138"/>
      <c r="BL14" s="138"/>
      <c r="BM14" s="138">
        <v>65.2</v>
      </c>
      <c r="BN14" s="157">
        <v>41837</v>
      </c>
      <c r="BO14" s="138"/>
      <c r="BP14" s="138"/>
      <c r="BQ14" s="138"/>
      <c r="BR14" s="138"/>
      <c r="BS14" s="138">
        <v>47.75</v>
      </c>
      <c r="BT14" s="157">
        <v>41837</v>
      </c>
      <c r="BU14" s="138">
        <v>42.6</v>
      </c>
      <c r="BV14" s="157">
        <v>41837</v>
      </c>
      <c r="BW14" s="138">
        <v>64.599999999999994</v>
      </c>
      <c r="BX14" s="157">
        <v>41837</v>
      </c>
      <c r="BY14" s="138"/>
      <c r="BZ14" s="138"/>
      <c r="CA14" s="138"/>
      <c r="CB14" s="138"/>
      <c r="CC14" s="138">
        <v>7.1</v>
      </c>
      <c r="CD14" s="157">
        <v>41837</v>
      </c>
      <c r="CE14" s="138"/>
      <c r="CF14" s="138"/>
      <c r="CG14" s="138"/>
      <c r="CH14" s="138"/>
      <c r="CI14" s="138">
        <v>7</v>
      </c>
      <c r="CJ14" s="138"/>
      <c r="CK14" s="138"/>
      <c r="CL14" s="138"/>
      <c r="CM14" s="138"/>
    </row>
    <row r="15" spans="1:91" s="196" customFormat="1">
      <c r="A15" s="159" t="s">
        <v>7635</v>
      </c>
      <c r="B15" s="112" t="s">
        <v>271</v>
      </c>
      <c r="C15" s="112">
        <v>1</v>
      </c>
      <c r="D15" s="112">
        <v>55</v>
      </c>
      <c r="E15" s="113">
        <v>14</v>
      </c>
      <c r="F15" s="113">
        <v>1</v>
      </c>
      <c r="G15" s="113"/>
      <c r="H15" s="113"/>
      <c r="I15" s="199"/>
      <c r="J15" s="112"/>
      <c r="K15" s="137"/>
      <c r="L15" s="157"/>
      <c r="M15" s="185">
        <v>2.82</v>
      </c>
      <c r="N15" s="157">
        <v>41837</v>
      </c>
      <c r="O15" s="137"/>
      <c r="P15" s="157"/>
      <c r="Q15" s="137"/>
      <c r="R15" s="185"/>
      <c r="S15" s="137">
        <v>7.47</v>
      </c>
      <c r="T15" s="157">
        <v>41837</v>
      </c>
      <c r="U15" s="142">
        <v>18</v>
      </c>
      <c r="V15" s="157"/>
      <c r="W15" s="137"/>
      <c r="X15" s="157"/>
      <c r="Y15" s="142">
        <f t="shared" si="0"/>
        <v>6.4871999999999987</v>
      </c>
      <c r="Z15" s="157">
        <v>41837</v>
      </c>
      <c r="AA15" s="137"/>
      <c r="AB15" s="157"/>
      <c r="AC15" s="137"/>
      <c r="AD15" s="157"/>
      <c r="AE15" s="137">
        <v>15.9</v>
      </c>
      <c r="AF15" s="157">
        <v>41837</v>
      </c>
      <c r="AG15" s="185">
        <v>4.45</v>
      </c>
      <c r="AH15" s="157">
        <v>41837</v>
      </c>
      <c r="AI15" s="157"/>
      <c r="AJ15" s="157"/>
      <c r="AK15" s="137"/>
      <c r="AL15" s="157"/>
      <c r="AM15" s="137">
        <v>87</v>
      </c>
      <c r="AN15" s="15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8"/>
      <c r="BF15" s="138"/>
      <c r="BG15" s="138"/>
      <c r="BH15" s="138"/>
      <c r="BI15" s="138"/>
      <c r="BJ15" s="138"/>
      <c r="BK15" s="138"/>
      <c r="BL15" s="138"/>
      <c r="BM15" s="138">
        <v>60.18</v>
      </c>
      <c r="BN15" s="157">
        <v>41837</v>
      </c>
      <c r="BO15" s="138"/>
      <c r="BP15" s="138"/>
      <c r="BQ15" s="138"/>
      <c r="BR15" s="138"/>
      <c r="BS15" s="138">
        <v>46.95</v>
      </c>
      <c r="BT15" s="157">
        <v>41837</v>
      </c>
      <c r="BU15" s="138">
        <v>40.799999999999997</v>
      </c>
      <c r="BV15" s="157">
        <v>41837</v>
      </c>
      <c r="BW15" s="138">
        <v>46.7</v>
      </c>
      <c r="BX15" s="157">
        <v>41837</v>
      </c>
      <c r="BY15" s="138"/>
      <c r="BZ15" s="138"/>
      <c r="CA15" s="138"/>
      <c r="CB15" s="138"/>
      <c r="CC15" s="138">
        <v>6.9</v>
      </c>
      <c r="CD15" s="157">
        <v>41837</v>
      </c>
      <c r="CE15" s="138"/>
      <c r="CF15" s="138"/>
      <c r="CG15" s="138"/>
      <c r="CH15" s="138"/>
      <c r="CI15" s="138">
        <v>5</v>
      </c>
      <c r="CJ15" s="138"/>
      <c r="CK15" s="138"/>
      <c r="CL15" s="138"/>
      <c r="CM15" s="138"/>
    </row>
    <row r="16" spans="1:91" s="196" customFormat="1">
      <c r="A16" s="159" t="s">
        <v>7709</v>
      </c>
      <c r="B16" s="112" t="s">
        <v>271</v>
      </c>
      <c r="C16" s="112">
        <v>1</v>
      </c>
      <c r="D16" s="112">
        <v>172</v>
      </c>
      <c r="E16" s="113">
        <v>15</v>
      </c>
      <c r="F16" s="113">
        <v>1</v>
      </c>
      <c r="G16" s="113"/>
      <c r="H16" s="113"/>
      <c r="I16" s="199"/>
      <c r="J16" s="112"/>
      <c r="K16" s="137"/>
      <c r="L16" s="157"/>
      <c r="M16" s="185">
        <v>7.72</v>
      </c>
      <c r="N16" s="157">
        <v>41837</v>
      </c>
      <c r="O16" s="137"/>
      <c r="P16" s="157"/>
      <c r="Q16" s="137"/>
      <c r="R16" s="185"/>
      <c r="S16" s="137">
        <v>21.2</v>
      </c>
      <c r="T16" s="157">
        <v>41837</v>
      </c>
      <c r="U16" s="142">
        <v>18</v>
      </c>
      <c r="V16" s="157"/>
      <c r="W16" s="137"/>
      <c r="X16" s="157"/>
      <c r="Y16" s="142">
        <f t="shared" si="0"/>
        <v>17.305039999999998</v>
      </c>
      <c r="Z16" s="157">
        <v>41837</v>
      </c>
      <c r="AA16" s="137"/>
      <c r="AB16" s="157"/>
      <c r="AC16" s="137"/>
      <c r="AD16" s="157"/>
      <c r="AE16" s="137">
        <v>43.48</v>
      </c>
      <c r="AF16" s="157">
        <v>41837</v>
      </c>
      <c r="AG16" s="185">
        <v>5.18</v>
      </c>
      <c r="AH16" s="157">
        <v>41837</v>
      </c>
      <c r="AI16" s="157"/>
      <c r="AJ16" s="157"/>
      <c r="AK16" s="137"/>
      <c r="AL16" s="157"/>
      <c r="AM16" s="137">
        <v>90</v>
      </c>
      <c r="AN16" s="15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8"/>
      <c r="BF16" s="138"/>
      <c r="BG16" s="138"/>
      <c r="BH16" s="138"/>
      <c r="BI16" s="138"/>
      <c r="BJ16" s="138"/>
      <c r="BK16" s="138"/>
      <c r="BL16" s="138"/>
      <c r="BM16" s="138">
        <v>60.12</v>
      </c>
      <c r="BN16" s="157">
        <v>41837</v>
      </c>
      <c r="BO16" s="138"/>
      <c r="BP16" s="138"/>
      <c r="BQ16" s="138"/>
      <c r="BR16" s="138"/>
      <c r="BS16" s="138">
        <v>48.75</v>
      </c>
      <c r="BT16" s="157">
        <v>41837</v>
      </c>
      <c r="BU16" s="138">
        <v>39.799999999999997</v>
      </c>
      <c r="BV16" s="157">
        <v>41837</v>
      </c>
      <c r="BW16" s="138">
        <v>15.9</v>
      </c>
      <c r="BX16" s="157">
        <v>41837</v>
      </c>
      <c r="BY16" s="138"/>
      <c r="BZ16" s="138"/>
      <c r="CA16" s="138"/>
      <c r="CB16" s="138"/>
      <c r="CC16" s="138">
        <v>7</v>
      </c>
      <c r="CD16" s="157">
        <v>41837</v>
      </c>
      <c r="CE16" s="138"/>
      <c r="CF16" s="138"/>
      <c r="CG16" s="138"/>
      <c r="CH16" s="138"/>
      <c r="CI16" s="138">
        <v>7</v>
      </c>
      <c r="CJ16" s="138"/>
      <c r="CK16" s="138"/>
      <c r="CL16" s="138"/>
      <c r="CM16" s="138"/>
    </row>
    <row r="17" spans="1:91" s="196" customFormat="1">
      <c r="A17" s="159" t="s">
        <v>7644</v>
      </c>
      <c r="B17" s="112" t="s">
        <v>271</v>
      </c>
      <c r="C17" s="112">
        <v>1</v>
      </c>
      <c r="D17" s="112">
        <v>78</v>
      </c>
      <c r="E17" s="113">
        <v>16</v>
      </c>
      <c r="F17" s="113">
        <v>1</v>
      </c>
      <c r="G17" s="113"/>
      <c r="H17" s="113"/>
      <c r="I17" s="199"/>
      <c r="J17" s="112"/>
      <c r="K17" s="137"/>
      <c r="L17" s="157"/>
      <c r="M17" s="185">
        <v>4.5599999999999996</v>
      </c>
      <c r="N17" s="157">
        <v>41837</v>
      </c>
      <c r="O17" s="137"/>
      <c r="P17" s="157"/>
      <c r="Q17" s="137"/>
      <c r="R17" s="185"/>
      <c r="S17" s="137">
        <v>12.55</v>
      </c>
      <c r="T17" s="157">
        <v>41837</v>
      </c>
      <c r="U17" s="142">
        <v>18</v>
      </c>
      <c r="V17" s="157"/>
      <c r="W17" s="137"/>
      <c r="X17" s="157"/>
      <c r="Y17" s="142">
        <f t="shared" si="0"/>
        <v>10.592520000000002</v>
      </c>
      <c r="Z17" s="157">
        <v>41837</v>
      </c>
      <c r="AA17" s="137"/>
      <c r="AB17" s="157"/>
      <c r="AC17" s="137"/>
      <c r="AD17" s="157"/>
      <c r="AE17" s="137">
        <v>25.71</v>
      </c>
      <c r="AF17" s="157">
        <v>41837</v>
      </c>
      <c r="AG17" s="185">
        <v>6.18</v>
      </c>
      <c r="AH17" s="157">
        <v>41837</v>
      </c>
      <c r="AI17" s="157"/>
      <c r="AJ17" s="157"/>
      <c r="AK17" s="137"/>
      <c r="AL17" s="157"/>
      <c r="AM17" s="137">
        <v>90</v>
      </c>
      <c r="AN17" s="15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8"/>
      <c r="BF17" s="138"/>
      <c r="BG17" s="138"/>
      <c r="BH17" s="138"/>
      <c r="BI17" s="138"/>
      <c r="BJ17" s="138"/>
      <c r="BK17" s="138"/>
      <c r="BL17" s="138"/>
      <c r="BM17" s="138">
        <v>57.63</v>
      </c>
      <c r="BN17" s="157">
        <v>41837</v>
      </c>
      <c r="BO17" s="138"/>
      <c r="BP17" s="138"/>
      <c r="BQ17" s="138"/>
      <c r="BR17" s="138"/>
      <c r="BS17" s="138">
        <v>48.81</v>
      </c>
      <c r="BT17" s="157">
        <v>41837</v>
      </c>
      <c r="BU17" s="138">
        <v>41.2</v>
      </c>
      <c r="BV17" s="157">
        <v>41837</v>
      </c>
      <c r="BW17" s="138">
        <v>52.4</v>
      </c>
      <c r="BX17" s="157">
        <v>41837</v>
      </c>
      <c r="BY17" s="138"/>
      <c r="BZ17" s="138"/>
      <c r="CA17" s="138"/>
      <c r="CB17" s="138"/>
      <c r="CC17" s="138">
        <v>6.9</v>
      </c>
      <c r="CD17" s="157">
        <v>41837</v>
      </c>
      <c r="CE17" s="138"/>
      <c r="CF17" s="138"/>
      <c r="CG17" s="138"/>
      <c r="CH17" s="138"/>
      <c r="CI17" s="138">
        <v>1</v>
      </c>
      <c r="CJ17" s="138"/>
      <c r="CK17" s="138"/>
      <c r="CL17" s="138"/>
      <c r="CM17" s="138"/>
    </row>
    <row r="18" spans="1:91">
      <c r="A18" s="159" t="s">
        <v>7856</v>
      </c>
      <c r="B18" s="112" t="s">
        <v>271</v>
      </c>
      <c r="C18" s="112">
        <v>1</v>
      </c>
      <c r="D18" s="112">
        <v>107</v>
      </c>
      <c r="E18" s="113">
        <v>17</v>
      </c>
      <c r="F18" s="113">
        <v>1</v>
      </c>
      <c r="I18" s="199"/>
      <c r="M18" s="185">
        <v>8.0299999999999994</v>
      </c>
      <c r="N18" s="157">
        <v>41837</v>
      </c>
      <c r="R18" s="185"/>
      <c r="S18" s="137">
        <v>23.49</v>
      </c>
      <c r="T18" s="157">
        <v>41837</v>
      </c>
      <c r="U18" s="142">
        <v>18</v>
      </c>
      <c r="Y18" s="142">
        <f t="shared" si="0"/>
        <v>17.6553</v>
      </c>
      <c r="Z18" s="157">
        <v>41837</v>
      </c>
      <c r="AE18" s="137">
        <v>45.27</v>
      </c>
      <c r="AF18" s="157">
        <v>41837</v>
      </c>
      <c r="AG18" s="185">
        <v>4.74</v>
      </c>
      <c r="AH18" s="157">
        <v>41837</v>
      </c>
      <c r="AM18" s="137">
        <v>83</v>
      </c>
      <c r="BM18" s="138">
        <v>61.55</v>
      </c>
      <c r="BN18" s="157">
        <v>41837</v>
      </c>
      <c r="BS18" s="138">
        <v>51.88</v>
      </c>
      <c r="BT18" s="157">
        <v>41837</v>
      </c>
      <c r="BU18" s="138">
        <v>39</v>
      </c>
      <c r="BV18" s="157">
        <v>41837</v>
      </c>
      <c r="BW18" s="138">
        <v>22.7</v>
      </c>
      <c r="BX18" s="157">
        <v>41837</v>
      </c>
      <c r="CC18" s="138">
        <v>6.9</v>
      </c>
      <c r="CD18" s="157">
        <v>41837</v>
      </c>
      <c r="CI18" s="138">
        <v>9</v>
      </c>
    </row>
    <row r="19" spans="1:91">
      <c r="A19" s="159" t="s">
        <v>7809</v>
      </c>
      <c r="B19" s="112" t="s">
        <v>271</v>
      </c>
      <c r="C19" s="112">
        <v>1</v>
      </c>
      <c r="D19" s="112">
        <v>152</v>
      </c>
      <c r="E19" s="113">
        <v>18</v>
      </c>
      <c r="F19" s="113">
        <v>1</v>
      </c>
      <c r="I19" s="199"/>
      <c r="M19" s="185">
        <v>7.61</v>
      </c>
      <c r="N19" s="157">
        <v>41837</v>
      </c>
      <c r="R19" s="185"/>
      <c r="S19" s="137">
        <v>22.48</v>
      </c>
      <c r="T19" s="157">
        <v>41837</v>
      </c>
      <c r="U19" s="142">
        <v>18</v>
      </c>
      <c r="Y19" s="142">
        <f t="shared" si="0"/>
        <v>16.430699999999998</v>
      </c>
      <c r="Z19" s="157">
        <v>41837</v>
      </c>
      <c r="AE19" s="137">
        <v>42.9</v>
      </c>
      <c r="AF19" s="157">
        <v>41837</v>
      </c>
      <c r="AG19" s="185">
        <v>4.29</v>
      </c>
      <c r="AH19" s="157">
        <v>41837</v>
      </c>
      <c r="AM19" s="137">
        <v>90</v>
      </c>
      <c r="BM19" s="138">
        <v>59.35</v>
      </c>
      <c r="BN19" s="157">
        <v>41837</v>
      </c>
      <c r="BS19" s="138">
        <v>52.4</v>
      </c>
      <c r="BT19" s="157">
        <v>41837</v>
      </c>
      <c r="BU19" s="138">
        <v>38.299999999999997</v>
      </c>
      <c r="BV19" s="157">
        <v>41837</v>
      </c>
      <c r="BW19" s="138">
        <v>15.9</v>
      </c>
      <c r="BX19" s="157">
        <v>41837</v>
      </c>
      <c r="CC19" s="138">
        <v>6.9</v>
      </c>
      <c r="CD19" s="157">
        <v>41837</v>
      </c>
      <c r="CI19" s="138">
        <v>5</v>
      </c>
    </row>
    <row r="20" spans="1:91">
      <c r="A20" s="159" t="s">
        <v>7673</v>
      </c>
      <c r="B20" s="112" t="s">
        <v>271</v>
      </c>
      <c r="C20" s="112">
        <v>1</v>
      </c>
      <c r="D20" s="112">
        <v>180</v>
      </c>
      <c r="E20" s="113">
        <v>19</v>
      </c>
      <c r="F20" s="113">
        <v>1</v>
      </c>
      <c r="I20" s="199"/>
      <c r="M20" s="185">
        <v>4.83</v>
      </c>
      <c r="N20" s="157">
        <v>41837</v>
      </c>
      <c r="R20" s="185"/>
      <c r="S20" s="137">
        <v>13.82</v>
      </c>
      <c r="T20" s="157">
        <v>41837</v>
      </c>
      <c r="U20" s="142">
        <v>18</v>
      </c>
      <c r="Y20" s="142">
        <f t="shared" si="0"/>
        <v>10.95852</v>
      </c>
      <c r="Z20" s="157">
        <v>41837</v>
      </c>
      <c r="AE20" s="137">
        <v>27.26</v>
      </c>
      <c r="AF20" s="157">
        <v>41837</v>
      </c>
      <c r="AG20" s="185">
        <v>5</v>
      </c>
      <c r="AH20" s="157">
        <v>41837</v>
      </c>
      <c r="AM20" s="137">
        <v>80</v>
      </c>
      <c r="BM20" s="138">
        <v>61.47</v>
      </c>
      <c r="BN20" s="157">
        <v>41837</v>
      </c>
      <c r="BS20" s="138">
        <v>50.69</v>
      </c>
      <c r="BT20" s="157">
        <v>41837</v>
      </c>
      <c r="BU20" s="138">
        <v>40.200000000000003</v>
      </c>
      <c r="BV20" s="157">
        <v>41837</v>
      </c>
      <c r="BW20" s="138">
        <v>41.7</v>
      </c>
      <c r="BX20" s="157">
        <v>41837</v>
      </c>
      <c r="CC20" s="138">
        <v>6.8</v>
      </c>
      <c r="CD20" s="157">
        <v>41837</v>
      </c>
      <c r="CI20" s="138">
        <v>1</v>
      </c>
    </row>
    <row r="21" spans="1:91">
      <c r="A21" s="159" t="s">
        <v>7814</v>
      </c>
      <c r="B21" s="112" t="s">
        <v>271</v>
      </c>
      <c r="C21" s="112">
        <v>1</v>
      </c>
      <c r="D21" s="112">
        <v>113</v>
      </c>
      <c r="E21" s="113">
        <v>20</v>
      </c>
      <c r="F21" s="113">
        <v>1</v>
      </c>
      <c r="I21" s="199"/>
      <c r="M21" s="185">
        <v>6.69</v>
      </c>
      <c r="N21" s="157">
        <v>41837</v>
      </c>
      <c r="R21" s="185"/>
      <c r="S21" s="137">
        <v>18.91</v>
      </c>
      <c r="T21" s="157">
        <v>41837</v>
      </c>
      <c r="U21" s="142">
        <v>18</v>
      </c>
      <c r="Y21" s="142">
        <f t="shared" si="0"/>
        <v>14.29588</v>
      </c>
      <c r="Z21" s="157">
        <v>41837</v>
      </c>
      <c r="AE21" s="137">
        <v>37.72</v>
      </c>
      <c r="AF21" s="157">
        <v>41837</v>
      </c>
      <c r="AG21" s="185">
        <v>4.58</v>
      </c>
      <c r="AH21" s="157">
        <v>41837</v>
      </c>
      <c r="AM21" s="137">
        <v>92</v>
      </c>
      <c r="BM21" s="138">
        <v>61.35</v>
      </c>
      <c r="BN21" s="157">
        <v>41837</v>
      </c>
      <c r="BS21" s="138">
        <v>50.12</v>
      </c>
      <c r="BT21" s="157">
        <v>41837</v>
      </c>
      <c r="BU21" s="138">
        <v>37.9</v>
      </c>
      <c r="BV21" s="157">
        <v>41837</v>
      </c>
      <c r="BW21" s="138">
        <v>19.2</v>
      </c>
      <c r="BX21" s="157">
        <v>41837</v>
      </c>
      <c r="CC21" s="138">
        <v>6.9</v>
      </c>
      <c r="CD21" s="157">
        <v>41837</v>
      </c>
      <c r="CI21" s="138">
        <v>7</v>
      </c>
    </row>
    <row r="22" spans="1:91" s="196" customFormat="1">
      <c r="A22" s="159" t="s">
        <v>7685</v>
      </c>
      <c r="B22" s="112" t="s">
        <v>271</v>
      </c>
      <c r="C22" s="112">
        <v>1</v>
      </c>
      <c r="D22" s="112">
        <v>51</v>
      </c>
      <c r="E22" s="113">
        <v>21</v>
      </c>
      <c r="F22" s="113">
        <v>1</v>
      </c>
      <c r="G22" s="113"/>
      <c r="H22" s="113"/>
      <c r="I22" s="199"/>
      <c r="J22" s="112"/>
      <c r="K22" s="137"/>
      <c r="L22" s="157"/>
      <c r="M22" s="185">
        <v>7.58</v>
      </c>
      <c r="N22" s="157">
        <v>41837</v>
      </c>
      <c r="O22" s="137"/>
      <c r="P22" s="157"/>
      <c r="Q22" s="137"/>
      <c r="R22" s="185"/>
      <c r="S22" s="137">
        <v>21.45</v>
      </c>
      <c r="T22" s="157">
        <v>41837</v>
      </c>
      <c r="U22" s="142">
        <v>18</v>
      </c>
      <c r="V22" s="157"/>
      <c r="W22" s="137"/>
      <c r="X22" s="157"/>
      <c r="Y22" s="142">
        <f t="shared" si="0"/>
        <v>16.56372</v>
      </c>
      <c r="Z22" s="157">
        <v>41837</v>
      </c>
      <c r="AA22" s="137"/>
      <c r="AB22" s="157"/>
      <c r="AC22" s="137"/>
      <c r="AD22" s="157"/>
      <c r="AE22" s="137">
        <v>42.69</v>
      </c>
      <c r="AF22" s="157">
        <v>41837</v>
      </c>
      <c r="AG22" s="185">
        <v>4.17</v>
      </c>
      <c r="AH22" s="157">
        <v>41837</v>
      </c>
      <c r="AI22" s="157"/>
      <c r="AJ22" s="157"/>
      <c r="AK22" s="137"/>
      <c r="AL22" s="157"/>
      <c r="AM22" s="137">
        <v>92</v>
      </c>
      <c r="AN22" s="157"/>
      <c r="AO22" s="137"/>
      <c r="AP22" s="137"/>
      <c r="AQ22" s="137"/>
      <c r="AR22" s="137"/>
      <c r="AS22" s="137"/>
      <c r="AT22" s="137"/>
      <c r="AU22" s="137"/>
      <c r="AV22" s="137"/>
      <c r="AW22" s="137"/>
      <c r="AX22" s="137"/>
      <c r="AY22" s="137"/>
      <c r="AZ22" s="137"/>
      <c r="BA22" s="137"/>
      <c r="BB22" s="137"/>
      <c r="BC22" s="137"/>
      <c r="BD22" s="137"/>
      <c r="BE22" s="138"/>
      <c r="BF22" s="138"/>
      <c r="BG22" s="138"/>
      <c r="BH22" s="138"/>
      <c r="BI22" s="138"/>
      <c r="BJ22" s="138"/>
      <c r="BK22" s="138"/>
      <c r="BL22" s="138"/>
      <c r="BM22" s="138">
        <v>60.62</v>
      </c>
      <c r="BN22" s="157">
        <v>41837</v>
      </c>
      <c r="BO22" s="138"/>
      <c r="BP22" s="138"/>
      <c r="BQ22" s="138"/>
      <c r="BR22" s="138"/>
      <c r="BS22" s="138">
        <v>50.24</v>
      </c>
      <c r="BT22" s="157">
        <v>41837</v>
      </c>
      <c r="BU22" s="138">
        <v>38.799999999999997</v>
      </c>
      <c r="BV22" s="157">
        <v>41837</v>
      </c>
      <c r="BW22" s="138">
        <v>13.7</v>
      </c>
      <c r="BX22" s="157">
        <v>41837</v>
      </c>
      <c r="BY22" s="138"/>
      <c r="BZ22" s="138"/>
      <c r="CA22" s="138"/>
      <c r="CB22" s="138"/>
      <c r="CC22" s="138">
        <v>7</v>
      </c>
      <c r="CD22" s="157">
        <v>41837</v>
      </c>
      <c r="CE22" s="138"/>
      <c r="CF22" s="138"/>
      <c r="CG22" s="138"/>
      <c r="CH22" s="138"/>
      <c r="CI22" s="138">
        <v>3</v>
      </c>
      <c r="CJ22" s="138"/>
      <c r="CK22" s="138"/>
      <c r="CL22" s="138"/>
      <c r="CM22" s="138"/>
    </row>
    <row r="23" spans="1:91" s="196" customFormat="1">
      <c r="A23" s="159" t="s">
        <v>7764</v>
      </c>
      <c r="B23" s="112" t="s">
        <v>271</v>
      </c>
      <c r="C23" s="112">
        <v>1</v>
      </c>
      <c r="D23" s="112">
        <v>71</v>
      </c>
      <c r="E23" s="113">
        <v>22</v>
      </c>
      <c r="F23" s="113">
        <v>1</v>
      </c>
      <c r="G23" s="113"/>
      <c r="H23" s="113"/>
      <c r="I23" s="199"/>
      <c r="J23" s="112"/>
      <c r="K23" s="137"/>
      <c r="L23" s="157"/>
      <c r="M23" s="185">
        <v>6.01</v>
      </c>
      <c r="N23" s="157">
        <v>41837</v>
      </c>
      <c r="O23" s="137"/>
      <c r="P23" s="157"/>
      <c r="Q23" s="137"/>
      <c r="R23" s="185"/>
      <c r="S23" s="137">
        <v>16.38</v>
      </c>
      <c r="T23" s="157">
        <v>41837</v>
      </c>
      <c r="U23" s="142">
        <v>18</v>
      </c>
      <c r="V23" s="157"/>
      <c r="W23" s="137"/>
      <c r="X23" s="157"/>
      <c r="Y23" s="142">
        <f t="shared" si="0"/>
        <v>12.270390000000003</v>
      </c>
      <c r="Z23" s="157">
        <v>41837</v>
      </c>
      <c r="AA23" s="137"/>
      <c r="AB23" s="157"/>
      <c r="AC23" s="137"/>
      <c r="AD23" s="157"/>
      <c r="AE23" s="137">
        <v>33.99</v>
      </c>
      <c r="AF23" s="157">
        <v>41837</v>
      </c>
      <c r="AG23" s="185">
        <v>4.99</v>
      </c>
      <c r="AH23" s="157">
        <v>41837</v>
      </c>
      <c r="AI23" s="157"/>
      <c r="AJ23" s="157"/>
      <c r="AK23" s="137"/>
      <c r="AL23" s="157"/>
      <c r="AM23" s="137">
        <v>92</v>
      </c>
      <c r="AN23" s="157"/>
      <c r="AO23" s="137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7"/>
      <c r="BD23" s="137"/>
      <c r="BE23" s="138"/>
      <c r="BF23" s="138"/>
      <c r="BG23" s="138"/>
      <c r="BH23" s="138"/>
      <c r="BI23" s="138"/>
      <c r="BJ23" s="138"/>
      <c r="BK23" s="138"/>
      <c r="BL23" s="138"/>
      <c r="BM23" s="138">
        <v>56.42</v>
      </c>
      <c r="BN23" s="157">
        <v>41837</v>
      </c>
      <c r="BO23" s="138"/>
      <c r="BP23" s="138"/>
      <c r="BQ23" s="138"/>
      <c r="BR23" s="138"/>
      <c r="BS23" s="138">
        <v>48.19</v>
      </c>
      <c r="BT23" s="157">
        <v>41837</v>
      </c>
      <c r="BU23" s="138">
        <v>36.1</v>
      </c>
      <c r="BV23" s="157">
        <v>41837</v>
      </c>
      <c r="BW23" s="138">
        <v>17.8</v>
      </c>
      <c r="BX23" s="157">
        <v>41837</v>
      </c>
      <c r="BY23" s="138"/>
      <c r="BZ23" s="138"/>
      <c r="CA23" s="138"/>
      <c r="CB23" s="138"/>
      <c r="CC23" s="138">
        <v>6.6</v>
      </c>
      <c r="CD23" s="157">
        <v>41837</v>
      </c>
      <c r="CE23" s="138"/>
      <c r="CF23" s="138"/>
      <c r="CG23" s="138"/>
      <c r="CH23" s="138"/>
      <c r="CI23" s="138">
        <v>3</v>
      </c>
      <c r="CJ23" s="138"/>
      <c r="CK23" s="138"/>
      <c r="CL23" s="138"/>
      <c r="CM23" s="138"/>
    </row>
    <row r="24" spans="1:91" s="196" customFormat="1">
      <c r="A24" s="159" t="s">
        <v>7721</v>
      </c>
      <c r="B24" s="112" t="s">
        <v>271</v>
      </c>
      <c r="C24" s="112">
        <v>1</v>
      </c>
      <c r="D24" s="112">
        <v>76</v>
      </c>
      <c r="E24" s="113">
        <v>23</v>
      </c>
      <c r="F24" s="113">
        <v>1</v>
      </c>
      <c r="G24" s="113"/>
      <c r="H24" s="113"/>
      <c r="I24" s="199"/>
      <c r="J24" s="112"/>
      <c r="K24" s="137"/>
      <c r="L24" s="157"/>
      <c r="M24" s="185">
        <v>7.2</v>
      </c>
      <c r="N24" s="157">
        <v>41837</v>
      </c>
      <c r="O24" s="137"/>
      <c r="P24" s="157"/>
      <c r="Q24" s="137"/>
      <c r="R24" s="185"/>
      <c r="S24" s="137">
        <v>20.02</v>
      </c>
      <c r="T24" s="157">
        <v>41837</v>
      </c>
      <c r="U24" s="142">
        <v>18</v>
      </c>
      <c r="V24" s="157"/>
      <c r="W24" s="137"/>
      <c r="X24" s="157"/>
      <c r="Y24" s="142">
        <f t="shared" si="0"/>
        <v>15.417719999999999</v>
      </c>
      <c r="Z24" s="157">
        <v>41837</v>
      </c>
      <c r="AA24" s="137"/>
      <c r="AB24" s="157"/>
      <c r="AC24" s="137"/>
      <c r="AD24" s="157"/>
      <c r="AE24" s="137">
        <v>40.68</v>
      </c>
      <c r="AF24" s="157">
        <v>41837</v>
      </c>
      <c r="AG24" s="185">
        <v>4.8</v>
      </c>
      <c r="AH24" s="157">
        <v>41837</v>
      </c>
      <c r="AI24" s="157"/>
      <c r="AJ24" s="157"/>
      <c r="AK24" s="137"/>
      <c r="AL24" s="157"/>
      <c r="AM24" s="137">
        <v>92</v>
      </c>
      <c r="AN24" s="15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8"/>
      <c r="BF24" s="138"/>
      <c r="BG24" s="138"/>
      <c r="BH24" s="138"/>
      <c r="BI24" s="138"/>
      <c r="BJ24" s="138"/>
      <c r="BK24" s="138"/>
      <c r="BL24" s="138"/>
      <c r="BM24" s="138">
        <v>55.43</v>
      </c>
      <c r="BN24" s="157">
        <v>41837</v>
      </c>
      <c r="BO24" s="138"/>
      <c r="BP24" s="138"/>
      <c r="BQ24" s="138"/>
      <c r="BR24" s="138"/>
      <c r="BS24" s="138">
        <v>49.21</v>
      </c>
      <c r="BT24" s="157">
        <v>41837</v>
      </c>
      <c r="BU24" s="138">
        <v>37.9</v>
      </c>
      <c r="BV24" s="157">
        <v>41837</v>
      </c>
      <c r="BW24" s="138">
        <v>13.4</v>
      </c>
      <c r="BX24" s="157">
        <v>41837</v>
      </c>
      <c r="BY24" s="138"/>
      <c r="BZ24" s="138"/>
      <c r="CA24" s="138"/>
      <c r="CB24" s="138"/>
      <c r="CC24" s="138">
        <v>6.7</v>
      </c>
      <c r="CD24" s="157">
        <v>41837</v>
      </c>
      <c r="CE24" s="138"/>
      <c r="CF24" s="138"/>
      <c r="CG24" s="138"/>
      <c r="CH24" s="138"/>
      <c r="CI24" s="138">
        <v>3</v>
      </c>
      <c r="CJ24" s="138"/>
      <c r="CK24" s="138"/>
      <c r="CL24" s="138"/>
      <c r="CM24" s="138"/>
    </row>
    <row r="25" spans="1:91" s="196" customFormat="1">
      <c r="A25" s="159" t="s">
        <v>7748</v>
      </c>
      <c r="B25" s="112" t="s">
        <v>271</v>
      </c>
      <c r="C25" s="112">
        <v>1</v>
      </c>
      <c r="D25" s="112">
        <v>110</v>
      </c>
      <c r="E25" s="113">
        <v>24</v>
      </c>
      <c r="F25" s="113">
        <v>1</v>
      </c>
      <c r="G25" s="113"/>
      <c r="H25" s="113"/>
      <c r="I25" s="199"/>
      <c r="J25" s="112"/>
      <c r="K25" s="137"/>
      <c r="L25" s="157"/>
      <c r="M25" s="185">
        <v>2</v>
      </c>
      <c r="N25" s="157">
        <v>41837</v>
      </c>
      <c r="O25" s="137"/>
      <c r="P25" s="157"/>
      <c r="Q25" s="137"/>
      <c r="R25" s="185"/>
      <c r="S25" s="137">
        <v>5.51</v>
      </c>
      <c r="T25" s="157">
        <v>41837</v>
      </c>
      <c r="U25" s="142">
        <v>18</v>
      </c>
      <c r="V25" s="157"/>
      <c r="W25" s="137"/>
      <c r="X25" s="157"/>
      <c r="Y25" s="142">
        <f t="shared" si="0"/>
        <v>4.6575999999999995</v>
      </c>
      <c r="Z25" s="157">
        <v>41837</v>
      </c>
      <c r="AA25" s="137"/>
      <c r="AB25" s="157"/>
      <c r="AC25" s="137"/>
      <c r="AD25" s="157"/>
      <c r="AE25" s="137">
        <v>11.36</v>
      </c>
      <c r="AF25" s="157">
        <v>41837</v>
      </c>
      <c r="AG25" s="185">
        <v>4.33</v>
      </c>
      <c r="AH25" s="157">
        <v>41837</v>
      </c>
      <c r="AI25" s="157"/>
      <c r="AJ25" s="157"/>
      <c r="AK25" s="137"/>
      <c r="AL25" s="157"/>
      <c r="AM25" s="137">
        <v>94</v>
      </c>
      <c r="AN25" s="15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137"/>
      <c r="BE25" s="138"/>
      <c r="BF25" s="138"/>
      <c r="BG25" s="138"/>
      <c r="BH25" s="138"/>
      <c r="BI25" s="138"/>
      <c r="BJ25" s="138"/>
      <c r="BK25" s="138"/>
      <c r="BL25" s="138"/>
      <c r="BM25" s="138">
        <v>63.65</v>
      </c>
      <c r="BN25" s="157">
        <v>41837</v>
      </c>
      <c r="BO25" s="138"/>
      <c r="BP25" s="138"/>
      <c r="BQ25" s="138"/>
      <c r="BR25" s="138"/>
      <c r="BS25" s="138">
        <v>48.5</v>
      </c>
      <c r="BT25" s="157">
        <v>41837</v>
      </c>
      <c r="BU25" s="138">
        <v>41</v>
      </c>
      <c r="BV25" s="157">
        <v>41837</v>
      </c>
      <c r="BW25" s="138">
        <v>47.2</v>
      </c>
      <c r="BX25" s="157">
        <v>41837</v>
      </c>
      <c r="BY25" s="138"/>
      <c r="BZ25" s="138"/>
      <c r="CA25" s="138"/>
      <c r="CB25" s="138"/>
      <c r="CC25" s="138">
        <v>6.2</v>
      </c>
      <c r="CD25" s="157">
        <v>41837</v>
      </c>
      <c r="CE25" s="138"/>
      <c r="CF25" s="138"/>
      <c r="CG25" s="138"/>
      <c r="CH25" s="138"/>
      <c r="CI25" s="138">
        <v>3</v>
      </c>
      <c r="CJ25" s="138"/>
      <c r="CK25" s="138"/>
      <c r="CL25" s="138"/>
      <c r="CM25" s="138"/>
    </row>
    <row r="26" spans="1:91" s="196" customFormat="1">
      <c r="A26" s="159" t="s">
        <v>7812</v>
      </c>
      <c r="B26" s="112" t="s">
        <v>271</v>
      </c>
      <c r="C26" s="112">
        <v>1</v>
      </c>
      <c r="D26" s="112">
        <v>47</v>
      </c>
      <c r="E26" s="113">
        <v>25</v>
      </c>
      <c r="F26" s="113">
        <v>1</v>
      </c>
      <c r="G26" s="113"/>
      <c r="H26" s="113"/>
      <c r="I26" s="199"/>
      <c r="J26" s="112"/>
      <c r="K26" s="137"/>
      <c r="L26" s="157"/>
      <c r="M26" s="185">
        <v>7.46</v>
      </c>
      <c r="N26" s="157">
        <v>41837</v>
      </c>
      <c r="O26" s="137"/>
      <c r="P26" s="157"/>
      <c r="Q26" s="137"/>
      <c r="R26" s="185"/>
      <c r="S26" s="137">
        <v>21.59</v>
      </c>
      <c r="T26" s="157">
        <v>41837</v>
      </c>
      <c r="U26" s="142">
        <v>18</v>
      </c>
      <c r="V26" s="157"/>
      <c r="W26" s="137"/>
      <c r="X26" s="157"/>
      <c r="Y26" s="142">
        <f t="shared" si="0"/>
        <v>15.947819999999997</v>
      </c>
      <c r="Z26" s="157">
        <v>41837</v>
      </c>
      <c r="AA26" s="137"/>
      <c r="AB26" s="157"/>
      <c r="AC26" s="137"/>
      <c r="AD26" s="157"/>
      <c r="AE26" s="137">
        <v>42.19</v>
      </c>
      <c r="AF26" s="157">
        <v>41837</v>
      </c>
      <c r="AG26" s="185">
        <v>5.7</v>
      </c>
      <c r="AH26" s="157">
        <v>41837</v>
      </c>
      <c r="AI26" s="157"/>
      <c r="AJ26" s="157"/>
      <c r="AK26" s="137"/>
      <c r="AL26" s="157"/>
      <c r="AM26" s="137">
        <v>90</v>
      </c>
      <c r="AN26" s="157"/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/>
      <c r="BC26" s="137"/>
      <c r="BD26" s="137"/>
      <c r="BE26" s="138"/>
      <c r="BF26" s="138"/>
      <c r="BG26" s="138"/>
      <c r="BH26" s="138"/>
      <c r="BI26" s="138"/>
      <c r="BJ26" s="138"/>
      <c r="BK26" s="138"/>
      <c r="BL26" s="138"/>
      <c r="BM26" s="138">
        <v>61.16</v>
      </c>
      <c r="BN26" s="157">
        <v>41837</v>
      </c>
      <c r="BO26" s="138"/>
      <c r="BP26" s="138"/>
      <c r="BQ26" s="138"/>
      <c r="BR26" s="138"/>
      <c r="BS26" s="138">
        <v>51.17</v>
      </c>
      <c r="BT26" s="157">
        <v>41837</v>
      </c>
      <c r="BU26" s="138">
        <v>37.799999999999997</v>
      </c>
      <c r="BV26" s="157">
        <v>41837</v>
      </c>
      <c r="BW26" s="138">
        <v>18.8</v>
      </c>
      <c r="BX26" s="157">
        <v>41837</v>
      </c>
      <c r="BY26" s="138"/>
      <c r="BZ26" s="138"/>
      <c r="CA26" s="138"/>
      <c r="CB26" s="138"/>
      <c r="CC26" s="138">
        <v>6.6</v>
      </c>
      <c r="CD26" s="157">
        <v>41837</v>
      </c>
      <c r="CE26" s="138"/>
      <c r="CF26" s="138"/>
      <c r="CG26" s="138"/>
      <c r="CH26" s="138"/>
      <c r="CI26" s="138">
        <v>7</v>
      </c>
      <c r="CJ26" s="138"/>
      <c r="CK26" s="138"/>
      <c r="CL26" s="138"/>
      <c r="CM26" s="138"/>
    </row>
    <row r="27" spans="1:91" s="196" customFormat="1">
      <c r="A27" s="159" t="s">
        <v>7716</v>
      </c>
      <c r="B27" s="112" t="s">
        <v>271</v>
      </c>
      <c r="C27" s="112">
        <v>1</v>
      </c>
      <c r="D27" s="112">
        <v>216</v>
      </c>
      <c r="E27" s="113">
        <v>26</v>
      </c>
      <c r="F27" s="113">
        <v>1</v>
      </c>
      <c r="G27" s="113"/>
      <c r="H27" s="113"/>
      <c r="I27" s="199"/>
      <c r="J27" s="112"/>
      <c r="K27" s="137"/>
      <c r="L27" s="157"/>
      <c r="M27" s="185">
        <v>6.15</v>
      </c>
      <c r="N27" s="157">
        <v>41837</v>
      </c>
      <c r="O27" s="137"/>
      <c r="P27" s="157"/>
      <c r="Q27" s="137"/>
      <c r="R27" s="185"/>
      <c r="S27" s="137">
        <v>18.39</v>
      </c>
      <c r="T27" s="157">
        <v>41837</v>
      </c>
      <c r="U27" s="142">
        <v>18</v>
      </c>
      <c r="V27" s="157"/>
      <c r="W27" s="137"/>
      <c r="X27" s="157"/>
      <c r="Y27" s="142">
        <f t="shared" si="0"/>
        <v>13.541199999999998</v>
      </c>
      <c r="Z27" s="157">
        <v>41837</v>
      </c>
      <c r="AA27" s="137"/>
      <c r="AB27" s="157"/>
      <c r="AC27" s="137"/>
      <c r="AD27" s="157"/>
      <c r="AE27" s="137">
        <v>34.9</v>
      </c>
      <c r="AF27" s="157">
        <v>41837</v>
      </c>
      <c r="AG27" s="185">
        <v>4.9800000000000004</v>
      </c>
      <c r="AH27" s="157">
        <v>41837</v>
      </c>
      <c r="AI27" s="157"/>
      <c r="AJ27" s="157"/>
      <c r="AK27" s="137"/>
      <c r="AL27" s="157"/>
      <c r="AM27" s="137">
        <v>90</v>
      </c>
      <c r="AN27" s="157"/>
      <c r="AO27" s="137"/>
      <c r="AP27" s="137"/>
      <c r="AQ27" s="137"/>
      <c r="AR27" s="137"/>
      <c r="AS27" s="137"/>
      <c r="AT27" s="137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8"/>
      <c r="BF27" s="138"/>
      <c r="BG27" s="138"/>
      <c r="BH27" s="138"/>
      <c r="BI27" s="138"/>
      <c r="BJ27" s="138"/>
      <c r="BK27" s="138"/>
      <c r="BL27" s="138"/>
      <c r="BM27" s="138">
        <v>62.86</v>
      </c>
      <c r="BN27" s="157">
        <v>41837</v>
      </c>
      <c r="BO27" s="138"/>
      <c r="BP27" s="138"/>
      <c r="BQ27" s="138"/>
      <c r="BR27" s="138"/>
      <c r="BS27" s="138">
        <v>52.69</v>
      </c>
      <c r="BT27" s="157">
        <v>41837</v>
      </c>
      <c r="BU27" s="138">
        <v>38.799999999999997</v>
      </c>
      <c r="BV27" s="157">
        <v>41837</v>
      </c>
      <c r="BW27" s="138">
        <v>15.1</v>
      </c>
      <c r="BX27" s="157">
        <v>41837</v>
      </c>
      <c r="BY27" s="138"/>
      <c r="BZ27" s="138"/>
      <c r="CA27" s="138"/>
      <c r="CB27" s="138"/>
      <c r="CC27" s="138">
        <v>6.3</v>
      </c>
      <c r="CD27" s="157">
        <v>41837</v>
      </c>
      <c r="CE27" s="138"/>
      <c r="CF27" s="138"/>
      <c r="CG27" s="138"/>
      <c r="CH27" s="138"/>
      <c r="CI27" s="138">
        <v>7</v>
      </c>
      <c r="CJ27" s="138"/>
      <c r="CK27" s="138"/>
      <c r="CL27" s="138"/>
      <c r="CM27" s="138"/>
    </row>
    <row r="28" spans="1:91" s="196" customFormat="1">
      <c r="A28" s="189" t="s">
        <v>7717</v>
      </c>
      <c r="B28" s="190" t="s">
        <v>271</v>
      </c>
      <c r="C28" s="190">
        <v>1</v>
      </c>
      <c r="D28" s="190">
        <v>46</v>
      </c>
      <c r="E28" s="191">
        <v>27</v>
      </c>
      <c r="F28" s="191">
        <v>1</v>
      </c>
      <c r="G28" s="191"/>
      <c r="H28" s="191"/>
      <c r="I28" s="202"/>
      <c r="J28" s="190"/>
      <c r="K28" s="195"/>
      <c r="L28" s="193"/>
      <c r="M28" s="194">
        <v>4.62</v>
      </c>
      <c r="N28" s="193">
        <v>41837</v>
      </c>
      <c r="O28" s="137"/>
      <c r="P28" s="193"/>
      <c r="Q28" s="195"/>
      <c r="R28" s="194"/>
      <c r="S28" s="195">
        <v>12.74</v>
      </c>
      <c r="T28" s="193">
        <v>41837</v>
      </c>
      <c r="U28" s="192">
        <v>18</v>
      </c>
      <c r="V28" s="193"/>
      <c r="W28" s="195"/>
      <c r="X28" s="193"/>
      <c r="Y28" s="192">
        <f t="shared" si="0"/>
        <v>10.0716</v>
      </c>
      <c r="Z28" s="193">
        <v>41837</v>
      </c>
      <c r="AA28" s="195"/>
      <c r="AB28" s="193"/>
      <c r="AC28" s="195"/>
      <c r="AD28" s="193"/>
      <c r="AE28" s="195">
        <v>26.16</v>
      </c>
      <c r="AF28" s="193">
        <v>41837</v>
      </c>
      <c r="AG28" s="194">
        <v>4.0999999999999996</v>
      </c>
      <c r="AH28" s="193">
        <v>41837</v>
      </c>
      <c r="AI28" s="193"/>
      <c r="AJ28" s="193"/>
      <c r="AK28" s="195"/>
      <c r="AL28" s="193"/>
      <c r="AM28" s="195">
        <v>96</v>
      </c>
      <c r="AN28" s="193"/>
      <c r="AO28" s="195"/>
      <c r="AP28" s="195"/>
      <c r="AQ28" s="195"/>
      <c r="AR28" s="195"/>
      <c r="AS28" s="195"/>
      <c r="AT28" s="195"/>
      <c r="AU28" s="195"/>
      <c r="AV28" s="195"/>
      <c r="AW28" s="195"/>
      <c r="AX28" s="195"/>
      <c r="AY28" s="195"/>
      <c r="AZ28" s="195"/>
      <c r="BA28" s="195"/>
      <c r="BB28" s="195"/>
      <c r="BC28" s="195"/>
      <c r="BD28" s="195"/>
      <c r="BM28" s="196">
        <v>61.7</v>
      </c>
      <c r="BN28" s="193">
        <v>41837</v>
      </c>
      <c r="BS28" s="196">
        <v>48.71</v>
      </c>
      <c r="BT28" s="193">
        <v>41837</v>
      </c>
      <c r="BU28" s="196">
        <v>38.5</v>
      </c>
      <c r="BV28" s="193">
        <v>41837</v>
      </c>
      <c r="BW28" s="196">
        <v>14.4</v>
      </c>
      <c r="BX28" s="193">
        <v>41837</v>
      </c>
      <c r="CC28" s="196">
        <v>6.5</v>
      </c>
      <c r="CD28" s="193">
        <v>41837</v>
      </c>
      <c r="CI28" s="196">
        <v>1</v>
      </c>
    </row>
    <row r="29" spans="1:91" s="196" customFormat="1">
      <c r="A29" s="159" t="s">
        <v>7714</v>
      </c>
      <c r="B29" s="112" t="s">
        <v>271</v>
      </c>
      <c r="C29" s="112">
        <v>1</v>
      </c>
      <c r="D29" s="112">
        <v>102</v>
      </c>
      <c r="E29" s="113">
        <v>28</v>
      </c>
      <c r="F29" s="113">
        <v>1</v>
      </c>
      <c r="G29" s="113"/>
      <c r="H29" s="113"/>
      <c r="I29" s="199"/>
      <c r="J29" s="112"/>
      <c r="K29" s="137"/>
      <c r="L29" s="157"/>
      <c r="M29" s="185">
        <v>6.28</v>
      </c>
      <c r="N29" s="157">
        <v>41837</v>
      </c>
      <c r="O29" s="137"/>
      <c r="P29" s="157"/>
      <c r="Q29" s="137"/>
      <c r="R29" s="185"/>
      <c r="S29" s="137">
        <v>18.04</v>
      </c>
      <c r="T29" s="157">
        <v>41837</v>
      </c>
      <c r="U29" s="142">
        <v>18</v>
      </c>
      <c r="V29" s="157"/>
      <c r="W29" s="137"/>
      <c r="X29" s="157"/>
      <c r="Y29" s="142">
        <f t="shared" si="0"/>
        <v>13.325439999999999</v>
      </c>
      <c r="Z29" s="157">
        <v>41837</v>
      </c>
      <c r="AA29" s="137"/>
      <c r="AB29" s="157"/>
      <c r="AC29" s="137"/>
      <c r="AD29" s="157"/>
      <c r="AE29" s="137">
        <v>35.44</v>
      </c>
      <c r="AF29" s="157">
        <v>41837</v>
      </c>
      <c r="AG29" s="185">
        <v>4.75</v>
      </c>
      <c r="AH29" s="157">
        <v>41837</v>
      </c>
      <c r="AI29" s="157"/>
      <c r="AJ29" s="157"/>
      <c r="AK29" s="137"/>
      <c r="AL29" s="157"/>
      <c r="AM29" s="137">
        <v>90</v>
      </c>
      <c r="AN29" s="15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7"/>
      <c r="BD29" s="137"/>
      <c r="BE29" s="138"/>
      <c r="BF29" s="138"/>
      <c r="BG29" s="138"/>
      <c r="BH29" s="138"/>
      <c r="BI29" s="138"/>
      <c r="BJ29" s="138"/>
      <c r="BK29" s="138"/>
      <c r="BL29" s="138"/>
      <c r="BM29" s="138">
        <v>60.33</v>
      </c>
      <c r="BN29" s="157">
        <v>41837</v>
      </c>
      <c r="BO29" s="138"/>
      <c r="BP29" s="138"/>
      <c r="BQ29" s="138"/>
      <c r="BR29" s="138"/>
      <c r="BS29" s="138">
        <v>50.9</v>
      </c>
      <c r="BT29" s="157">
        <v>41837</v>
      </c>
      <c r="BU29" s="138">
        <v>37.6</v>
      </c>
      <c r="BV29" s="157">
        <v>41837</v>
      </c>
      <c r="BW29" s="138">
        <v>8.6999999999999993</v>
      </c>
      <c r="BX29" s="157">
        <v>41837</v>
      </c>
      <c r="BY29" s="138"/>
      <c r="BZ29" s="138"/>
      <c r="CA29" s="138"/>
      <c r="CB29" s="138"/>
      <c r="CC29" s="138">
        <v>6.8</v>
      </c>
      <c r="CD29" s="157">
        <v>41837</v>
      </c>
      <c r="CE29" s="138"/>
      <c r="CF29" s="138"/>
      <c r="CG29" s="138"/>
      <c r="CH29" s="138"/>
      <c r="CI29" s="138">
        <v>3</v>
      </c>
      <c r="CJ29" s="138"/>
      <c r="CK29" s="138"/>
      <c r="CL29" s="138"/>
      <c r="CM29" s="138"/>
    </row>
    <row r="30" spans="1:91">
      <c r="A30" s="159" t="s">
        <v>7707</v>
      </c>
      <c r="B30" s="112" t="s">
        <v>271</v>
      </c>
      <c r="C30" s="112">
        <v>1</v>
      </c>
      <c r="D30" s="112">
        <v>149</v>
      </c>
      <c r="E30" s="113">
        <v>29</v>
      </c>
      <c r="F30" s="113">
        <v>1</v>
      </c>
      <c r="I30" s="199"/>
      <c r="M30" s="185">
        <v>5.7</v>
      </c>
      <c r="N30" s="157">
        <v>41837</v>
      </c>
      <c r="R30" s="185"/>
      <c r="S30" s="137">
        <v>16.22</v>
      </c>
      <c r="T30" s="157">
        <v>41837</v>
      </c>
      <c r="U30" s="142">
        <v>18</v>
      </c>
      <c r="Y30" s="142">
        <f t="shared" si="0"/>
        <v>12.139400000000002</v>
      </c>
      <c r="Z30" s="157">
        <v>41837</v>
      </c>
      <c r="AE30" s="137">
        <v>32.200000000000003</v>
      </c>
      <c r="AF30" s="157">
        <v>41837</v>
      </c>
      <c r="AG30" s="185">
        <v>4.99</v>
      </c>
      <c r="AH30" s="157">
        <v>41837</v>
      </c>
      <c r="AM30" s="137">
        <v>94</v>
      </c>
      <c r="BM30" s="138">
        <v>60.58</v>
      </c>
      <c r="BN30" s="157">
        <v>41837</v>
      </c>
      <c r="BS30" s="138">
        <v>50.38</v>
      </c>
      <c r="BT30" s="157">
        <v>41837</v>
      </c>
      <c r="BU30" s="138">
        <v>37.700000000000003</v>
      </c>
      <c r="BV30" s="157">
        <v>41837</v>
      </c>
      <c r="BW30" s="138">
        <v>14.5</v>
      </c>
      <c r="BX30" s="157">
        <v>41837</v>
      </c>
      <c r="CC30" s="138">
        <v>6.7</v>
      </c>
      <c r="CD30" s="157">
        <v>41837</v>
      </c>
      <c r="CI30" s="138">
        <v>5</v>
      </c>
    </row>
    <row r="31" spans="1:91">
      <c r="A31" s="159" t="s">
        <v>7662</v>
      </c>
      <c r="B31" s="112" t="s">
        <v>271</v>
      </c>
      <c r="C31" s="112">
        <v>1</v>
      </c>
      <c r="D31" s="112">
        <v>66</v>
      </c>
      <c r="E31" s="113">
        <v>30</v>
      </c>
      <c r="F31" s="113">
        <v>1</v>
      </c>
      <c r="I31" s="199"/>
      <c r="M31" s="185">
        <v>6.46</v>
      </c>
      <c r="N31" s="157">
        <v>41837</v>
      </c>
      <c r="R31" s="185"/>
      <c r="S31" s="137">
        <v>19.2</v>
      </c>
      <c r="T31" s="157">
        <v>41837</v>
      </c>
      <c r="U31" s="142">
        <v>18</v>
      </c>
      <c r="Y31" s="142">
        <f t="shared" si="0"/>
        <v>14.281799999999999</v>
      </c>
      <c r="Z31" s="157">
        <v>41837</v>
      </c>
      <c r="AE31" s="137">
        <v>36.619999999999997</v>
      </c>
      <c r="AF31" s="157">
        <v>41837</v>
      </c>
      <c r="AG31" s="185">
        <v>5.28</v>
      </c>
      <c r="AH31" s="157">
        <v>41837</v>
      </c>
      <c r="AM31" s="137">
        <v>92</v>
      </c>
      <c r="BM31" s="138">
        <v>64.8</v>
      </c>
      <c r="BN31" s="157">
        <v>41837</v>
      </c>
      <c r="BS31" s="138">
        <v>52.44</v>
      </c>
      <c r="BT31" s="157">
        <v>41837</v>
      </c>
      <c r="BU31" s="138">
        <v>39</v>
      </c>
      <c r="BV31" s="157">
        <v>41837</v>
      </c>
      <c r="BW31" s="138">
        <v>12.5</v>
      </c>
      <c r="BX31" s="157">
        <v>41837</v>
      </c>
      <c r="CC31" s="138">
        <v>6.4</v>
      </c>
      <c r="CD31" s="157">
        <v>41837</v>
      </c>
      <c r="CI31" s="138">
        <v>7</v>
      </c>
    </row>
    <row r="32" spans="1:91">
      <c r="A32" s="159" t="s">
        <v>7699</v>
      </c>
      <c r="B32" s="112" t="s">
        <v>271</v>
      </c>
      <c r="C32" s="112">
        <v>1</v>
      </c>
      <c r="D32" s="112">
        <v>55</v>
      </c>
      <c r="E32" s="113">
        <v>31</v>
      </c>
      <c r="F32" s="113">
        <v>1</v>
      </c>
      <c r="I32" s="199"/>
      <c r="M32" s="185">
        <v>5.49</v>
      </c>
      <c r="N32" s="157">
        <v>41837</v>
      </c>
      <c r="R32" s="185"/>
      <c r="S32" s="137">
        <v>15.83</v>
      </c>
      <c r="T32" s="157">
        <v>41837</v>
      </c>
      <c r="U32" s="142">
        <v>18</v>
      </c>
      <c r="Y32" s="142">
        <f t="shared" si="0"/>
        <v>11.8993</v>
      </c>
      <c r="Z32" s="157">
        <v>41837</v>
      </c>
      <c r="AE32" s="137">
        <v>31.15</v>
      </c>
      <c r="AF32" s="157">
        <v>41837</v>
      </c>
      <c r="AG32" s="185">
        <v>4.3899999999999997</v>
      </c>
      <c r="AH32" s="157">
        <v>41837</v>
      </c>
      <c r="AM32" s="137">
        <v>90</v>
      </c>
      <c r="BM32" s="138">
        <v>59.39</v>
      </c>
      <c r="BN32" s="157">
        <v>41837</v>
      </c>
      <c r="BS32" s="138">
        <v>50.83</v>
      </c>
      <c r="BT32" s="157">
        <v>41837</v>
      </c>
      <c r="BU32" s="138">
        <v>38.200000000000003</v>
      </c>
      <c r="BV32" s="157">
        <v>41837</v>
      </c>
      <c r="BW32" s="138">
        <v>18.5</v>
      </c>
      <c r="BX32" s="157">
        <v>41837</v>
      </c>
      <c r="CC32" s="138">
        <v>6.3</v>
      </c>
      <c r="CD32" s="157">
        <v>41837</v>
      </c>
      <c r="CI32" s="138">
        <v>5</v>
      </c>
    </row>
    <row r="33" spans="1:91">
      <c r="A33" s="159" t="s">
        <v>7766</v>
      </c>
      <c r="B33" s="112" t="s">
        <v>271</v>
      </c>
      <c r="C33" s="112">
        <v>1</v>
      </c>
      <c r="D33" s="112">
        <v>73</v>
      </c>
      <c r="E33" s="113">
        <v>32</v>
      </c>
      <c r="F33" s="113">
        <v>1</v>
      </c>
      <c r="I33" s="199"/>
      <c r="M33" s="185">
        <v>7.68</v>
      </c>
      <c r="N33" s="157">
        <v>41837</v>
      </c>
      <c r="R33" s="185"/>
      <c r="S33" s="137">
        <v>22.27</v>
      </c>
      <c r="T33" s="157">
        <v>41837</v>
      </c>
      <c r="U33" s="142">
        <v>18</v>
      </c>
      <c r="Y33" s="142">
        <f t="shared" si="0"/>
        <v>16.106100000000001</v>
      </c>
      <c r="Z33" s="157">
        <v>41837</v>
      </c>
      <c r="AE33" s="137">
        <v>43.53</v>
      </c>
      <c r="AF33" s="157">
        <v>41837</v>
      </c>
      <c r="AG33" s="185">
        <v>4.92</v>
      </c>
      <c r="AH33" s="157">
        <v>41837</v>
      </c>
      <c r="AM33" s="137">
        <v>92</v>
      </c>
      <c r="BM33" s="138">
        <v>64.180000000000007</v>
      </c>
      <c r="BN33" s="157">
        <v>41837</v>
      </c>
      <c r="BS33" s="138">
        <v>51.15</v>
      </c>
      <c r="BT33" s="157">
        <v>41837</v>
      </c>
      <c r="BU33" s="138">
        <v>37</v>
      </c>
      <c r="BV33" s="157">
        <v>41837</v>
      </c>
      <c r="BW33" s="138">
        <v>14.5</v>
      </c>
      <c r="BX33" s="157">
        <v>41837</v>
      </c>
      <c r="CC33" s="138">
        <v>6.4</v>
      </c>
      <c r="CD33" s="157">
        <v>41837</v>
      </c>
      <c r="CI33" s="138">
        <v>7</v>
      </c>
    </row>
    <row r="34" spans="1:91" s="196" customFormat="1">
      <c r="A34" s="159" t="s">
        <v>7787</v>
      </c>
      <c r="B34" s="112" t="s">
        <v>271</v>
      </c>
      <c r="C34" s="112">
        <v>1</v>
      </c>
      <c r="D34" s="112">
        <v>96</v>
      </c>
      <c r="E34" s="113">
        <v>33</v>
      </c>
      <c r="F34" s="113">
        <v>1</v>
      </c>
      <c r="G34" s="113"/>
      <c r="H34" s="113"/>
      <c r="I34" s="199"/>
      <c r="J34" s="112"/>
      <c r="K34" s="137"/>
      <c r="L34" s="157"/>
      <c r="M34" s="185">
        <v>6.94</v>
      </c>
      <c r="N34" s="157">
        <v>41837</v>
      </c>
      <c r="O34" s="137"/>
      <c r="P34" s="157"/>
      <c r="Q34" s="137"/>
      <c r="R34" s="185"/>
      <c r="S34" s="137">
        <v>20.55</v>
      </c>
      <c r="T34" s="157">
        <v>41837</v>
      </c>
      <c r="U34" s="142">
        <v>18</v>
      </c>
      <c r="V34" s="157"/>
      <c r="W34" s="137"/>
      <c r="X34" s="157"/>
      <c r="Y34" s="142">
        <f t="shared" si="0"/>
        <v>14.625329999999998</v>
      </c>
      <c r="Z34" s="157">
        <v>41837</v>
      </c>
      <c r="AA34" s="137"/>
      <c r="AB34" s="157"/>
      <c r="AC34" s="137"/>
      <c r="AD34" s="157"/>
      <c r="AE34" s="137">
        <v>39.21</v>
      </c>
      <c r="AF34" s="157">
        <v>41837</v>
      </c>
      <c r="AG34" s="185">
        <v>5.52</v>
      </c>
      <c r="AH34" s="157">
        <v>41837</v>
      </c>
      <c r="AI34" s="157"/>
      <c r="AJ34" s="157"/>
      <c r="AK34" s="137"/>
      <c r="AL34" s="157"/>
      <c r="AM34" s="137">
        <v>87</v>
      </c>
      <c r="AN34" s="15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8"/>
      <c r="BF34" s="138"/>
      <c r="BG34" s="138"/>
      <c r="BH34" s="138"/>
      <c r="BI34" s="138"/>
      <c r="BJ34" s="138"/>
      <c r="BK34" s="138"/>
      <c r="BL34" s="138"/>
      <c r="BM34" s="138">
        <v>60.91</v>
      </c>
      <c r="BN34" s="157">
        <v>41837</v>
      </c>
      <c r="BO34" s="138"/>
      <c r="BP34" s="138"/>
      <c r="BQ34" s="138"/>
      <c r="BR34" s="138"/>
      <c r="BS34" s="138">
        <v>52.42</v>
      </c>
      <c r="BT34" s="157">
        <v>41837</v>
      </c>
      <c r="BU34" s="138">
        <v>37.299999999999997</v>
      </c>
      <c r="BV34" s="157">
        <v>41837</v>
      </c>
      <c r="BW34" s="138">
        <v>11.9</v>
      </c>
      <c r="BX34" s="157">
        <v>41837</v>
      </c>
      <c r="BY34" s="138"/>
      <c r="BZ34" s="138"/>
      <c r="CA34" s="138"/>
      <c r="CB34" s="138"/>
      <c r="CC34" s="138">
        <v>6.7</v>
      </c>
      <c r="CD34" s="157">
        <v>41837</v>
      </c>
      <c r="CE34" s="138"/>
      <c r="CF34" s="138"/>
      <c r="CG34" s="138"/>
      <c r="CH34" s="138"/>
      <c r="CI34" s="138">
        <v>9</v>
      </c>
      <c r="CJ34" s="138"/>
      <c r="CK34" s="138"/>
      <c r="CL34" s="138"/>
      <c r="CM34" s="138"/>
    </row>
    <row r="35" spans="1:91" s="196" customFormat="1">
      <c r="A35" s="159" t="s">
        <v>7636</v>
      </c>
      <c r="B35" s="112" t="s">
        <v>271</v>
      </c>
      <c r="C35" s="112">
        <v>1</v>
      </c>
      <c r="D35" s="112">
        <v>130</v>
      </c>
      <c r="E35" s="113">
        <v>34</v>
      </c>
      <c r="F35" s="113">
        <v>1</v>
      </c>
      <c r="G35" s="113"/>
      <c r="H35" s="113"/>
      <c r="I35" s="199"/>
      <c r="J35" s="112"/>
      <c r="K35" s="137"/>
      <c r="L35" s="157"/>
      <c r="M35" s="185">
        <v>3.48</v>
      </c>
      <c r="N35" s="157">
        <v>41837</v>
      </c>
      <c r="O35" s="137"/>
      <c r="P35" s="157"/>
      <c r="Q35" s="137"/>
      <c r="R35" s="185"/>
      <c r="S35" s="137">
        <v>9.4600000000000009</v>
      </c>
      <c r="T35" s="157">
        <v>41837</v>
      </c>
      <c r="U35" s="142">
        <v>18</v>
      </c>
      <c r="V35" s="157"/>
      <c r="W35" s="137"/>
      <c r="X35" s="157"/>
      <c r="Y35" s="142">
        <f t="shared" si="0"/>
        <v>7.7420000000000009</v>
      </c>
      <c r="Z35" s="157">
        <v>41837</v>
      </c>
      <c r="AA35" s="137"/>
      <c r="AB35" s="157"/>
      <c r="AC35" s="137"/>
      <c r="AD35" s="157"/>
      <c r="AE35" s="137">
        <v>19.75</v>
      </c>
      <c r="AF35" s="157">
        <v>41837</v>
      </c>
      <c r="AG35" s="185">
        <v>5.18</v>
      </c>
      <c r="AH35" s="157">
        <v>41837</v>
      </c>
      <c r="AI35" s="157"/>
      <c r="AJ35" s="157"/>
      <c r="AK35" s="137"/>
      <c r="AL35" s="157"/>
      <c r="AM35" s="137">
        <v>92</v>
      </c>
      <c r="AN35" s="15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8"/>
      <c r="BF35" s="138"/>
      <c r="BG35" s="138"/>
      <c r="BH35" s="138"/>
      <c r="BI35" s="138"/>
      <c r="BJ35" s="138"/>
      <c r="BK35" s="138"/>
      <c r="BL35" s="138"/>
      <c r="BM35" s="138">
        <v>60.75</v>
      </c>
      <c r="BN35" s="157">
        <v>41837</v>
      </c>
      <c r="BO35" s="138"/>
      <c r="BP35" s="138"/>
      <c r="BQ35" s="138"/>
      <c r="BR35" s="138"/>
      <c r="BS35" s="138">
        <v>47.91</v>
      </c>
      <c r="BT35" s="157">
        <v>41837</v>
      </c>
      <c r="BU35" s="138">
        <v>39.200000000000003</v>
      </c>
      <c r="BV35" s="157">
        <v>41837</v>
      </c>
      <c r="BW35" s="138">
        <v>50.4</v>
      </c>
      <c r="BX35" s="157">
        <v>41837</v>
      </c>
      <c r="BY35" s="138"/>
      <c r="BZ35" s="138"/>
      <c r="CA35" s="138"/>
      <c r="CB35" s="138"/>
      <c r="CC35" s="138">
        <v>6.3</v>
      </c>
      <c r="CD35" s="157">
        <v>41837</v>
      </c>
      <c r="CE35" s="138"/>
      <c r="CF35" s="138"/>
      <c r="CG35" s="138"/>
      <c r="CH35" s="138"/>
      <c r="CI35" s="138">
        <v>5</v>
      </c>
      <c r="CJ35" s="138"/>
      <c r="CK35" s="138"/>
      <c r="CL35" s="138"/>
      <c r="CM35" s="138"/>
    </row>
    <row r="36" spans="1:91" s="196" customFormat="1">
      <c r="A36" s="189" t="s">
        <v>7805</v>
      </c>
      <c r="B36" s="190" t="s">
        <v>271</v>
      </c>
      <c r="C36" s="190">
        <v>1</v>
      </c>
      <c r="D36" s="190">
        <v>26</v>
      </c>
      <c r="E36" s="191">
        <v>35</v>
      </c>
      <c r="F36" s="191">
        <v>1</v>
      </c>
      <c r="G36" s="191"/>
      <c r="H36" s="191"/>
      <c r="I36" s="202"/>
      <c r="J36" s="190"/>
      <c r="K36" s="195"/>
      <c r="L36" s="193"/>
      <c r="M36" s="194">
        <v>5.54</v>
      </c>
      <c r="N36" s="193">
        <v>41837</v>
      </c>
      <c r="O36" s="137"/>
      <c r="P36" s="193"/>
      <c r="Q36" s="195"/>
      <c r="R36" s="194"/>
      <c r="S36" s="195">
        <v>15.89</v>
      </c>
      <c r="T36" s="193">
        <v>41837</v>
      </c>
      <c r="U36" s="192">
        <v>18</v>
      </c>
      <c r="V36" s="193"/>
      <c r="W36" s="195"/>
      <c r="X36" s="193"/>
      <c r="Y36" s="192">
        <f t="shared" si="0"/>
        <v>12.383419999999999</v>
      </c>
      <c r="Z36" s="193">
        <v>41837</v>
      </c>
      <c r="AA36" s="195"/>
      <c r="AB36" s="193"/>
      <c r="AC36" s="195"/>
      <c r="AD36" s="193"/>
      <c r="AE36" s="195">
        <v>31.43</v>
      </c>
      <c r="AF36" s="193">
        <v>41837</v>
      </c>
      <c r="AG36" s="194">
        <v>5.32</v>
      </c>
      <c r="AH36" s="193">
        <v>41837</v>
      </c>
      <c r="AI36" s="193"/>
      <c r="AJ36" s="193"/>
      <c r="AK36" s="195"/>
      <c r="AL36" s="193"/>
      <c r="AM36" s="195">
        <v>83</v>
      </c>
      <c r="AN36" s="193"/>
      <c r="AO36" s="195"/>
      <c r="AP36" s="195"/>
      <c r="AQ36" s="195"/>
      <c r="AR36" s="195"/>
      <c r="AS36" s="195"/>
      <c r="AT36" s="195"/>
      <c r="AU36" s="195"/>
      <c r="AV36" s="195"/>
      <c r="AW36" s="195"/>
      <c r="AX36" s="195"/>
      <c r="AY36" s="195"/>
      <c r="AZ36" s="195"/>
      <c r="BA36" s="195"/>
      <c r="BB36" s="195"/>
      <c r="BC36" s="195"/>
      <c r="BD36" s="195"/>
      <c r="BM36" s="196">
        <v>62.01</v>
      </c>
      <c r="BN36" s="193">
        <v>41837</v>
      </c>
      <c r="BS36" s="196">
        <v>50.56</v>
      </c>
      <c r="BT36" s="193">
        <v>41837</v>
      </c>
      <c r="BU36" s="196">
        <v>39.4</v>
      </c>
      <c r="BV36" s="193">
        <v>41837</v>
      </c>
      <c r="BW36" s="196">
        <v>16.100000000000001</v>
      </c>
      <c r="BX36" s="193">
        <v>41837</v>
      </c>
      <c r="CC36" s="196">
        <v>6.3</v>
      </c>
      <c r="CD36" s="193">
        <v>41837</v>
      </c>
      <c r="CI36" s="196">
        <v>3</v>
      </c>
    </row>
    <row r="37" spans="1:91" s="196" customFormat="1">
      <c r="A37" s="159" t="s">
        <v>7669</v>
      </c>
      <c r="B37" s="112" t="s">
        <v>271</v>
      </c>
      <c r="C37" s="112">
        <v>1</v>
      </c>
      <c r="D37" s="112">
        <v>82</v>
      </c>
      <c r="E37" s="113">
        <v>36</v>
      </c>
      <c r="F37" s="113">
        <v>1</v>
      </c>
      <c r="G37" s="113"/>
      <c r="H37" s="113"/>
      <c r="I37" s="199"/>
      <c r="J37" s="112"/>
      <c r="K37" s="137"/>
      <c r="L37" s="157"/>
      <c r="M37" s="185">
        <v>6.38</v>
      </c>
      <c r="N37" s="157">
        <v>41837</v>
      </c>
      <c r="O37" s="137"/>
      <c r="P37" s="157"/>
      <c r="Q37" s="137"/>
      <c r="R37" s="185"/>
      <c r="S37" s="137">
        <v>18.62</v>
      </c>
      <c r="T37" s="157">
        <v>41837</v>
      </c>
      <c r="U37" s="142">
        <v>18</v>
      </c>
      <c r="V37" s="157"/>
      <c r="W37" s="137"/>
      <c r="X37" s="157"/>
      <c r="Y37" s="142">
        <f t="shared" si="0"/>
        <v>13.559999999999997</v>
      </c>
      <c r="Z37" s="157">
        <v>41837</v>
      </c>
      <c r="AA37" s="137"/>
      <c r="AB37" s="157"/>
      <c r="AC37" s="137"/>
      <c r="AD37" s="157"/>
      <c r="AE37" s="137">
        <v>36.159999999999997</v>
      </c>
      <c r="AF37" s="157">
        <v>41837</v>
      </c>
      <c r="AG37" s="185">
        <v>3.92</v>
      </c>
      <c r="AH37" s="157">
        <v>41837</v>
      </c>
      <c r="AI37" s="157"/>
      <c r="AJ37" s="157"/>
      <c r="AK37" s="137"/>
      <c r="AL37" s="157"/>
      <c r="AM37" s="137">
        <v>90</v>
      </c>
      <c r="AN37" s="15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8"/>
      <c r="BF37" s="138"/>
      <c r="BG37" s="138"/>
      <c r="BH37" s="138"/>
      <c r="BI37" s="138"/>
      <c r="BJ37" s="138"/>
      <c r="BK37" s="138"/>
      <c r="BL37" s="138"/>
      <c r="BM37" s="138">
        <v>62.08</v>
      </c>
      <c r="BN37" s="157">
        <v>41837</v>
      </c>
      <c r="BO37" s="138"/>
      <c r="BP37" s="138"/>
      <c r="BQ37" s="138"/>
      <c r="BR37" s="138"/>
      <c r="BS37" s="138">
        <v>51.49</v>
      </c>
      <c r="BT37" s="157">
        <v>41837</v>
      </c>
      <c r="BU37" s="138">
        <v>37.5</v>
      </c>
      <c r="BV37" s="157">
        <v>41837</v>
      </c>
      <c r="BW37" s="138">
        <v>14.7</v>
      </c>
      <c r="BX37" s="157">
        <v>41837</v>
      </c>
      <c r="BY37" s="138"/>
      <c r="BZ37" s="138"/>
      <c r="CA37" s="138"/>
      <c r="CB37" s="138"/>
      <c r="CC37" s="138">
        <v>6.4</v>
      </c>
      <c r="CD37" s="157">
        <v>41837</v>
      </c>
      <c r="CE37" s="138"/>
      <c r="CF37" s="138"/>
      <c r="CG37" s="138"/>
      <c r="CH37" s="138"/>
      <c r="CI37" s="138">
        <v>7</v>
      </c>
      <c r="CJ37" s="138"/>
      <c r="CK37" s="138"/>
      <c r="CL37" s="138"/>
      <c r="CM37" s="138"/>
    </row>
    <row r="38" spans="1:91">
      <c r="A38" s="159" t="s">
        <v>7774</v>
      </c>
      <c r="B38" s="112" t="s">
        <v>271</v>
      </c>
      <c r="C38" s="112">
        <v>1</v>
      </c>
      <c r="D38" s="112">
        <v>204</v>
      </c>
      <c r="E38" s="113">
        <v>1</v>
      </c>
      <c r="F38" s="113">
        <v>2</v>
      </c>
      <c r="I38" s="199"/>
      <c r="M38" s="185">
        <v>7.36</v>
      </c>
      <c r="N38" s="157">
        <v>41837</v>
      </c>
      <c r="R38" s="185"/>
      <c r="T38" s="157">
        <v>41837</v>
      </c>
      <c r="U38" s="142">
        <v>18</v>
      </c>
      <c r="Y38" s="142">
        <f t="shared" si="0"/>
        <v>0</v>
      </c>
      <c r="Z38" s="157">
        <v>41837</v>
      </c>
      <c r="AE38" s="137">
        <v>39.53</v>
      </c>
      <c r="AF38" s="157">
        <v>41837</v>
      </c>
      <c r="AG38" s="185"/>
      <c r="AH38" s="157">
        <v>41837</v>
      </c>
      <c r="AM38" s="137">
        <v>94</v>
      </c>
      <c r="BN38" s="157">
        <v>41837</v>
      </c>
      <c r="BT38" s="157">
        <v>41837</v>
      </c>
      <c r="BV38" s="157">
        <v>41837</v>
      </c>
      <c r="BX38" s="157">
        <v>41837</v>
      </c>
      <c r="CC38" s="138">
        <v>11.3</v>
      </c>
      <c r="CD38" s="157">
        <v>41837</v>
      </c>
      <c r="CI38" s="138">
        <v>9</v>
      </c>
    </row>
    <row r="39" spans="1:91">
      <c r="A39" s="159" t="s">
        <v>8126</v>
      </c>
      <c r="B39" s="112" t="s">
        <v>271</v>
      </c>
      <c r="C39" s="112">
        <v>1</v>
      </c>
      <c r="D39" s="112">
        <v>126</v>
      </c>
      <c r="E39" s="113">
        <v>2</v>
      </c>
      <c r="F39" s="113">
        <v>2</v>
      </c>
      <c r="I39" s="199"/>
      <c r="M39" s="185">
        <v>9.57</v>
      </c>
      <c r="N39" s="157">
        <v>41837</v>
      </c>
      <c r="R39" s="185"/>
      <c r="T39" s="157">
        <v>41837</v>
      </c>
      <c r="U39" s="142">
        <v>18</v>
      </c>
      <c r="Y39" s="142">
        <f t="shared" si="0"/>
        <v>0</v>
      </c>
      <c r="Z39" s="157">
        <v>41837</v>
      </c>
      <c r="AE39" s="137">
        <v>51.52</v>
      </c>
      <c r="AF39" s="157">
        <v>41837</v>
      </c>
      <c r="AG39" s="185"/>
      <c r="AH39" s="157">
        <v>41837</v>
      </c>
      <c r="AM39" s="137">
        <v>87</v>
      </c>
      <c r="BN39" s="157">
        <v>41837</v>
      </c>
      <c r="BT39" s="157">
        <v>41837</v>
      </c>
      <c r="BV39" s="157">
        <v>41837</v>
      </c>
      <c r="BX39" s="157">
        <v>41837</v>
      </c>
      <c r="CC39" s="138">
        <v>11.1</v>
      </c>
      <c r="CD39" s="157">
        <v>41837</v>
      </c>
      <c r="CI39" s="138">
        <v>9</v>
      </c>
    </row>
    <row r="40" spans="1:91">
      <c r="A40" s="159" t="s">
        <v>7768</v>
      </c>
      <c r="B40" s="112" t="s">
        <v>271</v>
      </c>
      <c r="C40" s="112">
        <v>1</v>
      </c>
      <c r="D40" s="112">
        <v>159</v>
      </c>
      <c r="E40" s="113">
        <v>3</v>
      </c>
      <c r="F40" s="113">
        <v>2</v>
      </c>
      <c r="I40" s="199"/>
      <c r="M40" s="185">
        <v>6.63</v>
      </c>
      <c r="N40" s="157">
        <v>41837</v>
      </c>
      <c r="R40" s="185"/>
      <c r="S40" s="137">
        <v>18.61</v>
      </c>
      <c r="T40" s="157">
        <v>41837</v>
      </c>
      <c r="U40" s="142">
        <v>18</v>
      </c>
      <c r="Y40" s="142">
        <f t="shared" si="0"/>
        <v>13.578749999999999</v>
      </c>
      <c r="Z40" s="157">
        <v>41837</v>
      </c>
      <c r="AE40" s="137">
        <v>36.21</v>
      </c>
      <c r="AF40" s="157">
        <v>41837</v>
      </c>
      <c r="AG40" s="185">
        <v>5.27</v>
      </c>
      <c r="AH40" s="157">
        <v>41837</v>
      </c>
      <c r="AM40" s="137">
        <v>83</v>
      </c>
      <c r="BM40" s="138">
        <v>62.59</v>
      </c>
      <c r="BN40" s="157">
        <v>41837</v>
      </c>
      <c r="BS40" s="138">
        <v>51.4</v>
      </c>
      <c r="BT40" s="157">
        <v>41837</v>
      </c>
      <c r="BU40" s="138">
        <v>37.5</v>
      </c>
      <c r="BV40" s="157">
        <v>41837</v>
      </c>
      <c r="BW40" s="138">
        <v>14.2</v>
      </c>
      <c r="BX40" s="157">
        <v>41837</v>
      </c>
      <c r="CC40" s="138">
        <v>9.8000000000000007</v>
      </c>
      <c r="CD40" s="157">
        <v>41837</v>
      </c>
      <c r="CI40" s="138">
        <v>9</v>
      </c>
    </row>
    <row r="41" spans="1:91">
      <c r="A41" s="159" t="s">
        <v>7770</v>
      </c>
      <c r="B41" s="112" t="s">
        <v>271</v>
      </c>
      <c r="C41" s="112">
        <v>1</v>
      </c>
      <c r="D41" s="112">
        <v>101</v>
      </c>
      <c r="E41" s="113">
        <v>4</v>
      </c>
      <c r="F41" s="113">
        <v>2</v>
      </c>
      <c r="I41" s="199"/>
      <c r="M41" s="185">
        <v>7.73</v>
      </c>
      <c r="N41" s="157">
        <v>41837</v>
      </c>
      <c r="R41" s="185"/>
      <c r="S41" s="137">
        <v>21.92</v>
      </c>
      <c r="T41" s="157">
        <v>41837</v>
      </c>
      <c r="U41" s="142">
        <v>18</v>
      </c>
      <c r="Y41" s="142">
        <f t="shared" si="0"/>
        <v>15.8325</v>
      </c>
      <c r="Z41" s="157">
        <v>41837</v>
      </c>
      <c r="AE41" s="137">
        <v>42.22</v>
      </c>
      <c r="AF41" s="157">
        <v>41837</v>
      </c>
      <c r="AG41" s="185">
        <v>5.05</v>
      </c>
      <c r="AH41" s="157">
        <v>41837</v>
      </c>
      <c r="AM41" s="137">
        <v>92</v>
      </c>
      <c r="BM41" s="138">
        <v>58.51</v>
      </c>
      <c r="BN41" s="157">
        <v>41837</v>
      </c>
      <c r="BS41" s="138">
        <v>51.91</v>
      </c>
      <c r="BT41" s="157">
        <v>41837</v>
      </c>
      <c r="BU41" s="138">
        <v>37.5</v>
      </c>
      <c r="BV41" s="157">
        <v>41837</v>
      </c>
      <c r="BW41" s="138">
        <v>11.2</v>
      </c>
      <c r="BX41" s="157">
        <v>41837</v>
      </c>
      <c r="CC41" s="138">
        <v>9.8000000000000007</v>
      </c>
      <c r="CD41" s="157">
        <v>41837</v>
      </c>
      <c r="CI41" s="138">
        <v>7</v>
      </c>
    </row>
    <row r="42" spans="1:91" s="196" customFormat="1">
      <c r="A42" s="189" t="s">
        <v>7738</v>
      </c>
      <c r="B42" s="190" t="s">
        <v>271</v>
      </c>
      <c r="C42" s="190">
        <v>1</v>
      </c>
      <c r="D42" s="190">
        <v>26</v>
      </c>
      <c r="E42" s="191">
        <v>5</v>
      </c>
      <c r="F42" s="191">
        <v>2</v>
      </c>
      <c r="G42" s="191"/>
      <c r="H42" s="191"/>
      <c r="I42" s="202"/>
      <c r="J42" s="190"/>
      <c r="K42" s="195"/>
      <c r="L42" s="193"/>
      <c r="M42" s="194">
        <v>5.05</v>
      </c>
      <c r="N42" s="193">
        <v>41837</v>
      </c>
      <c r="O42" s="137"/>
      <c r="P42" s="193"/>
      <c r="Q42" s="195"/>
      <c r="R42" s="194"/>
      <c r="S42" s="195">
        <v>13.8</v>
      </c>
      <c r="T42" s="193">
        <v>41837</v>
      </c>
      <c r="U42" s="192">
        <v>18</v>
      </c>
      <c r="V42" s="193"/>
      <c r="W42" s="195"/>
      <c r="X42" s="193"/>
      <c r="Y42" s="192">
        <f t="shared" si="0"/>
        <v>9.8093399999999988</v>
      </c>
      <c r="Z42" s="193">
        <v>41837</v>
      </c>
      <c r="AA42" s="195"/>
      <c r="AB42" s="193"/>
      <c r="AC42" s="195"/>
      <c r="AD42" s="193"/>
      <c r="AE42" s="195">
        <v>27.71</v>
      </c>
      <c r="AF42" s="193">
        <v>41837</v>
      </c>
      <c r="AG42" s="194">
        <v>4.8499999999999996</v>
      </c>
      <c r="AH42" s="193">
        <v>41837</v>
      </c>
      <c r="AI42" s="193"/>
      <c r="AJ42" s="193"/>
      <c r="AK42" s="195"/>
      <c r="AL42" s="193"/>
      <c r="AM42" s="195">
        <v>92</v>
      </c>
      <c r="AN42" s="193"/>
      <c r="AO42" s="195"/>
      <c r="AP42" s="195"/>
      <c r="AQ42" s="195"/>
      <c r="AR42" s="195"/>
      <c r="AS42" s="195"/>
      <c r="AT42" s="195"/>
      <c r="AU42" s="195"/>
      <c r="AV42" s="195"/>
      <c r="AW42" s="195"/>
      <c r="AX42" s="195"/>
      <c r="AY42" s="195"/>
      <c r="AZ42" s="195"/>
      <c r="BA42" s="195"/>
      <c r="BB42" s="195"/>
      <c r="BC42" s="195"/>
      <c r="BD42" s="195"/>
      <c r="BM42" s="196">
        <v>60.02</v>
      </c>
      <c r="BN42" s="193">
        <v>41837</v>
      </c>
      <c r="BS42" s="196">
        <v>49.79</v>
      </c>
      <c r="BT42" s="193">
        <v>41837</v>
      </c>
      <c r="BU42" s="196">
        <v>35.4</v>
      </c>
      <c r="BV42" s="193">
        <v>41837</v>
      </c>
      <c r="BW42" s="196">
        <v>15.9</v>
      </c>
      <c r="BX42" s="193">
        <v>41837</v>
      </c>
      <c r="CC42" s="196">
        <v>9.4</v>
      </c>
      <c r="CD42" s="193">
        <v>41837</v>
      </c>
      <c r="CI42" s="196">
        <v>3</v>
      </c>
    </row>
    <row r="43" spans="1:91" s="196" customFormat="1">
      <c r="A43" s="159" t="s">
        <v>7610</v>
      </c>
      <c r="B43" s="112" t="s">
        <v>271</v>
      </c>
      <c r="C43" s="112">
        <v>1</v>
      </c>
      <c r="D43" s="112">
        <v>68</v>
      </c>
      <c r="E43" s="113">
        <v>6</v>
      </c>
      <c r="F43" s="113">
        <v>2</v>
      </c>
      <c r="G43" s="113"/>
      <c r="H43" s="113"/>
      <c r="I43" s="199"/>
      <c r="J43" s="112"/>
      <c r="K43" s="137"/>
      <c r="L43" s="157"/>
      <c r="M43" s="185">
        <v>1.7</v>
      </c>
      <c r="N43" s="157">
        <v>41837</v>
      </c>
      <c r="O43" s="137"/>
      <c r="P43" s="157"/>
      <c r="Q43" s="137"/>
      <c r="R43" s="185"/>
      <c r="S43" s="137">
        <v>4.66</v>
      </c>
      <c r="T43" s="157">
        <v>41837</v>
      </c>
      <c r="U43" s="142">
        <v>18</v>
      </c>
      <c r="V43" s="157"/>
      <c r="W43" s="137"/>
      <c r="X43" s="157"/>
      <c r="Y43" s="142">
        <f t="shared" si="0"/>
        <v>3.7524999999999999</v>
      </c>
      <c r="Z43" s="157">
        <v>41837</v>
      </c>
      <c r="AA43" s="137"/>
      <c r="AB43" s="157"/>
      <c r="AC43" s="137"/>
      <c r="AD43" s="157"/>
      <c r="AE43" s="137">
        <v>9.5</v>
      </c>
      <c r="AF43" s="157">
        <v>41837</v>
      </c>
      <c r="AG43" s="185">
        <v>4.38</v>
      </c>
      <c r="AH43" s="157">
        <v>41837</v>
      </c>
      <c r="AI43" s="157"/>
      <c r="AJ43" s="157"/>
      <c r="AK43" s="137"/>
      <c r="AL43" s="157"/>
      <c r="AM43" s="137">
        <v>94</v>
      </c>
      <c r="AN43" s="15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8"/>
      <c r="BF43" s="138"/>
      <c r="BG43" s="138"/>
      <c r="BH43" s="138"/>
      <c r="BI43" s="138"/>
      <c r="BJ43" s="138"/>
      <c r="BK43" s="138"/>
      <c r="BL43" s="138"/>
      <c r="BM43" s="138">
        <v>63.02</v>
      </c>
      <c r="BN43" s="157">
        <v>41837</v>
      </c>
      <c r="BO43" s="138"/>
      <c r="BP43" s="138"/>
      <c r="BQ43" s="138"/>
      <c r="BR43" s="138"/>
      <c r="BS43" s="138">
        <v>49.06</v>
      </c>
      <c r="BT43" s="157">
        <v>41837</v>
      </c>
      <c r="BU43" s="138">
        <v>39.5</v>
      </c>
      <c r="BV43" s="157">
        <v>41837</v>
      </c>
      <c r="BW43" s="138">
        <v>38.6</v>
      </c>
      <c r="BX43" s="157">
        <v>41837</v>
      </c>
      <c r="BY43" s="138"/>
      <c r="BZ43" s="138"/>
      <c r="CA43" s="138"/>
      <c r="CB43" s="138"/>
      <c r="CC43" s="138">
        <v>7.7</v>
      </c>
      <c r="CD43" s="157">
        <v>41837</v>
      </c>
      <c r="CE43" s="138"/>
      <c r="CF43" s="138"/>
      <c r="CG43" s="138"/>
      <c r="CH43" s="138"/>
      <c r="CI43" s="138">
        <v>1</v>
      </c>
      <c r="CJ43" s="138"/>
      <c r="CK43" s="138"/>
      <c r="CL43" s="138"/>
      <c r="CM43" s="138"/>
    </row>
    <row r="44" spans="1:91" s="196" customFormat="1">
      <c r="A44" s="159" t="s">
        <v>7772</v>
      </c>
      <c r="B44" s="112" t="s">
        <v>271</v>
      </c>
      <c r="C44" s="112">
        <v>1</v>
      </c>
      <c r="D44" s="112">
        <v>158</v>
      </c>
      <c r="E44" s="113">
        <v>7</v>
      </c>
      <c r="F44" s="113">
        <v>2</v>
      </c>
      <c r="G44" s="113"/>
      <c r="H44" s="113"/>
      <c r="I44" s="199"/>
      <c r="J44" s="112"/>
      <c r="K44" s="137"/>
      <c r="L44" s="157"/>
      <c r="M44" s="185">
        <v>6.82</v>
      </c>
      <c r="N44" s="157">
        <v>41837</v>
      </c>
      <c r="O44" s="137"/>
      <c r="P44" s="157"/>
      <c r="Q44" s="137"/>
      <c r="R44" s="185"/>
      <c r="S44" s="137">
        <v>20.05</v>
      </c>
      <c r="T44" s="157">
        <v>41837</v>
      </c>
      <c r="U44" s="142">
        <v>18</v>
      </c>
      <c r="V44" s="157"/>
      <c r="W44" s="137"/>
      <c r="X44" s="157"/>
      <c r="Y44" s="142">
        <f t="shared" si="0"/>
        <v>14.263519999999998</v>
      </c>
      <c r="Z44" s="157">
        <v>41837</v>
      </c>
      <c r="AA44" s="137"/>
      <c r="AB44" s="157"/>
      <c r="AC44" s="137"/>
      <c r="AD44" s="157"/>
      <c r="AE44" s="137">
        <v>38.24</v>
      </c>
      <c r="AF44" s="157">
        <v>41837</v>
      </c>
      <c r="AG44" s="185">
        <v>5.1100000000000003</v>
      </c>
      <c r="AH44" s="157">
        <v>41837</v>
      </c>
      <c r="AI44" s="157"/>
      <c r="AJ44" s="157"/>
      <c r="AK44" s="137"/>
      <c r="AL44" s="157"/>
      <c r="AM44" s="137">
        <v>90</v>
      </c>
      <c r="AN44" s="15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8"/>
      <c r="BF44" s="138"/>
      <c r="BG44" s="138"/>
      <c r="BH44" s="138"/>
      <c r="BI44" s="138"/>
      <c r="BJ44" s="138"/>
      <c r="BK44" s="138"/>
      <c r="BL44" s="138"/>
      <c r="BM44" s="138">
        <v>58.03</v>
      </c>
      <c r="BN44" s="157">
        <v>41837</v>
      </c>
      <c r="BO44" s="138"/>
      <c r="BP44" s="138"/>
      <c r="BQ44" s="138"/>
      <c r="BR44" s="138"/>
      <c r="BS44" s="138">
        <v>52.42</v>
      </c>
      <c r="BT44" s="157">
        <v>41837</v>
      </c>
      <c r="BU44" s="138">
        <v>37.299999999999997</v>
      </c>
      <c r="BV44" s="157">
        <v>41837</v>
      </c>
      <c r="BW44" s="138">
        <v>15.1</v>
      </c>
      <c r="BX44" s="157">
        <v>41837</v>
      </c>
      <c r="BY44" s="138"/>
      <c r="BZ44" s="138"/>
      <c r="CA44" s="138"/>
      <c r="CB44" s="138"/>
      <c r="CC44" s="138">
        <v>7.4</v>
      </c>
      <c r="CD44" s="157">
        <v>41837</v>
      </c>
      <c r="CE44" s="138"/>
      <c r="CF44" s="138"/>
      <c r="CG44" s="138"/>
      <c r="CH44" s="138"/>
      <c r="CI44" s="138">
        <v>9</v>
      </c>
      <c r="CJ44" s="138"/>
      <c r="CK44" s="138"/>
      <c r="CL44" s="138"/>
      <c r="CM44" s="138"/>
    </row>
    <row r="45" spans="1:91" s="196" customFormat="1">
      <c r="A45" s="159" t="s">
        <v>7647</v>
      </c>
      <c r="B45" s="112" t="s">
        <v>271</v>
      </c>
      <c r="C45" s="112">
        <v>1</v>
      </c>
      <c r="D45" s="112">
        <v>93</v>
      </c>
      <c r="E45" s="113">
        <v>8</v>
      </c>
      <c r="F45" s="113">
        <v>2</v>
      </c>
      <c r="G45" s="113"/>
      <c r="H45" s="113"/>
      <c r="I45" s="199"/>
      <c r="J45" s="112"/>
      <c r="K45" s="137"/>
      <c r="L45" s="157"/>
      <c r="M45" s="185">
        <v>4.01</v>
      </c>
      <c r="N45" s="157">
        <v>41837</v>
      </c>
      <c r="O45" s="137"/>
      <c r="P45" s="157"/>
      <c r="Q45" s="137"/>
      <c r="R45" s="185"/>
      <c r="S45" s="137">
        <v>10.39</v>
      </c>
      <c r="T45" s="157">
        <v>41837</v>
      </c>
      <c r="U45" s="142">
        <v>18</v>
      </c>
      <c r="V45" s="157"/>
      <c r="W45" s="137"/>
      <c r="X45" s="157"/>
      <c r="Y45" s="142">
        <f t="shared" si="0"/>
        <v>9.0071999999999992</v>
      </c>
      <c r="Z45" s="157">
        <v>41837</v>
      </c>
      <c r="AA45" s="137"/>
      <c r="AB45" s="157"/>
      <c r="AC45" s="137"/>
      <c r="AD45" s="157"/>
      <c r="AE45" s="137">
        <v>22.24</v>
      </c>
      <c r="AF45" s="157">
        <v>41837</v>
      </c>
      <c r="AG45" s="185">
        <v>5.68</v>
      </c>
      <c r="AH45" s="157">
        <v>41837</v>
      </c>
      <c r="AI45" s="157"/>
      <c r="AJ45" s="157"/>
      <c r="AK45" s="137"/>
      <c r="AL45" s="157"/>
      <c r="AM45" s="137">
        <v>83</v>
      </c>
      <c r="AN45" s="15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8"/>
      <c r="BF45" s="138"/>
      <c r="BG45" s="138"/>
      <c r="BH45" s="138"/>
      <c r="BI45" s="138"/>
      <c r="BJ45" s="138"/>
      <c r="BK45" s="138"/>
      <c r="BL45" s="138"/>
      <c r="BM45" s="138">
        <v>57.64</v>
      </c>
      <c r="BN45" s="157">
        <v>41837</v>
      </c>
      <c r="BO45" s="138"/>
      <c r="BP45" s="138"/>
      <c r="BQ45" s="138"/>
      <c r="BR45" s="138"/>
      <c r="BS45" s="138">
        <v>46.71</v>
      </c>
      <c r="BT45" s="157">
        <v>41837</v>
      </c>
      <c r="BU45" s="138">
        <v>40.5</v>
      </c>
      <c r="BV45" s="157">
        <v>41837</v>
      </c>
      <c r="BW45" s="138">
        <v>71.3</v>
      </c>
      <c r="BX45" s="157">
        <v>41837</v>
      </c>
      <c r="BY45" s="138"/>
      <c r="BZ45" s="138"/>
      <c r="CA45" s="138"/>
      <c r="CB45" s="138"/>
      <c r="CC45" s="138">
        <v>8.4</v>
      </c>
      <c r="CD45" s="157">
        <v>41837</v>
      </c>
      <c r="CE45" s="138"/>
      <c r="CF45" s="138"/>
      <c r="CG45" s="138"/>
      <c r="CH45" s="138"/>
      <c r="CI45" s="138">
        <v>3</v>
      </c>
      <c r="CJ45" s="138"/>
      <c r="CK45" s="138"/>
      <c r="CL45" s="138"/>
      <c r="CM45" s="138"/>
    </row>
    <row r="46" spans="1:91">
      <c r="A46" s="159" t="s">
        <v>7769</v>
      </c>
      <c r="B46" s="112" t="s">
        <v>271</v>
      </c>
      <c r="C46" s="112">
        <v>1</v>
      </c>
      <c r="D46" s="112">
        <v>214</v>
      </c>
      <c r="E46" s="113">
        <v>9</v>
      </c>
      <c r="F46" s="113">
        <v>2</v>
      </c>
      <c r="I46" s="199"/>
      <c r="M46" s="185">
        <v>7.57</v>
      </c>
      <c r="N46" s="157">
        <v>41837</v>
      </c>
      <c r="R46" s="185"/>
      <c r="S46" s="137">
        <v>21.81</v>
      </c>
      <c r="T46" s="157">
        <v>41837</v>
      </c>
      <c r="U46" s="142">
        <v>18</v>
      </c>
      <c r="Y46" s="142">
        <f t="shared" si="0"/>
        <v>15.80524</v>
      </c>
      <c r="Z46" s="157">
        <v>41837</v>
      </c>
      <c r="AE46" s="137">
        <v>42.26</v>
      </c>
      <c r="AF46" s="157">
        <v>41837</v>
      </c>
      <c r="AG46" s="185">
        <v>5.6</v>
      </c>
      <c r="AH46" s="157">
        <v>41837</v>
      </c>
      <c r="AM46" s="137">
        <v>85</v>
      </c>
      <c r="BM46" s="138">
        <v>65.91</v>
      </c>
      <c r="BN46" s="157">
        <v>41837</v>
      </c>
      <c r="BS46" s="138">
        <v>51.6</v>
      </c>
      <c r="BT46" s="157">
        <v>41837</v>
      </c>
      <c r="BU46" s="138">
        <v>37.4</v>
      </c>
      <c r="BV46" s="157">
        <v>41837</v>
      </c>
      <c r="BW46" s="138">
        <v>18.399999999999999</v>
      </c>
      <c r="BX46" s="157">
        <v>41837</v>
      </c>
      <c r="CC46" s="138">
        <v>7.8</v>
      </c>
      <c r="CD46" s="157">
        <v>41837</v>
      </c>
      <c r="CI46" s="138">
        <v>7</v>
      </c>
    </row>
    <row r="47" spans="1:91">
      <c r="A47" s="159" t="s">
        <v>8126</v>
      </c>
      <c r="B47" s="112" t="s">
        <v>271</v>
      </c>
      <c r="C47" s="112">
        <v>1</v>
      </c>
      <c r="D47" s="112">
        <v>102</v>
      </c>
      <c r="E47" s="113">
        <v>10</v>
      </c>
      <c r="F47" s="113">
        <v>2</v>
      </c>
      <c r="I47" s="199"/>
      <c r="M47" s="185">
        <v>9.57</v>
      </c>
      <c r="N47" s="157">
        <v>41837</v>
      </c>
      <c r="R47" s="185"/>
      <c r="S47" s="137">
        <v>28.12</v>
      </c>
      <c r="T47" s="157">
        <v>41837</v>
      </c>
      <c r="U47" s="142">
        <v>18</v>
      </c>
      <c r="Y47" s="142">
        <f t="shared" si="0"/>
        <v>19.96152</v>
      </c>
      <c r="Z47" s="157">
        <v>41837</v>
      </c>
      <c r="AE47" s="137">
        <v>53.66</v>
      </c>
      <c r="AF47" s="157">
        <v>41837</v>
      </c>
      <c r="AG47" s="185">
        <v>4.67</v>
      </c>
      <c r="AH47" s="157">
        <v>41837</v>
      </c>
      <c r="AM47" s="137">
        <v>85</v>
      </c>
      <c r="BM47" s="138">
        <v>61.45</v>
      </c>
      <c r="BN47" s="157">
        <v>41837</v>
      </c>
      <c r="BS47" s="138">
        <v>52.41</v>
      </c>
      <c r="BT47" s="157">
        <v>41837</v>
      </c>
      <c r="BU47" s="138">
        <v>37.200000000000003</v>
      </c>
      <c r="BV47" s="157">
        <v>41837</v>
      </c>
      <c r="BW47" s="138">
        <v>16.5</v>
      </c>
      <c r="BX47" s="157">
        <v>41837</v>
      </c>
      <c r="CC47" s="138">
        <v>7.4</v>
      </c>
      <c r="CD47" s="157">
        <v>41837</v>
      </c>
      <c r="CI47" s="138">
        <v>9</v>
      </c>
    </row>
    <row r="48" spans="1:91">
      <c r="A48" s="159" t="s">
        <v>7667</v>
      </c>
      <c r="B48" s="112" t="s">
        <v>271</v>
      </c>
      <c r="C48" s="112">
        <v>1</v>
      </c>
      <c r="D48" s="112">
        <v>134</v>
      </c>
      <c r="E48" s="113">
        <v>11</v>
      </c>
      <c r="F48" s="113">
        <v>2</v>
      </c>
      <c r="I48" s="199"/>
      <c r="M48" s="185">
        <v>4.42</v>
      </c>
      <c r="N48" s="157">
        <v>41837</v>
      </c>
      <c r="R48" s="185"/>
      <c r="S48" s="137">
        <v>11.77</v>
      </c>
      <c r="T48" s="157">
        <v>41837</v>
      </c>
      <c r="U48" s="142">
        <v>18</v>
      </c>
      <c r="Y48" s="142">
        <f t="shared" si="0"/>
        <v>9.2925000000000004</v>
      </c>
      <c r="Z48" s="157">
        <v>41837</v>
      </c>
      <c r="AE48" s="137">
        <v>24.78</v>
      </c>
      <c r="AF48" s="157">
        <v>41837</v>
      </c>
      <c r="AG48" s="185">
        <v>3.8</v>
      </c>
      <c r="AH48" s="157">
        <v>41837</v>
      </c>
      <c r="AM48" s="137">
        <v>96</v>
      </c>
      <c r="BM48" s="138">
        <v>59.69</v>
      </c>
      <c r="BN48" s="157">
        <v>41837</v>
      </c>
      <c r="BS48" s="138">
        <v>47.49</v>
      </c>
      <c r="BT48" s="157">
        <v>41837</v>
      </c>
      <c r="BU48" s="138">
        <v>37.5</v>
      </c>
      <c r="BV48" s="157">
        <v>41837</v>
      </c>
      <c r="BW48" s="138">
        <v>20</v>
      </c>
      <c r="BX48" s="157">
        <v>41837</v>
      </c>
      <c r="CC48" s="138">
        <v>7.4</v>
      </c>
      <c r="CD48" s="157">
        <v>41837</v>
      </c>
      <c r="CI48" s="138">
        <v>5</v>
      </c>
    </row>
    <row r="49" spans="1:91">
      <c r="A49" s="159" t="s">
        <v>7713</v>
      </c>
      <c r="B49" s="112" t="s">
        <v>271</v>
      </c>
      <c r="C49" s="112">
        <v>1</v>
      </c>
      <c r="D49" s="112">
        <v>202</v>
      </c>
      <c r="E49" s="113">
        <v>12</v>
      </c>
      <c r="F49" s="113">
        <v>2</v>
      </c>
      <c r="I49" s="199"/>
      <c r="M49" s="185">
        <v>5.91</v>
      </c>
      <c r="N49" s="157">
        <v>41837</v>
      </c>
      <c r="R49" s="185"/>
      <c r="S49" s="137">
        <v>16.46</v>
      </c>
      <c r="T49" s="157">
        <v>41837</v>
      </c>
      <c r="U49" s="142">
        <v>18</v>
      </c>
      <c r="Y49" s="142">
        <f t="shared" si="0"/>
        <v>12.465309999999999</v>
      </c>
      <c r="Z49" s="157">
        <v>41837</v>
      </c>
      <c r="AE49" s="137">
        <v>32.89</v>
      </c>
      <c r="AF49" s="157">
        <v>41837</v>
      </c>
      <c r="AG49" s="185">
        <v>4.3</v>
      </c>
      <c r="AH49" s="157">
        <v>41837</v>
      </c>
      <c r="AM49" s="137">
        <v>90</v>
      </c>
      <c r="BM49" s="138">
        <v>59.94</v>
      </c>
      <c r="BN49" s="157">
        <v>41837</v>
      </c>
      <c r="BS49" s="138">
        <v>50.05</v>
      </c>
      <c r="BT49" s="157">
        <v>41837</v>
      </c>
      <c r="BU49" s="138">
        <v>37.9</v>
      </c>
      <c r="BV49" s="157">
        <v>41837</v>
      </c>
      <c r="BW49" s="138">
        <v>11.3</v>
      </c>
      <c r="BX49" s="157">
        <v>41837</v>
      </c>
      <c r="CC49" s="138">
        <v>8.1</v>
      </c>
      <c r="CD49" s="157">
        <v>41837</v>
      </c>
      <c r="CI49" s="138">
        <v>5</v>
      </c>
    </row>
    <row r="50" spans="1:91">
      <c r="A50" s="159" t="s">
        <v>7771</v>
      </c>
      <c r="B50" s="112" t="s">
        <v>271</v>
      </c>
      <c r="C50" s="112">
        <v>1</v>
      </c>
      <c r="D50" s="112">
        <v>16</v>
      </c>
      <c r="E50" s="113">
        <v>13</v>
      </c>
      <c r="F50" s="113">
        <v>2</v>
      </c>
      <c r="I50" s="249"/>
      <c r="K50" s="142"/>
      <c r="M50" s="185">
        <v>7.4</v>
      </c>
      <c r="N50" s="157">
        <v>41837</v>
      </c>
      <c r="Q50" s="142"/>
      <c r="R50" s="185"/>
      <c r="S50" s="142">
        <v>21.33</v>
      </c>
      <c r="T50" s="157">
        <v>41837</v>
      </c>
      <c r="U50" s="142">
        <v>18</v>
      </c>
      <c r="W50" s="142"/>
      <c r="Y50" s="142">
        <f t="shared" si="0"/>
        <v>15.236580000000002</v>
      </c>
      <c r="Z50" s="157">
        <v>41837</v>
      </c>
      <c r="AA50" s="142"/>
      <c r="AE50" s="142">
        <v>41.63</v>
      </c>
      <c r="AF50" s="157">
        <v>41837</v>
      </c>
      <c r="AG50" s="185">
        <v>4.84</v>
      </c>
      <c r="AH50" s="157">
        <v>41837</v>
      </c>
      <c r="AK50" s="142"/>
      <c r="AM50" s="142">
        <v>96</v>
      </c>
      <c r="BM50" s="138">
        <v>64.010000000000005</v>
      </c>
      <c r="BN50" s="157">
        <v>41837</v>
      </c>
      <c r="BS50" s="138">
        <v>51.24</v>
      </c>
      <c r="BT50" s="157">
        <v>41837</v>
      </c>
      <c r="BU50" s="138">
        <v>36.6</v>
      </c>
      <c r="BV50" s="157">
        <v>41837</v>
      </c>
      <c r="BW50" s="138">
        <v>20.2</v>
      </c>
      <c r="BX50" s="157">
        <v>41837</v>
      </c>
      <c r="CC50" s="138">
        <v>7.1</v>
      </c>
      <c r="CD50" s="157">
        <v>41837</v>
      </c>
      <c r="CI50" s="138">
        <v>9</v>
      </c>
    </row>
    <row r="51" spans="1:91">
      <c r="A51" s="159" t="s">
        <v>7784</v>
      </c>
      <c r="B51" s="112" t="s">
        <v>271</v>
      </c>
      <c r="C51" s="112">
        <v>1</v>
      </c>
      <c r="D51" s="112">
        <v>159</v>
      </c>
      <c r="E51" s="113">
        <v>14</v>
      </c>
      <c r="F51" s="113">
        <v>2</v>
      </c>
      <c r="I51" s="199"/>
      <c r="M51" s="185">
        <v>7.79</v>
      </c>
      <c r="N51" s="157">
        <v>41837</v>
      </c>
      <c r="R51" s="185"/>
      <c r="S51" s="137">
        <v>21.89</v>
      </c>
      <c r="T51" s="157">
        <v>41837</v>
      </c>
      <c r="U51" s="142">
        <v>18</v>
      </c>
      <c r="Y51" s="142">
        <f t="shared" si="0"/>
        <v>15.599919999999999</v>
      </c>
      <c r="Z51" s="157">
        <v>41837</v>
      </c>
      <c r="AE51" s="137">
        <v>43.82</v>
      </c>
      <c r="AF51" s="157">
        <v>41837</v>
      </c>
      <c r="AG51" s="185">
        <v>4.43</v>
      </c>
      <c r="AH51" s="157">
        <v>41837</v>
      </c>
      <c r="AM51" s="137">
        <v>92</v>
      </c>
      <c r="BM51" s="138">
        <v>62.22</v>
      </c>
      <c r="BN51" s="157">
        <v>41837</v>
      </c>
      <c r="BS51" s="138">
        <v>49.96</v>
      </c>
      <c r="BT51" s="157">
        <v>41837</v>
      </c>
      <c r="BU51" s="138">
        <v>35.6</v>
      </c>
      <c r="BV51" s="157">
        <v>41837</v>
      </c>
      <c r="BW51" s="138">
        <v>16.600000000000001</v>
      </c>
      <c r="BX51" s="157">
        <v>41837</v>
      </c>
      <c r="CC51" s="138">
        <v>7.1</v>
      </c>
      <c r="CD51" s="157">
        <v>41837</v>
      </c>
      <c r="CI51" s="138">
        <v>7</v>
      </c>
    </row>
    <row r="52" spans="1:91">
      <c r="A52" s="159" t="s">
        <v>7791</v>
      </c>
      <c r="B52" s="112" t="s">
        <v>271</v>
      </c>
      <c r="C52" s="112">
        <v>1</v>
      </c>
      <c r="D52" s="112">
        <v>146</v>
      </c>
      <c r="E52" s="113">
        <v>15</v>
      </c>
      <c r="F52" s="113">
        <v>2</v>
      </c>
      <c r="I52" s="199"/>
      <c r="M52" s="185">
        <v>7.93</v>
      </c>
      <c r="N52" s="157">
        <v>41837</v>
      </c>
      <c r="R52" s="185"/>
      <c r="S52" s="137">
        <v>22.73</v>
      </c>
      <c r="T52" s="157">
        <v>41837</v>
      </c>
      <c r="U52" s="142">
        <v>18</v>
      </c>
      <c r="Y52" s="142">
        <f t="shared" si="0"/>
        <v>17.46752</v>
      </c>
      <c r="Z52" s="157">
        <v>41837</v>
      </c>
      <c r="AE52" s="137">
        <v>44.56</v>
      </c>
      <c r="AF52" s="157">
        <v>41837</v>
      </c>
      <c r="AG52" s="185">
        <v>5.54</v>
      </c>
      <c r="AH52" s="157">
        <v>41837</v>
      </c>
      <c r="AM52" s="137">
        <v>85</v>
      </c>
      <c r="BM52" s="138">
        <v>62.04</v>
      </c>
      <c r="BN52" s="157">
        <v>41837</v>
      </c>
      <c r="BS52" s="138">
        <v>51.02</v>
      </c>
      <c r="BT52" s="157">
        <v>41837</v>
      </c>
      <c r="BU52" s="138">
        <v>39.200000000000003</v>
      </c>
      <c r="BV52" s="157">
        <v>41837</v>
      </c>
      <c r="BW52" s="138">
        <v>16</v>
      </c>
      <c r="BX52" s="157">
        <v>41837</v>
      </c>
      <c r="CC52" s="138">
        <v>7.2</v>
      </c>
      <c r="CD52" s="157">
        <v>41837</v>
      </c>
      <c r="CI52" s="138">
        <v>7</v>
      </c>
    </row>
    <row r="53" spans="1:91">
      <c r="A53" s="159" t="s">
        <v>7857</v>
      </c>
      <c r="B53" s="112" t="s">
        <v>271</v>
      </c>
      <c r="C53" s="112">
        <v>1</v>
      </c>
      <c r="D53" s="112">
        <v>187</v>
      </c>
      <c r="E53" s="113">
        <v>16</v>
      </c>
      <c r="F53" s="113">
        <v>2</v>
      </c>
      <c r="I53" s="199"/>
      <c r="M53" s="185">
        <v>8.43</v>
      </c>
      <c r="N53" s="157">
        <v>41837</v>
      </c>
      <c r="R53" s="185"/>
      <c r="S53" s="137">
        <v>24.27</v>
      </c>
      <c r="T53" s="157">
        <v>41837</v>
      </c>
      <c r="U53" s="142">
        <v>18</v>
      </c>
      <c r="Y53" s="142">
        <f t="shared" si="0"/>
        <v>17.87734</v>
      </c>
      <c r="Z53" s="157">
        <v>41837</v>
      </c>
      <c r="AE53" s="137">
        <v>47.42</v>
      </c>
      <c r="AF53" s="157">
        <v>41837</v>
      </c>
      <c r="AG53" s="185">
        <v>4.8</v>
      </c>
      <c r="AH53" s="157">
        <v>41837</v>
      </c>
      <c r="AM53" s="137">
        <v>94</v>
      </c>
      <c r="BM53" s="138">
        <v>61.29</v>
      </c>
      <c r="BN53" s="157">
        <v>41837</v>
      </c>
      <c r="BS53" s="138">
        <v>51.18</v>
      </c>
      <c r="BT53" s="157">
        <v>41837</v>
      </c>
      <c r="BU53" s="138">
        <v>37.700000000000003</v>
      </c>
      <c r="BV53" s="157">
        <v>41837</v>
      </c>
      <c r="BW53" s="138">
        <v>15.3</v>
      </c>
      <c r="BX53" s="157">
        <v>41837</v>
      </c>
      <c r="CC53" s="138">
        <v>7.1</v>
      </c>
      <c r="CD53" s="157">
        <v>41837</v>
      </c>
      <c r="CI53" s="138">
        <v>5</v>
      </c>
    </row>
    <row r="54" spans="1:91" s="196" customFormat="1">
      <c r="A54" s="159" t="s">
        <v>7719</v>
      </c>
      <c r="B54" s="112" t="s">
        <v>271</v>
      </c>
      <c r="C54" s="112">
        <v>1</v>
      </c>
      <c r="D54" s="112">
        <v>201</v>
      </c>
      <c r="E54" s="113">
        <v>17</v>
      </c>
      <c r="F54" s="113">
        <v>2</v>
      </c>
      <c r="G54" s="113"/>
      <c r="H54" s="113"/>
      <c r="I54" s="199"/>
      <c r="J54" s="112"/>
      <c r="K54" s="137"/>
      <c r="L54" s="157"/>
      <c r="M54" s="185">
        <v>4.1399999999999997</v>
      </c>
      <c r="N54" s="157">
        <v>41837</v>
      </c>
      <c r="O54" s="137"/>
      <c r="P54" s="157"/>
      <c r="Q54" s="137"/>
      <c r="R54" s="185"/>
      <c r="S54" s="137">
        <v>11.57</v>
      </c>
      <c r="T54" s="157">
        <v>41837</v>
      </c>
      <c r="U54" s="142">
        <v>18</v>
      </c>
      <c r="V54" s="157"/>
      <c r="W54" s="137"/>
      <c r="X54" s="157"/>
      <c r="Y54" s="142">
        <f t="shared" si="0"/>
        <v>9.1143000000000001</v>
      </c>
      <c r="Z54" s="157">
        <v>41837</v>
      </c>
      <c r="AA54" s="137"/>
      <c r="AB54" s="157"/>
      <c r="AC54" s="137"/>
      <c r="AD54" s="157"/>
      <c r="AE54" s="137">
        <v>23.37</v>
      </c>
      <c r="AF54" s="157">
        <v>41837</v>
      </c>
      <c r="AG54" s="185">
        <v>4.8600000000000003</v>
      </c>
      <c r="AH54" s="157">
        <v>41837</v>
      </c>
      <c r="AI54" s="157"/>
      <c r="AJ54" s="157"/>
      <c r="AK54" s="137"/>
      <c r="AL54" s="157"/>
      <c r="AM54" s="137">
        <v>90</v>
      </c>
      <c r="AN54" s="15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8"/>
      <c r="BF54" s="138"/>
      <c r="BG54" s="138"/>
      <c r="BH54" s="138"/>
      <c r="BI54" s="138"/>
      <c r="BJ54" s="138"/>
      <c r="BK54" s="138"/>
      <c r="BL54" s="138"/>
      <c r="BM54" s="138">
        <v>61.01</v>
      </c>
      <c r="BN54" s="157">
        <v>41837</v>
      </c>
      <c r="BO54" s="138"/>
      <c r="BP54" s="138"/>
      <c r="BQ54" s="138"/>
      <c r="BR54" s="138"/>
      <c r="BS54" s="138">
        <v>49.52</v>
      </c>
      <c r="BT54" s="157">
        <v>41837</v>
      </c>
      <c r="BU54" s="138">
        <v>39</v>
      </c>
      <c r="BV54" s="157">
        <v>41837</v>
      </c>
      <c r="BW54" s="138">
        <v>20.399999999999999</v>
      </c>
      <c r="BX54" s="157">
        <v>41837</v>
      </c>
      <c r="BY54" s="138"/>
      <c r="BZ54" s="138"/>
      <c r="CA54" s="138"/>
      <c r="CB54" s="138"/>
      <c r="CC54" s="138">
        <v>6.8</v>
      </c>
      <c r="CD54" s="157">
        <v>41837</v>
      </c>
      <c r="CE54" s="138"/>
      <c r="CF54" s="138"/>
      <c r="CG54" s="138"/>
      <c r="CH54" s="138"/>
      <c r="CI54" s="138">
        <v>3</v>
      </c>
      <c r="CJ54" s="138"/>
      <c r="CK54" s="138"/>
      <c r="CL54" s="138"/>
      <c r="CM54" s="138"/>
    </row>
    <row r="55" spans="1:91" s="196" customFormat="1">
      <c r="A55" s="159" t="s">
        <v>7663</v>
      </c>
      <c r="B55" s="112" t="s">
        <v>271</v>
      </c>
      <c r="C55" s="112">
        <v>1</v>
      </c>
      <c r="D55" s="112">
        <v>24</v>
      </c>
      <c r="E55" s="113">
        <v>18</v>
      </c>
      <c r="F55" s="113">
        <v>2</v>
      </c>
      <c r="G55" s="113"/>
      <c r="H55" s="113"/>
      <c r="I55" s="199"/>
      <c r="J55" s="112"/>
      <c r="K55" s="137"/>
      <c r="L55" s="157"/>
      <c r="M55" s="185">
        <v>6.24</v>
      </c>
      <c r="N55" s="157">
        <v>41837</v>
      </c>
      <c r="O55" s="137"/>
      <c r="P55" s="157"/>
      <c r="Q55" s="137"/>
      <c r="R55" s="185"/>
      <c r="S55" s="137">
        <v>17.98</v>
      </c>
      <c r="T55" s="157">
        <v>41837</v>
      </c>
      <c r="U55" s="142">
        <v>18</v>
      </c>
      <c r="V55" s="157"/>
      <c r="W55" s="137"/>
      <c r="X55" s="157"/>
      <c r="Y55" s="142">
        <f t="shared" si="0"/>
        <v>14.029499999999999</v>
      </c>
      <c r="Z55" s="157">
        <v>41837</v>
      </c>
      <c r="AA55" s="137"/>
      <c r="AB55" s="157"/>
      <c r="AC55" s="137"/>
      <c r="AD55" s="157"/>
      <c r="AE55" s="137">
        <v>35.25</v>
      </c>
      <c r="AF55" s="157">
        <v>41837</v>
      </c>
      <c r="AG55" s="185">
        <v>4.25</v>
      </c>
      <c r="AH55" s="157">
        <v>41837</v>
      </c>
      <c r="AI55" s="157"/>
      <c r="AJ55" s="157"/>
      <c r="AK55" s="137"/>
      <c r="AL55" s="157"/>
      <c r="AM55" s="137">
        <v>92</v>
      </c>
      <c r="AN55" s="15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8"/>
      <c r="BF55" s="138"/>
      <c r="BG55" s="138"/>
      <c r="BH55" s="138"/>
      <c r="BI55" s="138"/>
      <c r="BJ55" s="138"/>
      <c r="BK55" s="138"/>
      <c r="BL55" s="138"/>
      <c r="BM55" s="138">
        <v>61.19</v>
      </c>
      <c r="BN55" s="157">
        <v>41837</v>
      </c>
      <c r="BO55" s="138"/>
      <c r="BP55" s="138"/>
      <c r="BQ55" s="138"/>
      <c r="BR55" s="138"/>
      <c r="BS55" s="138">
        <v>51.01</v>
      </c>
      <c r="BT55" s="157">
        <v>41837</v>
      </c>
      <c r="BU55" s="138">
        <v>39.799999999999997</v>
      </c>
      <c r="BV55" s="157">
        <v>41837</v>
      </c>
      <c r="BW55" s="138">
        <v>39.700000000000003</v>
      </c>
      <c r="BX55" s="157">
        <v>41837</v>
      </c>
      <c r="BY55" s="138"/>
      <c r="BZ55" s="138"/>
      <c r="CA55" s="138"/>
      <c r="CB55" s="138"/>
      <c r="CC55" s="138">
        <v>6.7</v>
      </c>
      <c r="CD55" s="157">
        <v>41837</v>
      </c>
      <c r="CE55" s="138"/>
      <c r="CF55" s="138"/>
      <c r="CG55" s="138"/>
      <c r="CH55" s="138"/>
      <c r="CI55" s="138">
        <v>5</v>
      </c>
      <c r="CJ55" s="138"/>
      <c r="CK55" s="138"/>
      <c r="CL55" s="138"/>
      <c r="CM55" s="138"/>
    </row>
    <row r="56" spans="1:91" s="196" customFormat="1">
      <c r="A56" s="189" t="s">
        <v>7743</v>
      </c>
      <c r="B56" s="190" t="s">
        <v>271</v>
      </c>
      <c r="C56" s="190">
        <v>1</v>
      </c>
      <c r="D56" s="190">
        <v>131</v>
      </c>
      <c r="E56" s="191">
        <v>19</v>
      </c>
      <c r="F56" s="191">
        <v>2</v>
      </c>
      <c r="G56" s="191"/>
      <c r="H56" s="191"/>
      <c r="I56" s="202"/>
      <c r="J56" s="190"/>
      <c r="K56" s="195"/>
      <c r="L56" s="193"/>
      <c r="M56" s="194">
        <v>2.68</v>
      </c>
      <c r="N56" s="193">
        <v>41837</v>
      </c>
      <c r="O56" s="137"/>
      <c r="P56" s="193"/>
      <c r="Q56" s="195"/>
      <c r="R56" s="194"/>
      <c r="S56" s="195">
        <v>7.33</v>
      </c>
      <c r="T56" s="193">
        <v>41837</v>
      </c>
      <c r="U56" s="192">
        <v>18</v>
      </c>
      <c r="V56" s="193"/>
      <c r="W56" s="195"/>
      <c r="X56" s="193"/>
      <c r="Y56" s="192">
        <f t="shared" si="0"/>
        <v>6.59246</v>
      </c>
      <c r="Z56" s="193">
        <v>41837</v>
      </c>
      <c r="AA56" s="195"/>
      <c r="AB56" s="193"/>
      <c r="AC56" s="195"/>
      <c r="AD56" s="193"/>
      <c r="AE56" s="195">
        <v>15.19</v>
      </c>
      <c r="AF56" s="193">
        <v>41837</v>
      </c>
      <c r="AG56" s="194">
        <v>5.18</v>
      </c>
      <c r="AH56" s="193">
        <v>41837</v>
      </c>
      <c r="AI56" s="193"/>
      <c r="AJ56" s="193"/>
      <c r="AK56" s="195"/>
      <c r="AL56" s="193"/>
      <c r="AM56" s="195">
        <v>96</v>
      </c>
      <c r="AN56" s="193"/>
      <c r="AO56" s="195"/>
      <c r="AP56" s="195"/>
      <c r="AQ56" s="195"/>
      <c r="AR56" s="195"/>
      <c r="AS56" s="195"/>
      <c r="AT56" s="195"/>
      <c r="AU56" s="195"/>
      <c r="AV56" s="195"/>
      <c r="AW56" s="195"/>
      <c r="AX56" s="195"/>
      <c r="AY56" s="195"/>
      <c r="AZ56" s="195"/>
      <c r="BA56" s="195"/>
      <c r="BB56" s="195"/>
      <c r="BC56" s="195"/>
      <c r="BD56" s="195"/>
      <c r="BM56" s="196">
        <v>64.02</v>
      </c>
      <c r="BN56" s="193">
        <v>41837</v>
      </c>
      <c r="BS56" s="196">
        <v>48.25</v>
      </c>
      <c r="BT56" s="193">
        <v>41837</v>
      </c>
      <c r="BU56" s="196">
        <v>43.4</v>
      </c>
      <c r="BV56" s="193">
        <v>41837</v>
      </c>
      <c r="BW56" s="196">
        <v>58.2</v>
      </c>
      <c r="BX56" s="193">
        <v>41837</v>
      </c>
      <c r="CC56" s="196">
        <v>6.4</v>
      </c>
      <c r="CD56" s="193">
        <v>41837</v>
      </c>
      <c r="CI56" s="196">
        <v>1</v>
      </c>
    </row>
    <row r="57" spans="1:91" s="196" customFormat="1">
      <c r="A57" s="159" t="s">
        <v>7671</v>
      </c>
      <c r="B57" s="112" t="s">
        <v>271</v>
      </c>
      <c r="C57" s="112">
        <v>1</v>
      </c>
      <c r="D57" s="112">
        <v>214</v>
      </c>
      <c r="E57" s="113">
        <v>20</v>
      </c>
      <c r="F57" s="113">
        <v>2</v>
      </c>
      <c r="G57" s="113"/>
      <c r="H57" s="113"/>
      <c r="I57" s="199"/>
      <c r="J57" s="112"/>
      <c r="K57" s="137"/>
      <c r="L57" s="157"/>
      <c r="M57" s="185">
        <v>4.8600000000000003</v>
      </c>
      <c r="N57" s="157">
        <v>41837</v>
      </c>
      <c r="O57" s="137"/>
      <c r="P57" s="157"/>
      <c r="Q57" s="137"/>
      <c r="R57" s="185"/>
      <c r="S57" s="137">
        <v>13.3</v>
      </c>
      <c r="T57" s="157">
        <v>41837</v>
      </c>
      <c r="U57" s="142">
        <v>18</v>
      </c>
      <c r="V57" s="157"/>
      <c r="W57" s="137"/>
      <c r="X57" s="157"/>
      <c r="Y57" s="142">
        <f t="shared" si="0"/>
        <v>10.853980000000002</v>
      </c>
      <c r="Z57" s="157">
        <v>41837</v>
      </c>
      <c r="AA57" s="137"/>
      <c r="AB57" s="157"/>
      <c r="AC57" s="137"/>
      <c r="AD57" s="157"/>
      <c r="AE57" s="137">
        <v>27.34</v>
      </c>
      <c r="AF57" s="157">
        <v>41837</v>
      </c>
      <c r="AG57" s="185">
        <v>4.8899999999999997</v>
      </c>
      <c r="AH57" s="157">
        <v>41837</v>
      </c>
      <c r="AI57" s="157"/>
      <c r="AJ57" s="157"/>
      <c r="AK57" s="137"/>
      <c r="AL57" s="157"/>
      <c r="AM57" s="137">
        <v>96</v>
      </c>
      <c r="AN57" s="15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8"/>
      <c r="BF57" s="138"/>
      <c r="BG57" s="138"/>
      <c r="BH57" s="138"/>
      <c r="BI57" s="138"/>
      <c r="BJ57" s="138"/>
      <c r="BK57" s="138"/>
      <c r="BL57" s="138"/>
      <c r="BM57" s="138">
        <v>62.34</v>
      </c>
      <c r="BN57" s="157">
        <v>41837</v>
      </c>
      <c r="BO57" s="138"/>
      <c r="BP57" s="138"/>
      <c r="BQ57" s="138"/>
      <c r="BR57" s="138"/>
      <c r="BS57" s="138">
        <v>48.64</v>
      </c>
      <c r="BT57" s="157">
        <v>41837</v>
      </c>
      <c r="BU57" s="138">
        <v>39.700000000000003</v>
      </c>
      <c r="BV57" s="157">
        <v>41837</v>
      </c>
      <c r="BW57" s="138">
        <v>13.8</v>
      </c>
      <c r="BX57" s="157">
        <v>41837</v>
      </c>
      <c r="BY57" s="138"/>
      <c r="BZ57" s="138"/>
      <c r="CA57" s="138"/>
      <c r="CB57" s="138"/>
      <c r="CC57" s="138">
        <v>7.1</v>
      </c>
      <c r="CD57" s="157">
        <v>41837</v>
      </c>
      <c r="CE57" s="138"/>
      <c r="CF57" s="138"/>
      <c r="CG57" s="138"/>
      <c r="CH57" s="138"/>
      <c r="CI57" s="138">
        <v>7</v>
      </c>
      <c r="CJ57" s="138"/>
      <c r="CK57" s="138"/>
      <c r="CL57" s="138"/>
      <c r="CM57" s="138"/>
    </row>
    <row r="58" spans="1:91">
      <c r="A58" s="159" t="s">
        <v>7706</v>
      </c>
      <c r="B58" s="112" t="s">
        <v>271</v>
      </c>
      <c r="C58" s="112">
        <v>1</v>
      </c>
      <c r="D58" s="112">
        <v>173</v>
      </c>
      <c r="E58" s="113">
        <v>21</v>
      </c>
      <c r="F58" s="113">
        <v>2</v>
      </c>
      <c r="I58" s="199"/>
      <c r="M58" s="185">
        <v>6.48</v>
      </c>
      <c r="N58" s="157">
        <v>41837</v>
      </c>
      <c r="R58" s="185"/>
      <c r="S58" s="137">
        <v>18.920000000000002</v>
      </c>
      <c r="T58" s="157">
        <v>41837</v>
      </c>
      <c r="U58" s="142">
        <v>18</v>
      </c>
      <c r="Y58" s="142">
        <f t="shared" si="0"/>
        <v>13.917930000000002</v>
      </c>
      <c r="Z58" s="157">
        <v>41837</v>
      </c>
      <c r="AE58" s="137">
        <v>36.53</v>
      </c>
      <c r="AF58" s="157">
        <v>41837</v>
      </c>
      <c r="AG58" s="185">
        <v>4.8</v>
      </c>
      <c r="AH58" s="157">
        <v>41837</v>
      </c>
      <c r="AM58" s="137">
        <v>94</v>
      </c>
      <c r="BM58" s="138">
        <v>61.85</v>
      </c>
      <c r="BN58" s="157">
        <v>41837</v>
      </c>
      <c r="BS58" s="138">
        <v>51.78</v>
      </c>
      <c r="BT58" s="157">
        <v>41837</v>
      </c>
      <c r="BU58" s="138">
        <v>38.1</v>
      </c>
      <c r="BV58" s="157">
        <v>41837</v>
      </c>
      <c r="BW58" s="138">
        <v>13.1</v>
      </c>
      <c r="BX58" s="157">
        <v>41837</v>
      </c>
      <c r="CC58" s="138">
        <v>6.9</v>
      </c>
      <c r="CD58" s="157">
        <v>41837</v>
      </c>
      <c r="CI58" s="138">
        <v>3</v>
      </c>
    </row>
    <row r="59" spans="1:91">
      <c r="A59" s="159" t="s">
        <v>7641</v>
      </c>
      <c r="B59" s="112" t="s">
        <v>271</v>
      </c>
      <c r="C59" s="112">
        <v>1</v>
      </c>
      <c r="D59" s="112">
        <v>100</v>
      </c>
      <c r="E59" s="113">
        <v>22</v>
      </c>
      <c r="F59" s="113">
        <v>2</v>
      </c>
      <c r="I59" s="199"/>
      <c r="M59" s="185">
        <v>5.82</v>
      </c>
      <c r="N59" s="157">
        <v>41837</v>
      </c>
      <c r="R59" s="185"/>
      <c r="S59" s="137">
        <v>17.010000000000002</v>
      </c>
      <c r="T59" s="157">
        <v>41837</v>
      </c>
      <c r="U59" s="142">
        <v>18</v>
      </c>
      <c r="Y59" s="142">
        <f t="shared" si="0"/>
        <v>13.645200000000003</v>
      </c>
      <c r="Z59" s="157">
        <v>41837</v>
      </c>
      <c r="AE59" s="137">
        <v>32.880000000000003</v>
      </c>
      <c r="AF59" s="157">
        <v>41837</v>
      </c>
      <c r="AG59" s="185">
        <v>5.04</v>
      </c>
      <c r="AH59" s="157">
        <v>41837</v>
      </c>
      <c r="AM59" s="137">
        <v>96</v>
      </c>
      <c r="BM59" s="138">
        <v>64.150000000000006</v>
      </c>
      <c r="BN59" s="157">
        <v>41837</v>
      </c>
      <c r="BS59" s="138">
        <v>51.74</v>
      </c>
      <c r="BT59" s="157">
        <v>41837</v>
      </c>
      <c r="BU59" s="138">
        <v>41.5</v>
      </c>
      <c r="BV59" s="157">
        <v>41837</v>
      </c>
      <c r="BW59" s="138">
        <v>43</v>
      </c>
      <c r="BX59" s="157">
        <v>41837</v>
      </c>
      <c r="CC59" s="138">
        <v>6.7</v>
      </c>
      <c r="CD59" s="157">
        <v>41837</v>
      </c>
      <c r="CI59" s="138">
        <v>3</v>
      </c>
    </row>
    <row r="60" spans="1:91">
      <c r="A60" s="159" t="s">
        <v>7794</v>
      </c>
      <c r="B60" s="112" t="s">
        <v>271</v>
      </c>
      <c r="C60" s="112">
        <v>1</v>
      </c>
      <c r="D60" s="112">
        <v>200</v>
      </c>
      <c r="E60" s="113">
        <v>23</v>
      </c>
      <c r="F60" s="113">
        <v>2</v>
      </c>
      <c r="I60" s="199"/>
      <c r="M60" s="185">
        <v>6.39</v>
      </c>
      <c r="N60" s="157">
        <v>41837</v>
      </c>
      <c r="R60" s="185"/>
      <c r="S60" s="137">
        <v>17.8</v>
      </c>
      <c r="T60" s="157">
        <v>41837</v>
      </c>
      <c r="U60" s="142">
        <v>18</v>
      </c>
      <c r="Y60" s="142">
        <f t="shared" si="0"/>
        <v>13.5375</v>
      </c>
      <c r="Z60" s="157">
        <v>41837</v>
      </c>
      <c r="AE60" s="137">
        <v>36.1</v>
      </c>
      <c r="AF60" s="157">
        <v>41837</v>
      </c>
      <c r="AG60" s="185">
        <v>4.96</v>
      </c>
      <c r="AH60" s="157">
        <v>41837</v>
      </c>
      <c r="AM60" s="137">
        <v>96</v>
      </c>
      <c r="BM60" s="138">
        <v>62.66</v>
      </c>
      <c r="BN60" s="157">
        <v>41837</v>
      </c>
      <c r="BS60" s="138">
        <v>49.31</v>
      </c>
      <c r="BT60" s="157">
        <v>41837</v>
      </c>
      <c r="BU60" s="138">
        <v>37.5</v>
      </c>
      <c r="BV60" s="157">
        <v>41837</v>
      </c>
      <c r="BW60" s="138">
        <v>12.8</v>
      </c>
      <c r="BX60" s="157">
        <v>41837</v>
      </c>
      <c r="CC60" s="138">
        <v>6.7</v>
      </c>
      <c r="CD60" s="157">
        <v>41837</v>
      </c>
      <c r="CI60" s="138">
        <v>7</v>
      </c>
    </row>
    <row r="61" spans="1:91">
      <c r="A61" s="189" t="s">
        <v>7665</v>
      </c>
      <c r="B61" s="190" t="s">
        <v>271</v>
      </c>
      <c r="C61" s="190">
        <v>1</v>
      </c>
      <c r="D61" s="190">
        <v>11</v>
      </c>
      <c r="E61" s="191">
        <v>24</v>
      </c>
      <c r="F61" s="191">
        <v>2</v>
      </c>
      <c r="G61" s="191"/>
      <c r="H61" s="191"/>
      <c r="I61" s="250"/>
      <c r="J61" s="190"/>
      <c r="K61" s="192"/>
      <c r="L61" s="193"/>
      <c r="M61" s="194">
        <v>6.56</v>
      </c>
      <c r="N61" s="193">
        <v>41837</v>
      </c>
      <c r="P61" s="193"/>
      <c r="Q61" s="192"/>
      <c r="R61" s="194"/>
      <c r="S61" s="192">
        <v>18.899999999999999</v>
      </c>
      <c r="T61" s="193">
        <v>41837</v>
      </c>
      <c r="U61" s="192">
        <v>18</v>
      </c>
      <c r="V61" s="193"/>
      <c r="W61" s="192"/>
      <c r="X61" s="193"/>
      <c r="Y61" s="192">
        <f t="shared" si="0"/>
        <v>14.533139999999998</v>
      </c>
      <c r="Z61" s="193">
        <v>41837</v>
      </c>
      <c r="AA61" s="192"/>
      <c r="AB61" s="193"/>
      <c r="AC61" s="195"/>
      <c r="AD61" s="193"/>
      <c r="AE61" s="192">
        <v>36.979999999999997</v>
      </c>
      <c r="AF61" s="193">
        <v>41837</v>
      </c>
      <c r="AG61" s="194">
        <v>4.82</v>
      </c>
      <c r="AH61" s="193">
        <v>41837</v>
      </c>
      <c r="AI61" s="193"/>
      <c r="AJ61" s="193"/>
      <c r="AK61" s="192"/>
      <c r="AL61" s="193"/>
      <c r="AM61" s="192">
        <v>96</v>
      </c>
      <c r="AN61" s="193"/>
      <c r="AO61" s="195"/>
      <c r="AP61" s="195"/>
      <c r="AQ61" s="195"/>
      <c r="AR61" s="195"/>
      <c r="AS61" s="195"/>
      <c r="AT61" s="195"/>
      <c r="AU61" s="195"/>
      <c r="AV61" s="195"/>
      <c r="AW61" s="195"/>
      <c r="AX61" s="195"/>
      <c r="AY61" s="195"/>
      <c r="AZ61" s="195"/>
      <c r="BA61" s="195"/>
      <c r="BB61" s="195"/>
      <c r="BC61" s="195"/>
      <c r="BD61" s="195"/>
      <c r="BE61" s="196"/>
      <c r="BF61" s="196"/>
      <c r="BG61" s="196"/>
      <c r="BH61" s="196"/>
      <c r="BI61" s="196"/>
      <c r="BJ61" s="196"/>
      <c r="BK61" s="196"/>
      <c r="BL61" s="196"/>
      <c r="BM61" s="196">
        <v>61.94</v>
      </c>
      <c r="BN61" s="193">
        <v>41837</v>
      </c>
      <c r="BO61" s="196"/>
      <c r="BP61" s="196"/>
      <c r="BQ61" s="196"/>
      <c r="BR61" s="196"/>
      <c r="BS61" s="196">
        <v>51.11</v>
      </c>
      <c r="BT61" s="193">
        <v>41837</v>
      </c>
      <c r="BU61" s="196">
        <v>39.299999999999997</v>
      </c>
      <c r="BV61" s="193">
        <v>41837</v>
      </c>
      <c r="BW61" s="196">
        <v>12.3</v>
      </c>
      <c r="BX61" s="193">
        <v>41837</v>
      </c>
      <c r="BY61" s="196"/>
      <c r="BZ61" s="196"/>
      <c r="CA61" s="196"/>
      <c r="CB61" s="196"/>
      <c r="CC61" s="196">
        <v>6.9</v>
      </c>
      <c r="CD61" s="193">
        <v>41837</v>
      </c>
      <c r="CE61" s="196"/>
      <c r="CF61" s="196"/>
      <c r="CG61" s="196"/>
      <c r="CH61" s="196"/>
      <c r="CI61" s="196">
        <v>7</v>
      </c>
      <c r="CJ61" s="196"/>
      <c r="CK61" s="196"/>
      <c r="CL61" s="196"/>
      <c r="CM61" s="196"/>
    </row>
    <row r="62" spans="1:91">
      <c r="A62" s="159" t="s">
        <v>7728</v>
      </c>
      <c r="B62" s="112" t="s">
        <v>271</v>
      </c>
      <c r="C62" s="112">
        <v>1</v>
      </c>
      <c r="D62" s="112">
        <v>160</v>
      </c>
      <c r="E62" s="113">
        <v>25</v>
      </c>
      <c r="F62" s="113">
        <v>2</v>
      </c>
      <c r="I62" s="199"/>
      <c r="M62" s="185">
        <v>7.89</v>
      </c>
      <c r="N62" s="157">
        <v>41837</v>
      </c>
      <c r="R62" s="185"/>
      <c r="S62" s="137">
        <v>23.07</v>
      </c>
      <c r="T62" s="157">
        <v>41837</v>
      </c>
      <c r="U62" s="142">
        <v>18</v>
      </c>
      <c r="Y62" s="142">
        <f t="shared" si="0"/>
        <v>16.405439999999999</v>
      </c>
      <c r="Z62" s="157">
        <v>41837</v>
      </c>
      <c r="AE62" s="137">
        <v>44.58</v>
      </c>
      <c r="AF62" s="157">
        <v>41837</v>
      </c>
      <c r="AG62" s="185">
        <v>4.63</v>
      </c>
      <c r="AH62" s="157">
        <v>41837</v>
      </c>
      <c r="AM62" s="137">
        <v>94</v>
      </c>
      <c r="BM62" s="138">
        <v>59.82</v>
      </c>
      <c r="BN62" s="157">
        <v>41837</v>
      </c>
      <c r="BS62" s="138">
        <v>51.74</v>
      </c>
      <c r="BT62" s="157">
        <v>41837</v>
      </c>
      <c r="BU62" s="138">
        <v>36.799999999999997</v>
      </c>
      <c r="BV62" s="157">
        <v>41837</v>
      </c>
      <c r="BW62" s="138">
        <v>19.7</v>
      </c>
      <c r="BX62" s="157">
        <v>41837</v>
      </c>
      <c r="CC62" s="138">
        <v>6.7</v>
      </c>
      <c r="CD62" s="157">
        <v>41837</v>
      </c>
      <c r="CI62" s="138">
        <v>7</v>
      </c>
    </row>
    <row r="63" spans="1:91">
      <c r="A63" s="159" t="s">
        <v>7672</v>
      </c>
      <c r="B63" s="112" t="s">
        <v>271</v>
      </c>
      <c r="C63" s="112">
        <v>1</v>
      </c>
      <c r="D63" s="112">
        <v>216</v>
      </c>
      <c r="E63" s="113">
        <v>26</v>
      </c>
      <c r="F63" s="113">
        <v>2</v>
      </c>
      <c r="I63" s="199"/>
      <c r="M63" s="185">
        <v>5.95</v>
      </c>
      <c r="N63" s="157">
        <v>41837</v>
      </c>
      <c r="R63" s="185"/>
      <c r="T63" s="157">
        <v>41837</v>
      </c>
      <c r="U63" s="142">
        <v>18</v>
      </c>
      <c r="Y63" s="142">
        <f t="shared" si="0"/>
        <v>0</v>
      </c>
      <c r="Z63" s="157">
        <v>41837</v>
      </c>
      <c r="AE63" s="137">
        <v>33.72</v>
      </c>
      <c r="AF63" s="157">
        <v>41837</v>
      </c>
      <c r="AG63" s="185"/>
      <c r="AH63" s="157">
        <v>41837</v>
      </c>
      <c r="AM63" s="137">
        <v>94</v>
      </c>
      <c r="BN63" s="157">
        <v>41837</v>
      </c>
      <c r="BT63" s="157">
        <v>41837</v>
      </c>
      <c r="BV63" s="157">
        <v>41837</v>
      </c>
      <c r="BX63" s="157">
        <v>41837</v>
      </c>
      <c r="CC63" s="138">
        <v>6.4</v>
      </c>
      <c r="CD63" s="157">
        <v>41837</v>
      </c>
      <c r="CI63" s="138">
        <v>7</v>
      </c>
    </row>
    <row r="64" spans="1:91">
      <c r="A64" s="159" t="s">
        <v>7634</v>
      </c>
      <c r="B64" s="112" t="s">
        <v>271</v>
      </c>
      <c r="C64" s="112">
        <v>1</v>
      </c>
      <c r="D64" s="112">
        <v>16</v>
      </c>
      <c r="E64" s="113">
        <v>27</v>
      </c>
      <c r="F64" s="113">
        <v>2</v>
      </c>
      <c r="I64" s="249"/>
      <c r="K64" s="142"/>
      <c r="M64" s="185">
        <v>3.51</v>
      </c>
      <c r="N64" s="157">
        <v>41837</v>
      </c>
      <c r="Q64" s="142"/>
      <c r="R64" s="185"/>
      <c r="S64" s="142">
        <v>9.32</v>
      </c>
      <c r="T64" s="157">
        <v>41837</v>
      </c>
      <c r="U64" s="142">
        <v>18</v>
      </c>
      <c r="W64" s="142"/>
      <c r="Y64" s="142">
        <f t="shared" si="0"/>
        <v>8.0476799999999997</v>
      </c>
      <c r="Z64" s="157">
        <v>41837</v>
      </c>
      <c r="AA64" s="142"/>
      <c r="AE64" s="142">
        <v>19.920000000000002</v>
      </c>
      <c r="AF64" s="157">
        <v>41837</v>
      </c>
      <c r="AG64" s="185">
        <v>4.57</v>
      </c>
      <c r="AH64" s="157">
        <v>41837</v>
      </c>
      <c r="AK64" s="142"/>
      <c r="AM64" s="142">
        <v>76</v>
      </c>
      <c r="BM64" s="138">
        <v>63.54</v>
      </c>
      <c r="BN64" s="157">
        <v>41837</v>
      </c>
      <c r="BS64" s="138">
        <v>46.81</v>
      </c>
      <c r="BT64" s="157">
        <v>41837</v>
      </c>
      <c r="BU64" s="138">
        <v>40.4</v>
      </c>
      <c r="BV64" s="157">
        <v>41837</v>
      </c>
      <c r="BW64" s="138">
        <v>47.1</v>
      </c>
      <c r="BX64" s="157">
        <v>41837</v>
      </c>
      <c r="CC64" s="138">
        <v>6.3</v>
      </c>
      <c r="CD64" s="157">
        <v>41837</v>
      </c>
      <c r="CI64" s="138">
        <v>3</v>
      </c>
    </row>
    <row r="65" spans="1:91">
      <c r="A65" s="159" t="s">
        <v>7781</v>
      </c>
      <c r="B65" s="112" t="s">
        <v>271</v>
      </c>
      <c r="C65" s="112">
        <v>1</v>
      </c>
      <c r="D65" s="112">
        <v>63</v>
      </c>
      <c r="E65" s="113">
        <v>28</v>
      </c>
      <c r="F65" s="113">
        <v>2</v>
      </c>
      <c r="I65" s="199"/>
      <c r="M65" s="185">
        <v>6.05</v>
      </c>
      <c r="N65" s="157">
        <v>41837</v>
      </c>
      <c r="R65" s="185"/>
      <c r="S65" s="137">
        <v>16.86</v>
      </c>
      <c r="T65" s="157">
        <v>41837</v>
      </c>
      <c r="U65" s="142">
        <v>18</v>
      </c>
      <c r="Y65" s="142">
        <f t="shared" si="0"/>
        <v>12.70008</v>
      </c>
      <c r="Z65" s="157">
        <v>41837</v>
      </c>
      <c r="AE65" s="137">
        <v>34.14</v>
      </c>
      <c r="AF65" s="157">
        <v>41837</v>
      </c>
      <c r="AG65" s="185">
        <v>5.09</v>
      </c>
      <c r="AH65" s="157">
        <v>41837</v>
      </c>
      <c r="AM65" s="137">
        <v>92</v>
      </c>
      <c r="BM65" s="138">
        <v>60.73</v>
      </c>
      <c r="BN65" s="157">
        <v>41837</v>
      </c>
      <c r="BS65" s="138">
        <v>49.39</v>
      </c>
      <c r="BT65" s="157">
        <v>41837</v>
      </c>
      <c r="BU65" s="138">
        <v>37.200000000000003</v>
      </c>
      <c r="BV65" s="157">
        <v>41837</v>
      </c>
      <c r="BW65" s="138">
        <v>15.5</v>
      </c>
      <c r="BX65" s="157">
        <v>41837</v>
      </c>
      <c r="CC65" s="138">
        <v>6.8</v>
      </c>
      <c r="CD65" s="157">
        <v>41837</v>
      </c>
      <c r="CI65" s="138">
        <v>7</v>
      </c>
    </row>
    <row r="66" spans="1:91">
      <c r="A66" s="159" t="s">
        <v>7722</v>
      </c>
      <c r="B66" s="112" t="s">
        <v>271</v>
      </c>
      <c r="C66" s="112">
        <v>1</v>
      </c>
      <c r="D66" s="112">
        <v>195</v>
      </c>
      <c r="E66" s="113">
        <v>29</v>
      </c>
      <c r="F66" s="113">
        <v>2</v>
      </c>
      <c r="I66" s="199"/>
      <c r="M66" s="185">
        <v>6.38</v>
      </c>
      <c r="N66" s="157">
        <v>41837</v>
      </c>
      <c r="R66" s="185"/>
      <c r="S66" s="137">
        <v>18.04</v>
      </c>
      <c r="T66" s="157">
        <v>41837</v>
      </c>
      <c r="U66" s="142">
        <v>18</v>
      </c>
      <c r="Y66" s="142">
        <f t="shared" ref="Y66:Y129" si="1">(AE66*BU66)/100</f>
        <v>13.446649999999998</v>
      </c>
      <c r="Z66" s="157">
        <v>41837</v>
      </c>
      <c r="AE66" s="137">
        <v>36.049999999999997</v>
      </c>
      <c r="AF66" s="157">
        <v>41837</v>
      </c>
      <c r="AG66" s="185">
        <v>4.5599999999999996</v>
      </c>
      <c r="AH66" s="157">
        <v>41837</v>
      </c>
      <c r="AM66" s="137">
        <v>85</v>
      </c>
      <c r="BM66" s="138">
        <v>60.62</v>
      </c>
      <c r="BN66" s="157">
        <v>41837</v>
      </c>
      <c r="BS66" s="138">
        <v>50.04</v>
      </c>
      <c r="BT66" s="157">
        <v>41837</v>
      </c>
      <c r="BU66" s="138">
        <v>37.299999999999997</v>
      </c>
      <c r="BV66" s="157">
        <v>41837</v>
      </c>
      <c r="BW66" s="138">
        <v>16.7</v>
      </c>
      <c r="BX66" s="157">
        <v>41837</v>
      </c>
      <c r="CC66" s="138">
        <v>6.7</v>
      </c>
      <c r="CD66" s="157">
        <v>41837</v>
      </c>
      <c r="CI66" s="138">
        <v>5</v>
      </c>
    </row>
    <row r="67" spans="1:91">
      <c r="A67" s="159" t="s">
        <v>7694</v>
      </c>
      <c r="B67" s="112" t="s">
        <v>271</v>
      </c>
      <c r="C67" s="112">
        <v>1</v>
      </c>
      <c r="D67" s="112">
        <v>186</v>
      </c>
      <c r="E67" s="113">
        <v>30</v>
      </c>
      <c r="F67" s="113">
        <v>2</v>
      </c>
      <c r="I67" s="199"/>
      <c r="M67" s="185">
        <v>5.61</v>
      </c>
      <c r="N67" s="157">
        <v>41837</v>
      </c>
      <c r="R67" s="185"/>
      <c r="S67" s="137">
        <v>16.05</v>
      </c>
      <c r="T67" s="157">
        <v>41837</v>
      </c>
      <c r="U67" s="142">
        <v>18</v>
      </c>
      <c r="Y67" s="142">
        <f t="shared" si="1"/>
        <v>12.0204</v>
      </c>
      <c r="Z67" s="157">
        <v>41837</v>
      </c>
      <c r="AE67" s="137">
        <v>31.8</v>
      </c>
      <c r="AF67" s="157">
        <v>41837</v>
      </c>
      <c r="AG67" s="185">
        <v>4.8499999999999996</v>
      </c>
      <c r="AH67" s="157">
        <v>41837</v>
      </c>
      <c r="AM67" s="137">
        <v>96</v>
      </c>
      <c r="BM67" s="138">
        <v>61.24</v>
      </c>
      <c r="BN67" s="157">
        <v>41837</v>
      </c>
      <c r="BS67" s="138">
        <v>50.48</v>
      </c>
      <c r="BT67" s="157">
        <v>41837</v>
      </c>
      <c r="BU67" s="138">
        <v>37.799999999999997</v>
      </c>
      <c r="BV67" s="157">
        <v>41837</v>
      </c>
      <c r="BW67" s="138">
        <v>17.899999999999999</v>
      </c>
      <c r="BX67" s="157">
        <v>41837</v>
      </c>
      <c r="CC67" s="138">
        <v>6.4</v>
      </c>
      <c r="CD67" s="157">
        <v>41837</v>
      </c>
      <c r="CI67" s="138">
        <v>7</v>
      </c>
    </row>
    <row r="68" spans="1:91">
      <c r="A68" s="189" t="s">
        <v>7752</v>
      </c>
      <c r="B68" s="190" t="s">
        <v>271</v>
      </c>
      <c r="C68" s="190">
        <v>1</v>
      </c>
      <c r="D68" s="190">
        <v>9</v>
      </c>
      <c r="E68" s="191">
        <v>31</v>
      </c>
      <c r="F68" s="191">
        <v>2</v>
      </c>
      <c r="G68" s="191"/>
      <c r="H68" s="191"/>
      <c r="I68" s="250"/>
      <c r="J68" s="190"/>
      <c r="K68" s="192"/>
      <c r="L68" s="193"/>
      <c r="M68" s="194">
        <v>5.54</v>
      </c>
      <c r="N68" s="193">
        <v>41837</v>
      </c>
      <c r="P68" s="193"/>
      <c r="Q68" s="192"/>
      <c r="R68" s="194"/>
      <c r="S68" s="192">
        <v>15.8</v>
      </c>
      <c r="T68" s="193">
        <v>41837</v>
      </c>
      <c r="U68" s="192">
        <v>18</v>
      </c>
      <c r="V68" s="193"/>
      <c r="W68" s="192"/>
      <c r="X68" s="193"/>
      <c r="Y68" s="192">
        <f t="shared" si="1"/>
        <v>12.682409999999997</v>
      </c>
      <c r="Z68" s="193">
        <v>41837</v>
      </c>
      <c r="AA68" s="192"/>
      <c r="AB68" s="193"/>
      <c r="AC68" s="195"/>
      <c r="AD68" s="193"/>
      <c r="AE68" s="192">
        <v>31.47</v>
      </c>
      <c r="AF68" s="193">
        <v>41837</v>
      </c>
      <c r="AG68" s="194">
        <v>5.64</v>
      </c>
      <c r="AH68" s="193">
        <v>41837</v>
      </c>
      <c r="AI68" s="193"/>
      <c r="AJ68" s="193"/>
      <c r="AK68" s="192"/>
      <c r="AL68" s="193"/>
      <c r="AM68" s="192">
        <v>83</v>
      </c>
      <c r="AN68" s="193"/>
      <c r="AO68" s="195"/>
      <c r="AP68" s="195"/>
      <c r="AQ68" s="195"/>
      <c r="AR68" s="195"/>
      <c r="AS68" s="195"/>
      <c r="AT68" s="195"/>
      <c r="AU68" s="195"/>
      <c r="AV68" s="195"/>
      <c r="AW68" s="195"/>
      <c r="AX68" s="195"/>
      <c r="AY68" s="195"/>
      <c r="AZ68" s="195"/>
      <c r="BA68" s="195"/>
      <c r="BB68" s="195"/>
      <c r="BC68" s="195"/>
      <c r="BD68" s="195"/>
      <c r="BE68" s="196"/>
      <c r="BF68" s="196"/>
      <c r="BG68" s="196"/>
      <c r="BH68" s="196"/>
      <c r="BI68" s="196"/>
      <c r="BJ68" s="196"/>
      <c r="BK68" s="196"/>
      <c r="BL68" s="196"/>
      <c r="BM68" s="196">
        <v>60.5</v>
      </c>
      <c r="BN68" s="193">
        <v>41837</v>
      </c>
      <c r="BO68" s="196"/>
      <c r="BP68" s="196"/>
      <c r="BQ68" s="196"/>
      <c r="BR68" s="196"/>
      <c r="BS68" s="196">
        <v>50.21</v>
      </c>
      <c r="BT68" s="193">
        <v>41837</v>
      </c>
      <c r="BU68" s="196">
        <v>40.299999999999997</v>
      </c>
      <c r="BV68" s="193">
        <v>41837</v>
      </c>
      <c r="BW68" s="196">
        <v>57.7</v>
      </c>
      <c r="BX68" s="193">
        <v>41837</v>
      </c>
      <c r="BY68" s="196"/>
      <c r="BZ68" s="196"/>
      <c r="CA68" s="196"/>
      <c r="CB68" s="196"/>
      <c r="CC68" s="196">
        <v>6.2</v>
      </c>
      <c r="CD68" s="193">
        <v>41837</v>
      </c>
      <c r="CE68" s="196"/>
      <c r="CF68" s="196"/>
      <c r="CG68" s="196"/>
      <c r="CH68" s="196"/>
      <c r="CI68" s="196">
        <v>1</v>
      </c>
      <c r="CJ68" s="196"/>
      <c r="CK68" s="196"/>
      <c r="CL68" s="196"/>
      <c r="CM68" s="196"/>
    </row>
    <row r="69" spans="1:91">
      <c r="A69" s="159" t="s">
        <v>7615</v>
      </c>
      <c r="B69" s="112" t="s">
        <v>271</v>
      </c>
      <c r="C69" s="112">
        <v>1</v>
      </c>
      <c r="D69" s="112">
        <v>88</v>
      </c>
      <c r="E69" s="113">
        <v>32</v>
      </c>
      <c r="F69" s="113">
        <v>2</v>
      </c>
      <c r="I69" s="199"/>
      <c r="M69" s="185">
        <v>3.11</v>
      </c>
      <c r="N69" s="157">
        <v>41837</v>
      </c>
      <c r="R69" s="185"/>
      <c r="S69" s="137">
        <v>8.42</v>
      </c>
      <c r="T69" s="157">
        <v>41837</v>
      </c>
      <c r="U69" s="142">
        <v>18</v>
      </c>
      <c r="Y69" s="142">
        <f t="shared" si="1"/>
        <v>7.2446999999999999</v>
      </c>
      <c r="Z69" s="157">
        <v>41837</v>
      </c>
      <c r="AE69" s="137">
        <v>17.670000000000002</v>
      </c>
      <c r="AF69" s="157">
        <v>41837</v>
      </c>
      <c r="AG69" s="185">
        <v>4.97</v>
      </c>
      <c r="AH69" s="157">
        <v>41837</v>
      </c>
      <c r="AM69" s="137">
        <v>90</v>
      </c>
      <c r="BM69" s="138">
        <v>61.48</v>
      </c>
      <c r="BN69" s="157">
        <v>41837</v>
      </c>
      <c r="BS69" s="138">
        <v>47.65</v>
      </c>
      <c r="BT69" s="157">
        <v>41837</v>
      </c>
      <c r="BU69" s="138">
        <v>41</v>
      </c>
      <c r="BV69" s="157">
        <v>41837</v>
      </c>
      <c r="BW69" s="138">
        <v>61.4</v>
      </c>
      <c r="BX69" s="157">
        <v>41837</v>
      </c>
      <c r="CC69" s="138">
        <v>6.2</v>
      </c>
      <c r="CD69" s="157">
        <v>41837</v>
      </c>
      <c r="CI69" s="138">
        <v>1</v>
      </c>
    </row>
    <row r="70" spans="1:91">
      <c r="A70" s="159" t="s">
        <v>7693</v>
      </c>
      <c r="B70" s="112" t="s">
        <v>271</v>
      </c>
      <c r="C70" s="112">
        <v>1</v>
      </c>
      <c r="D70" s="112">
        <v>36</v>
      </c>
      <c r="E70" s="113">
        <v>33</v>
      </c>
      <c r="F70" s="113">
        <v>2</v>
      </c>
      <c r="I70" s="199"/>
      <c r="M70" s="185">
        <v>5.63</v>
      </c>
      <c r="N70" s="157">
        <v>41837</v>
      </c>
      <c r="R70" s="185"/>
      <c r="S70" s="137">
        <v>16.07</v>
      </c>
      <c r="T70" s="157">
        <v>41837</v>
      </c>
      <c r="U70" s="142">
        <v>18</v>
      </c>
      <c r="Y70" s="142">
        <f t="shared" si="1"/>
        <v>11.844480000000001</v>
      </c>
      <c r="Z70" s="157">
        <v>41837</v>
      </c>
      <c r="AE70" s="137">
        <v>31.84</v>
      </c>
      <c r="AF70" s="157">
        <v>41837</v>
      </c>
      <c r="AG70" s="185">
        <v>4.7</v>
      </c>
      <c r="AH70" s="157">
        <v>41837</v>
      </c>
      <c r="AM70" s="137">
        <v>85</v>
      </c>
      <c r="BM70" s="138">
        <v>60.36</v>
      </c>
      <c r="BN70" s="157">
        <v>41837</v>
      </c>
      <c r="BS70" s="138">
        <v>50.46</v>
      </c>
      <c r="BT70" s="157">
        <v>41837</v>
      </c>
      <c r="BU70" s="138">
        <v>37.200000000000003</v>
      </c>
      <c r="BV70" s="157">
        <v>41837</v>
      </c>
      <c r="BW70" s="138">
        <v>17.8</v>
      </c>
      <c r="BX70" s="157">
        <v>41837</v>
      </c>
      <c r="CC70" s="138">
        <v>6.6</v>
      </c>
      <c r="CD70" s="157">
        <v>41837</v>
      </c>
      <c r="CI70" s="138">
        <v>5</v>
      </c>
    </row>
    <row r="71" spans="1:91">
      <c r="A71" s="159" t="s">
        <v>7637</v>
      </c>
      <c r="B71" s="112" t="s">
        <v>271</v>
      </c>
      <c r="C71" s="112">
        <v>1</v>
      </c>
      <c r="D71" s="112">
        <v>192</v>
      </c>
      <c r="E71" s="113">
        <v>34</v>
      </c>
      <c r="F71" s="113">
        <v>2</v>
      </c>
      <c r="I71" s="199"/>
      <c r="M71" s="185">
        <v>4.3600000000000003</v>
      </c>
      <c r="N71" s="157">
        <v>41837</v>
      </c>
      <c r="R71" s="185"/>
      <c r="S71" s="137">
        <v>12.09</v>
      </c>
      <c r="T71" s="157">
        <v>41837</v>
      </c>
      <c r="U71" s="142">
        <v>18</v>
      </c>
      <c r="Y71" s="142">
        <f t="shared" si="1"/>
        <v>9.6044099999999997</v>
      </c>
      <c r="Z71" s="157">
        <v>41837</v>
      </c>
      <c r="AE71" s="137">
        <v>24.69</v>
      </c>
      <c r="AF71" s="157">
        <v>41837</v>
      </c>
      <c r="AG71" s="185">
        <v>5.12</v>
      </c>
      <c r="AH71" s="157">
        <v>41837</v>
      </c>
      <c r="AM71" s="137">
        <v>96</v>
      </c>
      <c r="BM71" s="138">
        <v>63.77</v>
      </c>
      <c r="BN71" s="157">
        <v>41837</v>
      </c>
      <c r="BS71" s="138">
        <v>48.96</v>
      </c>
      <c r="BT71" s="157">
        <v>41837</v>
      </c>
      <c r="BU71" s="138">
        <v>38.9</v>
      </c>
      <c r="BV71" s="157">
        <v>41837</v>
      </c>
      <c r="BW71" s="138">
        <v>54.2</v>
      </c>
      <c r="BX71" s="157">
        <v>41837</v>
      </c>
      <c r="CC71" s="138">
        <v>6.5</v>
      </c>
      <c r="CD71" s="157">
        <v>41837</v>
      </c>
      <c r="CI71" s="138">
        <v>5</v>
      </c>
    </row>
    <row r="72" spans="1:91">
      <c r="A72" s="159" t="s">
        <v>7638</v>
      </c>
      <c r="B72" s="112" t="s">
        <v>271</v>
      </c>
      <c r="C72" s="112">
        <v>1</v>
      </c>
      <c r="D72" s="112">
        <v>20</v>
      </c>
      <c r="E72" s="113">
        <v>35</v>
      </c>
      <c r="F72" s="113">
        <v>2</v>
      </c>
      <c r="I72" s="249"/>
      <c r="K72" s="142"/>
      <c r="M72" s="185">
        <v>4.29</v>
      </c>
      <c r="N72" s="157">
        <v>41837</v>
      </c>
      <c r="Q72" s="142"/>
      <c r="R72" s="185"/>
      <c r="S72" s="142">
        <v>12.03</v>
      </c>
      <c r="T72" s="157">
        <v>41837</v>
      </c>
      <c r="U72" s="142">
        <v>18</v>
      </c>
      <c r="W72" s="142"/>
      <c r="Y72" s="142">
        <f t="shared" si="1"/>
        <v>10.211029999999999</v>
      </c>
      <c r="Z72" s="157">
        <v>41837</v>
      </c>
      <c r="AA72" s="142"/>
      <c r="AE72" s="142">
        <v>24.37</v>
      </c>
      <c r="AF72" s="157">
        <v>41837</v>
      </c>
      <c r="AG72" s="185">
        <v>5.32</v>
      </c>
      <c r="AH72" s="157">
        <v>41837</v>
      </c>
      <c r="AK72" s="142"/>
      <c r="AM72" s="142">
        <v>90</v>
      </c>
      <c r="BM72" s="138">
        <v>61.62</v>
      </c>
      <c r="BN72" s="157">
        <v>41837</v>
      </c>
      <c r="BS72" s="138">
        <v>49.35</v>
      </c>
      <c r="BT72" s="157">
        <v>41837</v>
      </c>
      <c r="BU72" s="138">
        <v>41.9</v>
      </c>
      <c r="BV72" s="157">
        <v>41837</v>
      </c>
      <c r="BW72" s="138">
        <v>63.8</v>
      </c>
      <c r="BX72" s="157">
        <v>41837</v>
      </c>
      <c r="CC72" s="138">
        <v>6.2</v>
      </c>
      <c r="CD72" s="157">
        <v>41837</v>
      </c>
      <c r="CI72" s="138">
        <v>5</v>
      </c>
    </row>
    <row r="73" spans="1:91">
      <c r="A73" s="159" t="s">
        <v>7741</v>
      </c>
      <c r="B73" s="112" t="s">
        <v>271</v>
      </c>
      <c r="C73" s="112">
        <v>1</v>
      </c>
      <c r="D73" s="112">
        <v>82</v>
      </c>
      <c r="E73" s="113">
        <v>36</v>
      </c>
      <c r="F73" s="113">
        <v>2</v>
      </c>
      <c r="I73" s="199"/>
      <c r="M73" s="185">
        <v>5.33</v>
      </c>
      <c r="N73" s="157">
        <v>41837</v>
      </c>
      <c r="R73" s="185"/>
      <c r="S73" s="137">
        <v>15.38</v>
      </c>
      <c r="T73" s="157">
        <v>41837</v>
      </c>
      <c r="U73" s="142">
        <v>18</v>
      </c>
      <c r="Y73" s="142">
        <f t="shared" si="1"/>
        <v>12.04182</v>
      </c>
      <c r="Z73" s="157">
        <v>41837</v>
      </c>
      <c r="AE73" s="137">
        <v>30.18</v>
      </c>
      <c r="AF73" s="157">
        <v>41837</v>
      </c>
      <c r="AG73" s="185">
        <v>4.96</v>
      </c>
      <c r="AH73" s="157">
        <v>41837</v>
      </c>
      <c r="AM73" s="137">
        <v>92</v>
      </c>
      <c r="BM73" s="138">
        <v>63.16</v>
      </c>
      <c r="BN73" s="157">
        <v>41837</v>
      </c>
      <c r="BS73" s="138">
        <v>50.95</v>
      </c>
      <c r="BT73" s="157">
        <v>41837</v>
      </c>
      <c r="BU73" s="138">
        <v>39.9</v>
      </c>
      <c r="BV73" s="157">
        <v>41837</v>
      </c>
      <c r="BW73" s="138">
        <v>52.5</v>
      </c>
      <c r="BX73" s="157">
        <v>41837</v>
      </c>
      <c r="CC73" s="138">
        <v>6.5</v>
      </c>
      <c r="CD73" s="157">
        <v>41837</v>
      </c>
      <c r="CI73" s="138">
        <v>5</v>
      </c>
    </row>
    <row r="74" spans="1:91">
      <c r="A74" s="159" t="s">
        <v>7767</v>
      </c>
      <c r="B74" s="112" t="s">
        <v>271</v>
      </c>
      <c r="C74" s="112">
        <v>1</v>
      </c>
      <c r="D74" s="112">
        <v>206</v>
      </c>
      <c r="E74" s="113">
        <v>1</v>
      </c>
      <c r="F74" s="113">
        <v>3</v>
      </c>
      <c r="I74" s="199"/>
      <c r="M74" s="185">
        <v>6.93</v>
      </c>
      <c r="N74" s="157">
        <v>41837</v>
      </c>
      <c r="R74" s="185"/>
      <c r="S74" s="137">
        <v>19.14</v>
      </c>
      <c r="T74" s="157">
        <v>41837</v>
      </c>
      <c r="U74" s="142">
        <v>18</v>
      </c>
      <c r="Y74" s="142">
        <f t="shared" si="1"/>
        <v>13.244700000000002</v>
      </c>
      <c r="Z74" s="157">
        <v>41837</v>
      </c>
      <c r="AE74" s="137">
        <v>37.1</v>
      </c>
      <c r="AF74" s="157">
        <v>41837</v>
      </c>
      <c r="AG74" s="185">
        <v>5.05</v>
      </c>
      <c r="AH74" s="157">
        <v>41837</v>
      </c>
      <c r="AM74" s="137">
        <v>83</v>
      </c>
      <c r="BM74" s="138">
        <v>63.08</v>
      </c>
      <c r="BN74" s="157">
        <v>41837</v>
      </c>
      <c r="BS74" s="138">
        <v>51.59</v>
      </c>
      <c r="BT74" s="157">
        <v>41837</v>
      </c>
      <c r="BU74" s="138">
        <v>35.700000000000003</v>
      </c>
      <c r="BV74" s="157">
        <v>41837</v>
      </c>
      <c r="BW74" s="138">
        <v>13.1</v>
      </c>
      <c r="BX74" s="157">
        <v>41837</v>
      </c>
      <c r="CC74" s="138">
        <v>11.6</v>
      </c>
      <c r="CD74" s="157">
        <v>41837</v>
      </c>
      <c r="CI74" s="138">
        <v>7</v>
      </c>
    </row>
    <row r="75" spans="1:91">
      <c r="A75" s="159" t="s">
        <v>7655</v>
      </c>
      <c r="B75" s="112" t="s">
        <v>271</v>
      </c>
      <c r="C75" s="112">
        <v>1</v>
      </c>
      <c r="D75" s="112">
        <v>161</v>
      </c>
      <c r="E75" s="113">
        <v>2</v>
      </c>
      <c r="F75" s="113">
        <v>3</v>
      </c>
      <c r="I75" s="199"/>
      <c r="M75" s="185">
        <v>0.24</v>
      </c>
      <c r="N75" s="157">
        <v>41837</v>
      </c>
      <c r="R75" s="185"/>
      <c r="T75" s="157">
        <v>41837</v>
      </c>
      <c r="U75" s="142">
        <v>18</v>
      </c>
      <c r="Y75" s="142">
        <f t="shared" si="1"/>
        <v>0</v>
      </c>
      <c r="Z75" s="157">
        <v>41837</v>
      </c>
      <c r="AE75" s="137">
        <v>1.39</v>
      </c>
      <c r="AF75" s="157">
        <v>41837</v>
      </c>
      <c r="AG75" s="185"/>
      <c r="AH75" s="157">
        <v>41837</v>
      </c>
      <c r="AM75" s="137">
        <v>94</v>
      </c>
      <c r="BN75" s="157">
        <v>41837</v>
      </c>
      <c r="BT75" s="157">
        <v>41837</v>
      </c>
      <c r="BV75" s="157">
        <v>41837</v>
      </c>
      <c r="BX75" s="157">
        <v>41837</v>
      </c>
      <c r="CC75" s="138">
        <v>4.5999999999999996</v>
      </c>
      <c r="CD75" s="157">
        <v>41837</v>
      </c>
      <c r="CI75" s="138">
        <v>1</v>
      </c>
    </row>
    <row r="76" spans="1:91">
      <c r="A76" s="159" t="s">
        <v>7755</v>
      </c>
      <c r="B76" s="112" t="s">
        <v>271</v>
      </c>
      <c r="C76" s="112">
        <v>1</v>
      </c>
      <c r="D76" s="112">
        <v>193</v>
      </c>
      <c r="E76" s="113">
        <v>3</v>
      </c>
      <c r="F76" s="113">
        <v>3</v>
      </c>
      <c r="I76" s="199"/>
      <c r="M76" s="185">
        <v>4.08</v>
      </c>
      <c r="N76" s="157">
        <v>41837</v>
      </c>
      <c r="R76" s="185"/>
      <c r="S76" s="137">
        <v>10.61</v>
      </c>
      <c r="T76" s="157">
        <v>41837</v>
      </c>
      <c r="U76" s="142">
        <v>18</v>
      </c>
      <c r="Y76" s="142">
        <f t="shared" si="1"/>
        <v>8.7753600000000009</v>
      </c>
      <c r="Z76" s="157">
        <v>41837</v>
      </c>
      <c r="AE76" s="137">
        <v>22.16</v>
      </c>
      <c r="AF76" s="157">
        <v>41837</v>
      </c>
      <c r="AG76" s="185">
        <v>4.8099999999999996</v>
      </c>
      <c r="AH76" s="157">
        <v>41837</v>
      </c>
      <c r="AM76" s="137">
        <v>94</v>
      </c>
      <c r="BM76" s="138">
        <v>60.88</v>
      </c>
      <c r="BN76" s="157">
        <v>41837</v>
      </c>
      <c r="BS76" s="138">
        <v>47.9</v>
      </c>
      <c r="BT76" s="157">
        <v>41837</v>
      </c>
      <c r="BU76" s="138">
        <v>39.6</v>
      </c>
      <c r="BV76" s="157">
        <v>41837</v>
      </c>
      <c r="BW76" s="138">
        <v>61.4</v>
      </c>
      <c r="BX76" s="157">
        <v>41837</v>
      </c>
      <c r="CC76" s="138">
        <v>10.3</v>
      </c>
      <c r="CD76" s="157">
        <v>41837</v>
      </c>
      <c r="CI76" s="138">
        <v>3</v>
      </c>
    </row>
    <row r="77" spans="1:91">
      <c r="A77" s="159" t="s">
        <v>7802</v>
      </c>
      <c r="B77" s="112" t="s">
        <v>271</v>
      </c>
      <c r="C77" s="112">
        <v>1</v>
      </c>
      <c r="D77" s="112">
        <v>211</v>
      </c>
      <c r="E77" s="113">
        <v>4</v>
      </c>
      <c r="F77" s="113">
        <v>3</v>
      </c>
      <c r="I77" s="199"/>
      <c r="M77" s="185">
        <v>6.57</v>
      </c>
      <c r="N77" s="157">
        <v>41837</v>
      </c>
      <c r="R77" s="185"/>
      <c r="S77" s="137">
        <v>18.78</v>
      </c>
      <c r="T77" s="157">
        <v>41837</v>
      </c>
      <c r="U77" s="142">
        <v>18</v>
      </c>
      <c r="Y77" s="142">
        <f t="shared" si="1"/>
        <v>13.699909999999999</v>
      </c>
      <c r="Z77" s="157">
        <v>41837</v>
      </c>
      <c r="AE77" s="137">
        <v>35.770000000000003</v>
      </c>
      <c r="AF77" s="157">
        <v>41837</v>
      </c>
      <c r="AG77" s="185">
        <v>5.75</v>
      </c>
      <c r="AH77" s="157">
        <v>41837</v>
      </c>
      <c r="AM77" s="137">
        <v>90</v>
      </c>
      <c r="BM77" s="138">
        <v>60.2</v>
      </c>
      <c r="BN77" s="157">
        <v>41837</v>
      </c>
      <c r="BS77" s="138">
        <v>52.51</v>
      </c>
      <c r="BT77" s="157">
        <v>41837</v>
      </c>
      <c r="BU77" s="138">
        <v>38.299999999999997</v>
      </c>
      <c r="BV77" s="157">
        <v>41837</v>
      </c>
      <c r="BW77" s="138">
        <v>14.9</v>
      </c>
      <c r="BX77" s="157">
        <v>41837</v>
      </c>
      <c r="CC77" s="138">
        <v>10.1</v>
      </c>
      <c r="CD77" s="157">
        <v>41837</v>
      </c>
      <c r="CI77" s="138">
        <v>9</v>
      </c>
    </row>
    <row r="78" spans="1:91">
      <c r="A78" s="159" t="s">
        <v>7751</v>
      </c>
      <c r="B78" s="112" t="s">
        <v>271</v>
      </c>
      <c r="C78" s="112">
        <v>1</v>
      </c>
      <c r="D78" s="112">
        <v>18</v>
      </c>
      <c r="E78" s="113">
        <v>5</v>
      </c>
      <c r="F78" s="113">
        <v>3</v>
      </c>
      <c r="I78" s="249"/>
      <c r="K78" s="142"/>
      <c r="M78" s="185">
        <v>4.08</v>
      </c>
      <c r="N78" s="157">
        <v>41837</v>
      </c>
      <c r="Q78" s="142"/>
      <c r="R78" s="185"/>
      <c r="S78" s="142">
        <v>10.59</v>
      </c>
      <c r="T78" s="157">
        <v>41837</v>
      </c>
      <c r="U78" s="142">
        <v>18</v>
      </c>
      <c r="W78" s="142"/>
      <c r="Y78" s="142">
        <f t="shared" si="1"/>
        <v>8.5970499999999994</v>
      </c>
      <c r="Z78" s="157">
        <v>41837</v>
      </c>
      <c r="AA78" s="142"/>
      <c r="AE78" s="142">
        <v>22.33</v>
      </c>
      <c r="AF78" s="157">
        <v>41837</v>
      </c>
      <c r="AG78" s="185">
        <v>4.7300000000000004</v>
      </c>
      <c r="AH78" s="157">
        <v>41837</v>
      </c>
      <c r="AK78" s="142"/>
      <c r="AM78" s="142">
        <v>92</v>
      </c>
      <c r="BM78" s="138">
        <v>60.84</v>
      </c>
      <c r="BN78" s="157">
        <v>41837</v>
      </c>
      <c r="BS78" s="138">
        <v>47.43</v>
      </c>
      <c r="BT78" s="157">
        <v>41837</v>
      </c>
      <c r="BU78" s="138">
        <v>38.5</v>
      </c>
      <c r="BV78" s="157">
        <v>41837</v>
      </c>
      <c r="BW78" s="138">
        <v>52.5</v>
      </c>
      <c r="BX78" s="157">
        <v>41837</v>
      </c>
      <c r="CC78" s="138">
        <v>9.6</v>
      </c>
      <c r="CD78" s="157">
        <v>41837</v>
      </c>
      <c r="CI78" s="138">
        <v>3</v>
      </c>
    </row>
    <row r="79" spans="1:91">
      <c r="A79" s="159" t="s">
        <v>7614</v>
      </c>
      <c r="B79" s="112" t="s">
        <v>271</v>
      </c>
      <c r="C79" s="112">
        <v>1</v>
      </c>
      <c r="D79" s="112">
        <v>75</v>
      </c>
      <c r="E79" s="113">
        <v>6</v>
      </c>
      <c r="F79" s="113">
        <v>3</v>
      </c>
      <c r="I79" s="199"/>
      <c r="M79" s="185">
        <v>6.57</v>
      </c>
      <c r="N79" s="157">
        <v>41837</v>
      </c>
      <c r="R79" s="185"/>
      <c r="S79" s="137">
        <v>17.5</v>
      </c>
      <c r="T79" s="157">
        <v>41837</v>
      </c>
      <c r="U79" s="142">
        <v>18</v>
      </c>
      <c r="Y79" s="142">
        <f t="shared" si="1"/>
        <v>14.441200000000002</v>
      </c>
      <c r="Z79" s="157">
        <v>41837</v>
      </c>
      <c r="AE79" s="137">
        <v>36.56</v>
      </c>
      <c r="AF79" s="157">
        <v>41837</v>
      </c>
      <c r="AG79" s="185">
        <v>5.24</v>
      </c>
      <c r="AH79" s="157">
        <v>41837</v>
      </c>
      <c r="AM79" s="137">
        <v>94</v>
      </c>
      <c r="BM79" s="138">
        <v>62.54</v>
      </c>
      <c r="BN79" s="157">
        <v>41837</v>
      </c>
      <c r="BS79" s="138">
        <v>47.87</v>
      </c>
      <c r="BT79" s="157">
        <v>41837</v>
      </c>
      <c r="BU79" s="138">
        <v>39.5</v>
      </c>
      <c r="BV79" s="157">
        <v>41837</v>
      </c>
      <c r="BW79" s="138">
        <v>75</v>
      </c>
      <c r="BX79" s="157">
        <v>41837</v>
      </c>
      <c r="CC79" s="138">
        <v>8.1</v>
      </c>
      <c r="CD79" s="157">
        <v>41837</v>
      </c>
      <c r="CI79" s="138">
        <v>9</v>
      </c>
    </row>
    <row r="80" spans="1:91">
      <c r="A80" s="159" t="s">
        <v>7654</v>
      </c>
      <c r="B80" s="112" t="s">
        <v>271</v>
      </c>
      <c r="C80" s="112">
        <v>1</v>
      </c>
      <c r="D80" s="112">
        <v>44</v>
      </c>
      <c r="E80" s="113">
        <v>7</v>
      </c>
      <c r="F80" s="113">
        <v>3</v>
      </c>
      <c r="I80" s="199"/>
      <c r="M80" s="185">
        <v>4.8499999999999996</v>
      </c>
      <c r="N80" s="157">
        <v>41837</v>
      </c>
      <c r="R80" s="185"/>
      <c r="S80" s="137">
        <v>12.97</v>
      </c>
      <c r="T80" s="157">
        <v>41837</v>
      </c>
      <c r="U80" s="142">
        <v>18</v>
      </c>
      <c r="Y80" s="142">
        <f t="shared" si="1"/>
        <v>10.07376</v>
      </c>
      <c r="Z80" s="157">
        <v>41837</v>
      </c>
      <c r="AE80" s="137">
        <v>27.08</v>
      </c>
      <c r="AF80" s="157">
        <v>41837</v>
      </c>
      <c r="AG80" s="185">
        <v>4.3</v>
      </c>
      <c r="AH80" s="157">
        <v>41837</v>
      </c>
      <c r="AM80" s="137">
        <v>92</v>
      </c>
      <c r="BM80" s="138">
        <v>57.61</v>
      </c>
      <c r="BN80" s="157">
        <v>41837</v>
      </c>
      <c r="BS80" s="138">
        <v>47.89</v>
      </c>
      <c r="BT80" s="157">
        <v>41837</v>
      </c>
      <c r="BU80" s="138">
        <v>37.200000000000003</v>
      </c>
      <c r="BV80" s="157">
        <v>41837</v>
      </c>
      <c r="BW80" s="138">
        <v>62.1</v>
      </c>
      <c r="BX80" s="157">
        <v>41837</v>
      </c>
      <c r="CC80" s="138">
        <v>7.8</v>
      </c>
      <c r="CD80" s="157">
        <v>41837</v>
      </c>
      <c r="CI80" s="138">
        <v>1</v>
      </c>
    </row>
    <row r="81" spans="1:91">
      <c r="A81" s="159" t="s">
        <v>7754</v>
      </c>
      <c r="B81" s="112" t="s">
        <v>271</v>
      </c>
      <c r="C81" s="112">
        <v>1</v>
      </c>
      <c r="D81" s="112">
        <v>35</v>
      </c>
      <c r="E81" s="113">
        <v>8</v>
      </c>
      <c r="F81" s="113">
        <v>3</v>
      </c>
      <c r="I81" s="199"/>
      <c r="M81" s="185">
        <v>4.75</v>
      </c>
      <c r="N81" s="157">
        <v>41837</v>
      </c>
      <c r="R81" s="185"/>
      <c r="S81" s="137">
        <v>12.36</v>
      </c>
      <c r="T81" s="157">
        <v>41837</v>
      </c>
      <c r="U81" s="142">
        <v>18</v>
      </c>
      <c r="Y81" s="142">
        <f t="shared" si="1"/>
        <v>10.289759999999999</v>
      </c>
      <c r="Z81" s="157">
        <v>41837</v>
      </c>
      <c r="AE81" s="137">
        <v>26.52</v>
      </c>
      <c r="AF81" s="157">
        <v>41837</v>
      </c>
      <c r="AG81" s="185">
        <v>3.93</v>
      </c>
      <c r="AH81" s="157">
        <v>41837</v>
      </c>
      <c r="AM81" s="137">
        <v>96</v>
      </c>
      <c r="BM81" s="138">
        <v>60.65</v>
      </c>
      <c r="BN81" s="157">
        <v>41837</v>
      </c>
      <c r="BS81" s="138">
        <v>46.59</v>
      </c>
      <c r="BT81" s="157">
        <v>41837</v>
      </c>
      <c r="BU81" s="138">
        <v>38.799999999999997</v>
      </c>
      <c r="BV81" s="157">
        <v>41837</v>
      </c>
      <c r="BW81" s="138">
        <v>64.5</v>
      </c>
      <c r="BX81" s="157">
        <v>41837</v>
      </c>
      <c r="CC81" s="138">
        <v>7.8</v>
      </c>
      <c r="CD81" s="157">
        <v>41837</v>
      </c>
      <c r="CI81" s="138">
        <v>7</v>
      </c>
    </row>
    <row r="82" spans="1:91">
      <c r="A82" s="159" t="s">
        <v>7624</v>
      </c>
      <c r="B82" s="112" t="s">
        <v>271</v>
      </c>
      <c r="C82" s="112">
        <v>1</v>
      </c>
      <c r="D82" s="112">
        <v>76</v>
      </c>
      <c r="E82" s="113">
        <v>9</v>
      </c>
      <c r="F82" s="113">
        <v>3</v>
      </c>
      <c r="I82" s="199"/>
      <c r="M82" s="185">
        <v>4.93</v>
      </c>
      <c r="N82" s="157">
        <v>41837</v>
      </c>
      <c r="R82" s="185"/>
      <c r="S82" s="137">
        <v>13.2</v>
      </c>
      <c r="T82" s="157">
        <v>41837</v>
      </c>
      <c r="U82" s="142">
        <v>18</v>
      </c>
      <c r="Y82" s="142">
        <f t="shared" si="1"/>
        <v>11.911</v>
      </c>
      <c r="Z82" s="157">
        <v>41837</v>
      </c>
      <c r="AE82" s="137">
        <v>27.7</v>
      </c>
      <c r="AF82" s="157">
        <v>41837</v>
      </c>
      <c r="AG82" s="185">
        <v>4.2300000000000004</v>
      </c>
      <c r="AH82" s="157">
        <v>41837</v>
      </c>
      <c r="AM82" s="137">
        <v>87</v>
      </c>
      <c r="BM82" s="138">
        <v>61.97</v>
      </c>
      <c r="BN82" s="157">
        <v>41837</v>
      </c>
      <c r="BS82" s="138">
        <v>47.64</v>
      </c>
      <c r="BT82" s="157">
        <v>41837</v>
      </c>
      <c r="BU82" s="138">
        <v>43</v>
      </c>
      <c r="BV82" s="157">
        <v>41837</v>
      </c>
      <c r="BW82" s="138">
        <v>61.7</v>
      </c>
      <c r="BX82" s="157">
        <v>41837</v>
      </c>
      <c r="CC82" s="138">
        <v>7.2</v>
      </c>
      <c r="CD82" s="157">
        <v>41837</v>
      </c>
      <c r="CI82" s="138">
        <v>7</v>
      </c>
    </row>
    <row r="83" spans="1:91">
      <c r="A83" s="159" t="s">
        <v>7708</v>
      </c>
      <c r="B83" s="112" t="s">
        <v>271</v>
      </c>
      <c r="C83" s="112">
        <v>1</v>
      </c>
      <c r="D83" s="112">
        <v>191</v>
      </c>
      <c r="E83" s="113">
        <v>10</v>
      </c>
      <c r="F83" s="113">
        <v>3</v>
      </c>
      <c r="I83" s="199"/>
      <c r="M83" s="185">
        <v>5.66</v>
      </c>
      <c r="N83" s="157">
        <v>41837</v>
      </c>
      <c r="R83" s="185"/>
      <c r="S83" s="137">
        <v>15.2</v>
      </c>
      <c r="T83" s="157">
        <v>41837</v>
      </c>
      <c r="U83" s="142">
        <v>18</v>
      </c>
      <c r="Y83" s="142">
        <f t="shared" si="1"/>
        <v>11.80728</v>
      </c>
      <c r="Z83" s="157">
        <v>41837</v>
      </c>
      <c r="AE83" s="137">
        <v>31.74</v>
      </c>
      <c r="AF83" s="157">
        <v>41837</v>
      </c>
      <c r="AG83" s="185">
        <v>4.3099999999999996</v>
      </c>
      <c r="AH83" s="157">
        <v>41837</v>
      </c>
      <c r="AM83" s="137">
        <v>94</v>
      </c>
      <c r="BM83" s="138">
        <v>61.55</v>
      </c>
      <c r="BN83" s="157">
        <v>41837</v>
      </c>
      <c r="BS83" s="138">
        <v>47.88</v>
      </c>
      <c r="BT83" s="157">
        <v>41837</v>
      </c>
      <c r="BU83" s="138">
        <v>37.200000000000003</v>
      </c>
      <c r="BV83" s="157">
        <v>41837</v>
      </c>
      <c r="BW83" s="138">
        <v>18.5</v>
      </c>
      <c r="BX83" s="157">
        <v>41837</v>
      </c>
      <c r="CC83" s="138">
        <v>7.4</v>
      </c>
      <c r="CD83" s="157">
        <v>41837</v>
      </c>
      <c r="CI83" s="138">
        <v>5</v>
      </c>
    </row>
    <row r="84" spans="1:91">
      <c r="A84" s="159" t="s">
        <v>7757</v>
      </c>
      <c r="B84" s="112" t="s">
        <v>271</v>
      </c>
      <c r="C84" s="112">
        <v>1</v>
      </c>
      <c r="D84" s="112">
        <v>184</v>
      </c>
      <c r="E84" s="113">
        <v>11</v>
      </c>
      <c r="F84" s="113">
        <v>3</v>
      </c>
      <c r="I84" s="199"/>
      <c r="M84" s="185">
        <v>5.57</v>
      </c>
      <c r="N84" s="157">
        <v>41837</v>
      </c>
      <c r="R84" s="185"/>
      <c r="S84" s="137">
        <v>15.01</v>
      </c>
      <c r="T84" s="157">
        <v>41837</v>
      </c>
      <c r="U84" s="142">
        <v>18</v>
      </c>
      <c r="Y84" s="142">
        <f t="shared" si="1"/>
        <v>12.340199999999998</v>
      </c>
      <c r="Z84" s="157">
        <v>41837</v>
      </c>
      <c r="AE84" s="137">
        <v>31.4</v>
      </c>
      <c r="AF84" s="157">
        <v>41837</v>
      </c>
      <c r="AG84" s="185">
        <v>4.63</v>
      </c>
      <c r="AH84" s="157">
        <v>41837</v>
      </c>
      <c r="AM84" s="137">
        <v>94</v>
      </c>
      <c r="BM84" s="138">
        <v>63.24</v>
      </c>
      <c r="BN84" s="157">
        <v>41837</v>
      </c>
      <c r="BS84" s="138">
        <v>47.81</v>
      </c>
      <c r="BT84" s="157">
        <v>41837</v>
      </c>
      <c r="BU84" s="138">
        <v>39.299999999999997</v>
      </c>
      <c r="BV84" s="157">
        <v>41837</v>
      </c>
      <c r="BW84" s="138">
        <v>45.7</v>
      </c>
      <c r="BX84" s="157">
        <v>41837</v>
      </c>
      <c r="CC84" s="138">
        <v>6.9</v>
      </c>
      <c r="CD84" s="157">
        <v>41837</v>
      </c>
      <c r="CI84" s="138">
        <v>7</v>
      </c>
    </row>
    <row r="85" spans="1:91">
      <c r="A85" s="159" t="s">
        <v>7670</v>
      </c>
      <c r="B85" s="112" t="s">
        <v>271</v>
      </c>
      <c r="C85" s="112">
        <v>1</v>
      </c>
      <c r="D85" s="112">
        <v>13</v>
      </c>
      <c r="E85" s="113">
        <v>12</v>
      </c>
      <c r="F85" s="113">
        <v>3</v>
      </c>
      <c r="I85" s="249"/>
      <c r="K85" s="142"/>
      <c r="M85" s="185">
        <v>6.1</v>
      </c>
      <c r="N85" s="157">
        <v>41837</v>
      </c>
      <c r="Q85" s="142"/>
      <c r="R85" s="185"/>
      <c r="S85" s="142">
        <v>17.41</v>
      </c>
      <c r="T85" s="157">
        <v>41837</v>
      </c>
      <c r="U85" s="142">
        <v>18</v>
      </c>
      <c r="W85" s="142"/>
      <c r="Y85" s="142">
        <f t="shared" si="1"/>
        <v>12.988290000000001</v>
      </c>
      <c r="Z85" s="157">
        <v>41837</v>
      </c>
      <c r="AA85" s="142"/>
      <c r="AE85" s="142">
        <v>34.090000000000003</v>
      </c>
      <c r="AF85" s="157">
        <v>41837</v>
      </c>
      <c r="AG85" s="185">
        <v>4.78</v>
      </c>
      <c r="AH85" s="157">
        <v>41837</v>
      </c>
      <c r="AK85" s="142"/>
      <c r="AM85" s="142">
        <v>92</v>
      </c>
      <c r="BM85" s="138">
        <v>61.02</v>
      </c>
      <c r="BN85" s="157">
        <v>41837</v>
      </c>
      <c r="BS85" s="138">
        <v>51.07</v>
      </c>
      <c r="BT85" s="157">
        <v>41837</v>
      </c>
      <c r="BU85" s="138">
        <v>38.1</v>
      </c>
      <c r="BV85" s="157">
        <v>41837</v>
      </c>
      <c r="BW85" s="138">
        <v>22.6</v>
      </c>
      <c r="BX85" s="157">
        <v>41837</v>
      </c>
      <c r="CC85" s="138">
        <v>7.7</v>
      </c>
      <c r="CD85" s="157">
        <v>41837</v>
      </c>
      <c r="CI85" s="138">
        <v>7</v>
      </c>
    </row>
    <row r="86" spans="1:91">
      <c r="A86" s="189" t="s">
        <v>7629</v>
      </c>
      <c r="B86" s="190" t="s">
        <v>271</v>
      </c>
      <c r="C86" s="190">
        <v>1</v>
      </c>
      <c r="D86" s="190">
        <v>2</v>
      </c>
      <c r="E86" s="191">
        <v>13</v>
      </c>
      <c r="F86" s="191">
        <v>3</v>
      </c>
      <c r="G86" s="191"/>
      <c r="H86" s="191"/>
      <c r="I86" s="250"/>
      <c r="J86" s="190"/>
      <c r="K86" s="192"/>
      <c r="L86" s="193"/>
      <c r="M86" s="194">
        <v>3.44</v>
      </c>
      <c r="N86" s="193">
        <v>41837</v>
      </c>
      <c r="P86" s="193"/>
      <c r="Q86" s="192"/>
      <c r="R86" s="194"/>
      <c r="S86" s="192">
        <v>9.1999999999999993</v>
      </c>
      <c r="T86" s="193">
        <v>41837</v>
      </c>
      <c r="U86" s="192">
        <v>18</v>
      </c>
      <c r="V86" s="193"/>
      <c r="W86" s="192"/>
      <c r="X86" s="193"/>
      <c r="Y86" s="192">
        <f t="shared" si="1"/>
        <v>7.8537599999999994</v>
      </c>
      <c r="Z86" s="193">
        <v>41837</v>
      </c>
      <c r="AA86" s="192"/>
      <c r="AB86" s="193"/>
      <c r="AC86" s="195"/>
      <c r="AD86" s="193"/>
      <c r="AE86" s="192">
        <v>19.440000000000001</v>
      </c>
      <c r="AF86" s="193">
        <v>41837</v>
      </c>
      <c r="AG86" s="194">
        <v>4.51</v>
      </c>
      <c r="AH86" s="193">
        <v>41837</v>
      </c>
      <c r="AI86" s="193"/>
      <c r="AJ86" s="193"/>
      <c r="AK86" s="192"/>
      <c r="AL86" s="193"/>
      <c r="AM86" s="192">
        <v>72</v>
      </c>
      <c r="AN86" s="193"/>
      <c r="AO86" s="195"/>
      <c r="AP86" s="195"/>
      <c r="AQ86" s="195"/>
      <c r="AR86" s="195"/>
      <c r="AS86" s="195"/>
      <c r="AT86" s="195"/>
      <c r="AU86" s="195"/>
      <c r="AV86" s="195"/>
      <c r="AW86" s="195"/>
      <c r="AX86" s="195"/>
      <c r="AY86" s="195"/>
      <c r="AZ86" s="195"/>
      <c r="BA86" s="195"/>
      <c r="BB86" s="195"/>
      <c r="BC86" s="195"/>
      <c r="BD86" s="195"/>
      <c r="BE86" s="196"/>
      <c r="BF86" s="196"/>
      <c r="BG86" s="196"/>
      <c r="BH86" s="196"/>
      <c r="BI86" s="196"/>
      <c r="BJ86" s="196"/>
      <c r="BK86" s="196"/>
      <c r="BL86" s="196"/>
      <c r="BM86" s="196">
        <v>61.37</v>
      </c>
      <c r="BN86" s="193">
        <v>41837</v>
      </c>
      <c r="BO86" s="196"/>
      <c r="BP86" s="196"/>
      <c r="BQ86" s="196"/>
      <c r="BR86" s="196"/>
      <c r="BS86" s="196">
        <v>47.35</v>
      </c>
      <c r="BT86" s="193">
        <v>41837</v>
      </c>
      <c r="BU86" s="196">
        <v>40.4</v>
      </c>
      <c r="BV86" s="193">
        <v>41837</v>
      </c>
      <c r="BW86" s="196">
        <v>56.7</v>
      </c>
      <c r="BX86" s="193">
        <v>41837</v>
      </c>
      <c r="BY86" s="196"/>
      <c r="BZ86" s="196"/>
      <c r="CA86" s="196"/>
      <c r="CB86" s="196"/>
      <c r="CC86" s="196">
        <v>6.7</v>
      </c>
      <c r="CD86" s="193">
        <v>41837</v>
      </c>
      <c r="CE86" s="196"/>
      <c r="CF86" s="196"/>
      <c r="CG86" s="196"/>
      <c r="CH86" s="196"/>
      <c r="CI86" s="196">
        <v>3</v>
      </c>
      <c r="CJ86" s="196"/>
      <c r="CK86" s="196"/>
      <c r="CL86" s="196"/>
      <c r="CM86" s="196"/>
    </row>
    <row r="87" spans="1:91">
      <c r="A87" s="159" t="s">
        <v>7720</v>
      </c>
      <c r="B87" s="112" t="s">
        <v>271</v>
      </c>
      <c r="C87" s="112">
        <v>1</v>
      </c>
      <c r="D87" s="112">
        <v>129</v>
      </c>
      <c r="E87" s="113">
        <v>14</v>
      </c>
      <c r="F87" s="113">
        <v>3</v>
      </c>
      <c r="I87" s="199"/>
      <c r="M87" s="185">
        <v>7.24</v>
      </c>
      <c r="N87" s="157">
        <v>41837</v>
      </c>
      <c r="R87" s="185"/>
      <c r="S87" s="137">
        <v>20.65</v>
      </c>
      <c r="T87" s="157">
        <v>41837</v>
      </c>
      <c r="U87" s="142">
        <v>18</v>
      </c>
      <c r="Y87" s="142">
        <f t="shared" si="1"/>
        <v>14.962590000000002</v>
      </c>
      <c r="Z87" s="157">
        <v>41837</v>
      </c>
      <c r="AE87" s="137">
        <v>40.770000000000003</v>
      </c>
      <c r="AF87" s="157">
        <v>41837</v>
      </c>
      <c r="AG87" s="185">
        <v>5.13</v>
      </c>
      <c r="AH87" s="157">
        <v>41837</v>
      </c>
      <c r="AM87" s="137">
        <v>87</v>
      </c>
      <c r="BM87" s="138">
        <v>62.08</v>
      </c>
      <c r="BN87" s="157">
        <v>41837</v>
      </c>
      <c r="BS87" s="138">
        <v>50.65</v>
      </c>
      <c r="BT87" s="157">
        <v>41837</v>
      </c>
      <c r="BU87" s="138">
        <v>36.700000000000003</v>
      </c>
      <c r="BV87" s="157">
        <v>41837</v>
      </c>
      <c r="BW87" s="138">
        <v>18.8</v>
      </c>
      <c r="BX87" s="157">
        <v>41837</v>
      </c>
      <c r="CC87" s="138">
        <v>7</v>
      </c>
      <c r="CD87" s="157">
        <v>41837</v>
      </c>
      <c r="CI87" s="138">
        <v>5</v>
      </c>
    </row>
    <row r="88" spans="1:91">
      <c r="A88" s="159" t="s">
        <v>7653</v>
      </c>
      <c r="B88" s="112" t="s">
        <v>271</v>
      </c>
      <c r="C88" s="112">
        <v>1</v>
      </c>
      <c r="D88" s="112">
        <v>31</v>
      </c>
      <c r="E88" s="113">
        <v>15</v>
      </c>
      <c r="F88" s="113">
        <v>3</v>
      </c>
      <c r="I88" s="199"/>
      <c r="M88" s="185">
        <v>3.49</v>
      </c>
      <c r="N88" s="157">
        <v>41837</v>
      </c>
      <c r="R88" s="185"/>
      <c r="S88" s="137">
        <v>8.86</v>
      </c>
      <c r="T88" s="157">
        <v>41837</v>
      </c>
      <c r="U88" s="142">
        <v>18</v>
      </c>
      <c r="Y88" s="142">
        <f t="shared" si="1"/>
        <v>7.7380800000000001</v>
      </c>
      <c r="Z88" s="157">
        <v>41837</v>
      </c>
      <c r="AE88" s="137">
        <v>19.739999999999998</v>
      </c>
      <c r="AF88" s="157">
        <v>41837</v>
      </c>
      <c r="AG88" s="185">
        <v>4.3099999999999996</v>
      </c>
      <c r="AH88" s="157">
        <v>41837</v>
      </c>
      <c r="AM88" s="137">
        <v>90</v>
      </c>
      <c r="BM88" s="138">
        <v>60.34</v>
      </c>
      <c r="BN88" s="157">
        <v>41837</v>
      </c>
      <c r="BS88" s="138">
        <v>44.9</v>
      </c>
      <c r="BT88" s="157">
        <v>41837</v>
      </c>
      <c r="BU88" s="138">
        <v>39.200000000000003</v>
      </c>
      <c r="BV88" s="157">
        <v>41837</v>
      </c>
      <c r="BW88" s="138">
        <v>48.3</v>
      </c>
      <c r="BX88" s="157">
        <v>41837</v>
      </c>
      <c r="CC88" s="138">
        <v>6.6</v>
      </c>
      <c r="CD88" s="157">
        <v>41837</v>
      </c>
      <c r="CI88" s="138">
        <v>1</v>
      </c>
    </row>
    <row r="89" spans="1:91">
      <c r="A89" s="159" t="s">
        <v>7677</v>
      </c>
      <c r="B89" s="112" t="s">
        <v>271</v>
      </c>
      <c r="C89" s="112">
        <v>1</v>
      </c>
      <c r="D89" s="112">
        <v>64</v>
      </c>
      <c r="E89" s="113">
        <v>16</v>
      </c>
      <c r="F89" s="113">
        <v>3</v>
      </c>
      <c r="I89" s="199"/>
      <c r="M89" s="185">
        <v>6.18</v>
      </c>
      <c r="N89" s="157">
        <v>41837</v>
      </c>
      <c r="R89" s="185"/>
      <c r="S89" s="137">
        <v>17.07</v>
      </c>
      <c r="T89" s="157">
        <v>41837</v>
      </c>
      <c r="U89" s="142">
        <v>18</v>
      </c>
      <c r="Y89" s="142">
        <f t="shared" si="1"/>
        <v>13.286269999999996</v>
      </c>
      <c r="Z89" s="157">
        <v>41837</v>
      </c>
      <c r="AE89" s="137">
        <v>34.69</v>
      </c>
      <c r="AF89" s="157">
        <v>41837</v>
      </c>
      <c r="AG89" s="185">
        <v>5.58</v>
      </c>
      <c r="AH89" s="157">
        <v>41837</v>
      </c>
      <c r="AM89" s="137">
        <v>92</v>
      </c>
      <c r="BM89" s="138">
        <v>60.63</v>
      </c>
      <c r="BN89" s="157">
        <v>41837</v>
      </c>
      <c r="BS89" s="138">
        <v>49.22</v>
      </c>
      <c r="BT89" s="157">
        <v>41837</v>
      </c>
      <c r="BU89" s="138">
        <v>38.299999999999997</v>
      </c>
      <c r="BV89" s="157">
        <v>41837</v>
      </c>
      <c r="BW89" s="138">
        <v>21.9</v>
      </c>
      <c r="BX89" s="157">
        <v>41837</v>
      </c>
      <c r="CC89" s="138">
        <v>7.3</v>
      </c>
      <c r="CD89" s="157">
        <v>41837</v>
      </c>
      <c r="CI89" s="138">
        <v>5</v>
      </c>
    </row>
    <row r="90" spans="1:91">
      <c r="A90" s="159" t="s">
        <v>7691</v>
      </c>
      <c r="B90" s="112" t="s">
        <v>271</v>
      </c>
      <c r="C90" s="112">
        <v>1</v>
      </c>
      <c r="D90" s="112">
        <v>165</v>
      </c>
      <c r="E90" s="113">
        <v>17</v>
      </c>
      <c r="F90" s="113">
        <v>3</v>
      </c>
      <c r="I90" s="199"/>
      <c r="M90" s="185">
        <v>6.17</v>
      </c>
      <c r="N90" s="157">
        <v>41837</v>
      </c>
      <c r="R90" s="185"/>
      <c r="S90" s="137">
        <v>17.22</v>
      </c>
      <c r="T90" s="157">
        <v>41837</v>
      </c>
      <c r="U90" s="142">
        <v>18</v>
      </c>
      <c r="Y90" s="142">
        <f t="shared" si="1"/>
        <v>12.96175</v>
      </c>
      <c r="Z90" s="157">
        <v>41837</v>
      </c>
      <c r="AE90" s="137">
        <v>34.75</v>
      </c>
      <c r="AF90" s="157">
        <v>41837</v>
      </c>
      <c r="AG90" s="185">
        <v>5.08</v>
      </c>
      <c r="AH90" s="157">
        <v>41837</v>
      </c>
      <c r="AM90" s="137">
        <v>90</v>
      </c>
      <c r="BM90" s="138">
        <v>61.22</v>
      </c>
      <c r="BN90" s="157">
        <v>41837</v>
      </c>
      <c r="BS90" s="138">
        <v>49.55</v>
      </c>
      <c r="BT90" s="157">
        <v>41837</v>
      </c>
      <c r="BU90" s="138">
        <v>37.299999999999997</v>
      </c>
      <c r="BV90" s="157">
        <v>41837</v>
      </c>
      <c r="BW90" s="138">
        <v>16.600000000000001</v>
      </c>
      <c r="BX90" s="157">
        <v>41837</v>
      </c>
      <c r="CC90" s="138">
        <v>7</v>
      </c>
      <c r="CD90" s="157">
        <v>41837</v>
      </c>
      <c r="CI90" s="138">
        <v>7</v>
      </c>
    </row>
    <row r="91" spans="1:91">
      <c r="A91" s="159" t="s">
        <v>7639</v>
      </c>
      <c r="B91" s="112" t="s">
        <v>271</v>
      </c>
      <c r="C91" s="112">
        <v>1</v>
      </c>
      <c r="D91" s="112">
        <v>56</v>
      </c>
      <c r="E91" s="113">
        <v>18</v>
      </c>
      <c r="F91" s="113">
        <v>3</v>
      </c>
      <c r="I91" s="199"/>
      <c r="M91" s="185">
        <v>2.38</v>
      </c>
      <c r="N91" s="157">
        <v>41837</v>
      </c>
      <c r="R91" s="185"/>
      <c r="S91" s="137">
        <v>6.67</v>
      </c>
      <c r="T91" s="157">
        <v>41837</v>
      </c>
      <c r="U91" s="142">
        <v>18</v>
      </c>
      <c r="Y91" s="142">
        <f t="shared" si="1"/>
        <v>5.2572000000000001</v>
      </c>
      <c r="Z91" s="157">
        <v>41837</v>
      </c>
      <c r="AE91" s="137">
        <v>13.48</v>
      </c>
      <c r="AF91" s="157">
        <v>41837</v>
      </c>
      <c r="AG91" s="185">
        <v>4.49</v>
      </c>
      <c r="AH91" s="157">
        <v>41837</v>
      </c>
      <c r="AM91" s="137">
        <v>83</v>
      </c>
      <c r="BM91" s="138">
        <v>62.33</v>
      </c>
      <c r="BN91" s="157">
        <v>41837</v>
      </c>
      <c r="BS91" s="138">
        <v>49.48</v>
      </c>
      <c r="BT91" s="157">
        <v>41837</v>
      </c>
      <c r="BU91" s="138">
        <v>39</v>
      </c>
      <c r="BV91" s="157">
        <v>41837</v>
      </c>
      <c r="BW91" s="138">
        <v>57.9</v>
      </c>
      <c r="BX91" s="157">
        <v>41837</v>
      </c>
      <c r="CC91" s="138">
        <v>6.5</v>
      </c>
      <c r="CD91" s="157">
        <v>41837</v>
      </c>
      <c r="CI91" s="138">
        <v>3</v>
      </c>
    </row>
    <row r="92" spans="1:91">
      <c r="A92" s="159" t="s">
        <v>7749</v>
      </c>
      <c r="B92" s="112" t="s">
        <v>271</v>
      </c>
      <c r="C92" s="112">
        <v>1</v>
      </c>
      <c r="D92" s="112">
        <v>133</v>
      </c>
      <c r="E92" s="113">
        <v>19</v>
      </c>
      <c r="F92" s="113">
        <v>3</v>
      </c>
      <c r="I92" s="199"/>
      <c r="M92" s="185">
        <v>3.72</v>
      </c>
      <c r="N92" s="157">
        <v>41837</v>
      </c>
      <c r="R92" s="185"/>
      <c r="S92" s="137">
        <v>9.7100000000000009</v>
      </c>
      <c r="T92" s="157">
        <v>41837</v>
      </c>
      <c r="U92" s="142">
        <v>18</v>
      </c>
      <c r="Y92" s="142">
        <f t="shared" si="1"/>
        <v>9.0261599999999991</v>
      </c>
      <c r="Z92" s="157">
        <v>41837</v>
      </c>
      <c r="AE92" s="137">
        <v>21.04</v>
      </c>
      <c r="AF92" s="157">
        <v>41837</v>
      </c>
      <c r="AG92" s="185">
        <v>4.71</v>
      </c>
      <c r="AH92" s="157">
        <v>41837</v>
      </c>
      <c r="AM92" s="137">
        <v>96</v>
      </c>
      <c r="BM92" s="138">
        <v>61.92</v>
      </c>
      <c r="BN92" s="157">
        <v>41837</v>
      </c>
      <c r="BS92" s="138">
        <v>46.17</v>
      </c>
      <c r="BT92" s="157">
        <v>41837</v>
      </c>
      <c r="BU92" s="138">
        <v>42.9</v>
      </c>
      <c r="BV92" s="157">
        <v>41837</v>
      </c>
      <c r="BW92" s="138">
        <v>75.099999999999994</v>
      </c>
      <c r="BX92" s="157">
        <v>41837</v>
      </c>
      <c r="CC92" s="138">
        <v>6.6</v>
      </c>
      <c r="CD92" s="157">
        <v>41837</v>
      </c>
      <c r="CI92" s="138">
        <v>7</v>
      </c>
    </row>
    <row r="93" spans="1:91">
      <c r="A93" s="159" t="s">
        <v>7702</v>
      </c>
      <c r="B93" s="112" t="s">
        <v>271</v>
      </c>
      <c r="C93" s="112">
        <v>1</v>
      </c>
      <c r="D93" s="112">
        <v>210</v>
      </c>
      <c r="E93" s="113">
        <v>20</v>
      </c>
      <c r="F93" s="113">
        <v>3</v>
      </c>
      <c r="M93" s="185">
        <v>7.1</v>
      </c>
      <c r="N93" s="157">
        <v>41837</v>
      </c>
      <c r="R93" s="185"/>
      <c r="S93" s="137">
        <v>19.350000000000001</v>
      </c>
      <c r="T93" s="157">
        <v>41837</v>
      </c>
      <c r="U93" s="142">
        <v>18</v>
      </c>
      <c r="Y93" s="142">
        <f t="shared" si="1"/>
        <v>13.65948</v>
      </c>
      <c r="Z93" s="157">
        <v>41837</v>
      </c>
      <c r="AE93" s="137">
        <v>39.94</v>
      </c>
      <c r="AF93" s="157">
        <v>41837</v>
      </c>
      <c r="AG93" s="185">
        <v>5.41</v>
      </c>
      <c r="AH93" s="157">
        <v>41837</v>
      </c>
      <c r="AM93" s="137">
        <v>85</v>
      </c>
      <c r="BM93" s="138">
        <v>62.02</v>
      </c>
      <c r="BN93" s="157">
        <v>41837</v>
      </c>
      <c r="BS93" s="138">
        <v>48.44</v>
      </c>
      <c r="BT93" s="157">
        <v>41837</v>
      </c>
      <c r="BU93" s="138">
        <v>34.200000000000003</v>
      </c>
      <c r="BV93" s="157">
        <v>41837</v>
      </c>
      <c r="BW93" s="138">
        <v>19</v>
      </c>
      <c r="BX93" s="157">
        <v>41837</v>
      </c>
      <c r="CC93" s="138">
        <v>7.1</v>
      </c>
      <c r="CD93" s="157">
        <v>41837</v>
      </c>
      <c r="CI93" s="138">
        <v>5</v>
      </c>
    </row>
    <row r="94" spans="1:91">
      <c r="A94" s="159" t="s">
        <v>7790</v>
      </c>
      <c r="B94" s="112" t="s">
        <v>271</v>
      </c>
      <c r="C94" s="112">
        <v>1</v>
      </c>
      <c r="D94" s="112">
        <v>15</v>
      </c>
      <c r="E94" s="113">
        <v>21</v>
      </c>
      <c r="F94" s="113">
        <v>3</v>
      </c>
      <c r="I94" s="200"/>
      <c r="K94" s="142"/>
      <c r="M94" s="185">
        <v>6.98</v>
      </c>
      <c r="N94" s="157">
        <v>41837</v>
      </c>
      <c r="Q94" s="142"/>
      <c r="R94" s="185"/>
      <c r="S94" s="142">
        <v>19.63</v>
      </c>
      <c r="T94" s="157">
        <v>41837</v>
      </c>
      <c r="U94" s="142">
        <v>18</v>
      </c>
      <c r="W94" s="142"/>
      <c r="Y94" s="142">
        <f t="shared" si="1"/>
        <v>14.062230000000001</v>
      </c>
      <c r="Z94" s="157">
        <v>41837</v>
      </c>
      <c r="AA94" s="142"/>
      <c r="AE94" s="142">
        <v>39.39</v>
      </c>
      <c r="AF94" s="157">
        <v>41837</v>
      </c>
      <c r="AG94" s="185">
        <v>4.72</v>
      </c>
      <c r="AH94" s="157">
        <v>41837</v>
      </c>
      <c r="AK94" s="142"/>
      <c r="AM94" s="142">
        <v>92</v>
      </c>
      <c r="BM94" s="138">
        <v>59.85</v>
      </c>
      <c r="BN94" s="157">
        <v>41837</v>
      </c>
      <c r="BS94" s="138">
        <v>49.83</v>
      </c>
      <c r="BT94" s="157">
        <v>41837</v>
      </c>
      <c r="BU94" s="138">
        <v>35.700000000000003</v>
      </c>
      <c r="BV94" s="157">
        <v>41837</v>
      </c>
      <c r="BW94" s="138">
        <v>15.4</v>
      </c>
      <c r="BX94" s="157">
        <v>41837</v>
      </c>
      <c r="CC94" s="138">
        <v>6.8</v>
      </c>
      <c r="CD94" s="157">
        <v>41837</v>
      </c>
      <c r="CI94" s="138">
        <v>7</v>
      </c>
    </row>
    <row r="95" spans="1:91">
      <c r="A95" s="159" t="s">
        <v>7789</v>
      </c>
      <c r="B95" s="112" t="s">
        <v>271</v>
      </c>
      <c r="C95" s="112">
        <v>1</v>
      </c>
      <c r="D95" s="112">
        <v>178</v>
      </c>
      <c r="E95" s="113">
        <v>22</v>
      </c>
      <c r="F95" s="113">
        <v>3</v>
      </c>
      <c r="M95" s="185">
        <v>7.91</v>
      </c>
      <c r="N95" s="157">
        <v>41837</v>
      </c>
      <c r="R95" s="185"/>
      <c r="S95" s="137">
        <v>23.1</v>
      </c>
      <c r="T95" s="157">
        <v>41837</v>
      </c>
      <c r="U95" s="142">
        <v>18</v>
      </c>
      <c r="Y95" s="142">
        <f t="shared" si="1"/>
        <v>16.445919999999997</v>
      </c>
      <c r="Z95" s="157">
        <v>41837</v>
      </c>
      <c r="AE95" s="137">
        <v>44.69</v>
      </c>
      <c r="AF95" s="157">
        <v>41837</v>
      </c>
      <c r="AG95" s="185">
        <v>5.19</v>
      </c>
      <c r="AH95" s="157">
        <v>41837</v>
      </c>
      <c r="AM95" s="137">
        <v>92</v>
      </c>
      <c r="BM95" s="138">
        <v>59.79</v>
      </c>
      <c r="BN95" s="157">
        <v>41837</v>
      </c>
      <c r="BS95" s="138">
        <v>51.69</v>
      </c>
      <c r="BT95" s="157">
        <v>41837</v>
      </c>
      <c r="BU95" s="138">
        <v>36.799999999999997</v>
      </c>
      <c r="BV95" s="157">
        <v>41837</v>
      </c>
      <c r="BW95" s="138">
        <v>16.5</v>
      </c>
      <c r="BX95" s="157">
        <v>41837</v>
      </c>
      <c r="CC95" s="138">
        <v>6.7</v>
      </c>
      <c r="CD95" s="157">
        <v>41837</v>
      </c>
      <c r="CI95" s="138">
        <v>7</v>
      </c>
    </row>
    <row r="96" spans="1:91">
      <c r="A96" s="159" t="s">
        <v>7688</v>
      </c>
      <c r="B96" s="112" t="s">
        <v>271</v>
      </c>
      <c r="C96" s="112">
        <v>1</v>
      </c>
      <c r="D96" s="112">
        <v>84</v>
      </c>
      <c r="E96" s="113">
        <v>23</v>
      </c>
      <c r="F96" s="113">
        <v>3</v>
      </c>
      <c r="M96" s="185">
        <v>6.53</v>
      </c>
      <c r="N96" s="157">
        <v>41837</v>
      </c>
      <c r="R96" s="185"/>
      <c r="S96" s="137">
        <v>18.89</v>
      </c>
      <c r="T96" s="157">
        <v>41837</v>
      </c>
      <c r="U96" s="142">
        <v>18</v>
      </c>
      <c r="Y96" s="142">
        <f t="shared" si="1"/>
        <v>13.6937</v>
      </c>
      <c r="Z96" s="157">
        <v>41837</v>
      </c>
      <c r="AE96" s="137">
        <v>37.01</v>
      </c>
      <c r="AF96" s="157">
        <v>41837</v>
      </c>
      <c r="AG96" s="185">
        <v>4.46</v>
      </c>
      <c r="AH96" s="157">
        <v>41837</v>
      </c>
      <c r="AM96" s="137">
        <v>83</v>
      </c>
      <c r="BM96" s="138">
        <v>61.11</v>
      </c>
      <c r="BN96" s="157">
        <v>41837</v>
      </c>
      <c r="BS96" s="138">
        <v>51.03</v>
      </c>
      <c r="BT96" s="157">
        <v>41837</v>
      </c>
      <c r="BU96" s="138">
        <v>37</v>
      </c>
      <c r="BV96" s="157">
        <v>41837</v>
      </c>
      <c r="BW96" s="138">
        <v>13.2</v>
      </c>
      <c r="BX96" s="157">
        <v>41837</v>
      </c>
      <c r="CC96" s="138">
        <v>6.4</v>
      </c>
      <c r="CD96" s="157">
        <v>41837</v>
      </c>
      <c r="CI96" s="138">
        <v>3</v>
      </c>
    </row>
    <row r="97" spans="1:91">
      <c r="A97" s="159" t="s">
        <v>7626</v>
      </c>
      <c r="B97" s="112" t="s">
        <v>271</v>
      </c>
      <c r="C97" s="112">
        <v>1</v>
      </c>
      <c r="D97" s="112">
        <v>190</v>
      </c>
      <c r="E97" s="113">
        <v>24</v>
      </c>
      <c r="F97" s="113">
        <v>3</v>
      </c>
      <c r="M97" s="185">
        <v>5.39</v>
      </c>
      <c r="N97" s="157">
        <v>41837</v>
      </c>
      <c r="R97" s="185"/>
      <c r="S97" s="137">
        <v>14.35</v>
      </c>
      <c r="T97" s="157">
        <v>41837</v>
      </c>
      <c r="U97" s="142">
        <v>18</v>
      </c>
      <c r="Y97" s="142">
        <f t="shared" si="1"/>
        <v>11.571</v>
      </c>
      <c r="Z97" s="157">
        <v>41837</v>
      </c>
      <c r="AE97" s="137">
        <v>30.45</v>
      </c>
      <c r="AF97" s="157">
        <v>41837</v>
      </c>
      <c r="AG97" s="185">
        <v>4.8600000000000003</v>
      </c>
      <c r="AH97" s="157">
        <v>41837</v>
      </c>
      <c r="AM97" s="137">
        <v>94</v>
      </c>
      <c r="BM97" s="138">
        <v>63.38</v>
      </c>
      <c r="BN97" s="157">
        <v>41837</v>
      </c>
      <c r="BS97" s="138">
        <v>47.13</v>
      </c>
      <c r="BT97" s="157">
        <v>41837</v>
      </c>
      <c r="BU97" s="138">
        <v>38</v>
      </c>
      <c r="BV97" s="157">
        <v>41837</v>
      </c>
      <c r="BW97" s="138">
        <v>43.1</v>
      </c>
      <c r="BX97" s="157">
        <v>41837</v>
      </c>
      <c r="CC97" s="138">
        <v>6.7</v>
      </c>
      <c r="CD97" s="157">
        <v>41837</v>
      </c>
      <c r="CI97" s="138">
        <v>5</v>
      </c>
    </row>
    <row r="98" spans="1:91">
      <c r="A98" s="189" t="s">
        <v>7648</v>
      </c>
      <c r="B98" s="190" t="s">
        <v>271</v>
      </c>
      <c r="C98" s="190">
        <v>1</v>
      </c>
      <c r="D98" s="190">
        <v>4</v>
      </c>
      <c r="E98" s="191">
        <v>25</v>
      </c>
      <c r="F98" s="191">
        <v>3</v>
      </c>
      <c r="G98" s="191"/>
      <c r="H98" s="191"/>
      <c r="I98" s="201"/>
      <c r="J98" s="190"/>
      <c r="K98" s="192"/>
      <c r="L98" s="193"/>
      <c r="M98" s="194">
        <v>5.99</v>
      </c>
      <c r="N98" s="193">
        <v>41837</v>
      </c>
      <c r="P98" s="193"/>
      <c r="Q98" s="192"/>
      <c r="R98" s="194"/>
      <c r="S98" s="192">
        <v>15.51</v>
      </c>
      <c r="T98" s="193">
        <v>41837</v>
      </c>
      <c r="U98" s="192">
        <v>18</v>
      </c>
      <c r="V98" s="193"/>
      <c r="W98" s="192"/>
      <c r="X98" s="193"/>
      <c r="Y98" s="192">
        <f t="shared" si="1"/>
        <v>13.197600000000001</v>
      </c>
      <c r="Z98" s="193">
        <v>41837</v>
      </c>
      <c r="AA98" s="192"/>
      <c r="AB98" s="193"/>
      <c r="AC98" s="195"/>
      <c r="AD98" s="193"/>
      <c r="AE98" s="192">
        <v>33.840000000000003</v>
      </c>
      <c r="AF98" s="193">
        <v>41837</v>
      </c>
      <c r="AG98" s="194">
        <v>4.96</v>
      </c>
      <c r="AH98" s="193">
        <v>41837</v>
      </c>
      <c r="AI98" s="193"/>
      <c r="AJ98" s="193"/>
      <c r="AK98" s="192"/>
      <c r="AL98" s="193"/>
      <c r="AM98" s="192">
        <v>92</v>
      </c>
      <c r="AN98" s="193"/>
      <c r="AO98" s="195"/>
      <c r="AP98" s="195"/>
      <c r="AQ98" s="195"/>
      <c r="AR98" s="195"/>
      <c r="AS98" s="195"/>
      <c r="AT98" s="195"/>
      <c r="AU98" s="195"/>
      <c r="AV98" s="195"/>
      <c r="AW98" s="195"/>
      <c r="AX98" s="195"/>
      <c r="AY98" s="195"/>
      <c r="AZ98" s="195"/>
      <c r="BA98" s="195"/>
      <c r="BB98" s="195"/>
      <c r="BC98" s="195"/>
      <c r="BD98" s="195"/>
      <c r="BE98" s="196"/>
      <c r="BF98" s="196"/>
      <c r="BG98" s="196"/>
      <c r="BH98" s="196"/>
      <c r="BI98" s="196"/>
      <c r="BJ98" s="196"/>
      <c r="BK98" s="196"/>
      <c r="BL98" s="196"/>
      <c r="BM98" s="196">
        <v>59.1</v>
      </c>
      <c r="BN98" s="193">
        <v>41837</v>
      </c>
      <c r="BO98" s="196"/>
      <c r="BP98" s="196"/>
      <c r="BQ98" s="196"/>
      <c r="BR98" s="196"/>
      <c r="BS98" s="196">
        <v>45.84</v>
      </c>
      <c r="BT98" s="193">
        <v>41837</v>
      </c>
      <c r="BU98" s="196">
        <v>39</v>
      </c>
      <c r="BV98" s="193">
        <v>41837</v>
      </c>
      <c r="BW98" s="196">
        <v>60.5</v>
      </c>
      <c r="BX98" s="193">
        <v>41837</v>
      </c>
      <c r="BY98" s="196"/>
      <c r="BZ98" s="196"/>
      <c r="CA98" s="196"/>
      <c r="CB98" s="196"/>
      <c r="CC98" s="196">
        <v>6.7</v>
      </c>
      <c r="CD98" s="193">
        <v>41837</v>
      </c>
      <c r="CE98" s="196"/>
      <c r="CF98" s="196"/>
      <c r="CG98" s="196"/>
      <c r="CH98" s="196"/>
      <c r="CI98" s="196">
        <v>5</v>
      </c>
      <c r="CJ98" s="196"/>
      <c r="CK98" s="196"/>
      <c r="CL98" s="196"/>
      <c r="CM98" s="196"/>
    </row>
    <row r="99" spans="1:91">
      <c r="A99" s="159" t="s">
        <v>7668</v>
      </c>
      <c r="B99" s="112" t="s">
        <v>271</v>
      </c>
      <c r="C99" s="112">
        <v>1</v>
      </c>
      <c r="D99" s="112">
        <v>129</v>
      </c>
      <c r="E99" s="113">
        <v>26</v>
      </c>
      <c r="F99" s="113">
        <v>3</v>
      </c>
      <c r="M99" s="185">
        <v>6.58</v>
      </c>
      <c r="N99" s="157">
        <v>41837</v>
      </c>
      <c r="R99" s="185"/>
      <c r="S99" s="137">
        <v>18.8</v>
      </c>
      <c r="T99" s="157">
        <v>41837</v>
      </c>
      <c r="U99" s="142">
        <v>18</v>
      </c>
      <c r="Y99" s="142">
        <f t="shared" si="1"/>
        <v>14.039840000000002</v>
      </c>
      <c r="Z99" s="157">
        <v>41837</v>
      </c>
      <c r="AE99" s="137">
        <v>37.340000000000003</v>
      </c>
      <c r="AF99" s="157">
        <v>41837</v>
      </c>
      <c r="AG99" s="185">
        <v>4.6900000000000004</v>
      </c>
      <c r="AH99" s="157">
        <v>41837</v>
      </c>
      <c r="AM99" s="137">
        <v>90</v>
      </c>
      <c r="BM99" s="138">
        <v>63.77</v>
      </c>
      <c r="BN99" s="157">
        <v>41837</v>
      </c>
      <c r="BS99" s="138">
        <v>50.35</v>
      </c>
      <c r="BT99" s="157">
        <v>41837</v>
      </c>
      <c r="BU99" s="138">
        <v>37.6</v>
      </c>
      <c r="BV99" s="157">
        <v>41837</v>
      </c>
      <c r="BW99" s="138">
        <v>16.399999999999999</v>
      </c>
      <c r="BX99" s="157">
        <v>41837</v>
      </c>
      <c r="CC99" s="138">
        <v>6.3</v>
      </c>
      <c r="CD99" s="157">
        <v>41837</v>
      </c>
      <c r="CI99" s="138">
        <v>9</v>
      </c>
    </row>
    <row r="100" spans="1:91">
      <c r="A100" s="159" t="s">
        <v>7746</v>
      </c>
      <c r="B100" s="112" t="s">
        <v>271</v>
      </c>
      <c r="C100" s="112">
        <v>1</v>
      </c>
      <c r="D100" s="112">
        <v>142</v>
      </c>
      <c r="E100" s="113">
        <v>27</v>
      </c>
      <c r="F100" s="113">
        <v>3</v>
      </c>
      <c r="M100" s="185">
        <v>3.11</v>
      </c>
      <c r="N100" s="157">
        <v>41837</v>
      </c>
      <c r="R100" s="185"/>
      <c r="S100" s="137">
        <v>8.48</v>
      </c>
      <c r="T100" s="157">
        <v>41837</v>
      </c>
      <c r="U100" s="142">
        <v>18</v>
      </c>
      <c r="Y100" s="142">
        <f t="shared" si="1"/>
        <v>7.3195199999999998</v>
      </c>
      <c r="Z100" s="157">
        <v>41837</v>
      </c>
      <c r="AE100" s="137">
        <v>17.68</v>
      </c>
      <c r="AF100" s="157">
        <v>41837</v>
      </c>
      <c r="AG100" s="185">
        <v>6.08</v>
      </c>
      <c r="AH100" s="157">
        <v>41837</v>
      </c>
      <c r="AM100" s="137">
        <v>90</v>
      </c>
      <c r="BM100" s="138">
        <v>62.84</v>
      </c>
      <c r="BN100" s="157">
        <v>41837</v>
      </c>
      <c r="BS100" s="138">
        <v>47.96</v>
      </c>
      <c r="BT100" s="157">
        <v>41837</v>
      </c>
      <c r="BU100" s="138">
        <v>41.4</v>
      </c>
      <c r="BV100" s="157">
        <v>41837</v>
      </c>
      <c r="BW100" s="138">
        <v>62.7</v>
      </c>
      <c r="BX100" s="157">
        <v>41837</v>
      </c>
      <c r="CC100" s="138">
        <v>6.1</v>
      </c>
      <c r="CD100" s="157">
        <v>41837</v>
      </c>
      <c r="CI100" s="138">
        <v>3</v>
      </c>
    </row>
    <row r="101" spans="1:91">
      <c r="A101" s="159" t="s">
        <v>7683</v>
      </c>
      <c r="B101" s="112" t="s">
        <v>271</v>
      </c>
      <c r="C101" s="112">
        <v>1</v>
      </c>
      <c r="D101" s="112">
        <v>168</v>
      </c>
      <c r="E101" s="113">
        <v>28</v>
      </c>
      <c r="F101" s="113">
        <v>3</v>
      </c>
      <c r="M101" s="185">
        <v>6.37</v>
      </c>
      <c r="N101" s="157">
        <v>41837</v>
      </c>
      <c r="R101" s="185"/>
      <c r="S101" s="137">
        <v>17.329999999999998</v>
      </c>
      <c r="T101" s="157">
        <v>41837</v>
      </c>
      <c r="U101" s="142">
        <v>18</v>
      </c>
      <c r="Y101" s="142">
        <f t="shared" si="1"/>
        <v>14.328089999999998</v>
      </c>
      <c r="Z101" s="157">
        <v>41837</v>
      </c>
      <c r="AE101" s="137">
        <v>35.909999999999997</v>
      </c>
      <c r="AF101" s="157">
        <v>41837</v>
      </c>
      <c r="AG101" s="185">
        <v>5.69</v>
      </c>
      <c r="AH101" s="157">
        <v>41837</v>
      </c>
      <c r="AM101" s="137">
        <v>92</v>
      </c>
      <c r="BM101" s="138">
        <v>61.02</v>
      </c>
      <c r="BN101" s="157">
        <v>41837</v>
      </c>
      <c r="BS101" s="138">
        <v>48.26</v>
      </c>
      <c r="BT101" s="157">
        <v>41837</v>
      </c>
      <c r="BU101" s="138">
        <v>39.9</v>
      </c>
      <c r="BV101" s="157">
        <v>41837</v>
      </c>
      <c r="BW101" s="138">
        <v>19.100000000000001</v>
      </c>
      <c r="BX101" s="157">
        <v>41837</v>
      </c>
      <c r="CC101" s="138">
        <v>6.9</v>
      </c>
      <c r="CD101" s="157">
        <v>41837</v>
      </c>
      <c r="CI101" s="138">
        <v>7</v>
      </c>
    </row>
    <row r="102" spans="1:91" s="196" customFormat="1">
      <c r="A102" s="159" t="s">
        <v>7659</v>
      </c>
      <c r="B102" s="112" t="s">
        <v>271</v>
      </c>
      <c r="C102" s="112">
        <v>1</v>
      </c>
      <c r="D102" s="112">
        <v>114</v>
      </c>
      <c r="E102" s="113">
        <v>29</v>
      </c>
      <c r="F102" s="113">
        <v>3</v>
      </c>
      <c r="G102" s="113"/>
      <c r="H102" s="113"/>
      <c r="I102" s="112"/>
      <c r="J102" s="112"/>
      <c r="K102" s="137"/>
      <c r="L102" s="157"/>
      <c r="M102" s="185">
        <v>5.34</v>
      </c>
      <c r="N102" s="157">
        <v>41837</v>
      </c>
      <c r="O102" s="137"/>
      <c r="P102" s="157"/>
      <c r="Q102" s="137"/>
      <c r="R102" s="185"/>
      <c r="S102" s="137">
        <v>14.19</v>
      </c>
      <c r="T102" s="157">
        <v>41837</v>
      </c>
      <c r="U102" s="142">
        <v>18</v>
      </c>
      <c r="V102" s="157"/>
      <c r="W102" s="137"/>
      <c r="X102" s="157"/>
      <c r="Y102" s="142">
        <f t="shared" si="1"/>
        <v>11.91062</v>
      </c>
      <c r="Z102" s="157">
        <v>41837</v>
      </c>
      <c r="AA102" s="137"/>
      <c r="AB102" s="157"/>
      <c r="AC102" s="137"/>
      <c r="AD102" s="157"/>
      <c r="AE102" s="137">
        <v>30.23</v>
      </c>
      <c r="AF102" s="157">
        <v>41837</v>
      </c>
      <c r="AG102" s="185">
        <v>5.5</v>
      </c>
      <c r="AH102" s="157">
        <v>41837</v>
      </c>
      <c r="AI102" s="157"/>
      <c r="AJ102" s="157"/>
      <c r="AK102" s="137"/>
      <c r="AL102" s="157"/>
      <c r="AM102" s="137">
        <v>87</v>
      </c>
      <c r="AN102" s="157"/>
      <c r="AO102" s="137"/>
      <c r="AP102" s="137"/>
      <c r="AQ102" s="137"/>
      <c r="AR102" s="137"/>
      <c r="AS102" s="137"/>
      <c r="AT102" s="137"/>
      <c r="AU102" s="137"/>
      <c r="AV102" s="137"/>
      <c r="AW102" s="137"/>
      <c r="AX102" s="137"/>
      <c r="AY102" s="137"/>
      <c r="AZ102" s="137"/>
      <c r="BA102" s="137"/>
      <c r="BB102" s="137"/>
      <c r="BC102" s="137"/>
      <c r="BD102" s="137"/>
      <c r="BE102" s="138"/>
      <c r="BF102" s="138"/>
      <c r="BG102" s="138"/>
      <c r="BH102" s="138"/>
      <c r="BI102" s="138"/>
      <c r="BJ102" s="138"/>
      <c r="BK102" s="138"/>
      <c r="BL102" s="138"/>
      <c r="BM102" s="138">
        <v>59.4</v>
      </c>
      <c r="BN102" s="157">
        <v>41837</v>
      </c>
      <c r="BO102" s="138"/>
      <c r="BP102" s="138"/>
      <c r="BQ102" s="138"/>
      <c r="BR102" s="138"/>
      <c r="BS102" s="138">
        <v>46.95</v>
      </c>
      <c r="BT102" s="157">
        <v>41837</v>
      </c>
      <c r="BU102" s="138">
        <v>39.4</v>
      </c>
      <c r="BV102" s="157">
        <v>41837</v>
      </c>
      <c r="BW102" s="138">
        <v>17.8</v>
      </c>
      <c r="BX102" s="157">
        <v>41837</v>
      </c>
      <c r="BY102" s="138"/>
      <c r="BZ102" s="138"/>
      <c r="CA102" s="138"/>
      <c r="CB102" s="138"/>
      <c r="CC102" s="138">
        <v>6.5</v>
      </c>
      <c r="CD102" s="157">
        <v>41837</v>
      </c>
      <c r="CE102" s="138"/>
      <c r="CF102" s="138"/>
      <c r="CG102" s="138"/>
      <c r="CH102" s="138"/>
      <c r="CI102" s="138">
        <v>7</v>
      </c>
      <c r="CJ102" s="138"/>
      <c r="CK102" s="138"/>
      <c r="CL102" s="138"/>
      <c r="CM102" s="138"/>
    </row>
    <row r="103" spans="1:91" s="196" customFormat="1">
      <c r="A103" s="159" t="s">
        <v>7811</v>
      </c>
      <c r="B103" s="112" t="s">
        <v>271</v>
      </c>
      <c r="C103" s="112">
        <v>1</v>
      </c>
      <c r="D103" s="112">
        <v>186</v>
      </c>
      <c r="E103" s="113">
        <v>30</v>
      </c>
      <c r="F103" s="113">
        <v>3</v>
      </c>
      <c r="G103" s="113"/>
      <c r="H103" s="113"/>
      <c r="I103" s="112"/>
      <c r="J103" s="112"/>
      <c r="K103" s="137"/>
      <c r="L103" s="157"/>
      <c r="M103" s="185">
        <v>6.6</v>
      </c>
      <c r="N103" s="157">
        <v>41837</v>
      </c>
      <c r="O103" s="137"/>
      <c r="P103" s="157"/>
      <c r="Q103" s="137"/>
      <c r="R103" s="185"/>
      <c r="S103" s="137">
        <v>19.309999999999999</v>
      </c>
      <c r="T103" s="157">
        <v>41837</v>
      </c>
      <c r="U103" s="142">
        <v>18</v>
      </c>
      <c r="V103" s="157"/>
      <c r="W103" s="137"/>
      <c r="X103" s="157"/>
      <c r="Y103" s="142">
        <f t="shared" si="1"/>
        <v>13.018679999999996</v>
      </c>
      <c r="Z103" s="157">
        <v>41837</v>
      </c>
      <c r="AA103" s="137"/>
      <c r="AB103" s="157"/>
      <c r="AC103" s="137"/>
      <c r="AD103" s="157"/>
      <c r="AE103" s="137">
        <v>37.409999999999997</v>
      </c>
      <c r="AF103" s="157">
        <v>41837</v>
      </c>
      <c r="AG103" s="185">
        <v>4.62</v>
      </c>
      <c r="AH103" s="157">
        <v>41837</v>
      </c>
      <c r="AI103" s="157"/>
      <c r="AJ103" s="157"/>
      <c r="AK103" s="137"/>
      <c r="AL103" s="157"/>
      <c r="AM103" s="137">
        <v>92</v>
      </c>
      <c r="AN103" s="157"/>
      <c r="AO103" s="137"/>
      <c r="AP103" s="137"/>
      <c r="AQ103" s="137"/>
      <c r="AR103" s="137"/>
      <c r="AS103" s="137"/>
      <c r="AT103" s="137"/>
      <c r="AU103" s="137"/>
      <c r="AV103" s="137"/>
      <c r="AW103" s="137"/>
      <c r="AX103" s="137"/>
      <c r="AY103" s="137"/>
      <c r="AZ103" s="137"/>
      <c r="BA103" s="137"/>
      <c r="BB103" s="137"/>
      <c r="BC103" s="137"/>
      <c r="BD103" s="137"/>
      <c r="BE103" s="138"/>
      <c r="BF103" s="138"/>
      <c r="BG103" s="138"/>
      <c r="BH103" s="138"/>
      <c r="BI103" s="138"/>
      <c r="BJ103" s="138"/>
      <c r="BK103" s="138"/>
      <c r="BL103" s="138"/>
      <c r="BM103" s="138">
        <v>61.79</v>
      </c>
      <c r="BN103" s="157">
        <v>41837</v>
      </c>
      <c r="BO103" s="138"/>
      <c r="BP103" s="138"/>
      <c r="BQ103" s="138"/>
      <c r="BR103" s="138"/>
      <c r="BS103" s="138">
        <v>51.62</v>
      </c>
      <c r="BT103" s="157">
        <v>41837</v>
      </c>
      <c r="BU103" s="138">
        <v>34.799999999999997</v>
      </c>
      <c r="BV103" s="157">
        <v>41837</v>
      </c>
      <c r="BW103" s="138">
        <v>15.2</v>
      </c>
      <c r="BX103" s="157">
        <v>41837</v>
      </c>
      <c r="BY103" s="138"/>
      <c r="BZ103" s="138"/>
      <c r="CA103" s="138"/>
      <c r="CB103" s="138"/>
      <c r="CC103" s="138">
        <v>6.4</v>
      </c>
      <c r="CD103" s="157">
        <v>41837</v>
      </c>
      <c r="CE103" s="138"/>
      <c r="CF103" s="138"/>
      <c r="CG103" s="138"/>
      <c r="CH103" s="138"/>
      <c r="CI103" s="138">
        <v>7</v>
      </c>
      <c r="CJ103" s="138"/>
      <c r="CK103" s="138"/>
      <c r="CL103" s="138"/>
      <c r="CM103" s="138"/>
    </row>
    <row r="104" spans="1:91" s="196" customFormat="1">
      <c r="A104" s="159" t="s">
        <v>7807</v>
      </c>
      <c r="B104" s="112" t="s">
        <v>271</v>
      </c>
      <c r="C104" s="112">
        <v>1</v>
      </c>
      <c r="D104" s="112">
        <v>99</v>
      </c>
      <c r="E104" s="113">
        <v>31</v>
      </c>
      <c r="F104" s="113">
        <v>3</v>
      </c>
      <c r="G104" s="113"/>
      <c r="H104" s="113"/>
      <c r="I104" s="112"/>
      <c r="J104" s="112"/>
      <c r="K104" s="137"/>
      <c r="L104" s="157"/>
      <c r="M104" s="185">
        <v>7.93</v>
      </c>
      <c r="N104" s="157">
        <v>41837</v>
      </c>
      <c r="O104" s="137"/>
      <c r="P104" s="157"/>
      <c r="Q104" s="137"/>
      <c r="R104" s="185"/>
      <c r="S104" s="137">
        <v>23.19</v>
      </c>
      <c r="T104" s="157">
        <v>41837</v>
      </c>
      <c r="U104" s="142">
        <v>18</v>
      </c>
      <c r="V104" s="157"/>
      <c r="W104" s="137"/>
      <c r="X104" s="157"/>
      <c r="Y104" s="142">
        <f t="shared" si="1"/>
        <v>17.55</v>
      </c>
      <c r="Z104" s="157">
        <v>41837</v>
      </c>
      <c r="AA104" s="137"/>
      <c r="AB104" s="157"/>
      <c r="AC104" s="137"/>
      <c r="AD104" s="157"/>
      <c r="AE104" s="137">
        <v>45</v>
      </c>
      <c r="AF104" s="157">
        <v>41837</v>
      </c>
      <c r="AG104" s="185">
        <v>5.72</v>
      </c>
      <c r="AH104" s="157">
        <v>41837</v>
      </c>
      <c r="AI104" s="157"/>
      <c r="AJ104" s="157"/>
      <c r="AK104" s="137"/>
      <c r="AL104" s="157"/>
      <c r="AM104" s="137">
        <v>94</v>
      </c>
      <c r="AN104" s="157"/>
      <c r="AO104" s="137"/>
      <c r="AP104" s="137"/>
      <c r="AQ104" s="137"/>
      <c r="AR104" s="137"/>
      <c r="AS104" s="137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  <c r="BD104" s="137"/>
      <c r="BE104" s="138"/>
      <c r="BF104" s="138"/>
      <c r="BG104" s="138"/>
      <c r="BH104" s="138"/>
      <c r="BI104" s="138"/>
      <c r="BJ104" s="138"/>
      <c r="BK104" s="138"/>
      <c r="BL104" s="138"/>
      <c r="BM104" s="138">
        <v>61.25</v>
      </c>
      <c r="BN104" s="157">
        <v>41837</v>
      </c>
      <c r="BO104" s="138"/>
      <c r="BP104" s="138"/>
      <c r="BQ104" s="138"/>
      <c r="BR104" s="138"/>
      <c r="BS104" s="138">
        <v>51.53</v>
      </c>
      <c r="BT104" s="157">
        <v>41837</v>
      </c>
      <c r="BU104" s="138">
        <v>39</v>
      </c>
      <c r="BV104" s="157">
        <v>41837</v>
      </c>
      <c r="BW104" s="138">
        <v>13.8</v>
      </c>
      <c r="BX104" s="157">
        <v>41837</v>
      </c>
      <c r="BY104" s="138"/>
      <c r="BZ104" s="138"/>
      <c r="CA104" s="138"/>
      <c r="CB104" s="138"/>
      <c r="CC104" s="138">
        <v>6.3</v>
      </c>
      <c r="CD104" s="157">
        <v>41837</v>
      </c>
      <c r="CE104" s="138"/>
      <c r="CF104" s="138"/>
      <c r="CG104" s="138"/>
      <c r="CH104" s="138"/>
      <c r="CI104" s="138">
        <v>9</v>
      </c>
      <c r="CJ104" s="138"/>
      <c r="CK104" s="138"/>
      <c r="CL104" s="138"/>
      <c r="CM104" s="138"/>
    </row>
    <row r="105" spans="1:91" s="196" customFormat="1">
      <c r="A105" s="159" t="s">
        <v>7678</v>
      </c>
      <c r="B105" s="112" t="s">
        <v>271</v>
      </c>
      <c r="C105" s="112">
        <v>1</v>
      </c>
      <c r="D105" s="112">
        <v>101</v>
      </c>
      <c r="E105" s="113">
        <v>32</v>
      </c>
      <c r="F105" s="113">
        <v>3</v>
      </c>
      <c r="G105" s="113"/>
      <c r="H105" s="113"/>
      <c r="I105" s="112"/>
      <c r="J105" s="112"/>
      <c r="K105" s="137"/>
      <c r="L105" s="157"/>
      <c r="M105" s="185">
        <v>5.54</v>
      </c>
      <c r="N105" s="157">
        <v>41837</v>
      </c>
      <c r="O105" s="137"/>
      <c r="P105" s="157"/>
      <c r="Q105" s="137"/>
      <c r="R105" s="185"/>
      <c r="S105" s="137">
        <v>15.77</v>
      </c>
      <c r="T105" s="157">
        <v>41837</v>
      </c>
      <c r="U105" s="142">
        <v>18</v>
      </c>
      <c r="V105" s="157"/>
      <c r="W105" s="137"/>
      <c r="X105" s="157"/>
      <c r="Y105" s="142">
        <f t="shared" si="1"/>
        <v>11.748749999999999</v>
      </c>
      <c r="Z105" s="157">
        <v>41837</v>
      </c>
      <c r="AA105" s="137"/>
      <c r="AB105" s="157"/>
      <c r="AC105" s="137"/>
      <c r="AD105" s="157"/>
      <c r="AE105" s="137">
        <v>31.33</v>
      </c>
      <c r="AF105" s="157">
        <v>41837</v>
      </c>
      <c r="AG105" s="185">
        <v>5.05</v>
      </c>
      <c r="AH105" s="157">
        <v>41837</v>
      </c>
      <c r="AI105" s="157"/>
      <c r="AJ105" s="157"/>
      <c r="AK105" s="137"/>
      <c r="AL105" s="157"/>
      <c r="AM105" s="137">
        <v>94</v>
      </c>
      <c r="AN105" s="157"/>
      <c r="AO105" s="137"/>
      <c r="AP105" s="137"/>
      <c r="AQ105" s="137"/>
      <c r="AR105" s="137"/>
      <c r="AS105" s="137"/>
      <c r="AT105" s="137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8"/>
      <c r="BF105" s="138"/>
      <c r="BG105" s="138"/>
      <c r="BH105" s="138"/>
      <c r="BI105" s="138"/>
      <c r="BJ105" s="138"/>
      <c r="BK105" s="138"/>
      <c r="BL105" s="138"/>
      <c r="BM105" s="138">
        <v>58.5</v>
      </c>
      <c r="BN105" s="157">
        <v>41837</v>
      </c>
      <c r="BO105" s="138"/>
      <c r="BP105" s="138"/>
      <c r="BQ105" s="138"/>
      <c r="BR105" s="138"/>
      <c r="BS105" s="138">
        <v>50.35</v>
      </c>
      <c r="BT105" s="157">
        <v>41837</v>
      </c>
      <c r="BU105" s="138">
        <v>37.5</v>
      </c>
      <c r="BV105" s="157">
        <v>41837</v>
      </c>
      <c r="BW105" s="138">
        <v>18.8</v>
      </c>
      <c r="BX105" s="157">
        <v>41837</v>
      </c>
      <c r="BY105" s="138"/>
      <c r="BZ105" s="138"/>
      <c r="CA105" s="138"/>
      <c r="CB105" s="138"/>
      <c r="CC105" s="138">
        <v>6.6</v>
      </c>
      <c r="CD105" s="157">
        <v>41837</v>
      </c>
      <c r="CE105" s="138"/>
      <c r="CF105" s="138"/>
      <c r="CG105" s="138"/>
      <c r="CH105" s="138"/>
      <c r="CI105" s="138">
        <v>7</v>
      </c>
      <c r="CJ105" s="138"/>
      <c r="CK105" s="138"/>
      <c r="CL105" s="138"/>
      <c r="CM105" s="138"/>
    </row>
    <row r="106" spans="1:91">
      <c r="A106" s="159" t="s">
        <v>7701</v>
      </c>
      <c r="B106" s="112" t="s">
        <v>271</v>
      </c>
      <c r="C106" s="112">
        <v>1</v>
      </c>
      <c r="D106" s="112">
        <v>93</v>
      </c>
      <c r="E106" s="113">
        <v>33</v>
      </c>
      <c r="F106" s="113">
        <v>3</v>
      </c>
      <c r="M106" s="185">
        <v>5.27</v>
      </c>
      <c r="N106" s="157">
        <v>41837</v>
      </c>
      <c r="R106" s="185"/>
      <c r="S106" s="137">
        <v>15.13</v>
      </c>
      <c r="T106" s="157">
        <v>41837</v>
      </c>
      <c r="U106" s="142">
        <v>18</v>
      </c>
      <c r="Y106" s="142">
        <f t="shared" si="1"/>
        <v>10.8916</v>
      </c>
      <c r="Z106" s="157">
        <v>41837</v>
      </c>
      <c r="AE106" s="137">
        <v>29.84</v>
      </c>
      <c r="AF106" s="157">
        <v>41837</v>
      </c>
      <c r="AG106" s="185">
        <v>4.7</v>
      </c>
      <c r="AH106" s="157">
        <v>41837</v>
      </c>
      <c r="AM106" s="137">
        <v>94</v>
      </c>
      <c r="BM106" s="138">
        <v>59.6</v>
      </c>
      <c r="BN106" s="157">
        <v>41837</v>
      </c>
      <c r="BS106" s="138">
        <v>50.72</v>
      </c>
      <c r="BT106" s="157">
        <v>41837</v>
      </c>
      <c r="BU106" s="138">
        <v>36.5</v>
      </c>
      <c r="BV106" s="157">
        <v>41837</v>
      </c>
      <c r="BW106" s="138">
        <v>13.6</v>
      </c>
      <c r="BX106" s="157">
        <v>41837</v>
      </c>
      <c r="CC106" s="138">
        <v>6.5</v>
      </c>
      <c r="CD106" s="157">
        <v>41837</v>
      </c>
      <c r="CI106" s="138">
        <v>9</v>
      </c>
    </row>
    <row r="107" spans="1:91">
      <c r="A107" s="159" t="s">
        <v>7788</v>
      </c>
      <c r="B107" s="112" t="s">
        <v>271</v>
      </c>
      <c r="C107" s="112">
        <v>1</v>
      </c>
      <c r="D107" s="112">
        <v>97</v>
      </c>
      <c r="E107" s="113">
        <v>34</v>
      </c>
      <c r="F107" s="113">
        <v>3</v>
      </c>
      <c r="M107" s="185">
        <v>6.7</v>
      </c>
      <c r="N107" s="157">
        <v>41837</v>
      </c>
      <c r="R107" s="185"/>
      <c r="S107" s="137">
        <v>19.79</v>
      </c>
      <c r="T107" s="157">
        <v>41837</v>
      </c>
      <c r="U107" s="142">
        <v>18</v>
      </c>
      <c r="Y107" s="142">
        <f t="shared" si="1"/>
        <v>13.421060000000001</v>
      </c>
      <c r="Z107" s="157">
        <v>41837</v>
      </c>
      <c r="AE107" s="137">
        <v>38.020000000000003</v>
      </c>
      <c r="AF107" s="157">
        <v>41837</v>
      </c>
      <c r="AG107" s="185">
        <v>4.8099999999999996</v>
      </c>
      <c r="AH107" s="157">
        <v>41837</v>
      </c>
      <c r="AM107" s="137">
        <v>85</v>
      </c>
      <c r="BM107" s="138">
        <v>60.64</v>
      </c>
      <c r="BN107" s="157">
        <v>41837</v>
      </c>
      <c r="BS107" s="138">
        <v>52.04</v>
      </c>
      <c r="BT107" s="157">
        <v>41837</v>
      </c>
      <c r="BU107" s="138">
        <v>35.299999999999997</v>
      </c>
      <c r="BV107" s="157">
        <v>41837</v>
      </c>
      <c r="BW107" s="138">
        <v>17.600000000000001</v>
      </c>
      <c r="BX107" s="157">
        <v>41837</v>
      </c>
      <c r="CC107" s="138">
        <v>6.3</v>
      </c>
      <c r="CD107" s="157">
        <v>41837</v>
      </c>
      <c r="CI107" s="138">
        <v>7</v>
      </c>
    </row>
    <row r="108" spans="1:91">
      <c r="A108" s="159" t="s">
        <v>7622</v>
      </c>
      <c r="B108" s="112" t="s">
        <v>271</v>
      </c>
      <c r="C108" s="112">
        <v>1</v>
      </c>
      <c r="D108" s="112">
        <v>208</v>
      </c>
      <c r="E108" s="113">
        <v>35</v>
      </c>
      <c r="F108" s="113">
        <v>3</v>
      </c>
      <c r="M108" s="185">
        <v>5.92</v>
      </c>
      <c r="N108" s="157">
        <v>41837</v>
      </c>
      <c r="R108" s="185"/>
      <c r="S108" s="137">
        <v>16.420000000000002</v>
      </c>
      <c r="T108" s="157">
        <v>41837</v>
      </c>
      <c r="U108" s="142">
        <v>18</v>
      </c>
      <c r="Y108" s="142">
        <f t="shared" si="1"/>
        <v>13.699619999999999</v>
      </c>
      <c r="Z108" s="157">
        <v>41837</v>
      </c>
      <c r="AE108" s="137">
        <v>33.659999999999997</v>
      </c>
      <c r="AF108" s="157">
        <v>41837</v>
      </c>
      <c r="AG108" s="185">
        <v>5.23</v>
      </c>
      <c r="AH108" s="157">
        <v>41837</v>
      </c>
      <c r="AM108" s="137">
        <v>90</v>
      </c>
      <c r="BM108" s="138">
        <v>63.71</v>
      </c>
      <c r="BN108" s="157">
        <v>41837</v>
      </c>
      <c r="BS108" s="138">
        <v>48.79</v>
      </c>
      <c r="BT108" s="157">
        <v>41837</v>
      </c>
      <c r="BU108" s="138">
        <v>40.700000000000003</v>
      </c>
      <c r="BV108" s="157">
        <v>41837</v>
      </c>
      <c r="BW108" s="138">
        <v>58.6</v>
      </c>
      <c r="BX108" s="157">
        <v>41837</v>
      </c>
      <c r="CC108" s="138">
        <v>6.1</v>
      </c>
      <c r="CD108" s="157">
        <v>41837</v>
      </c>
      <c r="CI108" s="138">
        <v>3</v>
      </c>
    </row>
    <row r="109" spans="1:91">
      <c r="A109" s="159" t="s">
        <v>7780</v>
      </c>
      <c r="B109" s="112" t="s">
        <v>271</v>
      </c>
      <c r="C109" s="112">
        <v>1</v>
      </c>
      <c r="D109" s="112">
        <v>3</v>
      </c>
      <c r="E109" s="113">
        <v>36</v>
      </c>
      <c r="F109" s="113">
        <v>3</v>
      </c>
      <c r="I109" s="200"/>
      <c r="K109" s="142"/>
      <c r="M109" s="185">
        <v>6</v>
      </c>
      <c r="N109" s="157">
        <v>41837</v>
      </c>
      <c r="Q109" s="142"/>
      <c r="R109" s="185"/>
      <c r="S109" s="142">
        <v>17.59</v>
      </c>
      <c r="T109" s="157">
        <v>41837</v>
      </c>
      <c r="U109" s="142">
        <v>18</v>
      </c>
      <c r="W109" s="142"/>
      <c r="Y109" s="142">
        <f t="shared" si="1"/>
        <v>12.77272</v>
      </c>
      <c r="Z109" s="157">
        <v>41837</v>
      </c>
      <c r="AA109" s="142"/>
      <c r="AE109" s="142">
        <v>33.97</v>
      </c>
      <c r="AF109" s="157">
        <v>41837</v>
      </c>
      <c r="AG109" s="185">
        <v>5.5</v>
      </c>
      <c r="AH109" s="157">
        <v>41837</v>
      </c>
      <c r="AK109" s="142"/>
      <c r="AM109" s="142">
        <v>92</v>
      </c>
      <c r="BM109" s="138">
        <v>59.72</v>
      </c>
      <c r="BN109" s="157">
        <v>41837</v>
      </c>
      <c r="BS109" s="138">
        <v>51.79</v>
      </c>
      <c r="BT109" s="157">
        <v>41837</v>
      </c>
      <c r="BU109" s="138">
        <v>37.6</v>
      </c>
      <c r="BV109" s="157">
        <v>41837</v>
      </c>
      <c r="BW109" s="138">
        <v>14.9</v>
      </c>
      <c r="BX109" s="157">
        <v>41837</v>
      </c>
      <c r="CC109" s="138">
        <v>6.5</v>
      </c>
      <c r="CD109" s="157">
        <v>41837</v>
      </c>
      <c r="CI109" s="138">
        <v>7</v>
      </c>
    </row>
    <row r="110" spans="1:91">
      <c r="A110" s="159" t="s">
        <v>7727</v>
      </c>
      <c r="B110" s="112" t="s">
        <v>271</v>
      </c>
      <c r="C110" s="112">
        <v>1</v>
      </c>
      <c r="D110" s="112">
        <v>60</v>
      </c>
      <c r="E110" s="113">
        <v>1</v>
      </c>
      <c r="F110" s="113">
        <v>4</v>
      </c>
      <c r="M110" s="185">
        <v>5.96</v>
      </c>
      <c r="N110" s="157">
        <v>41837</v>
      </c>
      <c r="R110" s="185"/>
      <c r="S110" s="137">
        <v>16.38</v>
      </c>
      <c r="T110" s="157">
        <v>41837</v>
      </c>
      <c r="U110" s="142">
        <v>18</v>
      </c>
      <c r="Y110" s="142">
        <f t="shared" si="1"/>
        <v>11.9925</v>
      </c>
      <c r="Z110" s="157">
        <v>41837</v>
      </c>
      <c r="AE110" s="137">
        <v>31.98</v>
      </c>
      <c r="AF110" s="157">
        <v>41837</v>
      </c>
      <c r="AG110" s="185">
        <v>5.68</v>
      </c>
      <c r="AH110" s="157">
        <v>41837</v>
      </c>
      <c r="AM110" s="137">
        <v>92</v>
      </c>
      <c r="BM110" s="138">
        <v>62.57</v>
      </c>
      <c r="BN110" s="157">
        <v>41837</v>
      </c>
      <c r="BS110" s="138">
        <v>51.22</v>
      </c>
      <c r="BT110" s="157">
        <v>41837</v>
      </c>
      <c r="BU110" s="138">
        <v>37.5</v>
      </c>
      <c r="BV110" s="157">
        <v>41837</v>
      </c>
      <c r="BW110" s="138">
        <v>9.3000000000000007</v>
      </c>
      <c r="BX110" s="157">
        <v>41837</v>
      </c>
      <c r="CC110" s="138">
        <v>11.4</v>
      </c>
      <c r="CD110" s="157">
        <v>41837</v>
      </c>
      <c r="CI110" s="138">
        <v>9</v>
      </c>
    </row>
    <row r="111" spans="1:91">
      <c r="A111" s="159" t="s">
        <v>7711</v>
      </c>
      <c r="B111" s="112" t="s">
        <v>271</v>
      </c>
      <c r="C111" s="112">
        <v>1</v>
      </c>
      <c r="D111" s="112">
        <v>90</v>
      </c>
      <c r="E111" s="113">
        <v>2</v>
      </c>
      <c r="F111" s="113">
        <v>4</v>
      </c>
      <c r="M111" s="185">
        <v>4.49</v>
      </c>
      <c r="N111" s="157">
        <v>41837</v>
      </c>
      <c r="R111" s="185"/>
      <c r="S111" s="137">
        <v>12.16</v>
      </c>
      <c r="T111" s="157">
        <v>41837</v>
      </c>
      <c r="U111" s="142">
        <v>18</v>
      </c>
      <c r="Y111" s="142">
        <f t="shared" si="1"/>
        <v>9.5130300000000005</v>
      </c>
      <c r="Z111" s="157">
        <v>41837</v>
      </c>
      <c r="AE111" s="137">
        <v>24.33</v>
      </c>
      <c r="AF111" s="157">
        <v>41837</v>
      </c>
      <c r="AG111" s="185">
        <v>5.31</v>
      </c>
      <c r="AH111" s="157">
        <v>41837</v>
      </c>
      <c r="AM111" s="137">
        <v>92</v>
      </c>
      <c r="BM111" s="138">
        <v>61.71</v>
      </c>
      <c r="BN111" s="157">
        <v>41837</v>
      </c>
      <c r="BS111" s="138">
        <v>49.96</v>
      </c>
      <c r="BT111" s="157">
        <v>41837</v>
      </c>
      <c r="BU111" s="138">
        <v>39.1</v>
      </c>
      <c r="BV111" s="157">
        <v>41837</v>
      </c>
      <c r="BW111" s="138">
        <v>11</v>
      </c>
      <c r="BX111" s="157">
        <v>41837</v>
      </c>
      <c r="CC111" s="138">
        <v>10.5</v>
      </c>
      <c r="CD111" s="157">
        <v>41837</v>
      </c>
      <c r="CI111" s="138">
        <v>9</v>
      </c>
    </row>
    <row r="112" spans="1:91">
      <c r="A112" s="159" t="s">
        <v>7796</v>
      </c>
      <c r="B112" s="112" t="s">
        <v>271</v>
      </c>
      <c r="C112" s="112">
        <v>1</v>
      </c>
      <c r="D112" s="112">
        <v>19</v>
      </c>
      <c r="E112" s="113">
        <v>3</v>
      </c>
      <c r="F112" s="113">
        <v>4</v>
      </c>
      <c r="I112" s="200"/>
      <c r="K112" s="142"/>
      <c r="M112" s="185">
        <v>6.99</v>
      </c>
      <c r="N112" s="157">
        <v>41837</v>
      </c>
      <c r="Q112" s="142"/>
      <c r="R112" s="185"/>
      <c r="S112" s="142">
        <v>19.010000000000002</v>
      </c>
      <c r="T112" s="157">
        <v>41837</v>
      </c>
      <c r="U112" s="142">
        <v>18</v>
      </c>
      <c r="W112" s="142"/>
      <c r="Y112" s="142">
        <f t="shared" si="1"/>
        <v>14.645760000000001</v>
      </c>
      <c r="Z112" s="157">
        <v>41837</v>
      </c>
      <c r="AA112" s="142"/>
      <c r="AE112" s="142">
        <v>38.14</v>
      </c>
      <c r="AF112" s="157">
        <v>41837</v>
      </c>
      <c r="AG112" s="185">
        <v>5.29</v>
      </c>
      <c r="AH112" s="157">
        <v>41837</v>
      </c>
      <c r="AK112" s="142"/>
      <c r="AM112" s="142">
        <v>92</v>
      </c>
      <c r="BM112" s="138">
        <v>62.27</v>
      </c>
      <c r="BN112" s="157">
        <v>41837</v>
      </c>
      <c r="BS112" s="138">
        <v>49.84</v>
      </c>
      <c r="BT112" s="157">
        <v>41837</v>
      </c>
      <c r="BU112" s="138">
        <v>38.4</v>
      </c>
      <c r="BV112" s="157">
        <v>41837</v>
      </c>
      <c r="BW112" s="138">
        <v>13.4</v>
      </c>
      <c r="BX112" s="157">
        <v>41837</v>
      </c>
      <c r="CC112" s="138">
        <v>9.9</v>
      </c>
      <c r="CD112" s="157">
        <v>41837</v>
      </c>
      <c r="CI112" s="138">
        <v>7</v>
      </c>
    </row>
    <row r="113" spans="1:91">
      <c r="A113" s="189" t="s">
        <v>7856</v>
      </c>
      <c r="B113" s="190" t="s">
        <v>271</v>
      </c>
      <c r="C113" s="190">
        <v>1</v>
      </c>
      <c r="D113" s="190">
        <v>1</v>
      </c>
      <c r="E113" s="191">
        <v>4</v>
      </c>
      <c r="F113" s="191">
        <v>4</v>
      </c>
      <c r="G113" s="191"/>
      <c r="H113" s="191"/>
      <c r="I113" s="203"/>
      <c r="J113" s="203"/>
      <c r="K113" s="197"/>
      <c r="L113" s="197"/>
      <c r="M113" s="198">
        <v>7.24</v>
      </c>
      <c r="N113" s="193">
        <v>41837</v>
      </c>
      <c r="P113" s="197"/>
      <c r="Q113" s="197"/>
      <c r="R113" s="194"/>
      <c r="S113" s="197">
        <v>20.170000000000002</v>
      </c>
      <c r="T113" s="193">
        <v>41837</v>
      </c>
      <c r="U113" s="192">
        <v>18</v>
      </c>
      <c r="V113" s="197"/>
      <c r="W113" s="197"/>
      <c r="X113" s="197"/>
      <c r="Y113" s="192">
        <f t="shared" si="1"/>
        <v>14.760960000000001</v>
      </c>
      <c r="Z113" s="193">
        <v>41837</v>
      </c>
      <c r="AA113" s="197"/>
      <c r="AB113" s="197"/>
      <c r="AC113" s="195"/>
      <c r="AD113" s="193"/>
      <c r="AE113" s="197">
        <v>39.68</v>
      </c>
      <c r="AF113" s="193">
        <v>41837</v>
      </c>
      <c r="AG113" s="194">
        <v>5.07</v>
      </c>
      <c r="AH113" s="193">
        <v>41837</v>
      </c>
      <c r="AI113" s="193"/>
      <c r="AJ113" s="193"/>
      <c r="AK113" s="192"/>
      <c r="AL113" s="193"/>
      <c r="AM113" s="192">
        <v>83</v>
      </c>
      <c r="AN113" s="193"/>
      <c r="AO113" s="195"/>
      <c r="AP113" s="195"/>
      <c r="AQ113" s="195"/>
      <c r="AR113" s="195"/>
      <c r="AS113" s="195"/>
      <c r="AT113" s="195"/>
      <c r="AU113" s="195"/>
      <c r="AV113" s="195"/>
      <c r="AW113" s="195"/>
      <c r="AX113" s="195"/>
      <c r="AY113" s="195"/>
      <c r="AZ113" s="195"/>
      <c r="BA113" s="195"/>
      <c r="BB113" s="195"/>
      <c r="BC113" s="195"/>
      <c r="BD113" s="195"/>
      <c r="BE113" s="196"/>
      <c r="BF113" s="196"/>
      <c r="BG113" s="196"/>
      <c r="BH113" s="196"/>
      <c r="BI113" s="196"/>
      <c r="BJ113" s="196"/>
      <c r="BK113" s="196"/>
      <c r="BL113" s="196"/>
      <c r="BM113" s="196">
        <v>60.25</v>
      </c>
      <c r="BN113" s="193">
        <v>41837</v>
      </c>
      <c r="BO113" s="196"/>
      <c r="BP113" s="196"/>
      <c r="BQ113" s="196"/>
      <c r="BR113" s="196"/>
      <c r="BS113" s="196">
        <v>50.83</v>
      </c>
      <c r="BT113" s="193">
        <v>41837</v>
      </c>
      <c r="BU113" s="196">
        <v>37.200000000000003</v>
      </c>
      <c r="BV113" s="193">
        <v>41837</v>
      </c>
      <c r="BW113" s="196">
        <v>19</v>
      </c>
      <c r="BX113" s="193">
        <v>41837</v>
      </c>
      <c r="BY113" s="196"/>
      <c r="BZ113" s="196"/>
      <c r="CA113" s="196"/>
      <c r="CB113" s="196"/>
      <c r="CC113" s="196">
        <v>9.5</v>
      </c>
      <c r="CD113" s="193">
        <v>41837</v>
      </c>
      <c r="CE113" s="196"/>
      <c r="CF113" s="196"/>
      <c r="CG113" s="196"/>
      <c r="CH113" s="196"/>
      <c r="CI113" s="196">
        <v>9</v>
      </c>
      <c r="CJ113" s="196"/>
      <c r="CK113" s="196"/>
      <c r="CL113" s="196"/>
      <c r="CM113" s="196"/>
    </row>
    <row r="114" spans="1:91">
      <c r="A114" s="159" t="s">
        <v>7777</v>
      </c>
      <c r="B114" s="112" t="s">
        <v>271</v>
      </c>
      <c r="C114" s="112">
        <v>1</v>
      </c>
      <c r="D114" s="112">
        <v>169</v>
      </c>
      <c r="E114" s="113">
        <v>5</v>
      </c>
      <c r="F114" s="113">
        <v>4</v>
      </c>
      <c r="M114" s="185">
        <v>7.78</v>
      </c>
      <c r="N114" s="157">
        <v>41837</v>
      </c>
      <c r="R114" s="185"/>
      <c r="S114" s="137">
        <v>22.14</v>
      </c>
      <c r="T114" s="157">
        <v>41837</v>
      </c>
      <c r="U114" s="142">
        <v>18</v>
      </c>
      <c r="Y114" s="142">
        <f t="shared" si="1"/>
        <v>16.957949999999997</v>
      </c>
      <c r="Z114" s="157">
        <v>41837</v>
      </c>
      <c r="AE114" s="137">
        <v>43.15</v>
      </c>
      <c r="AF114" s="157">
        <v>41837</v>
      </c>
      <c r="AG114" s="185">
        <v>4.74</v>
      </c>
      <c r="AH114" s="157">
        <v>41837</v>
      </c>
      <c r="AM114" s="137">
        <v>83</v>
      </c>
      <c r="BM114" s="138">
        <v>59.18</v>
      </c>
      <c r="BN114" s="157">
        <v>41837</v>
      </c>
      <c r="BS114" s="138">
        <v>51.31</v>
      </c>
      <c r="BT114" s="157">
        <v>41837</v>
      </c>
      <c r="BU114" s="138">
        <v>39.299999999999997</v>
      </c>
      <c r="BV114" s="157">
        <v>41837</v>
      </c>
      <c r="BW114" s="138">
        <v>16.600000000000001</v>
      </c>
      <c r="BX114" s="157">
        <v>41837</v>
      </c>
      <c r="CC114" s="138">
        <v>8.4</v>
      </c>
      <c r="CD114" s="157">
        <v>41837</v>
      </c>
      <c r="CI114" s="138">
        <v>7</v>
      </c>
    </row>
    <row r="115" spans="1:91">
      <c r="A115" s="159" t="s">
        <v>7695</v>
      </c>
      <c r="B115" s="112" t="s">
        <v>271</v>
      </c>
      <c r="C115" s="112">
        <v>1</v>
      </c>
      <c r="D115" s="112">
        <v>95</v>
      </c>
      <c r="E115" s="113">
        <v>6</v>
      </c>
      <c r="F115" s="113">
        <v>4</v>
      </c>
      <c r="M115" s="185">
        <v>6.46</v>
      </c>
      <c r="N115" s="157">
        <v>41837</v>
      </c>
      <c r="R115" s="185"/>
      <c r="S115" s="137">
        <v>17.32</v>
      </c>
      <c r="T115" s="157">
        <v>41837</v>
      </c>
      <c r="U115" s="142">
        <v>18</v>
      </c>
      <c r="Y115" s="142">
        <f t="shared" si="1"/>
        <v>14.128350000000001</v>
      </c>
      <c r="Z115" s="157">
        <v>41837</v>
      </c>
      <c r="AE115" s="137">
        <v>35.950000000000003</v>
      </c>
      <c r="AF115" s="157">
        <v>41837</v>
      </c>
      <c r="AG115" s="185">
        <v>4.83</v>
      </c>
      <c r="AH115" s="157">
        <v>41837</v>
      </c>
      <c r="AM115" s="137">
        <v>96</v>
      </c>
      <c r="BM115" s="138">
        <v>60.36</v>
      </c>
      <c r="BN115" s="157">
        <v>41837</v>
      </c>
      <c r="BS115" s="138">
        <v>48.19</v>
      </c>
      <c r="BT115" s="157">
        <v>41837</v>
      </c>
      <c r="BU115" s="138">
        <v>39.299999999999997</v>
      </c>
      <c r="BV115" s="157">
        <v>41837</v>
      </c>
      <c r="BW115" s="138">
        <v>23.2</v>
      </c>
      <c r="BX115" s="157">
        <v>41837</v>
      </c>
      <c r="CC115" s="138">
        <v>8.1</v>
      </c>
      <c r="CD115" s="157">
        <v>41837</v>
      </c>
      <c r="CI115" s="138">
        <v>7</v>
      </c>
    </row>
    <row r="116" spans="1:91">
      <c r="A116" s="159" t="s">
        <v>7679</v>
      </c>
      <c r="B116" s="112" t="s">
        <v>271</v>
      </c>
      <c r="C116" s="112">
        <v>1</v>
      </c>
      <c r="D116" s="112">
        <v>191</v>
      </c>
      <c r="E116" s="113">
        <v>7</v>
      </c>
      <c r="F116" s="113">
        <v>4</v>
      </c>
      <c r="M116" s="185">
        <v>7.99</v>
      </c>
      <c r="N116" s="157">
        <v>41837</v>
      </c>
      <c r="R116" s="185"/>
      <c r="S116" s="137">
        <v>22.48</v>
      </c>
      <c r="T116" s="157">
        <v>41837</v>
      </c>
      <c r="U116" s="142">
        <v>18</v>
      </c>
      <c r="Y116" s="142">
        <f t="shared" si="1"/>
        <v>17.784000000000002</v>
      </c>
      <c r="Z116" s="157">
        <v>41837</v>
      </c>
      <c r="AE116" s="137">
        <v>44.46</v>
      </c>
      <c r="AF116" s="157">
        <v>41837</v>
      </c>
      <c r="AG116" s="185">
        <v>5.33</v>
      </c>
      <c r="AH116" s="157">
        <v>41837</v>
      </c>
      <c r="AM116" s="137">
        <v>96</v>
      </c>
      <c r="BM116" s="138">
        <v>62.01</v>
      </c>
      <c r="BN116" s="157">
        <v>41837</v>
      </c>
      <c r="BS116" s="138">
        <v>50.56</v>
      </c>
      <c r="BT116" s="157">
        <v>41837</v>
      </c>
      <c r="BU116" s="138">
        <v>40</v>
      </c>
      <c r="BV116" s="157">
        <v>41837</v>
      </c>
      <c r="BW116" s="138">
        <v>16.3</v>
      </c>
      <c r="BX116" s="157">
        <v>41837</v>
      </c>
      <c r="CC116" s="138">
        <v>8.1</v>
      </c>
      <c r="CD116" s="157">
        <v>41837</v>
      </c>
      <c r="CI116" s="138">
        <v>9</v>
      </c>
    </row>
    <row r="117" spans="1:91">
      <c r="A117" s="159" t="s">
        <v>7734</v>
      </c>
      <c r="B117" s="112" t="s">
        <v>271</v>
      </c>
      <c r="C117" s="112">
        <v>1</v>
      </c>
      <c r="D117" s="112">
        <v>163</v>
      </c>
      <c r="E117" s="113">
        <v>8</v>
      </c>
      <c r="F117" s="113">
        <v>4</v>
      </c>
      <c r="M117" s="185">
        <v>7.73</v>
      </c>
      <c r="N117" s="157">
        <v>41837</v>
      </c>
      <c r="R117" s="185"/>
      <c r="S117" s="137">
        <v>21.86</v>
      </c>
      <c r="T117" s="157">
        <v>41837</v>
      </c>
      <c r="U117" s="142">
        <v>18</v>
      </c>
      <c r="Y117" s="142">
        <f t="shared" si="1"/>
        <v>16.018419999999999</v>
      </c>
      <c r="Z117" s="157">
        <v>41837</v>
      </c>
      <c r="AE117" s="137">
        <v>42.83</v>
      </c>
      <c r="AF117" s="157">
        <v>41837</v>
      </c>
      <c r="AG117" s="185">
        <v>5.3</v>
      </c>
      <c r="AH117" s="157">
        <v>41837</v>
      </c>
      <c r="AM117" s="137">
        <v>92</v>
      </c>
      <c r="BM117" s="138">
        <v>59.92</v>
      </c>
      <c r="BN117" s="157">
        <v>41837</v>
      </c>
      <c r="BS117" s="138">
        <v>51.03</v>
      </c>
      <c r="BT117" s="157">
        <v>41837</v>
      </c>
      <c r="BU117" s="138">
        <v>37.4</v>
      </c>
      <c r="BV117" s="157">
        <v>41837</v>
      </c>
      <c r="BW117" s="138">
        <v>15</v>
      </c>
      <c r="BX117" s="157">
        <v>41837</v>
      </c>
      <c r="CC117" s="138">
        <v>8.5</v>
      </c>
      <c r="CD117" s="157">
        <v>41837</v>
      </c>
      <c r="CI117" s="138">
        <v>7</v>
      </c>
    </row>
    <row r="118" spans="1:91" s="196" customFormat="1">
      <c r="A118" s="159" t="s">
        <v>7773</v>
      </c>
      <c r="B118" s="112" t="s">
        <v>271</v>
      </c>
      <c r="C118" s="112">
        <v>1</v>
      </c>
      <c r="D118" s="112">
        <v>81</v>
      </c>
      <c r="E118" s="113">
        <v>9</v>
      </c>
      <c r="F118" s="113">
        <v>4</v>
      </c>
      <c r="G118" s="113"/>
      <c r="H118" s="113"/>
      <c r="I118" s="112"/>
      <c r="J118" s="112"/>
      <c r="K118" s="137"/>
      <c r="L118" s="157"/>
      <c r="M118" s="185">
        <v>6.03</v>
      </c>
      <c r="N118" s="157">
        <v>41837</v>
      </c>
      <c r="O118" s="137"/>
      <c r="P118" s="157"/>
      <c r="Q118" s="137"/>
      <c r="R118" s="185"/>
      <c r="S118" s="137">
        <v>16.43</v>
      </c>
      <c r="T118" s="157">
        <v>41837</v>
      </c>
      <c r="U118" s="142">
        <v>18</v>
      </c>
      <c r="V118" s="157"/>
      <c r="W118" s="137"/>
      <c r="X118" s="157"/>
      <c r="Y118" s="142">
        <f t="shared" si="1"/>
        <v>12.59258</v>
      </c>
      <c r="Z118" s="157">
        <v>41837</v>
      </c>
      <c r="AA118" s="137"/>
      <c r="AB118" s="157"/>
      <c r="AC118" s="137"/>
      <c r="AD118" s="157"/>
      <c r="AE118" s="137">
        <v>33.67</v>
      </c>
      <c r="AF118" s="157">
        <v>41837</v>
      </c>
      <c r="AG118" s="185">
        <v>4.6399999999999997</v>
      </c>
      <c r="AH118" s="157">
        <v>41837</v>
      </c>
      <c r="AI118" s="157"/>
      <c r="AJ118" s="157"/>
      <c r="AK118" s="137"/>
      <c r="AL118" s="157"/>
      <c r="AM118" s="137">
        <v>92</v>
      </c>
      <c r="AN118" s="15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8"/>
      <c r="BF118" s="138"/>
      <c r="BG118" s="138"/>
      <c r="BH118" s="138"/>
      <c r="BI118" s="138"/>
      <c r="BJ118" s="138"/>
      <c r="BK118" s="138"/>
      <c r="BL118" s="138"/>
      <c r="BM118" s="138">
        <v>63.2</v>
      </c>
      <c r="BN118" s="157">
        <v>41837</v>
      </c>
      <c r="BO118" s="138"/>
      <c r="BP118" s="138"/>
      <c r="BQ118" s="138"/>
      <c r="BR118" s="138"/>
      <c r="BS118" s="138">
        <v>48.81</v>
      </c>
      <c r="BT118" s="157">
        <v>41837</v>
      </c>
      <c r="BU118" s="138">
        <v>37.4</v>
      </c>
      <c r="BV118" s="157">
        <v>41837</v>
      </c>
      <c r="BW118" s="138">
        <v>17.8</v>
      </c>
      <c r="BX118" s="157">
        <v>41837</v>
      </c>
      <c r="BY118" s="138"/>
      <c r="BZ118" s="138"/>
      <c r="CA118" s="138"/>
      <c r="CB118" s="138"/>
      <c r="CC118" s="138">
        <v>7.8</v>
      </c>
      <c r="CD118" s="157">
        <v>41837</v>
      </c>
      <c r="CE118" s="138"/>
      <c r="CF118" s="138"/>
      <c r="CG118" s="138"/>
      <c r="CH118" s="138"/>
      <c r="CI118" s="138">
        <v>7</v>
      </c>
      <c r="CJ118" s="138"/>
      <c r="CK118" s="138"/>
      <c r="CL118" s="138"/>
      <c r="CM118" s="138"/>
    </row>
    <row r="119" spans="1:91" s="196" customFormat="1">
      <c r="A119" s="159" t="s">
        <v>7618</v>
      </c>
      <c r="B119" s="112" t="s">
        <v>271</v>
      </c>
      <c r="C119" s="112">
        <v>1</v>
      </c>
      <c r="D119" s="112">
        <v>177</v>
      </c>
      <c r="E119" s="113">
        <v>10</v>
      </c>
      <c r="F119" s="113">
        <v>4</v>
      </c>
      <c r="G119" s="113"/>
      <c r="H119" s="113"/>
      <c r="I119" s="112"/>
      <c r="J119" s="112"/>
      <c r="K119" s="137"/>
      <c r="L119" s="157"/>
      <c r="M119" s="185">
        <v>2.4900000000000002</v>
      </c>
      <c r="N119" s="157">
        <v>41837</v>
      </c>
      <c r="O119" s="137"/>
      <c r="P119" s="157"/>
      <c r="Q119" s="137"/>
      <c r="R119" s="185"/>
      <c r="S119" s="137">
        <v>6.4</v>
      </c>
      <c r="T119" s="157">
        <v>41837</v>
      </c>
      <c r="U119" s="142">
        <v>18</v>
      </c>
      <c r="V119" s="157"/>
      <c r="W119" s="137"/>
      <c r="X119" s="157"/>
      <c r="Y119" s="142">
        <f t="shared" si="1"/>
        <v>5.410260000000001</v>
      </c>
      <c r="Z119" s="157">
        <v>41837</v>
      </c>
      <c r="AA119" s="137"/>
      <c r="AB119" s="157"/>
      <c r="AC119" s="137"/>
      <c r="AD119" s="157"/>
      <c r="AE119" s="137">
        <v>13.98</v>
      </c>
      <c r="AF119" s="157">
        <v>41837</v>
      </c>
      <c r="AG119" s="185">
        <v>4.7300000000000004</v>
      </c>
      <c r="AH119" s="157">
        <v>41837</v>
      </c>
      <c r="AI119" s="157"/>
      <c r="AJ119" s="157"/>
      <c r="AK119" s="137"/>
      <c r="AL119" s="157"/>
      <c r="AM119" s="137">
        <v>85</v>
      </c>
      <c r="AN119" s="157"/>
      <c r="AO119" s="137"/>
      <c r="AP119" s="137"/>
      <c r="AQ119" s="137"/>
      <c r="AR119" s="137"/>
      <c r="AS119" s="137"/>
      <c r="AT119" s="137"/>
      <c r="AU119" s="137"/>
      <c r="AV119" s="137"/>
      <c r="AW119" s="137"/>
      <c r="AX119" s="137"/>
      <c r="AY119" s="137"/>
      <c r="AZ119" s="137"/>
      <c r="BA119" s="137"/>
      <c r="BB119" s="137"/>
      <c r="BC119" s="137"/>
      <c r="BD119" s="137"/>
      <c r="BE119" s="138"/>
      <c r="BF119" s="138"/>
      <c r="BG119" s="138"/>
      <c r="BH119" s="138"/>
      <c r="BI119" s="138"/>
      <c r="BJ119" s="138"/>
      <c r="BK119" s="138"/>
      <c r="BL119" s="138"/>
      <c r="BM119" s="138">
        <v>62.09</v>
      </c>
      <c r="BN119" s="157">
        <v>41837</v>
      </c>
      <c r="BO119" s="138"/>
      <c r="BP119" s="138"/>
      <c r="BQ119" s="138"/>
      <c r="BR119" s="138"/>
      <c r="BS119" s="138">
        <v>45.78</v>
      </c>
      <c r="BT119" s="157">
        <v>41837</v>
      </c>
      <c r="BU119" s="138">
        <v>38.700000000000003</v>
      </c>
      <c r="BV119" s="157">
        <v>41837</v>
      </c>
      <c r="BW119" s="138">
        <v>36.9</v>
      </c>
      <c r="BX119" s="157">
        <v>41837</v>
      </c>
      <c r="BY119" s="138"/>
      <c r="BZ119" s="138"/>
      <c r="CA119" s="138"/>
      <c r="CB119" s="138"/>
      <c r="CC119" s="138">
        <v>7.3</v>
      </c>
      <c r="CD119" s="157">
        <v>41837</v>
      </c>
      <c r="CE119" s="138"/>
      <c r="CF119" s="138"/>
      <c r="CG119" s="138"/>
      <c r="CH119" s="138"/>
      <c r="CI119" s="138">
        <v>3</v>
      </c>
      <c r="CJ119" s="138"/>
      <c r="CK119" s="138"/>
      <c r="CL119" s="138"/>
      <c r="CM119" s="138"/>
    </row>
    <row r="120" spans="1:91" s="196" customFormat="1">
      <c r="A120" s="159" t="s">
        <v>7630</v>
      </c>
      <c r="B120" s="112" t="s">
        <v>271</v>
      </c>
      <c r="C120" s="112">
        <v>1</v>
      </c>
      <c r="D120" s="112">
        <v>145</v>
      </c>
      <c r="E120" s="113">
        <v>11</v>
      </c>
      <c r="F120" s="113">
        <v>4</v>
      </c>
      <c r="G120" s="113"/>
      <c r="H120" s="113"/>
      <c r="I120" s="112"/>
      <c r="J120" s="112"/>
      <c r="K120" s="137"/>
      <c r="L120" s="157"/>
      <c r="M120" s="185">
        <v>6.06</v>
      </c>
      <c r="N120" s="157">
        <v>41837</v>
      </c>
      <c r="O120" s="137"/>
      <c r="P120" s="157"/>
      <c r="Q120" s="137"/>
      <c r="R120" s="185"/>
      <c r="S120" s="137">
        <v>15.77</v>
      </c>
      <c r="T120" s="157">
        <v>41837</v>
      </c>
      <c r="U120" s="142">
        <v>18</v>
      </c>
      <c r="V120" s="157"/>
      <c r="W120" s="137"/>
      <c r="X120" s="157"/>
      <c r="Y120" s="142">
        <f t="shared" si="1"/>
        <v>13.558019999999999</v>
      </c>
      <c r="Z120" s="157">
        <v>41837</v>
      </c>
      <c r="AA120" s="137"/>
      <c r="AB120" s="157"/>
      <c r="AC120" s="137"/>
      <c r="AD120" s="157"/>
      <c r="AE120" s="137">
        <v>33.979999999999997</v>
      </c>
      <c r="AF120" s="157">
        <v>41837</v>
      </c>
      <c r="AG120" s="185">
        <v>5.37</v>
      </c>
      <c r="AH120" s="157">
        <v>41837</v>
      </c>
      <c r="AI120" s="157"/>
      <c r="AJ120" s="157"/>
      <c r="AK120" s="137"/>
      <c r="AL120" s="157"/>
      <c r="AM120" s="137">
        <v>87</v>
      </c>
      <c r="AN120" s="157"/>
      <c r="AO120" s="137"/>
      <c r="AP120" s="137"/>
      <c r="AQ120" s="137"/>
      <c r="AR120" s="137"/>
      <c r="AS120" s="137"/>
      <c r="AT120" s="137"/>
      <c r="AU120" s="137"/>
      <c r="AV120" s="137"/>
      <c r="AW120" s="137"/>
      <c r="AX120" s="137"/>
      <c r="AY120" s="137"/>
      <c r="AZ120" s="137"/>
      <c r="BA120" s="137"/>
      <c r="BB120" s="137"/>
      <c r="BC120" s="137"/>
      <c r="BD120" s="137"/>
      <c r="BE120" s="138"/>
      <c r="BF120" s="138"/>
      <c r="BG120" s="138"/>
      <c r="BH120" s="138"/>
      <c r="BI120" s="138"/>
      <c r="BJ120" s="138"/>
      <c r="BK120" s="138"/>
      <c r="BL120" s="138"/>
      <c r="BM120" s="138">
        <v>63.25</v>
      </c>
      <c r="BN120" s="157">
        <v>41837</v>
      </c>
      <c r="BO120" s="138"/>
      <c r="BP120" s="138"/>
      <c r="BQ120" s="138"/>
      <c r="BR120" s="138"/>
      <c r="BS120" s="138">
        <v>46.4</v>
      </c>
      <c r="BT120" s="157">
        <v>41837</v>
      </c>
      <c r="BU120" s="138">
        <v>39.9</v>
      </c>
      <c r="BV120" s="157">
        <v>41837</v>
      </c>
      <c r="BW120" s="138">
        <v>55.8</v>
      </c>
      <c r="BX120" s="157">
        <v>41837</v>
      </c>
      <c r="BY120" s="138"/>
      <c r="BZ120" s="138"/>
      <c r="CA120" s="138"/>
      <c r="CB120" s="138"/>
      <c r="CC120" s="138">
        <v>7.4</v>
      </c>
      <c r="CD120" s="157">
        <v>41837</v>
      </c>
      <c r="CE120" s="138"/>
      <c r="CF120" s="138"/>
      <c r="CG120" s="138"/>
      <c r="CH120" s="138"/>
      <c r="CI120" s="138">
        <v>5</v>
      </c>
      <c r="CJ120" s="138"/>
      <c r="CK120" s="138"/>
      <c r="CL120" s="138"/>
      <c r="CM120" s="138"/>
    </row>
    <row r="121" spans="1:91" s="196" customFormat="1">
      <c r="A121" s="159" t="s">
        <v>7747</v>
      </c>
      <c r="B121" s="112" t="s">
        <v>271</v>
      </c>
      <c r="C121" s="112">
        <v>1</v>
      </c>
      <c r="D121" s="112">
        <v>59</v>
      </c>
      <c r="E121" s="113">
        <v>12</v>
      </c>
      <c r="F121" s="113">
        <v>4</v>
      </c>
      <c r="G121" s="113"/>
      <c r="H121" s="113"/>
      <c r="I121" s="112"/>
      <c r="J121" s="112"/>
      <c r="K121" s="137"/>
      <c r="L121" s="157"/>
      <c r="M121" s="185">
        <v>5.42</v>
      </c>
      <c r="N121" s="157">
        <v>41837</v>
      </c>
      <c r="O121" s="137"/>
      <c r="P121" s="157"/>
      <c r="Q121" s="137"/>
      <c r="R121" s="185"/>
      <c r="S121" s="137">
        <v>14.18</v>
      </c>
      <c r="T121" s="157">
        <v>41837</v>
      </c>
      <c r="U121" s="142">
        <v>18</v>
      </c>
      <c r="V121" s="157"/>
      <c r="W121" s="137"/>
      <c r="X121" s="157"/>
      <c r="Y121" s="142">
        <f t="shared" si="1"/>
        <v>12.146289999999999</v>
      </c>
      <c r="Z121" s="157">
        <v>41837</v>
      </c>
      <c r="AA121" s="137"/>
      <c r="AB121" s="157"/>
      <c r="AC121" s="137"/>
      <c r="AD121" s="157"/>
      <c r="AE121" s="137">
        <v>30.29</v>
      </c>
      <c r="AF121" s="157">
        <v>41837</v>
      </c>
      <c r="AG121" s="185">
        <v>5.13</v>
      </c>
      <c r="AH121" s="157">
        <v>41837</v>
      </c>
      <c r="AI121" s="157"/>
      <c r="AJ121" s="157"/>
      <c r="AK121" s="137"/>
      <c r="AL121" s="157"/>
      <c r="AM121" s="137">
        <v>90</v>
      </c>
      <c r="AN121" s="157"/>
      <c r="AO121" s="137"/>
      <c r="AP121" s="137"/>
      <c r="AQ121" s="137"/>
      <c r="AR121" s="137"/>
      <c r="AS121" s="137"/>
      <c r="AT121" s="137"/>
      <c r="AU121" s="137"/>
      <c r="AV121" s="137"/>
      <c r="AW121" s="137"/>
      <c r="AX121" s="137"/>
      <c r="AY121" s="137"/>
      <c r="AZ121" s="137"/>
      <c r="BA121" s="137"/>
      <c r="BB121" s="137"/>
      <c r="BC121" s="137"/>
      <c r="BD121" s="137"/>
      <c r="BE121" s="138"/>
      <c r="BF121" s="138"/>
      <c r="BG121" s="138"/>
      <c r="BH121" s="138"/>
      <c r="BI121" s="138"/>
      <c r="BJ121" s="138"/>
      <c r="BK121" s="138"/>
      <c r="BL121" s="138"/>
      <c r="BM121" s="138">
        <v>62.45</v>
      </c>
      <c r="BN121" s="157">
        <v>41837</v>
      </c>
      <c r="BO121" s="138"/>
      <c r="BP121" s="138"/>
      <c r="BQ121" s="138"/>
      <c r="BR121" s="138"/>
      <c r="BS121" s="138">
        <v>46.8</v>
      </c>
      <c r="BT121" s="157">
        <v>41837</v>
      </c>
      <c r="BU121" s="138">
        <v>40.1</v>
      </c>
      <c r="BV121" s="157">
        <v>41837</v>
      </c>
      <c r="BW121" s="138">
        <v>70.5</v>
      </c>
      <c r="BX121" s="157">
        <v>41837</v>
      </c>
      <c r="BY121" s="138"/>
      <c r="BZ121" s="138"/>
      <c r="CA121" s="138"/>
      <c r="CB121" s="138"/>
      <c r="CC121" s="138">
        <v>7.7</v>
      </c>
      <c r="CD121" s="157">
        <v>41837</v>
      </c>
      <c r="CE121" s="138"/>
      <c r="CF121" s="138"/>
      <c r="CG121" s="138"/>
      <c r="CH121" s="138"/>
      <c r="CI121" s="138">
        <v>5</v>
      </c>
      <c r="CJ121" s="138"/>
      <c r="CK121" s="138"/>
      <c r="CL121" s="138"/>
      <c r="CM121" s="138"/>
    </row>
    <row r="122" spans="1:91">
      <c r="A122" s="159" t="s">
        <v>7632</v>
      </c>
      <c r="B122" s="112" t="s">
        <v>271</v>
      </c>
      <c r="C122" s="112">
        <v>1</v>
      </c>
      <c r="D122" s="112">
        <v>103</v>
      </c>
      <c r="E122" s="113">
        <v>13</v>
      </c>
      <c r="F122" s="113">
        <v>4</v>
      </c>
      <c r="M122" s="185">
        <v>5.33</v>
      </c>
      <c r="N122" s="157">
        <v>41837</v>
      </c>
      <c r="R122" s="185"/>
      <c r="S122" s="137">
        <v>14.36</v>
      </c>
      <c r="T122" s="157">
        <v>41837</v>
      </c>
      <c r="U122" s="142">
        <v>18</v>
      </c>
      <c r="Y122" s="142">
        <f t="shared" si="1"/>
        <v>12.027840000000001</v>
      </c>
      <c r="Z122" s="157">
        <v>41837</v>
      </c>
      <c r="AE122" s="137">
        <v>29.92</v>
      </c>
      <c r="AF122" s="157">
        <v>41837</v>
      </c>
      <c r="AG122" s="185">
        <v>5.23</v>
      </c>
      <c r="AH122" s="157">
        <v>41837</v>
      </c>
      <c r="AM122" s="137">
        <v>90</v>
      </c>
      <c r="BM122" s="138">
        <v>62.65</v>
      </c>
      <c r="BN122" s="157">
        <v>41837</v>
      </c>
      <c r="BS122" s="138">
        <v>47.99</v>
      </c>
      <c r="BT122" s="157">
        <v>41837</v>
      </c>
      <c r="BU122" s="138">
        <v>40.200000000000003</v>
      </c>
      <c r="BV122" s="157">
        <v>41837</v>
      </c>
      <c r="BW122" s="138">
        <v>39.9</v>
      </c>
      <c r="BX122" s="157">
        <v>41837</v>
      </c>
      <c r="CC122" s="138">
        <v>7.3</v>
      </c>
      <c r="CD122" s="157">
        <v>41837</v>
      </c>
      <c r="CI122" s="138">
        <v>7</v>
      </c>
    </row>
    <row r="123" spans="1:91">
      <c r="A123" s="189" t="s">
        <v>7798</v>
      </c>
      <c r="B123" s="190" t="s">
        <v>271</v>
      </c>
      <c r="C123" s="190">
        <v>1</v>
      </c>
      <c r="D123" s="190">
        <v>1</v>
      </c>
      <c r="E123" s="191">
        <v>14</v>
      </c>
      <c r="F123" s="191">
        <v>4</v>
      </c>
      <c r="G123" s="191"/>
      <c r="H123" s="191"/>
      <c r="I123" s="201"/>
      <c r="J123" s="190"/>
      <c r="K123" s="192"/>
      <c r="L123" s="193"/>
      <c r="M123" s="194">
        <v>6.8</v>
      </c>
      <c r="N123" s="193">
        <v>41837</v>
      </c>
      <c r="P123" s="193"/>
      <c r="Q123" s="192"/>
      <c r="R123" s="194"/>
      <c r="S123" s="192">
        <v>19.2</v>
      </c>
      <c r="T123" s="193">
        <v>41837</v>
      </c>
      <c r="U123" s="192">
        <v>18</v>
      </c>
      <c r="V123" s="193"/>
      <c r="W123" s="192"/>
      <c r="X123" s="193"/>
      <c r="Y123" s="192">
        <f t="shared" si="1"/>
        <v>15.452999999999999</v>
      </c>
      <c r="Z123" s="193">
        <v>41837</v>
      </c>
      <c r="AA123" s="192"/>
      <c r="AB123" s="193"/>
      <c r="AC123" s="195"/>
      <c r="AD123" s="193"/>
      <c r="AE123" s="192">
        <v>38.25</v>
      </c>
      <c r="AF123" s="193">
        <v>41837</v>
      </c>
      <c r="AG123" s="194">
        <v>4.8099999999999996</v>
      </c>
      <c r="AH123" s="193">
        <v>41837</v>
      </c>
      <c r="AI123" s="193"/>
      <c r="AJ123" s="193"/>
      <c r="AK123" s="192"/>
      <c r="AL123" s="193"/>
      <c r="AM123" s="192">
        <v>94</v>
      </c>
      <c r="AN123" s="193"/>
      <c r="AO123" s="195"/>
      <c r="AP123" s="195"/>
      <c r="AQ123" s="195"/>
      <c r="AR123" s="195"/>
      <c r="AS123" s="195"/>
      <c r="AT123" s="195"/>
      <c r="AU123" s="195"/>
      <c r="AV123" s="195"/>
      <c r="AW123" s="195"/>
      <c r="AX123" s="195"/>
      <c r="AY123" s="195"/>
      <c r="AZ123" s="195"/>
      <c r="BA123" s="195"/>
      <c r="BB123" s="195"/>
      <c r="BC123" s="195"/>
      <c r="BD123" s="195"/>
      <c r="BE123" s="196"/>
      <c r="BF123" s="196"/>
      <c r="BG123" s="196"/>
      <c r="BH123" s="196"/>
      <c r="BI123" s="196"/>
      <c r="BJ123" s="196"/>
      <c r="BK123" s="196"/>
      <c r="BL123" s="196"/>
      <c r="BM123" s="196">
        <v>60.65</v>
      </c>
      <c r="BN123" s="193">
        <v>41837</v>
      </c>
      <c r="BO123" s="196"/>
      <c r="BP123" s="196"/>
      <c r="BQ123" s="196"/>
      <c r="BR123" s="196"/>
      <c r="BS123" s="196">
        <v>50.2</v>
      </c>
      <c r="BT123" s="193">
        <v>41837</v>
      </c>
      <c r="BU123" s="196">
        <v>40.4</v>
      </c>
      <c r="BV123" s="193">
        <v>41837</v>
      </c>
      <c r="BW123" s="196">
        <v>20.5</v>
      </c>
      <c r="BX123" s="193">
        <v>41837</v>
      </c>
      <c r="BY123" s="196"/>
      <c r="BZ123" s="196"/>
      <c r="CA123" s="196"/>
      <c r="CB123" s="196"/>
      <c r="CC123" s="196">
        <v>7.1</v>
      </c>
      <c r="CD123" s="193">
        <v>41837</v>
      </c>
      <c r="CE123" s="196"/>
      <c r="CF123" s="196"/>
      <c r="CG123" s="196"/>
      <c r="CH123" s="196"/>
      <c r="CI123" s="196">
        <v>7</v>
      </c>
      <c r="CJ123" s="196"/>
      <c r="CK123" s="196"/>
      <c r="CL123" s="196"/>
      <c r="CM123" s="196"/>
    </row>
    <row r="124" spans="1:91">
      <c r="A124" s="159" t="s">
        <v>7611</v>
      </c>
      <c r="B124" s="112" t="s">
        <v>271</v>
      </c>
      <c r="C124" s="112">
        <v>1</v>
      </c>
      <c r="D124" s="112">
        <v>5</v>
      </c>
      <c r="E124" s="113">
        <v>15</v>
      </c>
      <c r="F124" s="113">
        <v>4</v>
      </c>
      <c r="I124" s="200"/>
      <c r="K124" s="142"/>
      <c r="M124" s="185">
        <v>2.95</v>
      </c>
      <c r="N124" s="157">
        <v>41837</v>
      </c>
      <c r="Q124" s="142"/>
      <c r="R124" s="185"/>
      <c r="S124" s="142">
        <v>7.91</v>
      </c>
      <c r="T124" s="157">
        <v>41837</v>
      </c>
      <c r="U124" s="142">
        <v>18</v>
      </c>
      <c r="W124" s="142"/>
      <c r="Y124" s="142">
        <f t="shared" si="1"/>
        <v>6.5346400000000013</v>
      </c>
      <c r="Z124" s="157">
        <v>41837</v>
      </c>
      <c r="AA124" s="142"/>
      <c r="AE124" s="142">
        <v>16.670000000000002</v>
      </c>
      <c r="AF124" s="157">
        <v>41837</v>
      </c>
      <c r="AG124" s="185">
        <v>5.17</v>
      </c>
      <c r="AH124" s="157">
        <v>41837</v>
      </c>
      <c r="AK124" s="142"/>
      <c r="AM124" s="142">
        <v>90</v>
      </c>
      <c r="BM124" s="138">
        <v>62.51</v>
      </c>
      <c r="BN124" s="157">
        <v>41837</v>
      </c>
      <c r="BS124" s="138">
        <v>47.44</v>
      </c>
      <c r="BT124" s="157">
        <v>41837</v>
      </c>
      <c r="BU124" s="138">
        <v>39.200000000000003</v>
      </c>
      <c r="BV124" s="157">
        <v>41837</v>
      </c>
      <c r="BW124" s="138">
        <v>42.8</v>
      </c>
      <c r="BX124" s="157">
        <v>41837</v>
      </c>
      <c r="CC124" s="138">
        <v>6.7</v>
      </c>
      <c r="CD124" s="157">
        <v>41837</v>
      </c>
      <c r="CI124" s="138">
        <v>1</v>
      </c>
    </row>
    <row r="125" spans="1:91">
      <c r="A125" s="159" t="s">
        <v>7617</v>
      </c>
      <c r="B125" s="112" t="s">
        <v>271</v>
      </c>
      <c r="C125" s="112">
        <v>1</v>
      </c>
      <c r="D125" s="112">
        <v>86</v>
      </c>
      <c r="E125" s="113">
        <v>16</v>
      </c>
      <c r="F125" s="113">
        <v>4</v>
      </c>
      <c r="M125" s="185">
        <v>4.7300000000000004</v>
      </c>
      <c r="N125" s="157">
        <v>41837</v>
      </c>
      <c r="R125" s="185"/>
      <c r="S125" s="137">
        <v>13.15</v>
      </c>
      <c r="T125" s="157">
        <v>41837</v>
      </c>
      <c r="U125" s="142">
        <v>18</v>
      </c>
      <c r="Y125" s="142">
        <f t="shared" si="1"/>
        <v>11.302559999999998</v>
      </c>
      <c r="Z125" s="157">
        <v>41837</v>
      </c>
      <c r="AE125" s="137">
        <v>26.72</v>
      </c>
      <c r="AF125" s="157">
        <v>41837</v>
      </c>
      <c r="AG125" s="185">
        <v>6.52</v>
      </c>
      <c r="AH125" s="157">
        <v>41837</v>
      </c>
      <c r="AM125" s="137">
        <v>78</v>
      </c>
      <c r="BM125" s="138">
        <v>66.349999999999994</v>
      </c>
      <c r="BN125" s="157">
        <v>41837</v>
      </c>
      <c r="BS125" s="138">
        <v>49.21</v>
      </c>
      <c r="BT125" s="157">
        <v>41837</v>
      </c>
      <c r="BU125" s="138">
        <v>42.3</v>
      </c>
      <c r="BV125" s="157">
        <v>41837</v>
      </c>
      <c r="BW125" s="138">
        <v>60.7</v>
      </c>
      <c r="BX125" s="157">
        <v>41837</v>
      </c>
      <c r="CC125" s="138">
        <v>6.7</v>
      </c>
      <c r="CD125" s="157">
        <v>41837</v>
      </c>
      <c r="CI125" s="138">
        <v>3</v>
      </c>
    </row>
    <row r="126" spans="1:91">
      <c r="A126" s="159" t="s">
        <v>7687</v>
      </c>
      <c r="B126" s="112" t="s">
        <v>271</v>
      </c>
      <c r="C126" s="112">
        <v>1</v>
      </c>
      <c r="D126" s="112">
        <v>121</v>
      </c>
      <c r="E126" s="113">
        <v>17</v>
      </c>
      <c r="F126" s="113">
        <v>4</v>
      </c>
      <c r="M126" s="185">
        <v>6.18</v>
      </c>
      <c r="N126" s="157">
        <v>41837</v>
      </c>
      <c r="R126" s="185"/>
      <c r="S126" s="137">
        <v>18.059999999999999</v>
      </c>
      <c r="T126" s="157">
        <v>41837</v>
      </c>
      <c r="U126" s="142">
        <v>18</v>
      </c>
      <c r="Y126" s="142">
        <f t="shared" si="1"/>
        <v>13.483080000000003</v>
      </c>
      <c r="Z126" s="157">
        <v>41837</v>
      </c>
      <c r="AE126" s="137">
        <v>34.840000000000003</v>
      </c>
      <c r="AF126" s="157">
        <v>41837</v>
      </c>
      <c r="AG126" s="185">
        <v>5.0599999999999996</v>
      </c>
      <c r="AH126" s="157">
        <v>41837</v>
      </c>
      <c r="AM126" s="137">
        <v>87</v>
      </c>
      <c r="BM126" s="138">
        <v>58.35</v>
      </c>
      <c r="BN126" s="157">
        <v>41837</v>
      </c>
      <c r="BS126" s="138">
        <v>51.85</v>
      </c>
      <c r="BT126" s="157">
        <v>41837</v>
      </c>
      <c r="BU126" s="138">
        <v>38.700000000000003</v>
      </c>
      <c r="BV126" s="157">
        <v>41837</v>
      </c>
      <c r="BW126" s="138">
        <v>13.5</v>
      </c>
      <c r="BX126" s="157">
        <v>41837</v>
      </c>
      <c r="CC126" s="138">
        <v>6.9</v>
      </c>
      <c r="CD126" s="157">
        <v>41837</v>
      </c>
      <c r="CI126" s="138">
        <v>3</v>
      </c>
    </row>
    <row r="127" spans="1:91">
      <c r="A127" s="159" t="s">
        <v>7698</v>
      </c>
      <c r="B127" s="112" t="s">
        <v>271</v>
      </c>
      <c r="C127" s="112">
        <v>1</v>
      </c>
      <c r="D127" s="112">
        <v>80</v>
      </c>
      <c r="E127" s="113">
        <v>18</v>
      </c>
      <c r="F127" s="113">
        <v>4</v>
      </c>
      <c r="M127" s="185">
        <v>5.55</v>
      </c>
      <c r="N127" s="157">
        <v>41837</v>
      </c>
      <c r="R127" s="185"/>
      <c r="S127" s="137">
        <v>15.06</v>
      </c>
      <c r="T127" s="157">
        <v>41837</v>
      </c>
      <c r="U127" s="142">
        <v>18</v>
      </c>
      <c r="Y127" s="142">
        <f t="shared" si="1"/>
        <v>12.453419999999999</v>
      </c>
      <c r="Z127" s="157">
        <v>41837</v>
      </c>
      <c r="AE127" s="137">
        <v>31.29</v>
      </c>
      <c r="AF127" s="157">
        <v>41837</v>
      </c>
      <c r="AG127" s="185">
        <v>5.46</v>
      </c>
      <c r="AH127" s="157">
        <v>41837</v>
      </c>
      <c r="AM127" s="137">
        <v>90</v>
      </c>
      <c r="BM127" s="138">
        <v>62.95</v>
      </c>
      <c r="BN127" s="157">
        <v>41837</v>
      </c>
      <c r="BS127" s="138">
        <v>48.13</v>
      </c>
      <c r="BT127" s="157">
        <v>41837</v>
      </c>
      <c r="BU127" s="138">
        <v>39.799999999999997</v>
      </c>
      <c r="BV127" s="157">
        <v>41837</v>
      </c>
      <c r="BW127" s="138">
        <v>20</v>
      </c>
      <c r="BX127" s="157">
        <v>41837</v>
      </c>
      <c r="CC127" s="138">
        <v>6.9</v>
      </c>
      <c r="CD127" s="157">
        <v>41837</v>
      </c>
      <c r="CI127" s="138">
        <v>9</v>
      </c>
    </row>
    <row r="128" spans="1:91">
      <c r="A128" s="159" t="s">
        <v>7620</v>
      </c>
      <c r="B128" s="112" t="s">
        <v>271</v>
      </c>
      <c r="C128" s="112">
        <v>1</v>
      </c>
      <c r="D128" s="112">
        <v>77</v>
      </c>
      <c r="E128" s="113">
        <v>19</v>
      </c>
      <c r="F128" s="113">
        <v>4</v>
      </c>
      <c r="M128" s="185">
        <v>3.42</v>
      </c>
      <c r="N128" s="157">
        <v>41837</v>
      </c>
      <c r="R128" s="185"/>
      <c r="S128" s="137">
        <v>9.51</v>
      </c>
      <c r="T128" s="157">
        <v>41837</v>
      </c>
      <c r="U128" s="142">
        <v>18</v>
      </c>
      <c r="Y128" s="142">
        <f t="shared" si="1"/>
        <v>7.9651800000000001</v>
      </c>
      <c r="Z128" s="157">
        <v>41837</v>
      </c>
      <c r="AE128" s="137">
        <v>19.38</v>
      </c>
      <c r="AF128" s="157">
        <v>41837</v>
      </c>
      <c r="AG128" s="185">
        <v>4.8899999999999997</v>
      </c>
      <c r="AH128" s="157">
        <v>41837</v>
      </c>
      <c r="AM128" s="137">
        <v>90</v>
      </c>
      <c r="BM128" s="138">
        <v>64.989999999999995</v>
      </c>
      <c r="BN128" s="157">
        <v>41837</v>
      </c>
      <c r="BS128" s="138">
        <v>49.05</v>
      </c>
      <c r="BT128" s="157">
        <v>41837</v>
      </c>
      <c r="BU128" s="138">
        <v>41.1</v>
      </c>
      <c r="BV128" s="157">
        <v>41837</v>
      </c>
      <c r="BW128" s="138">
        <v>49.2</v>
      </c>
      <c r="BX128" s="157">
        <v>41837</v>
      </c>
      <c r="CC128" s="138">
        <v>6.4</v>
      </c>
      <c r="CD128" s="157">
        <v>41837</v>
      </c>
      <c r="CI128" s="138">
        <v>1</v>
      </c>
    </row>
    <row r="129" spans="1:91">
      <c r="A129" s="159" t="s">
        <v>7631</v>
      </c>
      <c r="B129" s="112" t="s">
        <v>271</v>
      </c>
      <c r="C129" s="112">
        <v>1</v>
      </c>
      <c r="D129" s="112">
        <v>67</v>
      </c>
      <c r="E129" s="113">
        <v>20</v>
      </c>
      <c r="F129" s="113">
        <v>4</v>
      </c>
      <c r="M129" s="185">
        <v>4.41</v>
      </c>
      <c r="N129" s="157">
        <v>41837</v>
      </c>
      <c r="R129" s="185"/>
      <c r="S129" s="137">
        <v>11.38</v>
      </c>
      <c r="T129" s="157">
        <v>41837</v>
      </c>
      <c r="U129" s="142">
        <v>18</v>
      </c>
      <c r="Y129" s="142">
        <f t="shared" si="1"/>
        <v>9.6456799999999987</v>
      </c>
      <c r="Z129" s="157">
        <v>41837</v>
      </c>
      <c r="AE129" s="137">
        <v>24.86</v>
      </c>
      <c r="AF129" s="157">
        <v>41837</v>
      </c>
      <c r="AG129" s="185">
        <v>4.71</v>
      </c>
      <c r="AH129" s="157">
        <v>41837</v>
      </c>
      <c r="AM129" s="137">
        <v>94</v>
      </c>
      <c r="BM129" s="138">
        <v>64.260000000000005</v>
      </c>
      <c r="BN129" s="157">
        <v>41837</v>
      </c>
      <c r="BS129" s="138">
        <v>45.78</v>
      </c>
      <c r="BT129" s="157">
        <v>41837</v>
      </c>
      <c r="BU129" s="138">
        <v>38.799999999999997</v>
      </c>
      <c r="BV129" s="157">
        <v>41837</v>
      </c>
      <c r="BW129" s="138">
        <v>58.8</v>
      </c>
      <c r="BX129" s="157">
        <v>41837</v>
      </c>
      <c r="CC129" s="138">
        <v>6.9</v>
      </c>
      <c r="CD129" s="157">
        <v>41837</v>
      </c>
      <c r="CI129" s="138">
        <v>9</v>
      </c>
    </row>
    <row r="130" spans="1:91">
      <c r="A130" s="159" t="s">
        <v>7666</v>
      </c>
      <c r="B130" s="112" t="s">
        <v>271</v>
      </c>
      <c r="C130" s="112">
        <v>1</v>
      </c>
      <c r="D130" s="112">
        <v>151</v>
      </c>
      <c r="E130" s="113">
        <v>21</v>
      </c>
      <c r="F130" s="113">
        <v>4</v>
      </c>
      <c r="M130" s="185">
        <v>6.08</v>
      </c>
      <c r="N130" s="157">
        <v>41837</v>
      </c>
      <c r="R130" s="185"/>
      <c r="S130" s="137">
        <v>17.53</v>
      </c>
      <c r="T130" s="157">
        <v>41837</v>
      </c>
      <c r="U130" s="142">
        <v>18</v>
      </c>
      <c r="Y130" s="142">
        <f t="shared" ref="Y130:Y193" si="2">(AE130*BU130)/100</f>
        <v>12.546480000000001</v>
      </c>
      <c r="Z130" s="157">
        <v>41837</v>
      </c>
      <c r="AE130" s="137">
        <v>34.28</v>
      </c>
      <c r="AF130" s="157">
        <v>41837</v>
      </c>
      <c r="AG130" s="185">
        <v>4.88</v>
      </c>
      <c r="AH130" s="157">
        <v>41837</v>
      </c>
      <c r="AM130" s="137">
        <v>92</v>
      </c>
      <c r="BM130" s="138">
        <v>62.31</v>
      </c>
      <c r="BN130" s="157">
        <v>41837</v>
      </c>
      <c r="BS130" s="138">
        <v>51.13</v>
      </c>
      <c r="BT130" s="157">
        <v>41837</v>
      </c>
      <c r="BU130" s="138">
        <v>36.6</v>
      </c>
      <c r="BV130" s="157">
        <v>41837</v>
      </c>
      <c r="BW130" s="138">
        <v>12.5</v>
      </c>
      <c r="BX130" s="157">
        <v>41837</v>
      </c>
      <c r="CC130" s="138">
        <v>6.9</v>
      </c>
      <c r="CD130" s="157">
        <v>41837</v>
      </c>
      <c r="CI130" s="138">
        <v>5</v>
      </c>
    </row>
    <row r="131" spans="1:91">
      <c r="A131" s="159" t="s">
        <v>7856</v>
      </c>
      <c r="B131" s="112" t="s">
        <v>271</v>
      </c>
      <c r="C131" s="112">
        <v>1</v>
      </c>
      <c r="D131" s="112">
        <v>89</v>
      </c>
      <c r="E131" s="113">
        <v>22</v>
      </c>
      <c r="F131" s="113">
        <v>4</v>
      </c>
      <c r="M131" s="185">
        <v>6.85</v>
      </c>
      <c r="N131" s="157">
        <v>41837</v>
      </c>
      <c r="R131" s="185"/>
      <c r="S131" s="137">
        <v>19.93</v>
      </c>
      <c r="T131" s="157">
        <v>41837</v>
      </c>
      <c r="U131" s="142">
        <v>18</v>
      </c>
      <c r="Y131" s="142">
        <f t="shared" si="2"/>
        <v>14.372540000000001</v>
      </c>
      <c r="Z131" s="157">
        <v>41837</v>
      </c>
      <c r="AE131" s="137">
        <v>38.74</v>
      </c>
      <c r="AF131" s="157">
        <v>41837</v>
      </c>
      <c r="AG131" s="185">
        <v>5.0999999999999996</v>
      </c>
      <c r="AH131" s="157">
        <v>41837</v>
      </c>
      <c r="AM131" s="137">
        <v>83</v>
      </c>
      <c r="BM131" s="138">
        <v>61.68</v>
      </c>
      <c r="BN131" s="157">
        <v>41837</v>
      </c>
      <c r="BS131" s="138">
        <v>51.45</v>
      </c>
      <c r="BT131" s="157">
        <v>41837</v>
      </c>
      <c r="BU131" s="138">
        <v>37.1</v>
      </c>
      <c r="BV131" s="157">
        <v>41837</v>
      </c>
      <c r="BW131" s="138">
        <v>17.5</v>
      </c>
      <c r="BX131" s="157">
        <v>41837</v>
      </c>
      <c r="CC131" s="138">
        <v>6.6</v>
      </c>
      <c r="CD131" s="157">
        <v>41837</v>
      </c>
      <c r="CI131" s="138">
        <v>9</v>
      </c>
    </row>
    <row r="132" spans="1:91">
      <c r="A132" s="159" t="s">
        <v>7785</v>
      </c>
      <c r="B132" s="112" t="s">
        <v>271</v>
      </c>
      <c r="C132" s="112">
        <v>1</v>
      </c>
      <c r="D132" s="112">
        <v>210</v>
      </c>
      <c r="E132" s="113">
        <v>23</v>
      </c>
      <c r="F132" s="113">
        <v>4</v>
      </c>
      <c r="M132" s="185">
        <v>5.88</v>
      </c>
      <c r="N132" s="157">
        <v>41837</v>
      </c>
      <c r="R132" s="185"/>
      <c r="S132" s="137">
        <v>16.96</v>
      </c>
      <c r="T132" s="157">
        <v>41837</v>
      </c>
      <c r="U132" s="142">
        <v>18</v>
      </c>
      <c r="Y132" s="142">
        <f t="shared" si="2"/>
        <v>12.938139999999999</v>
      </c>
      <c r="Z132" s="157">
        <v>41837</v>
      </c>
      <c r="AE132" s="137">
        <v>33.26</v>
      </c>
      <c r="AF132" s="157">
        <v>41837</v>
      </c>
      <c r="AG132" s="185">
        <v>4.8499999999999996</v>
      </c>
      <c r="AH132" s="157">
        <v>41837</v>
      </c>
      <c r="AM132" s="137">
        <v>94</v>
      </c>
      <c r="BM132" s="138">
        <v>61.63</v>
      </c>
      <c r="BN132" s="157">
        <v>41837</v>
      </c>
      <c r="BS132" s="138">
        <v>50.99</v>
      </c>
      <c r="BT132" s="157">
        <v>41837</v>
      </c>
      <c r="BU132" s="138">
        <v>38.9</v>
      </c>
      <c r="BV132" s="157">
        <v>41837</v>
      </c>
      <c r="BW132" s="138">
        <v>11.5</v>
      </c>
      <c r="BX132" s="157">
        <v>41837</v>
      </c>
      <c r="CC132" s="138">
        <v>6.6</v>
      </c>
      <c r="CD132" s="157">
        <v>41837</v>
      </c>
      <c r="CI132" s="138">
        <v>7</v>
      </c>
    </row>
    <row r="133" spans="1:91">
      <c r="A133" s="159" t="s">
        <v>7737</v>
      </c>
      <c r="B133" s="112" t="s">
        <v>271</v>
      </c>
      <c r="C133" s="112">
        <v>1</v>
      </c>
      <c r="D133" s="112">
        <v>56</v>
      </c>
      <c r="E133" s="113">
        <v>24</v>
      </c>
      <c r="F133" s="113">
        <v>4</v>
      </c>
      <c r="M133" s="185">
        <v>3.34</v>
      </c>
      <c r="N133" s="157">
        <v>41837</v>
      </c>
      <c r="R133" s="185"/>
      <c r="S133" s="137">
        <v>8.94</v>
      </c>
      <c r="T133" s="157">
        <v>41837</v>
      </c>
      <c r="U133" s="142">
        <v>18</v>
      </c>
      <c r="Y133" s="142">
        <f t="shared" si="2"/>
        <v>7.4316299999999993</v>
      </c>
      <c r="Z133" s="157">
        <v>41837</v>
      </c>
      <c r="AE133" s="137">
        <v>18.91</v>
      </c>
      <c r="AF133" s="157">
        <v>41837</v>
      </c>
      <c r="AG133" s="185">
        <v>4.43</v>
      </c>
      <c r="AH133" s="157">
        <v>41837</v>
      </c>
      <c r="AM133" s="137">
        <v>83</v>
      </c>
      <c r="BM133" s="138">
        <v>60.72</v>
      </c>
      <c r="BN133" s="157">
        <v>41837</v>
      </c>
      <c r="BS133" s="138">
        <v>47.29</v>
      </c>
      <c r="BT133" s="157">
        <v>41837</v>
      </c>
      <c r="BU133" s="138">
        <v>39.299999999999997</v>
      </c>
      <c r="BV133" s="157">
        <v>41837</v>
      </c>
      <c r="BW133" s="138">
        <v>38.299999999999997</v>
      </c>
      <c r="BX133" s="157">
        <v>41837</v>
      </c>
      <c r="CC133" s="138">
        <v>6.5</v>
      </c>
      <c r="CD133" s="157">
        <v>41837</v>
      </c>
      <c r="CI133" s="138">
        <v>1</v>
      </c>
    </row>
    <row r="134" spans="1:91">
      <c r="A134" s="159" t="s">
        <v>7715</v>
      </c>
      <c r="B134" s="112" t="s">
        <v>271</v>
      </c>
      <c r="C134" s="112">
        <v>1</v>
      </c>
      <c r="D134" s="112">
        <v>109</v>
      </c>
      <c r="E134" s="113">
        <v>25</v>
      </c>
      <c r="F134" s="113">
        <v>4</v>
      </c>
      <c r="M134" s="185">
        <v>5.93</v>
      </c>
      <c r="N134" s="157">
        <v>41837</v>
      </c>
      <c r="R134" s="185"/>
      <c r="S134" s="137">
        <v>15.47</v>
      </c>
      <c r="T134" s="157">
        <v>41837</v>
      </c>
      <c r="U134" s="142">
        <v>18</v>
      </c>
      <c r="Y134" s="142">
        <f t="shared" si="2"/>
        <v>12.026499999999999</v>
      </c>
      <c r="Z134" s="157">
        <v>41837</v>
      </c>
      <c r="AE134" s="137">
        <v>33.5</v>
      </c>
      <c r="AF134" s="157">
        <v>41837</v>
      </c>
      <c r="AG134" s="185">
        <v>4.1900000000000004</v>
      </c>
      <c r="AH134" s="157">
        <v>41837</v>
      </c>
      <c r="AM134" s="137">
        <v>92</v>
      </c>
      <c r="BM134" s="138">
        <v>58.8</v>
      </c>
      <c r="BN134" s="157">
        <v>41837</v>
      </c>
      <c r="BS134" s="138">
        <v>46.17</v>
      </c>
      <c r="BT134" s="157">
        <v>41837</v>
      </c>
      <c r="BU134" s="138">
        <v>35.9</v>
      </c>
      <c r="BV134" s="157">
        <v>41837</v>
      </c>
      <c r="BW134" s="138">
        <v>16.5</v>
      </c>
      <c r="BX134" s="157">
        <v>41837</v>
      </c>
      <c r="CC134" s="138">
        <v>6.7</v>
      </c>
      <c r="CD134" s="157">
        <v>41837</v>
      </c>
      <c r="CI134" s="138">
        <v>9</v>
      </c>
    </row>
    <row r="135" spans="1:91">
      <c r="A135" s="159" t="s">
        <v>7690</v>
      </c>
      <c r="B135" s="112" t="s">
        <v>271</v>
      </c>
      <c r="C135" s="112">
        <v>1</v>
      </c>
      <c r="D135" s="112">
        <v>3</v>
      </c>
      <c r="E135" s="113">
        <v>26</v>
      </c>
      <c r="F135" s="113">
        <v>4</v>
      </c>
      <c r="I135" s="200"/>
      <c r="K135" s="142"/>
      <c r="M135" s="185">
        <v>7.14</v>
      </c>
      <c r="N135" s="157">
        <v>41837</v>
      </c>
      <c r="Q135" s="142"/>
      <c r="R135" s="185"/>
      <c r="S135" s="142">
        <v>20.2</v>
      </c>
      <c r="T135" s="157">
        <v>41837</v>
      </c>
      <c r="U135" s="142">
        <v>18</v>
      </c>
      <c r="W135" s="142"/>
      <c r="Y135" s="142">
        <f t="shared" si="2"/>
        <v>15.353289999999999</v>
      </c>
      <c r="Z135" s="157">
        <v>41837</v>
      </c>
      <c r="AA135" s="142"/>
      <c r="AE135" s="142">
        <v>40.51</v>
      </c>
      <c r="AF135" s="157">
        <v>41837</v>
      </c>
      <c r="AG135" s="185">
        <v>5.2</v>
      </c>
      <c r="AH135" s="157">
        <v>41837</v>
      </c>
      <c r="AK135" s="142"/>
      <c r="AM135" s="142">
        <v>92</v>
      </c>
      <c r="BM135" s="138">
        <v>61.04</v>
      </c>
      <c r="BN135" s="157">
        <v>41837</v>
      </c>
      <c r="BS135" s="138">
        <v>49.87</v>
      </c>
      <c r="BT135" s="157">
        <v>41837</v>
      </c>
      <c r="BU135" s="138">
        <v>37.9</v>
      </c>
      <c r="BV135" s="157">
        <v>41837</v>
      </c>
      <c r="BW135" s="138">
        <v>15.8</v>
      </c>
      <c r="BX135" s="157">
        <v>41837</v>
      </c>
      <c r="CC135" s="138">
        <v>6.3</v>
      </c>
      <c r="CD135" s="157">
        <v>41837</v>
      </c>
      <c r="CI135" s="138">
        <v>7</v>
      </c>
    </row>
    <row r="136" spans="1:91">
      <c r="A136" s="159" t="s">
        <v>7646</v>
      </c>
      <c r="B136" s="112" t="s">
        <v>271</v>
      </c>
      <c r="C136" s="112">
        <v>1</v>
      </c>
      <c r="D136" s="112">
        <v>117</v>
      </c>
      <c r="E136" s="113">
        <v>27</v>
      </c>
      <c r="F136" s="113">
        <v>4</v>
      </c>
      <c r="M136" s="185">
        <v>3.58</v>
      </c>
      <c r="N136" s="157">
        <v>41837</v>
      </c>
      <c r="R136" s="185"/>
      <c r="S136" s="137">
        <v>9.69</v>
      </c>
      <c r="T136" s="157">
        <v>41837</v>
      </c>
      <c r="U136" s="142">
        <v>18</v>
      </c>
      <c r="Y136" s="142">
        <f t="shared" si="2"/>
        <v>7.6696199999999983</v>
      </c>
      <c r="Z136" s="157">
        <v>41837</v>
      </c>
      <c r="AE136" s="137">
        <v>20.29</v>
      </c>
      <c r="AF136" s="157">
        <v>41837</v>
      </c>
      <c r="AG136" s="185">
        <v>4.8499999999999996</v>
      </c>
      <c r="AH136" s="157">
        <v>41837</v>
      </c>
      <c r="AM136" s="137">
        <v>87</v>
      </c>
      <c r="BM136" s="138">
        <v>60.56</v>
      </c>
      <c r="BN136" s="157">
        <v>41837</v>
      </c>
      <c r="BS136" s="138">
        <v>47.76</v>
      </c>
      <c r="BT136" s="157">
        <v>41837</v>
      </c>
      <c r="BU136" s="138">
        <v>37.799999999999997</v>
      </c>
      <c r="BV136" s="157">
        <v>41837</v>
      </c>
      <c r="BW136" s="138">
        <v>35.299999999999997</v>
      </c>
      <c r="BX136" s="157">
        <v>41837</v>
      </c>
      <c r="CC136" s="138">
        <v>6.4</v>
      </c>
      <c r="CD136" s="157">
        <v>41837</v>
      </c>
      <c r="CI136" s="138">
        <v>3</v>
      </c>
    </row>
    <row r="137" spans="1:91">
      <c r="A137" s="159" t="s">
        <v>7658</v>
      </c>
      <c r="B137" s="112" t="s">
        <v>271</v>
      </c>
      <c r="C137" s="112">
        <v>1</v>
      </c>
      <c r="D137" s="112">
        <v>75</v>
      </c>
      <c r="E137" s="113">
        <v>28</v>
      </c>
      <c r="F137" s="113">
        <v>4</v>
      </c>
      <c r="M137" s="185">
        <v>5.0999999999999996</v>
      </c>
      <c r="N137" s="157">
        <v>41837</v>
      </c>
      <c r="R137" s="185"/>
      <c r="S137" s="137">
        <v>13.66</v>
      </c>
      <c r="T137" s="157">
        <v>41837</v>
      </c>
      <c r="U137" s="142">
        <v>18</v>
      </c>
      <c r="Y137" s="142">
        <f t="shared" si="2"/>
        <v>11.149470000000001</v>
      </c>
      <c r="Z137" s="157">
        <v>41837</v>
      </c>
      <c r="AE137" s="137">
        <v>28.81</v>
      </c>
      <c r="AF137" s="157">
        <v>41837</v>
      </c>
      <c r="AG137" s="185">
        <v>5.04</v>
      </c>
      <c r="AH137" s="157">
        <v>41837</v>
      </c>
      <c r="AM137" s="137">
        <v>85</v>
      </c>
      <c r="BM137" s="138">
        <v>62.57</v>
      </c>
      <c r="BN137" s="157">
        <v>41837</v>
      </c>
      <c r="BS137" s="138">
        <v>47.4</v>
      </c>
      <c r="BT137" s="157">
        <v>41837</v>
      </c>
      <c r="BU137" s="138">
        <v>38.700000000000003</v>
      </c>
      <c r="BV137" s="157">
        <v>41837</v>
      </c>
      <c r="BW137" s="138">
        <v>41.4</v>
      </c>
      <c r="BX137" s="157">
        <v>41837</v>
      </c>
      <c r="CC137" s="138">
        <v>6.7</v>
      </c>
      <c r="CD137" s="157">
        <v>41837</v>
      </c>
      <c r="CI137" s="138">
        <v>3</v>
      </c>
    </row>
    <row r="138" spans="1:91">
      <c r="A138" s="159" t="s">
        <v>7676</v>
      </c>
      <c r="B138" s="112" t="s">
        <v>271</v>
      </c>
      <c r="C138" s="112">
        <v>1</v>
      </c>
      <c r="D138" s="112">
        <v>69</v>
      </c>
      <c r="E138" s="113">
        <v>29</v>
      </c>
      <c r="F138" s="113">
        <v>4</v>
      </c>
      <c r="M138" s="185">
        <v>6.14</v>
      </c>
      <c r="N138" s="157">
        <v>41837</v>
      </c>
      <c r="R138" s="185"/>
      <c r="S138" s="137">
        <v>17.239999999999998</v>
      </c>
      <c r="T138" s="157">
        <v>41837</v>
      </c>
      <c r="U138" s="142">
        <v>18</v>
      </c>
      <c r="Y138" s="142">
        <f t="shared" si="2"/>
        <v>13.000239999999998</v>
      </c>
      <c r="Z138" s="157">
        <v>41837</v>
      </c>
      <c r="AE138" s="137">
        <v>34.76</v>
      </c>
      <c r="AF138" s="157">
        <v>41837</v>
      </c>
      <c r="AG138" s="185">
        <v>4.9800000000000004</v>
      </c>
      <c r="AH138" s="157">
        <v>41837</v>
      </c>
      <c r="AM138" s="137">
        <v>96</v>
      </c>
      <c r="BM138" s="138">
        <v>60.12</v>
      </c>
      <c r="BN138" s="157">
        <v>41837</v>
      </c>
      <c r="BS138" s="138">
        <v>49.61</v>
      </c>
      <c r="BT138" s="157">
        <v>41837</v>
      </c>
      <c r="BU138" s="138">
        <v>37.4</v>
      </c>
      <c r="BV138" s="157">
        <v>41837</v>
      </c>
      <c r="BW138" s="138">
        <v>14.4</v>
      </c>
      <c r="BX138" s="157">
        <v>41837</v>
      </c>
      <c r="CC138" s="138">
        <v>6.5</v>
      </c>
      <c r="CD138" s="157">
        <v>41837</v>
      </c>
      <c r="CI138" s="138">
        <v>3</v>
      </c>
    </row>
    <row r="139" spans="1:91">
      <c r="A139" s="159" t="s">
        <v>7681</v>
      </c>
      <c r="B139" s="112" t="s">
        <v>271</v>
      </c>
      <c r="C139" s="112">
        <v>1</v>
      </c>
      <c r="D139" s="112">
        <v>166</v>
      </c>
      <c r="E139" s="113">
        <v>30</v>
      </c>
      <c r="F139" s="113">
        <v>4</v>
      </c>
      <c r="M139" s="185">
        <v>6.63</v>
      </c>
      <c r="N139" s="157">
        <v>41837</v>
      </c>
      <c r="R139" s="185"/>
      <c r="S139" s="137">
        <v>19.14</v>
      </c>
      <c r="T139" s="157">
        <v>41837</v>
      </c>
      <c r="U139" s="142">
        <v>18</v>
      </c>
      <c r="Y139" s="142">
        <f t="shared" si="2"/>
        <v>14.069879999999998</v>
      </c>
      <c r="Z139" s="157">
        <v>41837</v>
      </c>
      <c r="AE139" s="137">
        <v>37.619999999999997</v>
      </c>
      <c r="AF139" s="157">
        <v>41837</v>
      </c>
      <c r="AG139" s="185">
        <v>4.88</v>
      </c>
      <c r="AH139" s="157">
        <v>41837</v>
      </c>
      <c r="AM139" s="137">
        <v>96</v>
      </c>
      <c r="BM139" s="138">
        <v>60.85</v>
      </c>
      <c r="BN139" s="157">
        <v>41837</v>
      </c>
      <c r="BS139" s="138">
        <v>50.87</v>
      </c>
      <c r="BT139" s="157">
        <v>41837</v>
      </c>
      <c r="BU139" s="138">
        <v>37.4</v>
      </c>
      <c r="BV139" s="157">
        <v>41837</v>
      </c>
      <c r="BW139" s="138">
        <v>15.7</v>
      </c>
      <c r="BX139" s="157">
        <v>41837</v>
      </c>
      <c r="CC139" s="138">
        <v>6.3</v>
      </c>
      <c r="CD139" s="157">
        <v>41837</v>
      </c>
      <c r="CI139" s="138">
        <v>9</v>
      </c>
    </row>
    <row r="140" spans="1:91">
      <c r="A140" s="159" t="s">
        <v>7778</v>
      </c>
      <c r="B140" s="112" t="s">
        <v>271</v>
      </c>
      <c r="C140" s="112">
        <v>1</v>
      </c>
      <c r="D140" s="112">
        <v>179</v>
      </c>
      <c r="E140" s="113">
        <v>31</v>
      </c>
      <c r="F140" s="113">
        <v>4</v>
      </c>
      <c r="M140" s="185">
        <v>7.02</v>
      </c>
      <c r="N140" s="157">
        <v>41837</v>
      </c>
      <c r="R140" s="185"/>
      <c r="S140" s="137">
        <v>19.3</v>
      </c>
      <c r="T140" s="157">
        <v>41837</v>
      </c>
      <c r="U140" s="142">
        <v>18</v>
      </c>
      <c r="Y140" s="142">
        <f t="shared" si="2"/>
        <v>15.175229999999999</v>
      </c>
      <c r="Z140" s="157">
        <v>41837</v>
      </c>
      <c r="AE140" s="137">
        <v>39.83</v>
      </c>
      <c r="AF140" s="157">
        <v>41837</v>
      </c>
      <c r="AG140" s="185">
        <v>4.99</v>
      </c>
      <c r="AH140" s="157">
        <v>41837</v>
      </c>
      <c r="AM140" s="137">
        <v>94</v>
      </c>
      <c r="BM140" s="138">
        <v>62.13</v>
      </c>
      <c r="BN140" s="157">
        <v>41837</v>
      </c>
      <c r="BS140" s="138">
        <v>48.46</v>
      </c>
      <c r="BT140" s="157">
        <v>41837</v>
      </c>
      <c r="BU140" s="138">
        <v>38.1</v>
      </c>
      <c r="BV140" s="157">
        <v>41837</v>
      </c>
      <c r="BW140" s="138">
        <v>19.3</v>
      </c>
      <c r="BX140" s="157">
        <v>41837</v>
      </c>
      <c r="CC140" s="138">
        <v>6.3</v>
      </c>
      <c r="CD140" s="157">
        <v>41837</v>
      </c>
      <c r="CI140" s="138">
        <v>9</v>
      </c>
    </row>
    <row r="141" spans="1:91">
      <c r="A141" s="159" t="s">
        <v>7682</v>
      </c>
      <c r="B141" s="112" t="s">
        <v>271</v>
      </c>
      <c r="C141" s="112">
        <v>1</v>
      </c>
      <c r="D141" s="112">
        <v>206</v>
      </c>
      <c r="E141" s="113">
        <v>32</v>
      </c>
      <c r="F141" s="113">
        <v>4</v>
      </c>
      <c r="M141" s="185">
        <v>5.3</v>
      </c>
      <c r="N141" s="157">
        <v>41837</v>
      </c>
      <c r="R141" s="185"/>
      <c r="S141" s="137">
        <v>15.05</v>
      </c>
      <c r="T141" s="157">
        <v>41837</v>
      </c>
      <c r="U141" s="142">
        <v>18</v>
      </c>
      <c r="Y141" s="142">
        <f t="shared" si="2"/>
        <v>11.835760000000001</v>
      </c>
      <c r="Z141" s="157">
        <v>41837</v>
      </c>
      <c r="AE141" s="137">
        <v>30.04</v>
      </c>
      <c r="AF141" s="157">
        <v>41837</v>
      </c>
      <c r="AG141" s="185">
        <v>4.99</v>
      </c>
      <c r="AH141" s="157">
        <v>41837</v>
      </c>
      <c r="AM141" s="137">
        <v>90</v>
      </c>
      <c r="BM141" s="138">
        <v>60.36</v>
      </c>
      <c r="BN141" s="157">
        <v>41837</v>
      </c>
      <c r="BS141" s="138">
        <v>50.09</v>
      </c>
      <c r="BT141" s="157">
        <v>41837</v>
      </c>
      <c r="BU141" s="138">
        <v>39.4</v>
      </c>
      <c r="BV141" s="157">
        <v>41837</v>
      </c>
      <c r="BW141" s="138">
        <v>13.9</v>
      </c>
      <c r="BX141" s="157">
        <v>41837</v>
      </c>
      <c r="CC141" s="138">
        <v>6.4</v>
      </c>
      <c r="CD141" s="157">
        <v>41837</v>
      </c>
      <c r="CI141" s="138">
        <v>9</v>
      </c>
    </row>
    <row r="142" spans="1:91">
      <c r="A142" s="189" t="s">
        <v>7753</v>
      </c>
      <c r="B142" s="190" t="s">
        <v>271</v>
      </c>
      <c r="C142" s="190">
        <v>1</v>
      </c>
      <c r="D142" s="190">
        <v>4</v>
      </c>
      <c r="E142" s="191">
        <v>33</v>
      </c>
      <c r="F142" s="191">
        <v>4</v>
      </c>
      <c r="G142" s="191"/>
      <c r="H142" s="191"/>
      <c r="I142" s="201"/>
      <c r="J142" s="190"/>
      <c r="K142" s="192"/>
      <c r="L142" s="193"/>
      <c r="M142" s="194">
        <v>4.43</v>
      </c>
      <c r="N142" s="193">
        <v>41837</v>
      </c>
      <c r="P142" s="193"/>
      <c r="Q142" s="192"/>
      <c r="R142" s="194"/>
      <c r="S142" s="192">
        <v>12.38</v>
      </c>
      <c r="T142" s="193">
        <v>41837</v>
      </c>
      <c r="U142" s="192">
        <v>18</v>
      </c>
      <c r="V142" s="193"/>
      <c r="W142" s="192"/>
      <c r="X142" s="193"/>
      <c r="Y142" s="192">
        <f t="shared" si="2"/>
        <v>10.056000000000001</v>
      </c>
      <c r="Z142" s="193">
        <v>41837</v>
      </c>
      <c r="AA142" s="192"/>
      <c r="AB142" s="193"/>
      <c r="AC142" s="195"/>
      <c r="AD142" s="193"/>
      <c r="AE142" s="192">
        <v>25.14</v>
      </c>
      <c r="AF142" s="193">
        <v>41837</v>
      </c>
      <c r="AG142" s="194">
        <v>5.36</v>
      </c>
      <c r="AH142" s="193">
        <v>41837</v>
      </c>
      <c r="AI142" s="193"/>
      <c r="AJ142" s="193"/>
      <c r="AK142" s="192"/>
      <c r="AL142" s="193"/>
      <c r="AM142" s="192">
        <v>94</v>
      </c>
      <c r="AN142" s="193"/>
      <c r="AO142" s="195"/>
      <c r="AP142" s="195"/>
      <c r="AQ142" s="195"/>
      <c r="AR142" s="195"/>
      <c r="AS142" s="195"/>
      <c r="AT142" s="195"/>
      <c r="AU142" s="195"/>
      <c r="AV142" s="195"/>
      <c r="AW142" s="195"/>
      <c r="AX142" s="195"/>
      <c r="AY142" s="195"/>
      <c r="AZ142" s="195"/>
      <c r="BA142" s="195"/>
      <c r="BB142" s="195"/>
      <c r="BC142" s="195"/>
      <c r="BD142" s="195"/>
      <c r="BE142" s="196"/>
      <c r="BF142" s="196"/>
      <c r="BG142" s="196"/>
      <c r="BH142" s="196"/>
      <c r="BI142" s="196"/>
      <c r="BJ142" s="196"/>
      <c r="BK142" s="196"/>
      <c r="BL142" s="196"/>
      <c r="BM142" s="196">
        <v>62.16</v>
      </c>
      <c r="BN142" s="193">
        <v>41837</v>
      </c>
      <c r="BO142" s="196"/>
      <c r="BP142" s="196"/>
      <c r="BQ142" s="196"/>
      <c r="BR142" s="196"/>
      <c r="BS142" s="196">
        <v>49.23</v>
      </c>
      <c r="BT142" s="193">
        <v>41837</v>
      </c>
      <c r="BU142" s="196">
        <v>40</v>
      </c>
      <c r="BV142" s="193">
        <v>41837</v>
      </c>
      <c r="BW142" s="196">
        <v>36.299999999999997</v>
      </c>
      <c r="BX142" s="193">
        <v>41837</v>
      </c>
      <c r="BY142" s="196"/>
      <c r="BZ142" s="196"/>
      <c r="CA142" s="196"/>
      <c r="CB142" s="196"/>
      <c r="CC142" s="196">
        <v>6.3</v>
      </c>
      <c r="CD142" s="193">
        <v>41837</v>
      </c>
      <c r="CE142" s="196"/>
      <c r="CF142" s="196"/>
      <c r="CG142" s="196"/>
      <c r="CH142" s="196"/>
      <c r="CI142" s="196">
        <v>7</v>
      </c>
      <c r="CJ142" s="196"/>
      <c r="CK142" s="196"/>
      <c r="CL142" s="196"/>
      <c r="CM142" s="196"/>
    </row>
    <row r="143" spans="1:91">
      <c r="A143" s="159" t="s">
        <v>7782</v>
      </c>
      <c r="B143" s="112" t="s">
        <v>271</v>
      </c>
      <c r="C143" s="112">
        <v>1</v>
      </c>
      <c r="D143" s="112">
        <v>174</v>
      </c>
      <c r="E143" s="113">
        <v>34</v>
      </c>
      <c r="F143" s="113">
        <v>4</v>
      </c>
      <c r="M143" s="185">
        <v>5.6</v>
      </c>
      <c r="N143" s="157">
        <v>41837</v>
      </c>
      <c r="R143" s="185"/>
      <c r="S143" s="137">
        <v>16.34</v>
      </c>
      <c r="T143" s="157">
        <v>41837</v>
      </c>
      <c r="U143" s="142">
        <v>18</v>
      </c>
      <c r="Y143" s="142">
        <f t="shared" si="2"/>
        <v>11.27835</v>
      </c>
      <c r="Z143" s="157">
        <v>41837</v>
      </c>
      <c r="AE143" s="137">
        <v>31.77</v>
      </c>
      <c r="AF143" s="157">
        <v>41837</v>
      </c>
      <c r="AG143" s="185">
        <v>5.09</v>
      </c>
      <c r="AH143" s="157">
        <v>41837</v>
      </c>
      <c r="AM143" s="137">
        <v>92</v>
      </c>
      <c r="BM143" s="138">
        <v>61.92</v>
      </c>
      <c r="BN143" s="157">
        <v>41837</v>
      </c>
      <c r="BS143" s="138">
        <v>51.44</v>
      </c>
      <c r="BT143" s="157">
        <v>41837</v>
      </c>
      <c r="BU143" s="138">
        <v>35.5</v>
      </c>
      <c r="BV143" s="157">
        <v>41837</v>
      </c>
      <c r="BW143" s="138">
        <v>13.7</v>
      </c>
      <c r="BX143" s="157">
        <v>41837</v>
      </c>
      <c r="CC143" s="138">
        <v>6.3</v>
      </c>
      <c r="CD143" s="157">
        <v>41837</v>
      </c>
      <c r="CI143" s="138">
        <v>7</v>
      </c>
    </row>
    <row r="144" spans="1:91">
      <c r="A144" s="159" t="s">
        <v>7725</v>
      </c>
      <c r="B144" s="112" t="s">
        <v>271</v>
      </c>
      <c r="C144" s="112">
        <v>1</v>
      </c>
      <c r="D144" s="112">
        <v>142</v>
      </c>
      <c r="E144" s="113">
        <v>35</v>
      </c>
      <c r="F144" s="113">
        <v>4</v>
      </c>
      <c r="M144" s="185">
        <v>5.45</v>
      </c>
      <c r="N144" s="157">
        <v>41837</v>
      </c>
      <c r="R144" s="185"/>
      <c r="S144" s="137">
        <v>15.18</v>
      </c>
      <c r="T144" s="157">
        <v>41837</v>
      </c>
      <c r="U144" s="142">
        <v>18</v>
      </c>
      <c r="Y144" s="142">
        <f t="shared" si="2"/>
        <v>11.404319999999998</v>
      </c>
      <c r="Z144" s="157">
        <v>41837</v>
      </c>
      <c r="AE144" s="137">
        <v>30.99</v>
      </c>
      <c r="AF144" s="157">
        <v>41837</v>
      </c>
      <c r="AG144" s="185">
        <v>4.8</v>
      </c>
      <c r="AH144" s="157">
        <v>41837</v>
      </c>
      <c r="AM144" s="137">
        <v>90</v>
      </c>
      <c r="BM144" s="138">
        <v>62.31</v>
      </c>
      <c r="BN144" s="157">
        <v>41837</v>
      </c>
      <c r="BS144" s="138">
        <v>48.99</v>
      </c>
      <c r="BT144" s="157">
        <v>41837</v>
      </c>
      <c r="BU144" s="138">
        <v>36.799999999999997</v>
      </c>
      <c r="BV144" s="157">
        <v>41837</v>
      </c>
      <c r="BW144" s="138">
        <v>22.7</v>
      </c>
      <c r="BX144" s="157">
        <v>41837</v>
      </c>
      <c r="CC144" s="138">
        <v>6.1</v>
      </c>
      <c r="CD144" s="157">
        <v>41837</v>
      </c>
      <c r="CI144" s="138">
        <v>3</v>
      </c>
    </row>
    <row r="145" spans="1:91">
      <c r="A145" s="159" t="s">
        <v>7657</v>
      </c>
      <c r="B145" s="112" t="s">
        <v>271</v>
      </c>
      <c r="C145" s="112">
        <v>1</v>
      </c>
      <c r="D145" s="112">
        <v>41</v>
      </c>
      <c r="E145" s="113">
        <v>36</v>
      </c>
      <c r="F145" s="113">
        <v>4</v>
      </c>
      <c r="M145" s="185">
        <v>2.4900000000000002</v>
      </c>
      <c r="N145" s="157">
        <v>41837</v>
      </c>
      <c r="R145" s="185"/>
      <c r="S145" s="137">
        <v>7.01</v>
      </c>
      <c r="T145" s="157">
        <v>41837</v>
      </c>
      <c r="U145" s="142">
        <v>18</v>
      </c>
      <c r="Y145" s="142">
        <f t="shared" si="2"/>
        <v>5.4297599999999999</v>
      </c>
      <c r="Z145" s="157">
        <v>41837</v>
      </c>
      <c r="AE145" s="137">
        <v>14.14</v>
      </c>
      <c r="AF145" s="157">
        <v>41837</v>
      </c>
      <c r="AG145" s="185">
        <v>4.5199999999999996</v>
      </c>
      <c r="AH145" s="157">
        <v>41837</v>
      </c>
      <c r="AM145" s="137">
        <v>90</v>
      </c>
      <c r="BM145" s="138">
        <v>58.57</v>
      </c>
      <c r="BN145" s="157">
        <v>41837</v>
      </c>
      <c r="BS145" s="138">
        <v>49.59</v>
      </c>
      <c r="BT145" s="157">
        <v>41837</v>
      </c>
      <c r="BU145" s="138">
        <v>38.4</v>
      </c>
      <c r="BV145" s="157">
        <v>41837</v>
      </c>
      <c r="BW145" s="138">
        <v>47.7</v>
      </c>
      <c r="BX145" s="157">
        <v>41837</v>
      </c>
      <c r="CC145" s="138">
        <v>6.2</v>
      </c>
      <c r="CD145" s="157">
        <v>41837</v>
      </c>
      <c r="CI145" s="138">
        <v>1</v>
      </c>
    </row>
    <row r="146" spans="1:91">
      <c r="A146" s="159" t="s">
        <v>7628</v>
      </c>
      <c r="B146" s="112" t="s">
        <v>271</v>
      </c>
      <c r="C146" s="112">
        <v>1</v>
      </c>
      <c r="D146" s="112">
        <v>65</v>
      </c>
      <c r="E146" s="113">
        <v>1</v>
      </c>
      <c r="F146" s="113">
        <v>5</v>
      </c>
      <c r="M146" s="185">
        <v>4.7699999999999996</v>
      </c>
      <c r="N146" s="157">
        <v>41837</v>
      </c>
      <c r="R146" s="185"/>
      <c r="S146" s="137">
        <v>12.19</v>
      </c>
      <c r="T146" s="157">
        <v>41837</v>
      </c>
      <c r="U146" s="142">
        <v>18</v>
      </c>
      <c r="Y146" s="142">
        <f t="shared" si="2"/>
        <v>10.617240000000002</v>
      </c>
      <c r="Z146" s="157">
        <v>41837</v>
      </c>
      <c r="AE146" s="137">
        <v>25.77</v>
      </c>
      <c r="AF146" s="157">
        <v>41837</v>
      </c>
      <c r="AG146" s="185"/>
      <c r="AH146" s="157">
        <v>41837</v>
      </c>
      <c r="AM146" s="137">
        <v>96</v>
      </c>
      <c r="BM146" s="138">
        <v>64.040000000000006</v>
      </c>
      <c r="BN146" s="157">
        <v>41837</v>
      </c>
      <c r="BS146" s="138">
        <v>47.31</v>
      </c>
      <c r="BT146" s="157">
        <v>41837</v>
      </c>
      <c r="BU146" s="138">
        <v>41.2</v>
      </c>
      <c r="BV146" s="157">
        <v>41837</v>
      </c>
      <c r="BW146" s="138">
        <v>48.9</v>
      </c>
      <c r="BX146" s="157">
        <v>41837</v>
      </c>
      <c r="CC146" s="138">
        <v>10.8</v>
      </c>
      <c r="CD146" s="157">
        <v>41837</v>
      </c>
      <c r="CI146" s="138">
        <v>7</v>
      </c>
    </row>
    <row r="147" spans="1:91">
      <c r="A147" s="159" t="s">
        <v>7758</v>
      </c>
      <c r="B147" s="112" t="s">
        <v>271</v>
      </c>
      <c r="C147" s="112">
        <v>1</v>
      </c>
      <c r="D147" s="112">
        <v>163</v>
      </c>
      <c r="E147" s="113">
        <v>2</v>
      </c>
      <c r="F147" s="113">
        <v>5</v>
      </c>
      <c r="M147" s="185">
        <v>7.33</v>
      </c>
      <c r="N147" s="157">
        <v>41837</v>
      </c>
      <c r="R147" s="185"/>
      <c r="T147" s="157">
        <v>41837</v>
      </c>
      <c r="U147" s="142">
        <v>18</v>
      </c>
      <c r="Y147" s="142">
        <f t="shared" si="2"/>
        <v>0</v>
      </c>
      <c r="Z147" s="157">
        <v>41837</v>
      </c>
      <c r="AE147" s="137">
        <v>39.46</v>
      </c>
      <c r="AF147" s="157">
        <v>41837</v>
      </c>
      <c r="AG147" s="185"/>
      <c r="AH147" s="157">
        <v>41837</v>
      </c>
      <c r="AM147" s="137">
        <v>90</v>
      </c>
      <c r="BN147" s="157">
        <v>41837</v>
      </c>
      <c r="BT147" s="157">
        <v>41837</v>
      </c>
      <c r="BV147" s="157">
        <v>41837</v>
      </c>
      <c r="BX147" s="157">
        <v>41837</v>
      </c>
      <c r="CC147" s="138">
        <v>11.1</v>
      </c>
      <c r="CD147" s="157">
        <v>41837</v>
      </c>
      <c r="CI147" s="138">
        <v>7</v>
      </c>
    </row>
    <row r="148" spans="1:91">
      <c r="A148" s="159" t="s">
        <v>7810</v>
      </c>
      <c r="B148" s="112" t="s">
        <v>271</v>
      </c>
      <c r="C148" s="112">
        <v>1</v>
      </c>
      <c r="D148" s="112">
        <v>45</v>
      </c>
      <c r="E148" s="113">
        <v>3</v>
      </c>
      <c r="F148" s="113">
        <v>5</v>
      </c>
      <c r="M148" s="185">
        <v>8.1300000000000008</v>
      </c>
      <c r="N148" s="157">
        <v>41837</v>
      </c>
      <c r="R148" s="185"/>
      <c r="S148" s="137">
        <v>22.28</v>
      </c>
      <c r="T148" s="157">
        <v>41837</v>
      </c>
      <c r="U148" s="142">
        <v>18</v>
      </c>
      <c r="Y148" s="142">
        <f t="shared" si="2"/>
        <v>16.742570000000001</v>
      </c>
      <c r="Z148" s="157">
        <v>41837</v>
      </c>
      <c r="AE148" s="137">
        <v>44.41</v>
      </c>
      <c r="AF148" s="157">
        <v>41837</v>
      </c>
      <c r="AG148" s="185"/>
      <c r="AH148" s="157">
        <v>41837</v>
      </c>
      <c r="AM148" s="137">
        <v>92</v>
      </c>
      <c r="BM148" s="138">
        <v>59.98</v>
      </c>
      <c r="BN148" s="157">
        <v>41837</v>
      </c>
      <c r="BS148" s="138">
        <v>50.17</v>
      </c>
      <c r="BT148" s="157">
        <v>41837</v>
      </c>
      <c r="BU148" s="138">
        <v>37.700000000000003</v>
      </c>
      <c r="BV148" s="157">
        <v>41837</v>
      </c>
      <c r="BW148" s="138">
        <v>18.7</v>
      </c>
      <c r="BX148" s="157">
        <v>41837</v>
      </c>
      <c r="CC148" s="138">
        <v>9.8000000000000007</v>
      </c>
      <c r="CD148" s="157">
        <v>41837</v>
      </c>
      <c r="CI148" s="138">
        <v>7</v>
      </c>
    </row>
    <row r="149" spans="1:91">
      <c r="A149" s="159" t="s">
        <v>7627</v>
      </c>
      <c r="B149" s="112" t="s">
        <v>271</v>
      </c>
      <c r="C149" s="112">
        <v>1</v>
      </c>
      <c r="D149" s="112">
        <v>70</v>
      </c>
      <c r="E149" s="113">
        <v>4</v>
      </c>
      <c r="F149" s="113">
        <v>5</v>
      </c>
      <c r="M149" s="185">
        <v>4.42</v>
      </c>
      <c r="N149" s="157">
        <v>41837</v>
      </c>
      <c r="R149" s="185"/>
      <c r="S149" s="137">
        <v>11.31</v>
      </c>
      <c r="T149" s="157">
        <v>41837</v>
      </c>
      <c r="U149" s="142">
        <v>18</v>
      </c>
      <c r="Y149" s="142">
        <f t="shared" si="2"/>
        <v>10.050599999999999</v>
      </c>
      <c r="Z149" s="157">
        <v>41837</v>
      </c>
      <c r="AE149" s="137">
        <v>23.93</v>
      </c>
      <c r="AF149" s="157">
        <v>41837</v>
      </c>
      <c r="AG149" s="185"/>
      <c r="AH149" s="157">
        <v>41837</v>
      </c>
      <c r="AM149" s="137">
        <v>90</v>
      </c>
      <c r="BM149" s="138">
        <v>64.03</v>
      </c>
      <c r="BN149" s="157">
        <v>41837</v>
      </c>
      <c r="BS149" s="138">
        <v>47.26</v>
      </c>
      <c r="BT149" s="157">
        <v>41837</v>
      </c>
      <c r="BU149" s="138">
        <v>42</v>
      </c>
      <c r="BV149" s="157">
        <v>41837</v>
      </c>
      <c r="BW149" s="138">
        <v>47.7</v>
      </c>
      <c r="BX149" s="157">
        <v>41837</v>
      </c>
      <c r="CC149" s="138">
        <v>10.6</v>
      </c>
      <c r="CD149" s="157">
        <v>41837</v>
      </c>
      <c r="CI149" s="138">
        <v>3</v>
      </c>
    </row>
    <row r="150" spans="1:91">
      <c r="A150" s="159" t="s">
        <v>7723</v>
      </c>
      <c r="B150" s="112" t="s">
        <v>271</v>
      </c>
      <c r="C150" s="112">
        <v>1</v>
      </c>
      <c r="D150" s="112">
        <v>156</v>
      </c>
      <c r="E150" s="113">
        <v>5</v>
      </c>
      <c r="F150" s="113">
        <v>5</v>
      </c>
      <c r="M150" s="185">
        <v>8.11</v>
      </c>
      <c r="N150" s="157">
        <v>41837</v>
      </c>
      <c r="R150" s="185"/>
      <c r="S150" s="137">
        <v>21.93</v>
      </c>
      <c r="T150" s="157">
        <v>41837</v>
      </c>
      <c r="U150" s="142">
        <v>18</v>
      </c>
      <c r="Y150" s="142">
        <f t="shared" si="2"/>
        <v>17.36496</v>
      </c>
      <c r="Z150" s="157">
        <v>41837</v>
      </c>
      <c r="AE150" s="137">
        <v>44.64</v>
      </c>
      <c r="AF150" s="157">
        <v>41837</v>
      </c>
      <c r="AG150" s="185"/>
      <c r="AH150" s="157">
        <v>41837</v>
      </c>
      <c r="AM150" s="137">
        <v>87</v>
      </c>
      <c r="BM150" s="138">
        <v>61.17</v>
      </c>
      <c r="BN150" s="157">
        <v>41837</v>
      </c>
      <c r="BS150" s="138">
        <v>49.12</v>
      </c>
      <c r="BT150" s="157">
        <v>41837</v>
      </c>
      <c r="BU150" s="138">
        <v>38.9</v>
      </c>
      <c r="BV150" s="157">
        <v>41837</v>
      </c>
      <c r="BW150" s="138">
        <v>16</v>
      </c>
      <c r="BX150" s="157">
        <v>41837</v>
      </c>
      <c r="CC150" s="138">
        <v>9.1</v>
      </c>
      <c r="CD150" s="157">
        <v>41837</v>
      </c>
      <c r="CI150" s="138">
        <v>9</v>
      </c>
    </row>
    <row r="151" spans="1:91">
      <c r="A151" s="159" t="s">
        <v>7730</v>
      </c>
      <c r="B151" s="112" t="s">
        <v>271</v>
      </c>
      <c r="C151" s="112">
        <v>1</v>
      </c>
      <c r="D151" s="112">
        <v>91</v>
      </c>
      <c r="E151" s="113">
        <v>6</v>
      </c>
      <c r="F151" s="113">
        <v>5</v>
      </c>
      <c r="M151" s="185">
        <v>7.8</v>
      </c>
      <c r="N151" s="157">
        <v>41837</v>
      </c>
      <c r="R151" s="185"/>
      <c r="S151" s="137">
        <v>21.57</v>
      </c>
      <c r="T151" s="157">
        <v>41837</v>
      </c>
      <c r="U151" s="142">
        <v>18</v>
      </c>
      <c r="Y151" s="142">
        <f t="shared" si="2"/>
        <v>17.060129999999997</v>
      </c>
      <c r="Z151" s="157">
        <v>41837</v>
      </c>
      <c r="AE151" s="137">
        <v>43.41</v>
      </c>
      <c r="AF151" s="157">
        <v>41837</v>
      </c>
      <c r="AG151" s="185"/>
      <c r="AH151" s="157">
        <v>41837</v>
      </c>
      <c r="AM151" s="137">
        <v>90</v>
      </c>
      <c r="BM151" s="138">
        <v>60.83</v>
      </c>
      <c r="BN151" s="157">
        <v>41837</v>
      </c>
      <c r="BS151" s="138">
        <v>49.7</v>
      </c>
      <c r="BT151" s="157">
        <v>41837</v>
      </c>
      <c r="BU151" s="138">
        <v>39.299999999999997</v>
      </c>
      <c r="BV151" s="157">
        <v>41837</v>
      </c>
      <c r="BW151" s="138">
        <v>17.899999999999999</v>
      </c>
      <c r="BX151" s="157">
        <v>41837</v>
      </c>
      <c r="CC151" s="138">
        <v>8.1</v>
      </c>
      <c r="CD151" s="157">
        <v>41837</v>
      </c>
      <c r="CI151" s="138">
        <v>7</v>
      </c>
    </row>
    <row r="152" spans="1:91">
      <c r="A152" s="159" t="s">
        <v>7765</v>
      </c>
      <c r="B152" s="112" t="s">
        <v>271</v>
      </c>
      <c r="C152" s="112">
        <v>1</v>
      </c>
      <c r="D152" s="112">
        <v>12</v>
      </c>
      <c r="E152" s="113">
        <v>7</v>
      </c>
      <c r="F152" s="113">
        <v>5</v>
      </c>
      <c r="I152" s="200"/>
      <c r="K152" s="142"/>
      <c r="M152" s="185">
        <v>6.22</v>
      </c>
      <c r="N152" s="157">
        <v>41837</v>
      </c>
      <c r="Q152" s="142"/>
      <c r="R152" s="185"/>
      <c r="S152" s="142">
        <v>17.48</v>
      </c>
      <c r="T152" s="157">
        <v>41837</v>
      </c>
      <c r="U152" s="142">
        <v>18</v>
      </c>
      <c r="W152" s="142"/>
      <c r="Y152" s="142">
        <f t="shared" si="2"/>
        <v>13.970840000000003</v>
      </c>
      <c r="Z152" s="157">
        <v>41837</v>
      </c>
      <c r="AA152" s="142"/>
      <c r="AE152" s="142">
        <v>34.840000000000003</v>
      </c>
      <c r="AF152" s="157">
        <v>41837</v>
      </c>
      <c r="AG152" s="185"/>
      <c r="AH152" s="157">
        <v>41837</v>
      </c>
      <c r="AK152" s="142"/>
      <c r="AM152" s="142">
        <v>92</v>
      </c>
      <c r="BM152" s="138">
        <v>61.96</v>
      </c>
      <c r="BN152" s="157">
        <v>41837</v>
      </c>
      <c r="BS152" s="138">
        <v>50.16</v>
      </c>
      <c r="BT152" s="157">
        <v>41837</v>
      </c>
      <c r="BU152" s="138">
        <v>40.1</v>
      </c>
      <c r="BV152" s="157">
        <v>41837</v>
      </c>
      <c r="BW152" s="138">
        <v>16.8</v>
      </c>
      <c r="BX152" s="157">
        <v>41837</v>
      </c>
      <c r="CC152" s="138">
        <v>7.5</v>
      </c>
      <c r="CD152" s="157">
        <v>41837</v>
      </c>
      <c r="CI152" s="138">
        <v>9</v>
      </c>
    </row>
    <row r="153" spans="1:91">
      <c r="A153" s="159" t="s">
        <v>7619</v>
      </c>
      <c r="B153" s="112" t="s">
        <v>271</v>
      </c>
      <c r="C153" s="112">
        <v>1</v>
      </c>
      <c r="D153" s="112">
        <v>195</v>
      </c>
      <c r="E153" s="113">
        <v>8</v>
      </c>
      <c r="F153" s="113">
        <v>5</v>
      </c>
      <c r="M153" s="185">
        <v>4.1900000000000004</v>
      </c>
      <c r="N153" s="157">
        <v>41837</v>
      </c>
      <c r="R153" s="185"/>
      <c r="S153" s="137">
        <v>10.86</v>
      </c>
      <c r="T153" s="157">
        <v>41837</v>
      </c>
      <c r="U153" s="142">
        <v>18</v>
      </c>
      <c r="Y153" s="142">
        <f t="shared" si="2"/>
        <v>10.27089</v>
      </c>
      <c r="Z153" s="157">
        <v>41837</v>
      </c>
      <c r="AE153" s="137">
        <v>23.29</v>
      </c>
      <c r="AF153" s="157">
        <v>41837</v>
      </c>
      <c r="AG153" s="185"/>
      <c r="AH153" s="157">
        <v>41837</v>
      </c>
      <c r="AM153" s="137">
        <v>96</v>
      </c>
      <c r="BM153" s="138">
        <v>62.36</v>
      </c>
      <c r="BN153" s="157">
        <v>41837</v>
      </c>
      <c r="BS153" s="138">
        <v>46.61</v>
      </c>
      <c r="BT153" s="157">
        <v>41837</v>
      </c>
      <c r="BU153" s="138">
        <v>44.1</v>
      </c>
      <c r="BV153" s="157">
        <v>41837</v>
      </c>
      <c r="BW153" s="138">
        <v>56.1</v>
      </c>
      <c r="BX153" s="157">
        <v>41837</v>
      </c>
      <c r="CC153" s="138">
        <v>8.1999999999999993</v>
      </c>
      <c r="CD153" s="157">
        <v>41837</v>
      </c>
      <c r="CI153" s="138">
        <v>9</v>
      </c>
    </row>
    <row r="154" spans="1:91">
      <c r="A154" s="159" t="s">
        <v>7726</v>
      </c>
      <c r="B154" s="112" t="s">
        <v>271</v>
      </c>
      <c r="C154" s="112">
        <v>1</v>
      </c>
      <c r="D154" s="112">
        <v>59</v>
      </c>
      <c r="E154" s="113">
        <v>9</v>
      </c>
      <c r="F154" s="113">
        <v>5</v>
      </c>
      <c r="M154" s="185">
        <v>4.2300000000000004</v>
      </c>
      <c r="N154" s="157">
        <v>41837</v>
      </c>
      <c r="R154" s="185"/>
      <c r="S154" s="137">
        <v>11.58</v>
      </c>
      <c r="T154" s="157">
        <v>41837</v>
      </c>
      <c r="U154" s="142">
        <v>18</v>
      </c>
      <c r="Y154" s="142">
        <f t="shared" si="2"/>
        <v>8.8162500000000019</v>
      </c>
      <c r="Z154" s="157">
        <v>41837</v>
      </c>
      <c r="AE154" s="137">
        <v>23.51</v>
      </c>
      <c r="AF154" s="157">
        <v>41837</v>
      </c>
      <c r="AG154" s="185"/>
      <c r="AH154" s="157">
        <v>41837</v>
      </c>
      <c r="AM154" s="137">
        <v>90</v>
      </c>
      <c r="BM154" s="138">
        <v>59.55</v>
      </c>
      <c r="BN154" s="157">
        <v>41837</v>
      </c>
      <c r="BS154" s="138">
        <v>49.26</v>
      </c>
      <c r="BT154" s="157">
        <v>41837</v>
      </c>
      <c r="BU154" s="138">
        <v>37.5</v>
      </c>
      <c r="BV154" s="157">
        <v>41837</v>
      </c>
      <c r="BW154" s="138">
        <v>18.8</v>
      </c>
      <c r="BX154" s="157">
        <v>41837</v>
      </c>
      <c r="CC154" s="138">
        <v>8.1999999999999993</v>
      </c>
      <c r="CD154" s="157">
        <v>41837</v>
      </c>
      <c r="CI154" s="138">
        <v>3</v>
      </c>
    </row>
    <row r="155" spans="1:91">
      <c r="A155" s="159" t="s">
        <v>7650</v>
      </c>
      <c r="B155" s="112" t="s">
        <v>271</v>
      </c>
      <c r="C155" s="112">
        <v>1</v>
      </c>
      <c r="D155" s="112">
        <v>212</v>
      </c>
      <c r="E155" s="113">
        <v>10</v>
      </c>
      <c r="F155" s="113">
        <v>5</v>
      </c>
      <c r="M155" s="185">
        <v>5.0599999999999996</v>
      </c>
      <c r="N155" s="157">
        <v>41837</v>
      </c>
      <c r="R155" s="185"/>
      <c r="S155" s="137">
        <v>12.71</v>
      </c>
      <c r="T155" s="157">
        <v>41837</v>
      </c>
      <c r="U155" s="142">
        <v>18</v>
      </c>
      <c r="Y155" s="142">
        <f t="shared" si="2"/>
        <v>11.663720000000001</v>
      </c>
      <c r="Z155" s="157">
        <v>41837</v>
      </c>
      <c r="AE155" s="137">
        <v>28.31</v>
      </c>
      <c r="AF155" s="157">
        <v>41837</v>
      </c>
      <c r="AG155" s="185"/>
      <c r="AH155" s="157">
        <v>41837</v>
      </c>
      <c r="AM155" s="137">
        <v>87</v>
      </c>
      <c r="BM155" s="138">
        <v>57.76</v>
      </c>
      <c r="BN155" s="157">
        <v>41837</v>
      </c>
      <c r="BS155" s="138">
        <v>44.91</v>
      </c>
      <c r="BT155" s="157">
        <v>41837</v>
      </c>
      <c r="BU155" s="138">
        <v>41.2</v>
      </c>
      <c r="BV155" s="157">
        <v>41837</v>
      </c>
      <c r="BW155" s="138">
        <v>19.7</v>
      </c>
      <c r="BX155" s="157">
        <v>41837</v>
      </c>
      <c r="CC155" s="138">
        <v>7.6</v>
      </c>
      <c r="CD155" s="157">
        <v>41837</v>
      </c>
      <c r="CI155" s="138">
        <v>7</v>
      </c>
    </row>
    <row r="156" spans="1:91">
      <c r="A156" s="189" t="s">
        <v>7760</v>
      </c>
      <c r="B156" s="190" t="s">
        <v>271</v>
      </c>
      <c r="C156" s="190">
        <v>1</v>
      </c>
      <c r="D156" s="190">
        <v>128</v>
      </c>
      <c r="E156" s="191">
        <v>11</v>
      </c>
      <c r="F156" s="191">
        <v>5</v>
      </c>
      <c r="G156" s="191"/>
      <c r="H156" s="191"/>
      <c r="I156" s="190"/>
      <c r="J156" s="190"/>
      <c r="K156" s="195"/>
      <c r="L156" s="193"/>
      <c r="M156" s="194">
        <v>7.61</v>
      </c>
      <c r="N156" s="193">
        <v>41837</v>
      </c>
      <c r="P156" s="193"/>
      <c r="Q156" s="195"/>
      <c r="R156" s="194"/>
      <c r="S156" s="195">
        <v>20.99</v>
      </c>
      <c r="T156" s="193">
        <v>41837</v>
      </c>
      <c r="U156" s="192">
        <v>18</v>
      </c>
      <c r="V156" s="193"/>
      <c r="W156" s="195"/>
      <c r="X156" s="193"/>
      <c r="Y156" s="192">
        <f t="shared" si="2"/>
        <v>17.159739999999996</v>
      </c>
      <c r="Z156" s="193">
        <v>41837</v>
      </c>
      <c r="AA156" s="195"/>
      <c r="AB156" s="193"/>
      <c r="AC156" s="195"/>
      <c r="AD156" s="193"/>
      <c r="AE156" s="195">
        <v>42.58</v>
      </c>
      <c r="AF156" s="193">
        <v>41837</v>
      </c>
      <c r="AG156" s="194"/>
      <c r="AH156" s="193">
        <v>41837</v>
      </c>
      <c r="AI156" s="193"/>
      <c r="AJ156" s="193"/>
      <c r="AK156" s="195"/>
      <c r="AL156" s="193"/>
      <c r="AM156" s="195">
        <v>96</v>
      </c>
      <c r="AN156" s="193"/>
      <c r="AO156" s="195"/>
      <c r="AP156" s="195"/>
      <c r="AQ156" s="195"/>
      <c r="AR156" s="195"/>
      <c r="AS156" s="195"/>
      <c r="AT156" s="195"/>
      <c r="AU156" s="195"/>
      <c r="AV156" s="195"/>
      <c r="AW156" s="195"/>
      <c r="AX156" s="195"/>
      <c r="AY156" s="195"/>
      <c r="AZ156" s="195"/>
      <c r="BA156" s="195"/>
      <c r="BB156" s="195"/>
      <c r="BC156" s="195"/>
      <c r="BD156" s="195"/>
      <c r="BE156" s="196"/>
      <c r="BF156" s="196"/>
      <c r="BG156" s="196"/>
      <c r="BH156" s="196"/>
      <c r="BI156" s="196"/>
      <c r="BJ156" s="196"/>
      <c r="BK156" s="196"/>
      <c r="BL156" s="196"/>
      <c r="BM156" s="196">
        <v>61.05</v>
      </c>
      <c r="BN156" s="193">
        <v>41837</v>
      </c>
      <c r="BO156" s="196"/>
      <c r="BP156" s="196"/>
      <c r="BQ156" s="196"/>
      <c r="BR156" s="196"/>
      <c r="BS156" s="196">
        <v>49.29</v>
      </c>
      <c r="BT156" s="193">
        <v>41837</v>
      </c>
      <c r="BU156" s="196">
        <v>40.299999999999997</v>
      </c>
      <c r="BV156" s="193">
        <v>41837</v>
      </c>
      <c r="BW156" s="196">
        <v>13.1</v>
      </c>
      <c r="BX156" s="193">
        <v>41837</v>
      </c>
      <c r="BY156" s="196"/>
      <c r="BZ156" s="196"/>
      <c r="CA156" s="196"/>
      <c r="CB156" s="196"/>
      <c r="CC156" s="196">
        <v>7.6</v>
      </c>
      <c r="CD156" s="193">
        <v>41837</v>
      </c>
      <c r="CE156" s="196"/>
      <c r="CF156" s="196"/>
      <c r="CG156" s="196"/>
      <c r="CH156" s="196"/>
      <c r="CI156" s="196">
        <v>9</v>
      </c>
      <c r="CJ156" s="196"/>
      <c r="CK156" s="196"/>
      <c r="CL156" s="196"/>
      <c r="CM156" s="196"/>
    </row>
    <row r="157" spans="1:91">
      <c r="A157" s="159" t="s">
        <v>7662</v>
      </c>
      <c r="B157" s="112" t="s">
        <v>271</v>
      </c>
      <c r="C157" s="112">
        <v>1</v>
      </c>
      <c r="D157" s="112">
        <v>162</v>
      </c>
      <c r="E157" s="113">
        <v>12</v>
      </c>
      <c r="F157" s="113">
        <v>5</v>
      </c>
      <c r="M157" s="185">
        <v>7.66</v>
      </c>
      <c r="N157" s="157">
        <v>41837</v>
      </c>
      <c r="R157" s="185"/>
      <c r="S157" s="137">
        <v>21.83</v>
      </c>
      <c r="T157" s="157">
        <v>41837</v>
      </c>
      <c r="U157" s="142">
        <v>18</v>
      </c>
      <c r="Y157" s="142">
        <f t="shared" si="2"/>
        <v>17.664010000000001</v>
      </c>
      <c r="Z157" s="157">
        <v>41837</v>
      </c>
      <c r="AE157" s="137">
        <v>42.77</v>
      </c>
      <c r="AF157" s="157">
        <v>41837</v>
      </c>
      <c r="AG157" s="185"/>
      <c r="AH157" s="157">
        <v>41837</v>
      </c>
      <c r="AM157" s="137">
        <v>90</v>
      </c>
      <c r="BM157" s="138">
        <v>62.89</v>
      </c>
      <c r="BN157" s="157">
        <v>41837</v>
      </c>
      <c r="BS157" s="138">
        <v>51.04</v>
      </c>
      <c r="BT157" s="157">
        <v>41837</v>
      </c>
      <c r="BU157" s="138">
        <v>41.3</v>
      </c>
      <c r="BV157" s="157">
        <v>41837</v>
      </c>
      <c r="BW157" s="138">
        <v>13.1</v>
      </c>
      <c r="BX157" s="157">
        <v>41837</v>
      </c>
      <c r="CC157" s="138">
        <v>7.8</v>
      </c>
      <c r="CD157" s="157">
        <v>41837</v>
      </c>
      <c r="CI157" s="138">
        <v>5</v>
      </c>
    </row>
    <row r="158" spans="1:91">
      <c r="A158" s="159" t="s">
        <v>7806</v>
      </c>
      <c r="B158" s="112" t="s">
        <v>271</v>
      </c>
      <c r="C158" s="112">
        <v>1</v>
      </c>
      <c r="D158" s="112">
        <v>38</v>
      </c>
      <c r="E158" s="113">
        <v>13</v>
      </c>
      <c r="F158" s="113">
        <v>5</v>
      </c>
      <c r="M158" s="185">
        <v>7.99</v>
      </c>
      <c r="N158" s="157">
        <v>41837</v>
      </c>
      <c r="R158" s="185"/>
      <c r="S158" s="137">
        <v>22.7</v>
      </c>
      <c r="T158" s="157">
        <v>41837</v>
      </c>
      <c r="U158" s="142">
        <v>18</v>
      </c>
      <c r="Y158" s="142">
        <f t="shared" si="2"/>
        <v>17.324999999999999</v>
      </c>
      <c r="Z158" s="157">
        <v>41837</v>
      </c>
      <c r="AE158" s="137">
        <v>45</v>
      </c>
      <c r="AF158" s="157">
        <v>41837</v>
      </c>
      <c r="AG158" s="185"/>
      <c r="AH158" s="157">
        <v>41837</v>
      </c>
      <c r="AM158" s="137">
        <v>90</v>
      </c>
      <c r="BM158" s="138">
        <v>60.99</v>
      </c>
      <c r="BN158" s="157">
        <v>41837</v>
      </c>
      <c r="BS158" s="138">
        <v>50.44</v>
      </c>
      <c r="BT158" s="157">
        <v>41837</v>
      </c>
      <c r="BU158" s="138">
        <v>38.5</v>
      </c>
      <c r="BV158" s="157">
        <v>41837</v>
      </c>
      <c r="BW158" s="138">
        <v>15.7</v>
      </c>
      <c r="BX158" s="157">
        <v>41837</v>
      </c>
      <c r="CC158" s="138">
        <v>7</v>
      </c>
      <c r="CD158" s="157">
        <v>41837</v>
      </c>
      <c r="CI158" s="138">
        <v>7</v>
      </c>
    </row>
    <row r="159" spans="1:91">
      <c r="A159" s="159" t="s">
        <v>7732</v>
      </c>
      <c r="B159" s="112" t="s">
        <v>271</v>
      </c>
      <c r="C159" s="112">
        <v>1</v>
      </c>
      <c r="D159" s="112">
        <v>77</v>
      </c>
      <c r="E159" s="113">
        <v>14</v>
      </c>
      <c r="F159" s="113">
        <v>5</v>
      </c>
      <c r="M159" s="185">
        <v>6.89</v>
      </c>
      <c r="N159" s="157">
        <v>41837</v>
      </c>
      <c r="R159" s="185"/>
      <c r="S159" s="137">
        <v>19.07</v>
      </c>
      <c r="T159" s="157">
        <v>41837</v>
      </c>
      <c r="U159" s="142">
        <v>18</v>
      </c>
      <c r="Y159" s="142">
        <f t="shared" si="2"/>
        <v>15.807880000000003</v>
      </c>
      <c r="Z159" s="157">
        <v>41837</v>
      </c>
      <c r="AE159" s="137">
        <v>38.840000000000003</v>
      </c>
      <c r="AF159" s="157">
        <v>41837</v>
      </c>
      <c r="AG159" s="185"/>
      <c r="AH159" s="157">
        <v>41837</v>
      </c>
      <c r="AM159" s="137">
        <v>85</v>
      </c>
      <c r="BM159" s="138">
        <v>61.36</v>
      </c>
      <c r="BN159" s="157">
        <v>41837</v>
      </c>
      <c r="BS159" s="138">
        <v>49.11</v>
      </c>
      <c r="BT159" s="157">
        <v>41837</v>
      </c>
      <c r="BU159" s="138">
        <v>40.700000000000003</v>
      </c>
      <c r="BV159" s="157">
        <v>41837</v>
      </c>
      <c r="BW159" s="138">
        <v>15.9</v>
      </c>
      <c r="BX159" s="157">
        <v>41837</v>
      </c>
      <c r="CC159" s="138">
        <v>6.9</v>
      </c>
      <c r="CD159" s="157">
        <v>41837</v>
      </c>
      <c r="CI159" s="138">
        <v>7</v>
      </c>
    </row>
    <row r="160" spans="1:91">
      <c r="A160" s="159" t="s">
        <v>7808</v>
      </c>
      <c r="B160" s="112" t="s">
        <v>271</v>
      </c>
      <c r="C160" s="112">
        <v>1</v>
      </c>
      <c r="D160" s="112">
        <v>187</v>
      </c>
      <c r="E160" s="113">
        <v>15</v>
      </c>
      <c r="F160" s="113">
        <v>5</v>
      </c>
      <c r="M160" s="185">
        <v>7.06</v>
      </c>
      <c r="N160" s="157">
        <v>41837</v>
      </c>
      <c r="R160" s="185"/>
      <c r="S160" s="137">
        <v>19.13</v>
      </c>
      <c r="T160" s="157">
        <v>41837</v>
      </c>
      <c r="U160" s="142">
        <v>18</v>
      </c>
      <c r="Y160" s="142">
        <f t="shared" si="2"/>
        <v>15.387119999999999</v>
      </c>
      <c r="Z160" s="157">
        <v>41837</v>
      </c>
      <c r="AE160" s="137">
        <v>39.76</v>
      </c>
      <c r="AF160" s="157">
        <v>41837</v>
      </c>
      <c r="AG160" s="185"/>
      <c r="AH160" s="157">
        <v>41837</v>
      </c>
      <c r="AM160" s="137">
        <v>96</v>
      </c>
      <c r="BM160" s="138">
        <v>62.97</v>
      </c>
      <c r="BN160" s="157">
        <v>41837</v>
      </c>
      <c r="BS160" s="138">
        <v>48.11</v>
      </c>
      <c r="BT160" s="157">
        <v>41837</v>
      </c>
      <c r="BU160" s="138">
        <v>38.700000000000003</v>
      </c>
      <c r="BV160" s="157">
        <v>41837</v>
      </c>
      <c r="BW160" s="138">
        <v>18.8</v>
      </c>
      <c r="BX160" s="157">
        <v>41837</v>
      </c>
      <c r="CC160" s="138">
        <v>7</v>
      </c>
      <c r="CD160" s="157">
        <v>41837</v>
      </c>
      <c r="CI160" s="138">
        <v>5</v>
      </c>
    </row>
    <row r="161" spans="1:91">
      <c r="A161" s="159" t="s">
        <v>7797</v>
      </c>
      <c r="B161" s="112" t="s">
        <v>271</v>
      </c>
      <c r="C161" s="112">
        <v>1</v>
      </c>
      <c r="D161" s="112">
        <v>47</v>
      </c>
      <c r="E161" s="113">
        <v>16</v>
      </c>
      <c r="F161" s="113">
        <v>5</v>
      </c>
      <c r="M161" s="185">
        <v>8.73</v>
      </c>
      <c r="N161" s="157">
        <v>41837</v>
      </c>
      <c r="R161" s="185"/>
      <c r="S161" s="137">
        <v>24.66</v>
      </c>
      <c r="T161" s="157">
        <v>41837</v>
      </c>
      <c r="U161" s="142">
        <v>18</v>
      </c>
      <c r="Y161" s="142">
        <f t="shared" si="2"/>
        <v>18.631639999999997</v>
      </c>
      <c r="Z161" s="157">
        <v>41837</v>
      </c>
      <c r="AE161" s="137">
        <v>49.16</v>
      </c>
      <c r="AF161" s="157">
        <v>41837</v>
      </c>
      <c r="AG161" s="185"/>
      <c r="AH161" s="157">
        <v>41837</v>
      </c>
      <c r="AM161" s="137">
        <v>85</v>
      </c>
      <c r="BM161" s="138">
        <v>61.37</v>
      </c>
      <c r="BN161" s="157">
        <v>41837</v>
      </c>
      <c r="BS161" s="138">
        <v>50.16</v>
      </c>
      <c r="BT161" s="157">
        <v>41837</v>
      </c>
      <c r="BU161" s="138">
        <v>37.9</v>
      </c>
      <c r="BV161" s="157">
        <v>41837</v>
      </c>
      <c r="BW161" s="138">
        <v>15.3</v>
      </c>
      <c r="BX161" s="157">
        <v>41837</v>
      </c>
      <c r="CC161" s="138">
        <v>7</v>
      </c>
      <c r="CD161" s="157">
        <v>41837</v>
      </c>
      <c r="CI161" s="138">
        <v>7</v>
      </c>
    </row>
    <row r="162" spans="1:91">
      <c r="A162" s="159" t="s">
        <v>7718</v>
      </c>
      <c r="B162" s="112" t="s">
        <v>271</v>
      </c>
      <c r="C162" s="112">
        <v>1</v>
      </c>
      <c r="D162" s="112">
        <v>29</v>
      </c>
      <c r="E162" s="113">
        <v>17</v>
      </c>
      <c r="F162" s="113">
        <v>5</v>
      </c>
      <c r="M162" s="185">
        <v>7.3</v>
      </c>
      <c r="N162" s="157">
        <v>41837</v>
      </c>
      <c r="R162" s="185"/>
      <c r="S162" s="137">
        <v>20.83</v>
      </c>
      <c r="T162" s="157">
        <v>41837</v>
      </c>
      <c r="U162" s="142">
        <v>18</v>
      </c>
      <c r="Y162" s="142">
        <f t="shared" si="2"/>
        <v>16.345859999999998</v>
      </c>
      <c r="Z162" s="157">
        <v>41837</v>
      </c>
      <c r="AE162" s="137">
        <v>41.07</v>
      </c>
      <c r="AF162" s="157">
        <v>41837</v>
      </c>
      <c r="AG162" s="185"/>
      <c r="AH162" s="157">
        <v>41837</v>
      </c>
      <c r="AM162" s="137">
        <v>87</v>
      </c>
      <c r="BM162" s="138">
        <v>59.77</v>
      </c>
      <c r="BN162" s="157">
        <v>41837</v>
      </c>
      <c r="BS162" s="138">
        <v>50.71</v>
      </c>
      <c r="BT162" s="157">
        <v>41837</v>
      </c>
      <c r="BU162" s="138">
        <v>39.799999999999997</v>
      </c>
      <c r="BV162" s="157">
        <v>41837</v>
      </c>
      <c r="BW162" s="138">
        <v>14.1</v>
      </c>
      <c r="BX162" s="157">
        <v>41837</v>
      </c>
      <c r="CC162" s="138">
        <v>7.1</v>
      </c>
      <c r="CD162" s="157">
        <v>41837</v>
      </c>
      <c r="CI162" s="138">
        <v>7</v>
      </c>
    </row>
    <row r="163" spans="1:91">
      <c r="A163" s="159" t="s">
        <v>7643</v>
      </c>
      <c r="B163" s="112" t="s">
        <v>271</v>
      </c>
      <c r="C163" s="112">
        <v>1</v>
      </c>
      <c r="D163" s="112">
        <v>8</v>
      </c>
      <c r="E163" s="113">
        <v>18</v>
      </c>
      <c r="F163" s="113">
        <v>5</v>
      </c>
      <c r="I163" s="200"/>
      <c r="K163" s="142"/>
      <c r="M163" s="185">
        <v>6.1</v>
      </c>
      <c r="N163" s="157">
        <v>41837</v>
      </c>
      <c r="Q163" s="142"/>
      <c r="R163" s="185"/>
      <c r="S163" s="142">
        <v>15.87</v>
      </c>
      <c r="T163" s="157">
        <v>41837</v>
      </c>
      <c r="U163" s="142">
        <v>18</v>
      </c>
      <c r="W163" s="142"/>
      <c r="Y163" s="142">
        <f t="shared" si="2"/>
        <v>13.859169999999999</v>
      </c>
      <c r="Z163" s="157">
        <v>41837</v>
      </c>
      <c r="AA163" s="142"/>
      <c r="AE163" s="142">
        <v>34.39</v>
      </c>
      <c r="AF163" s="157">
        <v>41837</v>
      </c>
      <c r="AG163" s="185"/>
      <c r="AH163" s="157">
        <v>41837</v>
      </c>
      <c r="AK163" s="142"/>
      <c r="AM163" s="142">
        <v>96</v>
      </c>
      <c r="BM163" s="138">
        <v>58.71</v>
      </c>
      <c r="BN163" s="157">
        <v>41837</v>
      </c>
      <c r="BS163" s="138">
        <v>46.15</v>
      </c>
      <c r="BT163" s="157">
        <v>41837</v>
      </c>
      <c r="BU163" s="138">
        <v>40.299999999999997</v>
      </c>
      <c r="BV163" s="157">
        <v>41837</v>
      </c>
      <c r="BW163" s="138">
        <v>60.7</v>
      </c>
      <c r="BX163" s="157">
        <v>41837</v>
      </c>
      <c r="CC163" s="138">
        <v>6.9</v>
      </c>
      <c r="CD163" s="157">
        <v>41837</v>
      </c>
      <c r="CI163" s="138">
        <v>9</v>
      </c>
    </row>
    <row r="164" spans="1:91">
      <c r="A164" s="159" t="s">
        <v>7703</v>
      </c>
      <c r="B164" s="112" t="s">
        <v>271</v>
      </c>
      <c r="C164" s="112">
        <v>1</v>
      </c>
      <c r="D164" s="112">
        <v>125</v>
      </c>
      <c r="E164" s="113">
        <v>19</v>
      </c>
      <c r="F164" s="113">
        <v>5</v>
      </c>
      <c r="M164" s="185">
        <v>5.61</v>
      </c>
      <c r="N164" s="157">
        <v>41837</v>
      </c>
      <c r="R164" s="185"/>
      <c r="S164" s="137">
        <v>15.24</v>
      </c>
      <c r="T164" s="157">
        <v>41837</v>
      </c>
      <c r="U164" s="142">
        <v>18</v>
      </c>
      <c r="Y164" s="142">
        <f t="shared" si="2"/>
        <v>12.59681</v>
      </c>
      <c r="Z164" s="157">
        <v>41837</v>
      </c>
      <c r="AE164" s="137">
        <v>31.73</v>
      </c>
      <c r="AF164" s="157">
        <v>41837</v>
      </c>
      <c r="AG164" s="185"/>
      <c r="AH164" s="157">
        <v>41837</v>
      </c>
      <c r="AM164" s="137">
        <v>94</v>
      </c>
      <c r="BM164" s="138">
        <v>59.31</v>
      </c>
      <c r="BN164" s="157">
        <v>41837</v>
      </c>
      <c r="BS164" s="138">
        <v>48.03</v>
      </c>
      <c r="BT164" s="157">
        <v>41837</v>
      </c>
      <c r="BU164" s="138">
        <v>39.700000000000003</v>
      </c>
      <c r="BV164" s="157">
        <v>41837</v>
      </c>
      <c r="BW164" s="138">
        <v>18.8</v>
      </c>
      <c r="BX164" s="157">
        <v>41837</v>
      </c>
      <c r="CC164" s="138">
        <v>6.6</v>
      </c>
      <c r="CD164" s="157">
        <v>41837</v>
      </c>
      <c r="CI164" s="138">
        <v>7</v>
      </c>
    </row>
    <row r="165" spans="1:91">
      <c r="A165" s="159" t="s">
        <v>7686</v>
      </c>
      <c r="B165" s="112" t="s">
        <v>271</v>
      </c>
      <c r="C165" s="112">
        <v>1</v>
      </c>
      <c r="D165" s="112">
        <v>108</v>
      </c>
      <c r="E165" s="113">
        <v>20</v>
      </c>
      <c r="F165" s="113">
        <v>5</v>
      </c>
      <c r="M165" s="185">
        <v>5.5</v>
      </c>
      <c r="N165" s="157">
        <v>41837</v>
      </c>
      <c r="R165" s="185"/>
      <c r="S165" s="137">
        <v>15.16</v>
      </c>
      <c r="T165" s="157">
        <v>41837</v>
      </c>
      <c r="U165" s="142">
        <v>18</v>
      </c>
      <c r="Y165" s="142">
        <f t="shared" si="2"/>
        <v>12.497030000000001</v>
      </c>
      <c r="Z165" s="157">
        <v>41837</v>
      </c>
      <c r="AE165" s="137">
        <v>31.01</v>
      </c>
      <c r="AF165" s="157">
        <v>41837</v>
      </c>
      <c r="AG165" s="185"/>
      <c r="AH165" s="157">
        <v>41837</v>
      </c>
      <c r="AM165" s="137">
        <v>96</v>
      </c>
      <c r="BM165" s="138">
        <v>60.26</v>
      </c>
      <c r="BN165" s="157">
        <v>41837</v>
      </c>
      <c r="BS165" s="138">
        <v>48.89</v>
      </c>
      <c r="BT165" s="157">
        <v>41837</v>
      </c>
      <c r="BU165" s="138">
        <v>40.299999999999997</v>
      </c>
      <c r="BV165" s="157">
        <v>41837</v>
      </c>
      <c r="BW165" s="138">
        <v>27</v>
      </c>
      <c r="BX165" s="157">
        <v>41837</v>
      </c>
      <c r="CC165" s="138">
        <v>6.9</v>
      </c>
      <c r="CD165" s="157">
        <v>41837</v>
      </c>
      <c r="CI165" s="138">
        <v>9</v>
      </c>
    </row>
    <row r="166" spans="1:91" s="196" customFormat="1">
      <c r="A166" s="159" t="s">
        <v>7649</v>
      </c>
      <c r="B166" s="112" t="s">
        <v>271</v>
      </c>
      <c r="C166" s="112">
        <v>1</v>
      </c>
      <c r="D166" s="112">
        <v>87</v>
      </c>
      <c r="E166" s="113">
        <v>21</v>
      </c>
      <c r="F166" s="113">
        <v>5</v>
      </c>
      <c r="G166" s="113"/>
      <c r="H166" s="113"/>
      <c r="I166" s="112"/>
      <c r="J166" s="112"/>
      <c r="K166" s="137"/>
      <c r="L166" s="157"/>
      <c r="M166" s="185">
        <v>5.0599999999999996</v>
      </c>
      <c r="N166" s="157">
        <v>41837</v>
      </c>
      <c r="O166" s="137"/>
      <c r="P166" s="157"/>
      <c r="Q166" s="137"/>
      <c r="R166" s="185"/>
      <c r="S166" s="137">
        <v>13.23</v>
      </c>
      <c r="T166" s="157">
        <v>41837</v>
      </c>
      <c r="U166" s="142">
        <v>18</v>
      </c>
      <c r="V166" s="157"/>
      <c r="W166" s="137"/>
      <c r="X166" s="157"/>
      <c r="Y166" s="142">
        <f t="shared" si="2"/>
        <v>10.97856</v>
      </c>
      <c r="Z166" s="157">
        <v>41837</v>
      </c>
      <c r="AA166" s="137"/>
      <c r="AB166" s="157"/>
      <c r="AC166" s="137"/>
      <c r="AD166" s="157"/>
      <c r="AE166" s="137">
        <v>28.59</v>
      </c>
      <c r="AF166" s="157">
        <v>41837</v>
      </c>
      <c r="AG166" s="185"/>
      <c r="AH166" s="157">
        <v>41837</v>
      </c>
      <c r="AI166" s="157"/>
      <c r="AJ166" s="157"/>
      <c r="AK166" s="137"/>
      <c r="AL166" s="157"/>
      <c r="AM166" s="137">
        <v>92</v>
      </c>
      <c r="AN166" s="157"/>
      <c r="AO166" s="137"/>
      <c r="AP166" s="137"/>
      <c r="AQ166" s="137"/>
      <c r="AR166" s="137"/>
      <c r="AS166" s="137"/>
      <c r="AT166" s="137"/>
      <c r="AU166" s="137"/>
      <c r="AV166" s="137"/>
      <c r="AW166" s="137"/>
      <c r="AX166" s="137"/>
      <c r="AY166" s="137"/>
      <c r="AZ166" s="137"/>
      <c r="BA166" s="137"/>
      <c r="BB166" s="137"/>
      <c r="BC166" s="137"/>
      <c r="BD166" s="137"/>
      <c r="BE166" s="138"/>
      <c r="BF166" s="138"/>
      <c r="BG166" s="138"/>
      <c r="BH166" s="138"/>
      <c r="BI166" s="138"/>
      <c r="BJ166" s="138"/>
      <c r="BK166" s="138"/>
      <c r="BL166" s="138"/>
      <c r="BM166" s="138">
        <v>59.12</v>
      </c>
      <c r="BN166" s="157">
        <v>41837</v>
      </c>
      <c r="BO166" s="138"/>
      <c r="BP166" s="138"/>
      <c r="BQ166" s="138"/>
      <c r="BR166" s="138"/>
      <c r="BS166" s="138">
        <v>46.27</v>
      </c>
      <c r="BT166" s="157">
        <v>41837</v>
      </c>
      <c r="BU166" s="138">
        <v>38.4</v>
      </c>
      <c r="BV166" s="157">
        <v>41837</v>
      </c>
      <c r="BW166" s="138">
        <v>57.2</v>
      </c>
      <c r="BX166" s="157">
        <v>41837</v>
      </c>
      <c r="BY166" s="138"/>
      <c r="BZ166" s="138"/>
      <c r="CA166" s="138"/>
      <c r="CB166" s="138"/>
      <c r="CC166" s="138">
        <v>6.7</v>
      </c>
      <c r="CD166" s="157">
        <v>41837</v>
      </c>
      <c r="CE166" s="138"/>
      <c r="CF166" s="138"/>
      <c r="CG166" s="138"/>
      <c r="CH166" s="138"/>
      <c r="CI166" s="138">
        <v>5</v>
      </c>
      <c r="CJ166" s="138"/>
      <c r="CK166" s="138"/>
      <c r="CL166" s="138"/>
      <c r="CM166" s="138"/>
    </row>
    <row r="167" spans="1:91" s="196" customFormat="1">
      <c r="A167" s="159" t="s">
        <v>7750</v>
      </c>
      <c r="B167" s="112" t="s">
        <v>271</v>
      </c>
      <c r="C167" s="112">
        <v>1</v>
      </c>
      <c r="D167" s="112">
        <v>146</v>
      </c>
      <c r="E167" s="113">
        <v>22</v>
      </c>
      <c r="F167" s="113">
        <v>5</v>
      </c>
      <c r="G167" s="113"/>
      <c r="H167" s="113"/>
      <c r="I167" s="112"/>
      <c r="J167" s="112"/>
      <c r="K167" s="137"/>
      <c r="L167" s="157"/>
      <c r="M167" s="185">
        <v>3.04</v>
      </c>
      <c r="N167" s="157">
        <v>41837</v>
      </c>
      <c r="O167" s="137"/>
      <c r="P167" s="157"/>
      <c r="Q167" s="137"/>
      <c r="R167" s="185"/>
      <c r="S167" s="137">
        <v>8.3699999999999992</v>
      </c>
      <c r="T167" s="157">
        <v>41837</v>
      </c>
      <c r="U167" s="142">
        <v>18</v>
      </c>
      <c r="V167" s="157"/>
      <c r="W167" s="137"/>
      <c r="X167" s="157"/>
      <c r="Y167" s="142">
        <f t="shared" si="2"/>
        <v>6.8482500000000002</v>
      </c>
      <c r="Z167" s="157">
        <v>41837</v>
      </c>
      <c r="AA167" s="137"/>
      <c r="AB167" s="157"/>
      <c r="AC167" s="137"/>
      <c r="AD167" s="157"/>
      <c r="AE167" s="137">
        <v>17.25</v>
      </c>
      <c r="AF167" s="157">
        <v>41837</v>
      </c>
      <c r="AG167" s="185"/>
      <c r="AH167" s="157">
        <v>41837</v>
      </c>
      <c r="AI167" s="157"/>
      <c r="AJ167" s="157"/>
      <c r="AK167" s="137"/>
      <c r="AL167" s="157"/>
      <c r="AM167" s="137">
        <v>90</v>
      </c>
      <c r="AN167" s="157"/>
      <c r="AO167" s="137"/>
      <c r="AP167" s="137"/>
      <c r="AQ167" s="137"/>
      <c r="AR167" s="137"/>
      <c r="AS167" s="137"/>
      <c r="AT167" s="137"/>
      <c r="AU167" s="137"/>
      <c r="AV167" s="137"/>
      <c r="AW167" s="137"/>
      <c r="AX167" s="137"/>
      <c r="AY167" s="137"/>
      <c r="AZ167" s="137"/>
      <c r="BA167" s="137"/>
      <c r="BB167" s="137"/>
      <c r="BC167" s="137"/>
      <c r="BD167" s="137"/>
      <c r="BE167" s="138"/>
      <c r="BF167" s="138"/>
      <c r="BG167" s="138"/>
      <c r="BH167" s="138"/>
      <c r="BI167" s="138"/>
      <c r="BJ167" s="138"/>
      <c r="BK167" s="138"/>
      <c r="BL167" s="138"/>
      <c r="BM167" s="138">
        <v>60.8</v>
      </c>
      <c r="BN167" s="157">
        <v>41837</v>
      </c>
      <c r="BO167" s="138"/>
      <c r="BP167" s="138"/>
      <c r="BQ167" s="138"/>
      <c r="BR167" s="138"/>
      <c r="BS167" s="138">
        <v>48.53</v>
      </c>
      <c r="BT167" s="157">
        <v>41837</v>
      </c>
      <c r="BU167" s="138">
        <v>39.700000000000003</v>
      </c>
      <c r="BV167" s="157">
        <v>41837</v>
      </c>
      <c r="BW167" s="138">
        <v>56.5</v>
      </c>
      <c r="BX167" s="157">
        <v>41837</v>
      </c>
      <c r="BY167" s="138"/>
      <c r="BZ167" s="138"/>
      <c r="CA167" s="138"/>
      <c r="CB167" s="138"/>
      <c r="CC167" s="138">
        <v>6.3</v>
      </c>
      <c r="CD167" s="157">
        <v>41837</v>
      </c>
      <c r="CE167" s="138"/>
      <c r="CF167" s="138"/>
      <c r="CG167" s="138"/>
      <c r="CH167" s="138"/>
      <c r="CI167" s="138">
        <v>7</v>
      </c>
      <c r="CJ167" s="138"/>
      <c r="CK167" s="138"/>
      <c r="CL167" s="138"/>
      <c r="CM167" s="138"/>
    </row>
    <row r="168" spans="1:91" s="196" customFormat="1">
      <c r="A168" s="159" t="s">
        <v>7801</v>
      </c>
      <c r="B168" s="112" t="s">
        <v>271</v>
      </c>
      <c r="C168" s="112">
        <v>1</v>
      </c>
      <c r="D168" s="112">
        <v>212</v>
      </c>
      <c r="E168" s="113">
        <v>23</v>
      </c>
      <c r="F168" s="113">
        <v>5</v>
      </c>
      <c r="G168" s="113"/>
      <c r="H168" s="113"/>
      <c r="I168" s="112"/>
      <c r="J168" s="112"/>
      <c r="K168" s="137"/>
      <c r="L168" s="157"/>
      <c r="M168" s="185">
        <v>6.59</v>
      </c>
      <c r="N168" s="157">
        <v>41837</v>
      </c>
      <c r="O168" s="137"/>
      <c r="P168" s="157"/>
      <c r="Q168" s="137"/>
      <c r="R168" s="185"/>
      <c r="S168" s="137">
        <v>18.02</v>
      </c>
      <c r="T168" s="157">
        <v>41837</v>
      </c>
      <c r="U168" s="142">
        <v>18</v>
      </c>
      <c r="V168" s="157"/>
      <c r="W168" s="137"/>
      <c r="X168" s="157"/>
      <c r="Y168" s="142">
        <f t="shared" si="2"/>
        <v>13.924019999999999</v>
      </c>
      <c r="Z168" s="157">
        <v>41837</v>
      </c>
      <c r="AA168" s="137"/>
      <c r="AB168" s="157"/>
      <c r="AC168" s="137"/>
      <c r="AD168" s="157"/>
      <c r="AE168" s="137">
        <v>37.229999999999997</v>
      </c>
      <c r="AF168" s="157">
        <v>41837</v>
      </c>
      <c r="AG168" s="185"/>
      <c r="AH168" s="157">
        <v>41837</v>
      </c>
      <c r="AI168" s="157"/>
      <c r="AJ168" s="157"/>
      <c r="AK168" s="137"/>
      <c r="AL168" s="157"/>
      <c r="AM168" s="137">
        <v>94</v>
      </c>
      <c r="AN168" s="157"/>
      <c r="AO168" s="137"/>
      <c r="AP168" s="137"/>
      <c r="AQ168" s="137"/>
      <c r="AR168" s="137"/>
      <c r="AS168" s="137"/>
      <c r="AT168" s="137"/>
      <c r="AU168" s="137"/>
      <c r="AV168" s="137"/>
      <c r="AW168" s="137"/>
      <c r="AX168" s="137"/>
      <c r="AY168" s="137"/>
      <c r="AZ168" s="137"/>
      <c r="BA168" s="137"/>
      <c r="BB168" s="137"/>
      <c r="BC168" s="137"/>
      <c r="BD168" s="137"/>
      <c r="BE168" s="138"/>
      <c r="BF168" s="138"/>
      <c r="BG168" s="138"/>
      <c r="BH168" s="138"/>
      <c r="BI168" s="138"/>
      <c r="BJ168" s="138"/>
      <c r="BK168" s="138"/>
      <c r="BL168" s="138"/>
      <c r="BM168" s="138">
        <v>60.83</v>
      </c>
      <c r="BN168" s="157">
        <v>41837</v>
      </c>
      <c r="BO168" s="138"/>
      <c r="BP168" s="138"/>
      <c r="BQ168" s="138"/>
      <c r="BR168" s="138"/>
      <c r="BS168" s="138">
        <v>48.41</v>
      </c>
      <c r="BT168" s="157">
        <v>41837</v>
      </c>
      <c r="BU168" s="138">
        <v>37.4</v>
      </c>
      <c r="BV168" s="157">
        <v>41837</v>
      </c>
      <c r="BW168" s="138">
        <v>13.9</v>
      </c>
      <c r="BX168" s="157">
        <v>41837</v>
      </c>
      <c r="BY168" s="138"/>
      <c r="BZ168" s="138"/>
      <c r="CA168" s="138"/>
      <c r="CB168" s="138"/>
      <c r="CC168" s="138">
        <v>6.7</v>
      </c>
      <c r="CD168" s="157">
        <v>41837</v>
      </c>
      <c r="CE168" s="138"/>
      <c r="CF168" s="138"/>
      <c r="CG168" s="138"/>
      <c r="CH168" s="138"/>
      <c r="CI168" s="138">
        <v>9</v>
      </c>
      <c r="CJ168" s="138"/>
      <c r="CK168" s="138"/>
      <c r="CL168" s="138"/>
      <c r="CM168" s="138"/>
    </row>
    <row r="169" spans="1:91" s="196" customFormat="1">
      <c r="A169" s="159" t="s">
        <v>7651</v>
      </c>
      <c r="B169" s="112" t="s">
        <v>271</v>
      </c>
      <c r="C169" s="112">
        <v>1</v>
      </c>
      <c r="D169" s="112">
        <v>201</v>
      </c>
      <c r="E169" s="113">
        <v>24</v>
      </c>
      <c r="F169" s="113">
        <v>5</v>
      </c>
      <c r="G169" s="113"/>
      <c r="H169" s="113"/>
      <c r="I169" s="112"/>
      <c r="J169" s="112"/>
      <c r="K169" s="137"/>
      <c r="L169" s="157"/>
      <c r="M169" s="185">
        <v>2.39</v>
      </c>
      <c r="N169" s="157">
        <v>41837</v>
      </c>
      <c r="O169" s="137"/>
      <c r="P169" s="157"/>
      <c r="Q169" s="137"/>
      <c r="R169" s="185"/>
      <c r="S169" s="137">
        <v>6.4</v>
      </c>
      <c r="T169" s="157">
        <v>41837</v>
      </c>
      <c r="U169" s="142">
        <v>18</v>
      </c>
      <c r="V169" s="157"/>
      <c r="W169" s="137"/>
      <c r="X169" s="157"/>
      <c r="Y169" s="142">
        <f t="shared" si="2"/>
        <v>5.5012999999999996</v>
      </c>
      <c r="Z169" s="157">
        <v>41837</v>
      </c>
      <c r="AA169" s="137"/>
      <c r="AB169" s="157"/>
      <c r="AC169" s="137"/>
      <c r="AD169" s="157"/>
      <c r="AE169" s="137">
        <v>13.55</v>
      </c>
      <c r="AF169" s="157">
        <v>41837</v>
      </c>
      <c r="AG169" s="185"/>
      <c r="AH169" s="157">
        <v>41837</v>
      </c>
      <c r="AI169" s="157"/>
      <c r="AJ169" s="157"/>
      <c r="AK169" s="137"/>
      <c r="AL169" s="157"/>
      <c r="AM169" s="137">
        <v>96</v>
      </c>
      <c r="AN169" s="157"/>
      <c r="AO169" s="137"/>
      <c r="AP169" s="137"/>
      <c r="AQ169" s="137"/>
      <c r="AR169" s="137"/>
      <c r="AS169" s="137"/>
      <c r="AT169" s="137"/>
      <c r="AU169" s="137"/>
      <c r="AV169" s="137"/>
      <c r="AW169" s="137"/>
      <c r="AX169" s="137"/>
      <c r="AY169" s="137"/>
      <c r="AZ169" s="137"/>
      <c r="BA169" s="137"/>
      <c r="BB169" s="137"/>
      <c r="BC169" s="137"/>
      <c r="BD169" s="137"/>
      <c r="BE169" s="138"/>
      <c r="BF169" s="138"/>
      <c r="BG169" s="138"/>
      <c r="BH169" s="138"/>
      <c r="BI169" s="138"/>
      <c r="BJ169" s="138"/>
      <c r="BK169" s="138"/>
      <c r="BL169" s="138"/>
      <c r="BM169" s="138">
        <v>58.75</v>
      </c>
      <c r="BN169" s="157">
        <v>41837</v>
      </c>
      <c r="BO169" s="138"/>
      <c r="BP169" s="138"/>
      <c r="BQ169" s="138"/>
      <c r="BR169" s="138"/>
      <c r="BS169" s="138">
        <v>47.22</v>
      </c>
      <c r="BT169" s="157">
        <v>41837</v>
      </c>
      <c r="BU169" s="138">
        <v>40.6</v>
      </c>
      <c r="BV169" s="157">
        <v>41837</v>
      </c>
      <c r="BW169" s="138">
        <v>42.9</v>
      </c>
      <c r="BX169" s="157">
        <v>41837</v>
      </c>
      <c r="BY169" s="138"/>
      <c r="BZ169" s="138"/>
      <c r="CA169" s="138"/>
      <c r="CB169" s="138"/>
      <c r="CC169" s="138">
        <v>6.4</v>
      </c>
      <c r="CD169" s="157">
        <v>41837</v>
      </c>
      <c r="CE169" s="138"/>
      <c r="CF169" s="138"/>
      <c r="CG169" s="138"/>
      <c r="CH169" s="138"/>
      <c r="CI169" s="138">
        <v>1</v>
      </c>
      <c r="CJ169" s="138"/>
      <c r="CK169" s="138"/>
      <c r="CL169" s="138"/>
      <c r="CM169" s="138"/>
    </row>
    <row r="170" spans="1:91">
      <c r="A170" s="159" t="s">
        <v>7786</v>
      </c>
      <c r="B170" s="112" t="s">
        <v>271</v>
      </c>
      <c r="C170" s="112">
        <v>1</v>
      </c>
      <c r="D170" s="112">
        <v>122</v>
      </c>
      <c r="E170" s="113">
        <v>25</v>
      </c>
      <c r="F170" s="113">
        <v>5</v>
      </c>
      <c r="M170" s="185">
        <v>7.89</v>
      </c>
      <c r="N170" s="157">
        <v>41837</v>
      </c>
      <c r="R170" s="185"/>
      <c r="S170" s="137">
        <v>21.68</v>
      </c>
      <c r="T170" s="157">
        <v>41837</v>
      </c>
      <c r="U170" s="142">
        <v>18</v>
      </c>
      <c r="Y170" s="142">
        <f t="shared" si="2"/>
        <v>17.000219999999999</v>
      </c>
      <c r="Z170" s="157">
        <v>41837</v>
      </c>
      <c r="AE170" s="137">
        <v>44.62</v>
      </c>
      <c r="AF170" s="157">
        <v>41837</v>
      </c>
      <c r="AG170" s="185"/>
      <c r="AH170" s="157">
        <v>41837</v>
      </c>
      <c r="AM170" s="137">
        <v>94</v>
      </c>
      <c r="BM170" s="138">
        <v>63.97</v>
      </c>
      <c r="BN170" s="157">
        <v>41837</v>
      </c>
      <c r="BS170" s="138">
        <v>48.59</v>
      </c>
      <c r="BT170" s="157">
        <v>41837</v>
      </c>
      <c r="BU170" s="138">
        <v>38.1</v>
      </c>
      <c r="BV170" s="157">
        <v>41837</v>
      </c>
      <c r="BW170" s="138">
        <v>11.8</v>
      </c>
      <c r="BX170" s="157">
        <v>41837</v>
      </c>
      <c r="CC170" s="138">
        <v>6.6</v>
      </c>
      <c r="CD170" s="157">
        <v>41837</v>
      </c>
      <c r="CI170" s="138">
        <v>7</v>
      </c>
    </row>
    <row r="171" spans="1:91">
      <c r="A171" s="159" t="s">
        <v>7740</v>
      </c>
      <c r="B171" s="112" t="s">
        <v>271</v>
      </c>
      <c r="C171" s="112">
        <v>1</v>
      </c>
      <c r="D171" s="112">
        <v>38</v>
      </c>
      <c r="E171" s="113">
        <v>26</v>
      </c>
      <c r="F171" s="113">
        <v>5</v>
      </c>
      <c r="M171" s="185">
        <v>1.99</v>
      </c>
      <c r="N171" s="157">
        <v>41837</v>
      </c>
      <c r="R171" s="185"/>
      <c r="S171" s="137">
        <v>5.43</v>
      </c>
      <c r="T171" s="157">
        <v>41837</v>
      </c>
      <c r="U171" s="142">
        <v>18</v>
      </c>
      <c r="Y171" s="142">
        <f t="shared" si="2"/>
        <v>4.56196</v>
      </c>
      <c r="Z171" s="157">
        <v>41837</v>
      </c>
      <c r="AE171" s="137">
        <v>11.32</v>
      </c>
      <c r="AF171" s="157">
        <v>41837</v>
      </c>
      <c r="AG171" s="185"/>
      <c r="AH171" s="157">
        <v>41837</v>
      </c>
      <c r="AM171" s="137">
        <v>72</v>
      </c>
      <c r="BM171" s="138">
        <v>63.45</v>
      </c>
      <c r="BN171" s="157">
        <v>41837</v>
      </c>
      <c r="BS171" s="138">
        <v>47.93</v>
      </c>
      <c r="BT171" s="157">
        <v>41837</v>
      </c>
      <c r="BU171" s="138">
        <v>40.299999999999997</v>
      </c>
      <c r="BV171" s="157">
        <v>41837</v>
      </c>
      <c r="BW171" s="138">
        <v>33.700000000000003</v>
      </c>
      <c r="BX171" s="157">
        <v>41837</v>
      </c>
      <c r="CC171" s="138">
        <v>6.1</v>
      </c>
      <c r="CD171" s="157">
        <v>41837</v>
      </c>
      <c r="CI171" s="138">
        <v>1</v>
      </c>
    </row>
    <row r="172" spans="1:91">
      <c r="A172" s="159" t="s">
        <v>7664</v>
      </c>
      <c r="B172" s="112" t="s">
        <v>271</v>
      </c>
      <c r="C172" s="112">
        <v>1</v>
      </c>
      <c r="D172" s="112">
        <v>145</v>
      </c>
      <c r="E172" s="113">
        <v>27</v>
      </c>
      <c r="F172" s="113">
        <v>5</v>
      </c>
      <c r="M172" s="185">
        <v>6.74</v>
      </c>
      <c r="N172" s="157">
        <v>41837</v>
      </c>
      <c r="R172" s="185"/>
      <c r="S172" s="137">
        <v>18.27</v>
      </c>
      <c r="T172" s="157">
        <v>41837</v>
      </c>
      <c r="U172" s="142">
        <v>18</v>
      </c>
      <c r="Y172" s="142">
        <f t="shared" si="2"/>
        <v>14.195519999999998</v>
      </c>
      <c r="Z172" s="157">
        <v>41837</v>
      </c>
      <c r="AE172" s="137">
        <v>38.159999999999997</v>
      </c>
      <c r="AF172" s="157">
        <v>41837</v>
      </c>
      <c r="AG172" s="185"/>
      <c r="AH172" s="157">
        <v>41837</v>
      </c>
      <c r="AM172" s="137">
        <v>96</v>
      </c>
      <c r="BM172" s="138">
        <v>62.14</v>
      </c>
      <c r="BN172" s="157">
        <v>41837</v>
      </c>
      <c r="BS172" s="138">
        <v>47.89</v>
      </c>
      <c r="BT172" s="157">
        <v>41837</v>
      </c>
      <c r="BU172" s="138">
        <v>37.200000000000003</v>
      </c>
      <c r="BV172" s="157">
        <v>41837</v>
      </c>
      <c r="BW172" s="138">
        <v>13.3</v>
      </c>
      <c r="BX172" s="157">
        <v>41837</v>
      </c>
      <c r="CC172" s="138">
        <v>6.5</v>
      </c>
      <c r="CD172" s="157">
        <v>41837</v>
      </c>
      <c r="CI172" s="138">
        <v>9</v>
      </c>
    </row>
    <row r="173" spans="1:91">
      <c r="A173" s="159" t="s">
        <v>7856</v>
      </c>
      <c r="B173" s="112" t="s">
        <v>271</v>
      </c>
      <c r="C173" s="112">
        <v>1</v>
      </c>
      <c r="D173" s="112">
        <v>125</v>
      </c>
      <c r="E173" s="113">
        <v>28</v>
      </c>
      <c r="F173" s="113">
        <v>5</v>
      </c>
      <c r="M173" s="185">
        <v>7.71</v>
      </c>
      <c r="N173" s="157">
        <v>41837</v>
      </c>
      <c r="R173" s="185"/>
      <c r="S173" s="137">
        <v>22.36</v>
      </c>
      <c r="T173" s="157">
        <v>41837</v>
      </c>
      <c r="U173" s="142">
        <v>18</v>
      </c>
      <c r="Y173" s="142">
        <f t="shared" si="2"/>
        <v>17.05151</v>
      </c>
      <c r="Z173" s="157">
        <v>41837</v>
      </c>
      <c r="AE173" s="137">
        <v>43.61</v>
      </c>
      <c r="AF173" s="157">
        <v>41837</v>
      </c>
      <c r="AG173" s="185"/>
      <c r="AH173" s="157">
        <v>41837</v>
      </c>
      <c r="AM173" s="137">
        <v>83</v>
      </c>
      <c r="BM173" s="138">
        <v>61.55</v>
      </c>
      <c r="BN173" s="157">
        <v>41837</v>
      </c>
      <c r="BS173" s="138">
        <v>51.27</v>
      </c>
      <c r="BT173" s="157">
        <v>41837</v>
      </c>
      <c r="BU173" s="138">
        <v>39.1</v>
      </c>
      <c r="BV173" s="157">
        <v>41837</v>
      </c>
      <c r="BW173" s="138">
        <v>16.8</v>
      </c>
      <c r="BX173" s="157">
        <v>41837</v>
      </c>
      <c r="CC173" s="138">
        <v>6.6</v>
      </c>
      <c r="CD173" s="157">
        <v>41837</v>
      </c>
      <c r="CI173" s="138">
        <v>9</v>
      </c>
    </row>
    <row r="174" spans="1:91">
      <c r="A174" s="159" t="s">
        <v>7724</v>
      </c>
      <c r="B174" s="112" t="s">
        <v>271</v>
      </c>
      <c r="C174" s="112">
        <v>1</v>
      </c>
      <c r="D174" s="112">
        <v>154</v>
      </c>
      <c r="E174" s="113">
        <v>29</v>
      </c>
      <c r="F174" s="113">
        <v>5</v>
      </c>
      <c r="M174" s="185">
        <v>6.63</v>
      </c>
      <c r="N174" s="157">
        <v>41837</v>
      </c>
      <c r="R174" s="185"/>
      <c r="S174" s="137">
        <v>18.399999999999999</v>
      </c>
      <c r="T174" s="157">
        <v>41837</v>
      </c>
      <c r="U174" s="142">
        <v>18</v>
      </c>
      <c r="Y174" s="142">
        <f t="shared" si="2"/>
        <v>14.324999999999999</v>
      </c>
      <c r="Z174" s="157">
        <v>41837</v>
      </c>
      <c r="AE174" s="137">
        <v>37.5</v>
      </c>
      <c r="AF174" s="157">
        <v>41837</v>
      </c>
      <c r="AG174" s="185"/>
      <c r="AH174" s="157">
        <v>41837</v>
      </c>
      <c r="AM174" s="137">
        <v>92</v>
      </c>
      <c r="BM174" s="138">
        <v>62.32</v>
      </c>
      <c r="BN174" s="157">
        <v>41837</v>
      </c>
      <c r="BS174" s="138">
        <v>49.06</v>
      </c>
      <c r="BT174" s="157">
        <v>41837</v>
      </c>
      <c r="BU174" s="138">
        <v>38.200000000000003</v>
      </c>
      <c r="BV174" s="157">
        <v>41837</v>
      </c>
      <c r="BW174" s="138">
        <v>13.7</v>
      </c>
      <c r="BX174" s="157">
        <v>41837</v>
      </c>
      <c r="CC174" s="138">
        <v>6.6</v>
      </c>
      <c r="CD174" s="157">
        <v>41837</v>
      </c>
      <c r="CI174" s="138">
        <v>9</v>
      </c>
    </row>
    <row r="175" spans="1:91">
      <c r="A175" s="159" t="s">
        <v>7804</v>
      </c>
      <c r="B175" s="112" t="s">
        <v>271</v>
      </c>
      <c r="C175" s="112">
        <v>1</v>
      </c>
      <c r="D175" s="112">
        <v>126</v>
      </c>
      <c r="E175" s="113">
        <v>30</v>
      </c>
      <c r="F175" s="113">
        <v>5</v>
      </c>
      <c r="M175" s="185">
        <v>8.2100000000000009</v>
      </c>
      <c r="N175" s="157">
        <v>41837</v>
      </c>
      <c r="R175" s="185"/>
      <c r="S175" s="137">
        <v>23.75</v>
      </c>
      <c r="T175" s="157">
        <v>41837</v>
      </c>
      <c r="U175" s="142">
        <v>18</v>
      </c>
      <c r="Y175" s="142">
        <f t="shared" si="2"/>
        <v>16.807660000000002</v>
      </c>
      <c r="Z175" s="157">
        <v>41837</v>
      </c>
      <c r="AE175" s="137">
        <v>46.43</v>
      </c>
      <c r="AF175" s="157">
        <v>41837</v>
      </c>
      <c r="AG175" s="185"/>
      <c r="AH175" s="157">
        <v>41837</v>
      </c>
      <c r="AM175" s="137">
        <v>94</v>
      </c>
      <c r="BM175" s="138">
        <v>62.42</v>
      </c>
      <c r="BN175" s="157">
        <v>41837</v>
      </c>
      <c r="BS175" s="138">
        <v>51.16</v>
      </c>
      <c r="BT175" s="157">
        <v>41837</v>
      </c>
      <c r="BU175" s="138">
        <v>36.200000000000003</v>
      </c>
      <c r="BV175" s="157">
        <v>41837</v>
      </c>
      <c r="BW175" s="138">
        <v>14.2</v>
      </c>
      <c r="BX175" s="157">
        <v>41837</v>
      </c>
      <c r="CC175" s="138">
        <v>6.6</v>
      </c>
      <c r="CD175" s="157">
        <v>41837</v>
      </c>
      <c r="CI175" s="138">
        <v>9</v>
      </c>
    </row>
    <row r="176" spans="1:91">
      <c r="A176" s="159" t="s">
        <v>7645</v>
      </c>
      <c r="B176" s="112" t="s">
        <v>271</v>
      </c>
      <c r="C176" s="112">
        <v>1</v>
      </c>
      <c r="D176" s="112">
        <v>169</v>
      </c>
      <c r="E176" s="113">
        <v>31</v>
      </c>
      <c r="F176" s="113">
        <v>5</v>
      </c>
      <c r="M176" s="185">
        <v>5.79</v>
      </c>
      <c r="N176" s="157">
        <v>41837</v>
      </c>
      <c r="R176" s="185"/>
      <c r="S176" s="137">
        <v>16.54</v>
      </c>
      <c r="T176" s="157">
        <v>41837</v>
      </c>
      <c r="U176" s="142">
        <v>18</v>
      </c>
      <c r="Y176" s="142">
        <f t="shared" si="2"/>
        <v>12.734159999999999</v>
      </c>
      <c r="Z176" s="157">
        <v>41837</v>
      </c>
      <c r="AE176" s="137">
        <v>32.82</v>
      </c>
      <c r="AF176" s="157">
        <v>41837</v>
      </c>
      <c r="AG176" s="185"/>
      <c r="AH176" s="157">
        <v>41837</v>
      </c>
      <c r="AM176" s="137">
        <v>94</v>
      </c>
      <c r="BM176" s="138">
        <v>63.43</v>
      </c>
      <c r="BN176" s="157">
        <v>41837</v>
      </c>
      <c r="BS176" s="138">
        <v>50.4</v>
      </c>
      <c r="BT176" s="157">
        <v>41837</v>
      </c>
      <c r="BU176" s="138">
        <v>38.799999999999997</v>
      </c>
      <c r="BV176" s="157">
        <v>41837</v>
      </c>
      <c r="BW176" s="138">
        <v>22.6</v>
      </c>
      <c r="BX176" s="157">
        <v>41837</v>
      </c>
      <c r="CC176" s="138">
        <v>6.4</v>
      </c>
      <c r="CD176" s="157">
        <v>41837</v>
      </c>
      <c r="CI176" s="138">
        <v>7</v>
      </c>
    </row>
    <row r="177" spans="1:91">
      <c r="A177" s="159" t="s">
        <v>7775</v>
      </c>
      <c r="B177" s="112" t="s">
        <v>271</v>
      </c>
      <c r="C177" s="112">
        <v>1</v>
      </c>
      <c r="D177" s="112">
        <v>177</v>
      </c>
      <c r="E177" s="113">
        <v>32</v>
      </c>
      <c r="F177" s="113">
        <v>5</v>
      </c>
      <c r="M177" s="185">
        <v>7.51</v>
      </c>
      <c r="N177" s="157">
        <v>41837</v>
      </c>
      <c r="R177" s="185"/>
      <c r="S177" s="137">
        <v>20.71</v>
      </c>
      <c r="T177" s="157">
        <v>41837</v>
      </c>
      <c r="U177" s="142">
        <v>18</v>
      </c>
      <c r="Y177" s="142">
        <f t="shared" si="2"/>
        <v>16.397279999999999</v>
      </c>
      <c r="Z177" s="157">
        <v>41837</v>
      </c>
      <c r="AE177" s="137">
        <v>42.48</v>
      </c>
      <c r="AF177" s="157">
        <v>41837</v>
      </c>
      <c r="AG177" s="185"/>
      <c r="AH177" s="157">
        <v>41837</v>
      </c>
      <c r="AM177" s="137">
        <v>90</v>
      </c>
      <c r="BM177" s="138">
        <v>57.5</v>
      </c>
      <c r="BN177" s="157">
        <v>41837</v>
      </c>
      <c r="BS177" s="138">
        <v>48.75</v>
      </c>
      <c r="BT177" s="157">
        <v>41837</v>
      </c>
      <c r="BU177" s="138">
        <v>38.6</v>
      </c>
      <c r="BV177" s="157">
        <v>41837</v>
      </c>
      <c r="BW177" s="138">
        <v>15.5</v>
      </c>
      <c r="BX177" s="157">
        <v>41837</v>
      </c>
      <c r="CC177" s="138">
        <v>6.6</v>
      </c>
      <c r="CD177" s="157">
        <v>41837</v>
      </c>
      <c r="CI177" s="138">
        <v>7</v>
      </c>
    </row>
    <row r="178" spans="1:91">
      <c r="A178" s="159" t="s">
        <v>7640</v>
      </c>
      <c r="B178" s="112" t="s">
        <v>271</v>
      </c>
      <c r="C178" s="112">
        <v>1</v>
      </c>
      <c r="D178" s="112">
        <v>176</v>
      </c>
      <c r="E178" s="113">
        <v>33</v>
      </c>
      <c r="F178" s="113">
        <v>5</v>
      </c>
      <c r="M178" s="185">
        <v>6.79</v>
      </c>
      <c r="N178" s="157">
        <v>41837</v>
      </c>
      <c r="R178" s="185"/>
      <c r="S178" s="137">
        <v>20.51</v>
      </c>
      <c r="T178" s="157">
        <v>41837</v>
      </c>
      <c r="U178" s="142">
        <v>18</v>
      </c>
      <c r="Y178" s="142">
        <f t="shared" si="2"/>
        <v>15.875719999999999</v>
      </c>
      <c r="Z178" s="157">
        <v>41837</v>
      </c>
      <c r="AE178" s="137">
        <v>38.44</v>
      </c>
      <c r="AF178" s="157">
        <v>41837</v>
      </c>
      <c r="AG178" s="185"/>
      <c r="AH178" s="157">
        <v>41837</v>
      </c>
      <c r="AM178" s="137">
        <v>90</v>
      </c>
      <c r="BM178" s="138">
        <v>65</v>
      </c>
      <c r="BN178" s="157">
        <v>41837</v>
      </c>
      <c r="BS178" s="138">
        <v>53.35</v>
      </c>
      <c r="BT178" s="157">
        <v>41837</v>
      </c>
      <c r="BU178" s="138">
        <v>41.3</v>
      </c>
      <c r="BV178" s="157">
        <v>41837</v>
      </c>
      <c r="BW178" s="138">
        <v>12.7</v>
      </c>
      <c r="BX178" s="157">
        <v>41837</v>
      </c>
      <c r="CC178" s="138">
        <v>6.5</v>
      </c>
      <c r="CD178" s="157">
        <v>41837</v>
      </c>
      <c r="CI178" s="138">
        <v>7</v>
      </c>
    </row>
    <row r="179" spans="1:91">
      <c r="A179" s="159" t="s">
        <v>7799</v>
      </c>
      <c r="B179" s="112" t="s">
        <v>271</v>
      </c>
      <c r="C179" s="112">
        <v>1</v>
      </c>
      <c r="D179" s="112">
        <v>215</v>
      </c>
      <c r="E179" s="113">
        <v>34</v>
      </c>
      <c r="F179" s="113">
        <v>5</v>
      </c>
      <c r="M179" s="185">
        <v>6.79</v>
      </c>
      <c r="N179" s="157">
        <v>41837</v>
      </c>
      <c r="R179" s="185"/>
      <c r="S179" s="137">
        <v>19.63</v>
      </c>
      <c r="T179" s="157">
        <v>41837</v>
      </c>
      <c r="U179" s="142">
        <v>18</v>
      </c>
      <c r="Y179" s="142">
        <f t="shared" si="2"/>
        <v>14.510730000000001</v>
      </c>
      <c r="Z179" s="157">
        <v>41837</v>
      </c>
      <c r="AE179" s="137">
        <v>38.49</v>
      </c>
      <c r="AF179" s="157">
        <v>41837</v>
      </c>
      <c r="AG179" s="185"/>
      <c r="AH179" s="157">
        <v>41837</v>
      </c>
      <c r="AM179" s="137">
        <v>90</v>
      </c>
      <c r="BM179" s="138">
        <v>60.37</v>
      </c>
      <c r="BN179" s="157">
        <v>41837</v>
      </c>
      <c r="BS179" s="138">
        <v>50.99</v>
      </c>
      <c r="BT179" s="157">
        <v>41837</v>
      </c>
      <c r="BU179" s="138">
        <v>37.700000000000003</v>
      </c>
      <c r="BV179" s="157">
        <v>41837</v>
      </c>
      <c r="BW179" s="138">
        <v>13.8</v>
      </c>
      <c r="BX179" s="157">
        <v>41837</v>
      </c>
      <c r="CC179" s="138">
        <v>6.4</v>
      </c>
      <c r="CD179" s="157">
        <v>41837</v>
      </c>
      <c r="CI179" s="138">
        <v>7</v>
      </c>
    </row>
    <row r="180" spans="1:91">
      <c r="A180" s="159" t="s">
        <v>7756</v>
      </c>
      <c r="B180" s="112" t="s">
        <v>271</v>
      </c>
      <c r="C180" s="112">
        <v>1</v>
      </c>
      <c r="D180" s="112">
        <v>95</v>
      </c>
      <c r="E180" s="113">
        <v>35</v>
      </c>
      <c r="F180" s="113">
        <v>5</v>
      </c>
      <c r="M180" s="185">
        <v>5.1100000000000003</v>
      </c>
      <c r="N180" s="157">
        <v>41837</v>
      </c>
      <c r="R180" s="185"/>
      <c r="S180" s="137">
        <v>14.01</v>
      </c>
      <c r="T180" s="157">
        <v>41837</v>
      </c>
      <c r="U180" s="142">
        <v>18</v>
      </c>
      <c r="Y180" s="142">
        <f t="shared" si="2"/>
        <v>11.555039999999998</v>
      </c>
      <c r="Z180" s="157">
        <v>41837</v>
      </c>
      <c r="AE180" s="137">
        <v>28.96</v>
      </c>
      <c r="AF180" s="157">
        <v>41837</v>
      </c>
      <c r="AG180" s="185"/>
      <c r="AH180" s="157">
        <v>41837</v>
      </c>
      <c r="AM180" s="137">
        <v>90</v>
      </c>
      <c r="BM180" s="138">
        <v>62.12</v>
      </c>
      <c r="BN180" s="157">
        <v>41837</v>
      </c>
      <c r="BS180" s="138">
        <v>48.37</v>
      </c>
      <c r="BT180" s="157">
        <v>41837</v>
      </c>
      <c r="BU180" s="138">
        <v>39.9</v>
      </c>
      <c r="BV180" s="157">
        <v>41837</v>
      </c>
      <c r="BW180" s="138">
        <v>43.6</v>
      </c>
      <c r="BX180" s="157">
        <v>41837</v>
      </c>
      <c r="CC180" s="138">
        <v>6.4</v>
      </c>
      <c r="CD180" s="157">
        <v>41837</v>
      </c>
      <c r="CI180" s="138">
        <v>5</v>
      </c>
    </row>
    <row r="181" spans="1:91">
      <c r="A181" s="159" t="s">
        <v>7779</v>
      </c>
      <c r="B181" s="112" t="s">
        <v>271</v>
      </c>
      <c r="C181" s="112">
        <v>1</v>
      </c>
      <c r="D181" s="112">
        <v>138</v>
      </c>
      <c r="E181" s="113">
        <v>36</v>
      </c>
      <c r="F181" s="113">
        <v>5</v>
      </c>
      <c r="M181" s="185">
        <v>8.0299999999999994</v>
      </c>
      <c r="N181" s="157">
        <v>41837</v>
      </c>
      <c r="R181" s="185"/>
      <c r="S181" s="137">
        <v>23.38</v>
      </c>
      <c r="T181" s="157">
        <v>41837</v>
      </c>
      <c r="U181" s="142">
        <v>18</v>
      </c>
      <c r="Y181" s="142">
        <f t="shared" si="2"/>
        <v>17.430329999999998</v>
      </c>
      <c r="Z181" s="157">
        <v>41837</v>
      </c>
      <c r="AE181" s="137">
        <v>45.51</v>
      </c>
      <c r="AF181" s="157">
        <v>41837</v>
      </c>
      <c r="AG181" s="185"/>
      <c r="AH181" s="157">
        <v>41837</v>
      </c>
      <c r="AM181" s="137">
        <v>92</v>
      </c>
      <c r="BM181" s="138">
        <v>60.29</v>
      </c>
      <c r="BN181" s="157">
        <v>41837</v>
      </c>
      <c r="BS181" s="138">
        <v>51.38</v>
      </c>
      <c r="BT181" s="157">
        <v>41837</v>
      </c>
      <c r="BU181" s="138">
        <v>38.299999999999997</v>
      </c>
      <c r="BV181" s="157">
        <v>41837</v>
      </c>
      <c r="BW181" s="138">
        <v>13.3</v>
      </c>
      <c r="BX181" s="157">
        <v>41837</v>
      </c>
      <c r="CC181" s="138">
        <v>6.4</v>
      </c>
      <c r="CD181" s="157">
        <v>41837</v>
      </c>
      <c r="CI181" s="138">
        <v>7</v>
      </c>
    </row>
    <row r="182" spans="1:91" s="196" customFormat="1">
      <c r="A182" s="189" t="s">
        <v>7733</v>
      </c>
      <c r="B182" s="190" t="s">
        <v>271</v>
      </c>
      <c r="C182" s="190">
        <v>1</v>
      </c>
      <c r="D182" s="190">
        <v>137</v>
      </c>
      <c r="E182" s="191">
        <v>1</v>
      </c>
      <c r="F182" s="191">
        <v>6</v>
      </c>
      <c r="G182" s="191"/>
      <c r="H182" s="191"/>
      <c r="I182" s="190"/>
      <c r="J182" s="190"/>
      <c r="K182" s="195"/>
      <c r="L182" s="193"/>
      <c r="M182" s="194">
        <v>5.07</v>
      </c>
      <c r="N182" s="193">
        <v>41837</v>
      </c>
      <c r="O182" s="137"/>
      <c r="P182" s="193"/>
      <c r="Q182" s="195"/>
      <c r="R182" s="194"/>
      <c r="S182" s="195">
        <v>12.42</v>
      </c>
      <c r="T182" s="193">
        <v>41837</v>
      </c>
      <c r="U182" s="192">
        <v>18</v>
      </c>
      <c r="V182" s="193"/>
      <c r="W182" s="195"/>
      <c r="X182" s="193"/>
      <c r="Y182" s="192">
        <f t="shared" si="2"/>
        <v>10.6492</v>
      </c>
      <c r="Z182" s="193">
        <v>41837</v>
      </c>
      <c r="AA182" s="195"/>
      <c r="AB182" s="193"/>
      <c r="AC182" s="195"/>
      <c r="AD182" s="193"/>
      <c r="AE182" s="195">
        <v>26.96</v>
      </c>
      <c r="AF182" s="193">
        <v>41837</v>
      </c>
      <c r="AG182" s="194"/>
      <c r="AH182" s="193">
        <v>41837</v>
      </c>
      <c r="AI182" s="193"/>
      <c r="AJ182" s="193"/>
      <c r="AK182" s="195"/>
      <c r="AL182" s="193"/>
      <c r="AM182" s="195">
        <v>96</v>
      </c>
      <c r="AN182" s="193"/>
      <c r="AO182" s="195"/>
      <c r="AP182" s="195"/>
      <c r="AQ182" s="195"/>
      <c r="AR182" s="195"/>
      <c r="AS182" s="195"/>
      <c r="AT182" s="195"/>
      <c r="AU182" s="195"/>
      <c r="AV182" s="195"/>
      <c r="AW182" s="195"/>
      <c r="AX182" s="195"/>
      <c r="AY182" s="195"/>
      <c r="AZ182" s="195"/>
      <c r="BA182" s="195"/>
      <c r="BB182" s="195"/>
      <c r="BC182" s="195"/>
      <c r="BD182" s="195"/>
      <c r="BM182" s="196">
        <v>61.09</v>
      </c>
      <c r="BN182" s="193">
        <v>41837</v>
      </c>
      <c r="BS182" s="196">
        <v>46.07</v>
      </c>
      <c r="BT182" s="193">
        <v>41837</v>
      </c>
      <c r="BU182" s="196">
        <v>39.5</v>
      </c>
      <c r="BV182" s="193">
        <v>41837</v>
      </c>
      <c r="BW182" s="196">
        <v>13.2</v>
      </c>
      <c r="BX182" s="193">
        <v>41837</v>
      </c>
      <c r="CC182" s="196">
        <v>12.2</v>
      </c>
      <c r="CD182" s="193">
        <v>41837</v>
      </c>
      <c r="CI182" s="196">
        <v>5</v>
      </c>
    </row>
    <row r="183" spans="1:91" s="196" customFormat="1">
      <c r="A183" s="159" t="s">
        <v>7675</v>
      </c>
      <c r="B183" s="112" t="s">
        <v>271</v>
      </c>
      <c r="C183" s="112">
        <v>1</v>
      </c>
      <c r="D183" s="112">
        <v>124</v>
      </c>
      <c r="E183" s="113">
        <v>2</v>
      </c>
      <c r="F183" s="113">
        <v>6</v>
      </c>
      <c r="G183" s="113"/>
      <c r="H183" s="113"/>
      <c r="I183" s="112"/>
      <c r="J183" s="112"/>
      <c r="K183" s="137"/>
      <c r="L183" s="157"/>
      <c r="M183" s="185">
        <v>7.03</v>
      </c>
      <c r="N183" s="157">
        <v>41837</v>
      </c>
      <c r="O183" s="137"/>
      <c r="P183" s="157"/>
      <c r="Q183" s="137"/>
      <c r="R183" s="185"/>
      <c r="S183" s="137">
        <v>18.55</v>
      </c>
      <c r="T183" s="157">
        <v>41837</v>
      </c>
      <c r="U183" s="142">
        <v>18</v>
      </c>
      <c r="V183" s="157"/>
      <c r="W183" s="137"/>
      <c r="X183" s="157"/>
      <c r="Y183" s="142">
        <f t="shared" si="2"/>
        <v>15.497999999999999</v>
      </c>
      <c r="Z183" s="157">
        <v>41837</v>
      </c>
      <c r="AA183" s="137"/>
      <c r="AB183" s="157"/>
      <c r="AC183" s="137"/>
      <c r="AD183" s="157"/>
      <c r="AE183" s="137">
        <v>37.799999999999997</v>
      </c>
      <c r="AF183" s="157">
        <v>41837</v>
      </c>
      <c r="AG183" s="185"/>
      <c r="AH183" s="157">
        <v>41837</v>
      </c>
      <c r="AI183" s="157"/>
      <c r="AJ183" s="157"/>
      <c r="AK183" s="137"/>
      <c r="AL183" s="157"/>
      <c r="AM183" s="137">
        <v>87</v>
      </c>
      <c r="AN183" s="157"/>
      <c r="AO183" s="137"/>
      <c r="AP183" s="137"/>
      <c r="AQ183" s="137"/>
      <c r="AR183" s="137"/>
      <c r="AS183" s="137"/>
      <c r="AT183" s="137"/>
      <c r="AU183" s="137"/>
      <c r="AV183" s="137"/>
      <c r="AW183" s="137"/>
      <c r="AX183" s="137"/>
      <c r="AY183" s="137"/>
      <c r="AZ183" s="137"/>
      <c r="BA183" s="137"/>
      <c r="BB183" s="137"/>
      <c r="BC183" s="137"/>
      <c r="BD183" s="137"/>
      <c r="BE183" s="138"/>
      <c r="BF183" s="138"/>
      <c r="BG183" s="138"/>
      <c r="BH183" s="138"/>
      <c r="BI183" s="138"/>
      <c r="BJ183" s="138"/>
      <c r="BK183" s="138"/>
      <c r="BL183" s="138"/>
      <c r="BM183" s="138">
        <v>63.22</v>
      </c>
      <c r="BN183" s="157">
        <v>41837</v>
      </c>
      <c r="BO183" s="138"/>
      <c r="BP183" s="138"/>
      <c r="BQ183" s="138"/>
      <c r="BR183" s="138"/>
      <c r="BS183" s="138">
        <v>49.07</v>
      </c>
      <c r="BT183" s="157">
        <v>41837</v>
      </c>
      <c r="BU183" s="138">
        <v>41</v>
      </c>
      <c r="BV183" s="157">
        <v>41837</v>
      </c>
      <c r="BW183" s="138">
        <v>16.5</v>
      </c>
      <c r="BX183" s="157">
        <v>41837</v>
      </c>
      <c r="BY183" s="138"/>
      <c r="BZ183" s="138"/>
      <c r="CA183" s="138"/>
      <c r="CB183" s="138"/>
      <c r="CC183" s="138">
        <v>11.2</v>
      </c>
      <c r="CD183" s="157">
        <v>41837</v>
      </c>
      <c r="CE183" s="138"/>
      <c r="CF183" s="138"/>
      <c r="CG183" s="138"/>
      <c r="CH183" s="138"/>
      <c r="CI183" s="138">
        <v>9</v>
      </c>
      <c r="CJ183" s="138"/>
      <c r="CK183" s="138"/>
      <c r="CL183" s="138"/>
      <c r="CM183" s="138"/>
    </row>
    <row r="184" spans="1:91" s="196" customFormat="1">
      <c r="A184" s="159" t="s">
        <v>7633</v>
      </c>
      <c r="B184" s="112" t="s">
        <v>271</v>
      </c>
      <c r="C184" s="112">
        <v>1</v>
      </c>
      <c r="D184" s="112">
        <v>194</v>
      </c>
      <c r="E184" s="113">
        <v>3</v>
      </c>
      <c r="F184" s="113">
        <v>6</v>
      </c>
      <c r="G184" s="113"/>
      <c r="H184" s="113"/>
      <c r="I184" s="112"/>
      <c r="J184" s="112"/>
      <c r="K184" s="137"/>
      <c r="L184" s="157"/>
      <c r="M184" s="185">
        <v>5.83</v>
      </c>
      <c r="N184" s="157">
        <v>41837</v>
      </c>
      <c r="O184" s="137"/>
      <c r="P184" s="157"/>
      <c r="Q184" s="137"/>
      <c r="R184" s="185"/>
      <c r="S184" s="137">
        <v>15.67</v>
      </c>
      <c r="T184" s="157">
        <v>41837</v>
      </c>
      <c r="U184" s="142">
        <v>18</v>
      </c>
      <c r="V184" s="157"/>
      <c r="W184" s="137"/>
      <c r="X184" s="157"/>
      <c r="Y184" s="142">
        <f t="shared" si="2"/>
        <v>13.256280000000002</v>
      </c>
      <c r="Z184" s="157">
        <v>41837</v>
      </c>
      <c r="AA184" s="137"/>
      <c r="AB184" s="157"/>
      <c r="AC184" s="137"/>
      <c r="AD184" s="157"/>
      <c r="AE184" s="137">
        <v>32.020000000000003</v>
      </c>
      <c r="AF184" s="157">
        <v>41837</v>
      </c>
      <c r="AG184" s="185"/>
      <c r="AH184" s="157">
        <v>41837</v>
      </c>
      <c r="AI184" s="157"/>
      <c r="AJ184" s="157"/>
      <c r="AK184" s="137"/>
      <c r="AL184" s="157"/>
      <c r="AM184" s="137">
        <v>96</v>
      </c>
      <c r="AN184" s="157"/>
      <c r="AO184" s="137"/>
      <c r="AP184" s="137"/>
      <c r="AQ184" s="137"/>
      <c r="AR184" s="137"/>
      <c r="AS184" s="137"/>
      <c r="AT184" s="137"/>
      <c r="AU184" s="137"/>
      <c r="AV184" s="137"/>
      <c r="AW184" s="137"/>
      <c r="AX184" s="137"/>
      <c r="AY184" s="137"/>
      <c r="AZ184" s="137"/>
      <c r="BA184" s="137"/>
      <c r="BB184" s="137"/>
      <c r="BC184" s="137"/>
      <c r="BD184" s="137"/>
      <c r="BE184" s="138"/>
      <c r="BF184" s="138"/>
      <c r="BG184" s="138"/>
      <c r="BH184" s="138"/>
      <c r="BI184" s="138"/>
      <c r="BJ184" s="138"/>
      <c r="BK184" s="138"/>
      <c r="BL184" s="138"/>
      <c r="BM184" s="138">
        <v>62.87</v>
      </c>
      <c r="BN184" s="157">
        <v>41837</v>
      </c>
      <c r="BO184" s="138"/>
      <c r="BP184" s="138"/>
      <c r="BQ184" s="138"/>
      <c r="BR184" s="138"/>
      <c r="BS184" s="138">
        <v>48.94</v>
      </c>
      <c r="BT184" s="157">
        <v>41837</v>
      </c>
      <c r="BU184" s="138">
        <v>41.4</v>
      </c>
      <c r="BV184" s="157">
        <v>41837</v>
      </c>
      <c r="BW184" s="138">
        <v>51</v>
      </c>
      <c r="BX184" s="157">
        <v>41837</v>
      </c>
      <c r="BY184" s="138"/>
      <c r="BZ184" s="138"/>
      <c r="CA184" s="138"/>
      <c r="CB184" s="138"/>
      <c r="CC184" s="138">
        <v>9.3000000000000007</v>
      </c>
      <c r="CD184" s="157">
        <v>41837</v>
      </c>
      <c r="CE184" s="138"/>
      <c r="CF184" s="138"/>
      <c r="CG184" s="138"/>
      <c r="CH184" s="138"/>
      <c r="CI184" s="138">
        <v>5</v>
      </c>
      <c r="CJ184" s="138"/>
      <c r="CK184" s="138"/>
      <c r="CL184" s="138"/>
      <c r="CM184" s="138"/>
    </row>
    <row r="185" spans="1:91" s="196" customFormat="1">
      <c r="A185" s="159" t="s">
        <v>7684</v>
      </c>
      <c r="B185" s="112" t="s">
        <v>271</v>
      </c>
      <c r="C185" s="112">
        <v>1</v>
      </c>
      <c r="D185" s="112">
        <v>189</v>
      </c>
      <c r="E185" s="113">
        <v>4</v>
      </c>
      <c r="F185" s="113">
        <v>6</v>
      </c>
      <c r="G185" s="113"/>
      <c r="H185" s="113"/>
      <c r="I185" s="112"/>
      <c r="J185" s="112"/>
      <c r="K185" s="137"/>
      <c r="L185" s="157"/>
      <c r="M185" s="185">
        <v>6.2</v>
      </c>
      <c r="N185" s="157">
        <v>41837</v>
      </c>
      <c r="O185" s="137"/>
      <c r="P185" s="157"/>
      <c r="Q185" s="137"/>
      <c r="R185" s="185"/>
      <c r="S185" s="137">
        <v>15.56</v>
      </c>
      <c r="T185" s="157">
        <v>41837</v>
      </c>
      <c r="U185" s="142">
        <v>18</v>
      </c>
      <c r="V185" s="157"/>
      <c r="W185" s="137"/>
      <c r="X185" s="157"/>
      <c r="Y185" s="142">
        <f t="shared" si="2"/>
        <v>13.726040000000001</v>
      </c>
      <c r="Z185" s="157">
        <v>41837</v>
      </c>
      <c r="AA185" s="137"/>
      <c r="AB185" s="157"/>
      <c r="AC185" s="137"/>
      <c r="AD185" s="157"/>
      <c r="AE185" s="137">
        <v>33.56</v>
      </c>
      <c r="AF185" s="157">
        <v>41837</v>
      </c>
      <c r="AG185" s="185"/>
      <c r="AH185" s="157">
        <v>41837</v>
      </c>
      <c r="AI185" s="157"/>
      <c r="AJ185" s="157"/>
      <c r="AK185" s="137"/>
      <c r="AL185" s="157"/>
      <c r="AM185" s="137">
        <v>92</v>
      </c>
      <c r="AN185" s="157"/>
      <c r="AO185" s="137"/>
      <c r="AP185" s="137"/>
      <c r="AQ185" s="137"/>
      <c r="AR185" s="137"/>
      <c r="AS185" s="137"/>
      <c r="AT185" s="137"/>
      <c r="AU185" s="137"/>
      <c r="AV185" s="137"/>
      <c r="AW185" s="137"/>
      <c r="AX185" s="137"/>
      <c r="AY185" s="137"/>
      <c r="AZ185" s="137"/>
      <c r="BA185" s="137"/>
      <c r="BB185" s="137"/>
      <c r="BC185" s="137"/>
      <c r="BD185" s="137"/>
      <c r="BE185" s="138"/>
      <c r="BF185" s="138"/>
      <c r="BG185" s="138"/>
      <c r="BH185" s="138"/>
      <c r="BI185" s="138"/>
      <c r="BJ185" s="138"/>
      <c r="BK185" s="138"/>
      <c r="BL185" s="138"/>
      <c r="BM185" s="138">
        <v>69.13</v>
      </c>
      <c r="BN185" s="157">
        <v>41837</v>
      </c>
      <c r="BO185" s="138"/>
      <c r="BP185" s="138"/>
      <c r="BQ185" s="138"/>
      <c r="BR185" s="138"/>
      <c r="BS185" s="138">
        <v>46.37</v>
      </c>
      <c r="BT185" s="157">
        <v>41837</v>
      </c>
      <c r="BU185" s="138">
        <v>40.9</v>
      </c>
      <c r="BV185" s="157">
        <v>41837</v>
      </c>
      <c r="BW185" s="138">
        <v>19.3</v>
      </c>
      <c r="BX185" s="157">
        <v>41837</v>
      </c>
      <c r="BY185" s="138"/>
      <c r="BZ185" s="138"/>
      <c r="CA185" s="138"/>
      <c r="CB185" s="138"/>
      <c r="CC185" s="138">
        <v>10.6</v>
      </c>
      <c r="CD185" s="157">
        <v>41837</v>
      </c>
      <c r="CE185" s="138"/>
      <c r="CF185" s="138"/>
      <c r="CG185" s="138"/>
      <c r="CH185" s="138"/>
      <c r="CI185" s="138">
        <v>7</v>
      </c>
      <c r="CJ185" s="138"/>
      <c r="CK185" s="138"/>
      <c r="CL185" s="138"/>
      <c r="CM185" s="138"/>
    </row>
    <row r="186" spans="1:91">
      <c r="A186" s="159" t="s">
        <v>7795</v>
      </c>
      <c r="B186" s="112" t="s">
        <v>271</v>
      </c>
      <c r="C186" s="112">
        <v>1</v>
      </c>
      <c r="D186" s="112">
        <v>18</v>
      </c>
      <c r="E186" s="113">
        <v>5</v>
      </c>
      <c r="F186" s="113">
        <v>6</v>
      </c>
      <c r="I186" s="200"/>
      <c r="K186" s="142"/>
      <c r="M186" s="185">
        <v>8.75</v>
      </c>
      <c r="N186" s="157">
        <v>41837</v>
      </c>
      <c r="Q186" s="142"/>
      <c r="R186" s="185"/>
      <c r="S186" s="142">
        <v>24.02</v>
      </c>
      <c r="T186" s="157">
        <v>41837</v>
      </c>
      <c r="U186" s="142">
        <v>18</v>
      </c>
      <c r="W186" s="142"/>
      <c r="Y186" s="142">
        <f t="shared" si="2"/>
        <v>18.599220000000003</v>
      </c>
      <c r="Z186" s="157">
        <v>41837</v>
      </c>
      <c r="AA186" s="142"/>
      <c r="AE186" s="142">
        <v>48.06</v>
      </c>
      <c r="AF186" s="157">
        <v>41837</v>
      </c>
      <c r="AG186" s="185"/>
      <c r="AH186" s="157">
        <v>41837</v>
      </c>
      <c r="AK186" s="142"/>
      <c r="AM186" s="142">
        <v>92</v>
      </c>
      <c r="BM186" s="138">
        <v>60.57</v>
      </c>
      <c r="BN186" s="157">
        <v>41837</v>
      </c>
      <c r="BS186" s="138">
        <v>49.98</v>
      </c>
      <c r="BT186" s="157">
        <v>41837</v>
      </c>
      <c r="BU186" s="138">
        <v>38.700000000000003</v>
      </c>
      <c r="BV186" s="157">
        <v>41837</v>
      </c>
      <c r="BW186" s="138">
        <v>10.1</v>
      </c>
      <c r="BX186" s="157">
        <v>41837</v>
      </c>
      <c r="CC186" s="138">
        <v>9.3000000000000007</v>
      </c>
      <c r="CD186" s="157">
        <v>41837</v>
      </c>
      <c r="CI186" s="138">
        <v>7</v>
      </c>
    </row>
    <row r="187" spans="1:91">
      <c r="A187" s="159" t="s">
        <v>7689</v>
      </c>
      <c r="B187" s="112" t="s">
        <v>271</v>
      </c>
      <c r="C187" s="112">
        <v>1</v>
      </c>
      <c r="D187" s="112">
        <v>34</v>
      </c>
      <c r="E187" s="113">
        <v>6</v>
      </c>
      <c r="F187" s="113">
        <v>6</v>
      </c>
      <c r="M187" s="185">
        <v>5.86</v>
      </c>
      <c r="N187" s="157">
        <v>41837</v>
      </c>
      <c r="R187" s="185"/>
      <c r="S187" s="137">
        <v>15.76</v>
      </c>
      <c r="T187" s="157">
        <v>41837</v>
      </c>
      <c r="U187" s="142">
        <v>18</v>
      </c>
      <c r="Y187" s="142">
        <f t="shared" si="2"/>
        <v>13.308859999999999</v>
      </c>
      <c r="Z187" s="157">
        <v>41837</v>
      </c>
      <c r="AE187" s="137">
        <v>32.54</v>
      </c>
      <c r="AF187" s="157">
        <v>41837</v>
      </c>
      <c r="AG187" s="185"/>
      <c r="AH187" s="157">
        <v>41837</v>
      </c>
      <c r="AM187" s="137">
        <v>92</v>
      </c>
      <c r="BM187" s="138">
        <v>61.58</v>
      </c>
      <c r="BN187" s="157">
        <v>41837</v>
      </c>
      <c r="BS187" s="138">
        <v>48.42</v>
      </c>
      <c r="BT187" s="157">
        <v>41837</v>
      </c>
      <c r="BU187" s="138">
        <v>40.9</v>
      </c>
      <c r="BV187" s="157">
        <v>41837</v>
      </c>
      <c r="BW187" s="138">
        <v>15.2</v>
      </c>
      <c r="BX187" s="157">
        <v>41837</v>
      </c>
      <c r="CC187" s="138">
        <v>8.3000000000000007</v>
      </c>
      <c r="CD187" s="157">
        <v>41837</v>
      </c>
      <c r="CI187" s="138">
        <v>9</v>
      </c>
    </row>
    <row r="188" spans="1:91">
      <c r="A188" s="159" t="s">
        <v>7700</v>
      </c>
      <c r="B188" s="112" t="s">
        <v>271</v>
      </c>
      <c r="C188" s="112">
        <v>1</v>
      </c>
      <c r="D188" s="112">
        <v>207</v>
      </c>
      <c r="E188" s="113">
        <v>7</v>
      </c>
      <c r="F188" s="113">
        <v>6</v>
      </c>
      <c r="M188" s="185">
        <v>7.82</v>
      </c>
      <c r="N188" s="157">
        <v>41837</v>
      </c>
      <c r="R188" s="185"/>
      <c r="S188" s="137">
        <v>21.09</v>
      </c>
      <c r="T188" s="157">
        <v>41837</v>
      </c>
      <c r="U188" s="142">
        <v>18</v>
      </c>
      <c r="Y188" s="142">
        <f t="shared" si="2"/>
        <v>17.04834</v>
      </c>
      <c r="Z188" s="157">
        <v>41837</v>
      </c>
      <c r="AE188" s="137">
        <v>43.38</v>
      </c>
      <c r="AF188" s="157">
        <v>41837</v>
      </c>
      <c r="AG188" s="185"/>
      <c r="AH188" s="157">
        <v>41837</v>
      </c>
      <c r="AM188" s="137">
        <v>92</v>
      </c>
      <c r="BM188" s="138">
        <v>64.150000000000006</v>
      </c>
      <c r="BN188" s="157">
        <v>41837</v>
      </c>
      <c r="BS188" s="138">
        <v>48.62</v>
      </c>
      <c r="BT188" s="157">
        <v>41837</v>
      </c>
      <c r="BU188" s="138">
        <v>39.299999999999997</v>
      </c>
      <c r="BV188" s="157">
        <v>41837</v>
      </c>
      <c r="BW188" s="138">
        <v>17.399999999999999</v>
      </c>
      <c r="BX188" s="157">
        <v>41837</v>
      </c>
      <c r="CC188" s="138">
        <v>8.4</v>
      </c>
      <c r="CD188" s="157">
        <v>41837</v>
      </c>
      <c r="CI188" s="138">
        <v>7</v>
      </c>
    </row>
    <row r="189" spans="1:91">
      <c r="A189" s="189" t="s">
        <v>7735</v>
      </c>
      <c r="B189" s="190" t="s">
        <v>271</v>
      </c>
      <c r="C189" s="190">
        <v>1</v>
      </c>
      <c r="D189" s="190">
        <v>52</v>
      </c>
      <c r="E189" s="191">
        <v>8</v>
      </c>
      <c r="F189" s="191">
        <v>6</v>
      </c>
      <c r="G189" s="191"/>
      <c r="H189" s="191"/>
      <c r="I189" s="190"/>
      <c r="J189" s="190"/>
      <c r="K189" s="195"/>
      <c r="L189" s="193"/>
      <c r="M189" s="194">
        <v>5.93</v>
      </c>
      <c r="N189" s="193">
        <v>41837</v>
      </c>
      <c r="P189" s="193"/>
      <c r="Q189" s="195"/>
      <c r="R189" s="194"/>
      <c r="S189" s="195">
        <v>16.37</v>
      </c>
      <c r="T189" s="193">
        <v>41837</v>
      </c>
      <c r="U189" s="192">
        <v>18</v>
      </c>
      <c r="V189" s="193"/>
      <c r="W189" s="195"/>
      <c r="X189" s="193"/>
      <c r="Y189" s="192">
        <f t="shared" si="2"/>
        <v>13.167</v>
      </c>
      <c r="Z189" s="193">
        <v>41837</v>
      </c>
      <c r="AA189" s="195"/>
      <c r="AB189" s="193"/>
      <c r="AC189" s="195"/>
      <c r="AD189" s="193"/>
      <c r="AE189" s="195">
        <v>33</v>
      </c>
      <c r="AF189" s="193">
        <v>41837</v>
      </c>
      <c r="AG189" s="194"/>
      <c r="AH189" s="193">
        <v>41837</v>
      </c>
      <c r="AI189" s="193"/>
      <c r="AJ189" s="193"/>
      <c r="AK189" s="195"/>
      <c r="AL189" s="193"/>
      <c r="AM189" s="195">
        <v>90</v>
      </c>
      <c r="AN189" s="193"/>
      <c r="AO189" s="195"/>
      <c r="AP189" s="195"/>
      <c r="AQ189" s="195"/>
      <c r="AR189" s="195"/>
      <c r="AS189" s="195"/>
      <c r="AT189" s="195"/>
      <c r="AU189" s="195"/>
      <c r="AV189" s="195"/>
      <c r="AW189" s="195"/>
      <c r="AX189" s="195"/>
      <c r="AY189" s="195"/>
      <c r="AZ189" s="195"/>
      <c r="BA189" s="195"/>
      <c r="BB189" s="195"/>
      <c r="BC189" s="195"/>
      <c r="BD189" s="195"/>
      <c r="BE189" s="196"/>
      <c r="BF189" s="196"/>
      <c r="BG189" s="196"/>
      <c r="BH189" s="196"/>
      <c r="BI189" s="196"/>
      <c r="BJ189" s="196"/>
      <c r="BK189" s="196"/>
      <c r="BL189" s="196"/>
      <c r="BM189" s="196">
        <v>60.29</v>
      </c>
      <c r="BN189" s="193">
        <v>41837</v>
      </c>
      <c r="BO189" s="196"/>
      <c r="BP189" s="196"/>
      <c r="BQ189" s="196"/>
      <c r="BR189" s="196"/>
      <c r="BS189" s="196">
        <v>49.6</v>
      </c>
      <c r="BT189" s="193">
        <v>41837</v>
      </c>
      <c r="BU189" s="196">
        <v>39.9</v>
      </c>
      <c r="BV189" s="193">
        <v>41837</v>
      </c>
      <c r="BW189" s="196">
        <v>14.4</v>
      </c>
      <c r="BX189" s="193">
        <v>41837</v>
      </c>
      <c r="BY189" s="196"/>
      <c r="BZ189" s="196"/>
      <c r="CA189" s="196"/>
      <c r="CB189" s="196"/>
      <c r="CC189" s="196">
        <v>8.1</v>
      </c>
      <c r="CD189" s="193">
        <v>41837</v>
      </c>
      <c r="CE189" s="196"/>
      <c r="CF189" s="196"/>
      <c r="CG189" s="196"/>
      <c r="CH189" s="196"/>
      <c r="CI189" s="196">
        <v>5</v>
      </c>
      <c r="CJ189" s="196"/>
      <c r="CK189" s="196"/>
      <c r="CL189" s="196"/>
      <c r="CM189" s="196"/>
    </row>
    <row r="190" spans="1:91" s="196" customFormat="1">
      <c r="A190" s="159" t="s">
        <v>7696</v>
      </c>
      <c r="B190" s="112" t="s">
        <v>271</v>
      </c>
      <c r="C190" s="112">
        <v>1</v>
      </c>
      <c r="D190" s="112">
        <v>89</v>
      </c>
      <c r="E190" s="113">
        <v>9</v>
      </c>
      <c r="F190" s="113">
        <v>6</v>
      </c>
      <c r="G190" s="113"/>
      <c r="H190" s="113"/>
      <c r="I190" s="112"/>
      <c r="J190" s="112"/>
      <c r="K190" s="137"/>
      <c r="L190" s="157"/>
      <c r="M190" s="185">
        <v>6.75</v>
      </c>
      <c r="N190" s="157">
        <v>41837</v>
      </c>
      <c r="O190" s="137"/>
      <c r="P190" s="157"/>
      <c r="Q190" s="137"/>
      <c r="R190" s="185"/>
      <c r="S190" s="137">
        <v>18.25</v>
      </c>
      <c r="T190" s="157">
        <v>41837</v>
      </c>
      <c r="U190" s="142">
        <v>18</v>
      </c>
      <c r="V190" s="157"/>
      <c r="W190" s="137"/>
      <c r="X190" s="157"/>
      <c r="Y190" s="142">
        <f t="shared" si="2"/>
        <v>15.361199999999998</v>
      </c>
      <c r="Z190" s="157">
        <v>41837</v>
      </c>
      <c r="AA190" s="137"/>
      <c r="AB190" s="157"/>
      <c r="AC190" s="137"/>
      <c r="AD190" s="157"/>
      <c r="AE190" s="137">
        <v>37.65</v>
      </c>
      <c r="AF190" s="157">
        <v>41837</v>
      </c>
      <c r="AG190" s="185"/>
      <c r="AH190" s="157">
        <v>41837</v>
      </c>
      <c r="AI190" s="157"/>
      <c r="AJ190" s="157"/>
      <c r="AK190" s="137"/>
      <c r="AL190" s="157"/>
      <c r="AM190" s="137">
        <v>87</v>
      </c>
      <c r="AN190" s="157"/>
      <c r="AO190" s="137"/>
      <c r="AP190" s="137"/>
      <c r="AQ190" s="137"/>
      <c r="AR190" s="137"/>
      <c r="AS190" s="137"/>
      <c r="AT190" s="137"/>
      <c r="AU190" s="137"/>
      <c r="AV190" s="137"/>
      <c r="AW190" s="137"/>
      <c r="AX190" s="137"/>
      <c r="AY190" s="137"/>
      <c r="AZ190" s="137"/>
      <c r="BA190" s="137"/>
      <c r="BB190" s="137"/>
      <c r="BC190" s="137"/>
      <c r="BD190" s="137"/>
      <c r="BE190" s="138"/>
      <c r="BF190" s="138"/>
      <c r="BG190" s="138"/>
      <c r="BH190" s="138"/>
      <c r="BI190" s="138"/>
      <c r="BJ190" s="138"/>
      <c r="BK190" s="138"/>
      <c r="BL190" s="138"/>
      <c r="BM190" s="138">
        <v>60.18</v>
      </c>
      <c r="BN190" s="157">
        <v>41837</v>
      </c>
      <c r="BO190" s="138"/>
      <c r="BP190" s="138"/>
      <c r="BQ190" s="138"/>
      <c r="BR190" s="138"/>
      <c r="BS190" s="138">
        <v>48.48</v>
      </c>
      <c r="BT190" s="157">
        <v>41837</v>
      </c>
      <c r="BU190" s="138">
        <v>40.799999999999997</v>
      </c>
      <c r="BV190" s="157">
        <v>41837</v>
      </c>
      <c r="BW190" s="138">
        <v>14.7</v>
      </c>
      <c r="BX190" s="157">
        <v>41837</v>
      </c>
      <c r="BY190" s="138"/>
      <c r="BZ190" s="138"/>
      <c r="CA190" s="138"/>
      <c r="CB190" s="138"/>
      <c r="CC190" s="138">
        <v>7.9</v>
      </c>
      <c r="CD190" s="157">
        <v>41837</v>
      </c>
      <c r="CE190" s="138"/>
      <c r="CF190" s="138"/>
      <c r="CG190" s="138"/>
      <c r="CH190" s="138"/>
      <c r="CI190" s="138">
        <v>7</v>
      </c>
      <c r="CJ190" s="138"/>
      <c r="CK190" s="138"/>
      <c r="CL190" s="138"/>
      <c r="CM190" s="138"/>
    </row>
    <row r="191" spans="1:91" s="196" customFormat="1">
      <c r="A191" s="159" t="s">
        <v>7705</v>
      </c>
      <c r="B191" s="112" t="s">
        <v>271</v>
      </c>
      <c r="C191" s="112">
        <v>1</v>
      </c>
      <c r="D191" s="112">
        <v>184</v>
      </c>
      <c r="E191" s="113">
        <v>10</v>
      </c>
      <c r="F191" s="113">
        <v>6</v>
      </c>
      <c r="G191" s="113"/>
      <c r="H191" s="113"/>
      <c r="I191" s="112"/>
      <c r="J191" s="112"/>
      <c r="K191" s="137"/>
      <c r="L191" s="157"/>
      <c r="M191" s="185">
        <v>7.05</v>
      </c>
      <c r="N191" s="157">
        <v>41837</v>
      </c>
      <c r="O191" s="137"/>
      <c r="P191" s="157"/>
      <c r="Q191" s="137"/>
      <c r="R191" s="185"/>
      <c r="S191" s="137">
        <v>20.100000000000001</v>
      </c>
      <c r="T191" s="157">
        <v>41837</v>
      </c>
      <c r="U191" s="142">
        <v>18</v>
      </c>
      <c r="V191" s="157"/>
      <c r="W191" s="137"/>
      <c r="X191" s="157"/>
      <c r="Y191" s="142">
        <f t="shared" si="2"/>
        <v>16.538219999999999</v>
      </c>
      <c r="Z191" s="157">
        <v>41837</v>
      </c>
      <c r="AA191" s="137"/>
      <c r="AB191" s="157"/>
      <c r="AC191" s="137"/>
      <c r="AD191" s="157"/>
      <c r="AE191" s="137">
        <v>39.659999999999997</v>
      </c>
      <c r="AF191" s="157">
        <v>41837</v>
      </c>
      <c r="AG191" s="185"/>
      <c r="AH191" s="157">
        <v>41837</v>
      </c>
      <c r="AI191" s="157"/>
      <c r="AJ191" s="157"/>
      <c r="AK191" s="137"/>
      <c r="AL191" s="157"/>
      <c r="AM191" s="137">
        <v>90</v>
      </c>
      <c r="AN191" s="157"/>
      <c r="AO191" s="137"/>
      <c r="AP191" s="137"/>
      <c r="AQ191" s="137"/>
      <c r="AR191" s="137"/>
      <c r="AS191" s="137"/>
      <c r="AT191" s="137"/>
      <c r="AU191" s="137"/>
      <c r="AV191" s="137"/>
      <c r="AW191" s="137"/>
      <c r="AX191" s="137"/>
      <c r="AY191" s="137"/>
      <c r="AZ191" s="137"/>
      <c r="BA191" s="137"/>
      <c r="BB191" s="137"/>
      <c r="BC191" s="137"/>
      <c r="BD191" s="137"/>
      <c r="BE191" s="138"/>
      <c r="BF191" s="138"/>
      <c r="BG191" s="138"/>
      <c r="BH191" s="138"/>
      <c r="BI191" s="138"/>
      <c r="BJ191" s="138"/>
      <c r="BK191" s="138"/>
      <c r="BL191" s="138"/>
      <c r="BM191" s="138">
        <v>62.17</v>
      </c>
      <c r="BN191" s="157">
        <v>41837</v>
      </c>
      <c r="BO191" s="138"/>
      <c r="BP191" s="138"/>
      <c r="BQ191" s="138"/>
      <c r="BR191" s="138"/>
      <c r="BS191" s="138">
        <v>50.67</v>
      </c>
      <c r="BT191" s="157">
        <v>41837</v>
      </c>
      <c r="BU191" s="138">
        <v>41.7</v>
      </c>
      <c r="BV191" s="157">
        <v>41837</v>
      </c>
      <c r="BW191" s="138">
        <v>12.5</v>
      </c>
      <c r="BX191" s="157">
        <v>41837</v>
      </c>
      <c r="BY191" s="138"/>
      <c r="BZ191" s="138"/>
      <c r="CA191" s="138"/>
      <c r="CB191" s="138"/>
      <c r="CC191" s="138">
        <v>7.1</v>
      </c>
      <c r="CD191" s="157">
        <v>41837</v>
      </c>
      <c r="CE191" s="138"/>
      <c r="CF191" s="138"/>
      <c r="CG191" s="138"/>
      <c r="CH191" s="138"/>
      <c r="CI191" s="138">
        <v>7</v>
      </c>
      <c r="CJ191" s="138"/>
      <c r="CK191" s="138"/>
      <c r="CL191" s="138"/>
      <c r="CM191" s="138"/>
    </row>
    <row r="192" spans="1:91" s="196" customFormat="1">
      <c r="A192" s="159" t="s">
        <v>7793</v>
      </c>
      <c r="B192" s="112" t="s">
        <v>271</v>
      </c>
      <c r="C192" s="112">
        <v>1</v>
      </c>
      <c r="D192" s="112">
        <v>115</v>
      </c>
      <c r="E192" s="113">
        <v>11</v>
      </c>
      <c r="F192" s="113">
        <v>6</v>
      </c>
      <c r="G192" s="113"/>
      <c r="H192" s="113"/>
      <c r="I192" s="112"/>
      <c r="J192" s="112"/>
      <c r="K192" s="137"/>
      <c r="L192" s="157"/>
      <c r="M192" s="185">
        <v>7.72</v>
      </c>
      <c r="N192" s="157">
        <v>41837</v>
      </c>
      <c r="O192" s="137"/>
      <c r="P192" s="157"/>
      <c r="Q192" s="137"/>
      <c r="R192" s="185"/>
      <c r="S192" s="137">
        <v>21.37</v>
      </c>
      <c r="T192" s="157">
        <v>41837</v>
      </c>
      <c r="U192" s="142">
        <v>18</v>
      </c>
      <c r="V192" s="157"/>
      <c r="W192" s="137"/>
      <c r="X192" s="157"/>
      <c r="Y192" s="142">
        <f t="shared" si="2"/>
        <v>16.863600000000002</v>
      </c>
      <c r="Z192" s="157">
        <v>41837</v>
      </c>
      <c r="AA192" s="137"/>
      <c r="AB192" s="157"/>
      <c r="AC192" s="137"/>
      <c r="AD192" s="157"/>
      <c r="AE192" s="137">
        <v>43.24</v>
      </c>
      <c r="AF192" s="157">
        <v>41837</v>
      </c>
      <c r="AG192" s="185"/>
      <c r="AH192" s="157">
        <v>41837</v>
      </c>
      <c r="AI192" s="157"/>
      <c r="AJ192" s="157"/>
      <c r="AK192" s="137"/>
      <c r="AL192" s="157"/>
      <c r="AM192" s="137">
        <v>90</v>
      </c>
      <c r="AN192" s="157"/>
      <c r="AO192" s="137"/>
      <c r="AP192" s="137"/>
      <c r="AQ192" s="137"/>
      <c r="AR192" s="137"/>
      <c r="AS192" s="137"/>
      <c r="AT192" s="137"/>
      <c r="AU192" s="137"/>
      <c r="AV192" s="137"/>
      <c r="AW192" s="137"/>
      <c r="AX192" s="137"/>
      <c r="AY192" s="137"/>
      <c r="AZ192" s="137"/>
      <c r="BA192" s="137"/>
      <c r="BB192" s="137"/>
      <c r="BC192" s="137"/>
      <c r="BD192" s="137"/>
      <c r="BE192" s="138"/>
      <c r="BF192" s="138"/>
      <c r="BG192" s="138"/>
      <c r="BH192" s="138"/>
      <c r="BI192" s="138"/>
      <c r="BJ192" s="138"/>
      <c r="BK192" s="138"/>
      <c r="BL192" s="138"/>
      <c r="BM192" s="138">
        <v>61.19</v>
      </c>
      <c r="BN192" s="157">
        <v>41837</v>
      </c>
      <c r="BO192" s="138"/>
      <c r="BP192" s="138"/>
      <c r="BQ192" s="138"/>
      <c r="BR192" s="138"/>
      <c r="BS192" s="138">
        <v>49.43</v>
      </c>
      <c r="BT192" s="157">
        <v>41837</v>
      </c>
      <c r="BU192" s="138">
        <v>39</v>
      </c>
      <c r="BV192" s="157">
        <v>41837</v>
      </c>
      <c r="BW192" s="138">
        <v>17.100000000000001</v>
      </c>
      <c r="BX192" s="157">
        <v>41837</v>
      </c>
      <c r="BY192" s="138"/>
      <c r="BZ192" s="138"/>
      <c r="CA192" s="138"/>
      <c r="CB192" s="138"/>
      <c r="CC192" s="138">
        <v>7.5</v>
      </c>
      <c r="CD192" s="157">
        <v>41837</v>
      </c>
      <c r="CE192" s="138"/>
      <c r="CF192" s="138"/>
      <c r="CG192" s="138"/>
      <c r="CH192" s="138"/>
      <c r="CI192" s="138">
        <v>7</v>
      </c>
      <c r="CJ192" s="138"/>
      <c r="CK192" s="138"/>
      <c r="CL192" s="138"/>
      <c r="CM192" s="138"/>
    </row>
    <row r="193" spans="1:91" s="196" customFormat="1">
      <c r="A193" s="159" t="s">
        <v>7692</v>
      </c>
      <c r="B193" s="112" t="s">
        <v>271</v>
      </c>
      <c r="C193" s="112">
        <v>1</v>
      </c>
      <c r="D193" s="112">
        <v>193</v>
      </c>
      <c r="E193" s="113">
        <v>12</v>
      </c>
      <c r="F193" s="113">
        <v>6</v>
      </c>
      <c r="G193" s="113"/>
      <c r="H193" s="113"/>
      <c r="I193" s="112"/>
      <c r="J193" s="112"/>
      <c r="K193" s="137"/>
      <c r="L193" s="157"/>
      <c r="M193" s="185">
        <v>7.28</v>
      </c>
      <c r="N193" s="157">
        <v>41837</v>
      </c>
      <c r="O193" s="137"/>
      <c r="P193" s="157"/>
      <c r="Q193" s="137"/>
      <c r="R193" s="185"/>
      <c r="S193" s="137">
        <v>19.91</v>
      </c>
      <c r="T193" s="157">
        <v>41837</v>
      </c>
      <c r="U193" s="142">
        <v>18</v>
      </c>
      <c r="V193" s="157"/>
      <c r="W193" s="137"/>
      <c r="X193" s="157"/>
      <c r="Y193" s="142">
        <f t="shared" si="2"/>
        <v>16.321200000000001</v>
      </c>
      <c r="Z193" s="157">
        <v>41837</v>
      </c>
      <c r="AA193" s="137"/>
      <c r="AB193" s="157"/>
      <c r="AC193" s="137"/>
      <c r="AD193" s="157"/>
      <c r="AE193" s="137">
        <v>40.6</v>
      </c>
      <c r="AF193" s="157">
        <v>41837</v>
      </c>
      <c r="AG193" s="185"/>
      <c r="AH193" s="157">
        <v>41837</v>
      </c>
      <c r="AI193" s="157"/>
      <c r="AJ193" s="157"/>
      <c r="AK193" s="137"/>
      <c r="AL193" s="157"/>
      <c r="AM193" s="137">
        <v>87</v>
      </c>
      <c r="AN193" s="157"/>
      <c r="AO193" s="137"/>
      <c r="AP193" s="137"/>
      <c r="AQ193" s="137"/>
      <c r="AR193" s="137"/>
      <c r="AS193" s="137"/>
      <c r="AT193" s="137"/>
      <c r="AU193" s="137"/>
      <c r="AV193" s="137"/>
      <c r="AW193" s="137"/>
      <c r="AX193" s="137"/>
      <c r="AY193" s="137"/>
      <c r="AZ193" s="137"/>
      <c r="BA193" s="137"/>
      <c r="BB193" s="137"/>
      <c r="BC193" s="137"/>
      <c r="BD193" s="137"/>
      <c r="BE193" s="138"/>
      <c r="BF193" s="138"/>
      <c r="BG193" s="138"/>
      <c r="BH193" s="138"/>
      <c r="BI193" s="138"/>
      <c r="BJ193" s="138"/>
      <c r="BK193" s="138"/>
      <c r="BL193" s="138"/>
      <c r="BM193" s="138">
        <v>61.9</v>
      </c>
      <c r="BN193" s="157">
        <v>41837</v>
      </c>
      <c r="BO193" s="138"/>
      <c r="BP193" s="138"/>
      <c r="BQ193" s="138"/>
      <c r="BR193" s="138"/>
      <c r="BS193" s="138">
        <v>49.03</v>
      </c>
      <c r="BT193" s="157">
        <v>41837</v>
      </c>
      <c r="BU193" s="138">
        <v>40.200000000000003</v>
      </c>
      <c r="BV193" s="157">
        <v>41837</v>
      </c>
      <c r="BW193" s="138">
        <v>14.2</v>
      </c>
      <c r="BX193" s="157">
        <v>41837</v>
      </c>
      <c r="BY193" s="138"/>
      <c r="BZ193" s="138"/>
      <c r="CA193" s="138"/>
      <c r="CB193" s="138"/>
      <c r="CC193" s="138">
        <v>7.9</v>
      </c>
      <c r="CD193" s="157">
        <v>41837</v>
      </c>
      <c r="CE193" s="138"/>
      <c r="CF193" s="138"/>
      <c r="CG193" s="138"/>
      <c r="CH193" s="138"/>
      <c r="CI193" s="138">
        <v>7</v>
      </c>
      <c r="CJ193" s="138"/>
      <c r="CK193" s="138"/>
      <c r="CL193" s="138"/>
      <c r="CM193" s="138"/>
    </row>
    <row r="194" spans="1:91">
      <c r="A194" s="159" t="s">
        <v>7710</v>
      </c>
      <c r="B194" s="112" t="s">
        <v>271</v>
      </c>
      <c r="C194" s="112">
        <v>1</v>
      </c>
      <c r="D194" s="112">
        <v>150</v>
      </c>
      <c r="E194" s="113">
        <v>13</v>
      </c>
      <c r="F194" s="113">
        <v>6</v>
      </c>
      <c r="M194" s="185">
        <v>6.82</v>
      </c>
      <c r="N194" s="157">
        <v>41837</v>
      </c>
      <c r="R194" s="185"/>
      <c r="S194" s="137">
        <v>18.829999999999998</v>
      </c>
      <c r="T194" s="157">
        <v>41837</v>
      </c>
      <c r="U194" s="142">
        <v>18</v>
      </c>
      <c r="Y194" s="142">
        <f t="shared" ref="Y194:Y257" si="3">(AE194*BU194)/100</f>
        <v>15.158880000000002</v>
      </c>
      <c r="Z194" s="157">
        <v>41837</v>
      </c>
      <c r="AE194" s="137">
        <v>38.28</v>
      </c>
      <c r="AF194" s="157">
        <v>41837</v>
      </c>
      <c r="AG194" s="185"/>
      <c r="AH194" s="157">
        <v>41837</v>
      </c>
      <c r="AM194" s="137">
        <v>94</v>
      </c>
      <c r="BM194" s="138">
        <v>59.3</v>
      </c>
      <c r="BN194" s="157">
        <v>41837</v>
      </c>
      <c r="BS194" s="138">
        <v>49.19</v>
      </c>
      <c r="BT194" s="157">
        <v>41837</v>
      </c>
      <c r="BU194" s="138">
        <v>39.6</v>
      </c>
      <c r="BV194" s="157">
        <v>41837</v>
      </c>
      <c r="BW194" s="138">
        <v>18</v>
      </c>
      <c r="BX194" s="157">
        <v>41837</v>
      </c>
      <c r="CC194" s="138">
        <v>7.3</v>
      </c>
      <c r="CD194" s="157">
        <v>41837</v>
      </c>
      <c r="CI194" s="138">
        <v>9</v>
      </c>
    </row>
    <row r="195" spans="1:91">
      <c r="A195" s="159" t="s">
        <v>7621</v>
      </c>
      <c r="B195" s="112" t="s">
        <v>271</v>
      </c>
      <c r="C195" s="112">
        <v>1</v>
      </c>
      <c r="D195" s="112">
        <v>160</v>
      </c>
      <c r="E195" s="113">
        <v>14</v>
      </c>
      <c r="F195" s="113">
        <v>6</v>
      </c>
      <c r="M195" s="185">
        <v>6.38</v>
      </c>
      <c r="N195" s="157">
        <v>41837</v>
      </c>
      <c r="R195" s="185"/>
      <c r="S195" s="137">
        <v>18.100000000000001</v>
      </c>
      <c r="T195" s="157">
        <v>41837</v>
      </c>
      <c r="U195" s="142">
        <v>18</v>
      </c>
      <c r="Y195" s="142">
        <f t="shared" si="3"/>
        <v>15.068899999999999</v>
      </c>
      <c r="Z195" s="157">
        <v>41837</v>
      </c>
      <c r="AE195" s="137">
        <v>36.049999999999997</v>
      </c>
      <c r="AF195" s="157">
        <v>41837</v>
      </c>
      <c r="AG195" s="185"/>
      <c r="AH195" s="157">
        <v>41837</v>
      </c>
      <c r="AM195" s="137">
        <v>96</v>
      </c>
      <c r="BM195" s="138">
        <v>62.92</v>
      </c>
      <c r="BN195" s="157">
        <v>41837</v>
      </c>
      <c r="BS195" s="138">
        <v>50.21</v>
      </c>
      <c r="BT195" s="157">
        <v>41837</v>
      </c>
      <c r="BU195" s="138">
        <v>41.8</v>
      </c>
      <c r="BV195" s="157">
        <v>41837</v>
      </c>
      <c r="BW195" s="138">
        <v>51.2</v>
      </c>
      <c r="BX195" s="157">
        <v>41837</v>
      </c>
      <c r="CC195" s="138">
        <v>6.7</v>
      </c>
      <c r="CD195" s="157">
        <v>41837</v>
      </c>
      <c r="CI195" s="138">
        <v>9</v>
      </c>
    </row>
    <row r="196" spans="1:91">
      <c r="A196" s="159" t="s">
        <v>7742</v>
      </c>
      <c r="B196" s="112" t="s">
        <v>271</v>
      </c>
      <c r="C196" s="112">
        <v>1</v>
      </c>
      <c r="D196" s="112">
        <v>15</v>
      </c>
      <c r="E196" s="113">
        <v>15</v>
      </c>
      <c r="F196" s="113">
        <v>6</v>
      </c>
      <c r="I196" s="200"/>
      <c r="K196" s="142"/>
      <c r="M196" s="185">
        <v>4.91</v>
      </c>
      <c r="N196" s="157">
        <v>41837</v>
      </c>
      <c r="Q196" s="142"/>
      <c r="R196" s="185"/>
      <c r="S196" s="142">
        <v>12.84</v>
      </c>
      <c r="T196" s="157">
        <v>41837</v>
      </c>
      <c r="U196" s="142">
        <v>18</v>
      </c>
      <c r="W196" s="142"/>
      <c r="Y196" s="142">
        <f t="shared" si="3"/>
        <v>10.82288</v>
      </c>
      <c r="Z196" s="157">
        <v>41837</v>
      </c>
      <c r="AA196" s="142"/>
      <c r="AE196" s="142">
        <v>27.68</v>
      </c>
      <c r="AF196" s="157">
        <v>41837</v>
      </c>
      <c r="AG196" s="185"/>
      <c r="AH196" s="157">
        <v>41837</v>
      </c>
      <c r="AK196" s="142"/>
      <c r="AM196" s="142">
        <v>96</v>
      </c>
      <c r="BM196" s="138">
        <v>63.15</v>
      </c>
      <c r="BN196" s="157">
        <v>41837</v>
      </c>
      <c r="BS196" s="138">
        <v>46.37</v>
      </c>
      <c r="BT196" s="157">
        <v>41837</v>
      </c>
      <c r="BU196" s="138">
        <v>39.1</v>
      </c>
      <c r="BV196" s="157">
        <v>41837</v>
      </c>
      <c r="BW196" s="138">
        <v>60.3</v>
      </c>
      <c r="BX196" s="157">
        <v>41837</v>
      </c>
      <c r="CC196" s="138">
        <v>6.9</v>
      </c>
      <c r="CD196" s="157">
        <v>41837</v>
      </c>
      <c r="CI196" s="138">
        <v>3</v>
      </c>
    </row>
    <row r="197" spans="1:91">
      <c r="A197" s="159" t="s">
        <v>7704</v>
      </c>
      <c r="B197" s="112" t="s">
        <v>271</v>
      </c>
      <c r="C197" s="112">
        <v>1</v>
      </c>
      <c r="D197" s="112">
        <v>164</v>
      </c>
      <c r="E197" s="113">
        <v>16</v>
      </c>
      <c r="F197" s="113">
        <v>6</v>
      </c>
      <c r="M197" s="185">
        <v>5.49</v>
      </c>
      <c r="N197" s="157">
        <v>41837</v>
      </c>
      <c r="R197" s="185"/>
      <c r="S197" s="137">
        <v>14.41</v>
      </c>
      <c r="T197" s="157">
        <v>41837</v>
      </c>
      <c r="U197" s="142">
        <v>18</v>
      </c>
      <c r="Y197" s="142">
        <f t="shared" si="3"/>
        <v>12.638250000000001</v>
      </c>
      <c r="Z197" s="157">
        <v>41837</v>
      </c>
      <c r="AE197" s="137">
        <v>30.75</v>
      </c>
      <c r="AF197" s="157">
        <v>41837</v>
      </c>
      <c r="AG197" s="185"/>
      <c r="AH197" s="157">
        <v>41837</v>
      </c>
      <c r="AM197" s="137">
        <v>96</v>
      </c>
      <c r="BM197" s="138">
        <v>60.12</v>
      </c>
      <c r="BN197" s="157">
        <v>41837</v>
      </c>
      <c r="BS197" s="138">
        <v>46.87</v>
      </c>
      <c r="BT197" s="157">
        <v>41837</v>
      </c>
      <c r="BU197" s="138">
        <v>41.1</v>
      </c>
      <c r="BV197" s="157">
        <v>41837</v>
      </c>
      <c r="BW197" s="138">
        <v>26.2</v>
      </c>
      <c r="BX197" s="157">
        <v>41837</v>
      </c>
      <c r="CC197" s="138">
        <v>7.5</v>
      </c>
      <c r="CD197" s="157">
        <v>41837</v>
      </c>
      <c r="CI197" s="138">
        <v>7</v>
      </c>
    </row>
    <row r="198" spans="1:91">
      <c r="A198" s="159" t="s">
        <v>7623</v>
      </c>
      <c r="B198" s="112" t="s">
        <v>271</v>
      </c>
      <c r="C198" s="112">
        <v>1</v>
      </c>
      <c r="D198" s="112">
        <v>117</v>
      </c>
      <c r="E198" s="113">
        <v>17</v>
      </c>
      <c r="F198" s="113">
        <v>6</v>
      </c>
      <c r="M198" s="185">
        <v>3.54</v>
      </c>
      <c r="N198" s="157">
        <v>41837</v>
      </c>
      <c r="R198" s="185"/>
      <c r="S198" s="137">
        <v>9.74</v>
      </c>
      <c r="T198" s="157">
        <v>41837</v>
      </c>
      <c r="U198" s="142">
        <v>18</v>
      </c>
      <c r="Y198" s="142">
        <f t="shared" si="3"/>
        <v>8.3483400000000003</v>
      </c>
      <c r="Z198" s="157">
        <v>41837</v>
      </c>
      <c r="AE198" s="137">
        <v>20.02</v>
      </c>
      <c r="AF198" s="157">
        <v>41837</v>
      </c>
      <c r="AG198" s="185"/>
      <c r="AH198" s="157">
        <v>41837</v>
      </c>
      <c r="AM198" s="137">
        <v>83</v>
      </c>
      <c r="BM198" s="138">
        <v>60.14</v>
      </c>
      <c r="BN198" s="157">
        <v>41837</v>
      </c>
      <c r="BS198" s="138">
        <v>48.65</v>
      </c>
      <c r="BT198" s="157">
        <v>41837</v>
      </c>
      <c r="BU198" s="138">
        <v>41.7</v>
      </c>
      <c r="BV198" s="157">
        <v>41837</v>
      </c>
      <c r="BW198" s="138">
        <v>55.2</v>
      </c>
      <c r="BX198" s="157">
        <v>41837</v>
      </c>
      <c r="CC198" s="138">
        <v>6.6</v>
      </c>
      <c r="CD198" s="157">
        <v>41837</v>
      </c>
      <c r="CI198" s="138">
        <v>1</v>
      </c>
    </row>
    <row r="199" spans="1:91">
      <c r="A199" s="159" t="s">
        <v>8126</v>
      </c>
      <c r="B199" s="112" t="s">
        <v>271</v>
      </c>
      <c r="C199" s="112">
        <v>1</v>
      </c>
      <c r="D199" s="112">
        <v>87</v>
      </c>
      <c r="E199" s="113">
        <v>18</v>
      </c>
      <c r="F199" s="113">
        <v>6</v>
      </c>
      <c r="M199" s="185">
        <v>9.4600000000000009</v>
      </c>
      <c r="N199" s="157">
        <v>41837</v>
      </c>
      <c r="R199" s="185"/>
      <c r="S199" s="137">
        <v>27.01</v>
      </c>
      <c r="T199" s="157">
        <v>41837</v>
      </c>
      <c r="U199" s="142">
        <v>18</v>
      </c>
      <c r="Y199" s="142">
        <f t="shared" si="3"/>
        <v>20.928880000000003</v>
      </c>
      <c r="Z199" s="157">
        <v>41837</v>
      </c>
      <c r="AE199" s="137">
        <v>53.39</v>
      </c>
      <c r="AF199" s="157">
        <v>41837</v>
      </c>
      <c r="AG199" s="185"/>
      <c r="AH199" s="157">
        <v>41837</v>
      </c>
      <c r="AM199" s="137">
        <v>85</v>
      </c>
      <c r="BM199" s="138">
        <v>60.93</v>
      </c>
      <c r="BN199" s="157">
        <v>41837</v>
      </c>
      <c r="BS199" s="138">
        <v>50.59</v>
      </c>
      <c r="BT199" s="157">
        <v>41837</v>
      </c>
      <c r="BU199" s="138">
        <v>39.200000000000003</v>
      </c>
      <c r="BV199" s="157">
        <v>41837</v>
      </c>
      <c r="BW199" s="138">
        <v>16.399999999999999</v>
      </c>
      <c r="BX199" s="157">
        <v>41837</v>
      </c>
      <c r="CC199" s="138">
        <v>6.8</v>
      </c>
      <c r="CD199" s="157">
        <v>41837</v>
      </c>
      <c r="CI199" s="138">
        <v>9</v>
      </c>
    </row>
    <row r="200" spans="1:91">
      <c r="A200" s="159" t="s">
        <v>7792</v>
      </c>
      <c r="B200" s="112" t="s">
        <v>271</v>
      </c>
      <c r="C200" s="112">
        <v>1</v>
      </c>
      <c r="D200" s="112">
        <v>112</v>
      </c>
      <c r="E200" s="113">
        <v>19</v>
      </c>
      <c r="F200" s="113">
        <v>6</v>
      </c>
      <c r="M200" s="185">
        <v>6.33</v>
      </c>
      <c r="N200" s="157">
        <v>41837</v>
      </c>
      <c r="R200" s="185"/>
      <c r="S200" s="137">
        <v>17.63</v>
      </c>
      <c r="T200" s="157">
        <v>41837</v>
      </c>
      <c r="U200" s="142">
        <v>18</v>
      </c>
      <c r="Y200" s="142">
        <f t="shared" si="3"/>
        <v>14.661599999999998</v>
      </c>
      <c r="Z200" s="157">
        <v>41837</v>
      </c>
      <c r="AE200" s="137">
        <v>35.76</v>
      </c>
      <c r="AF200" s="157">
        <v>41837</v>
      </c>
      <c r="AG200" s="185"/>
      <c r="AH200" s="157">
        <v>41837</v>
      </c>
      <c r="AM200" s="137">
        <v>94</v>
      </c>
      <c r="BM200" s="138">
        <v>60.47</v>
      </c>
      <c r="BN200" s="157">
        <v>41837</v>
      </c>
      <c r="BS200" s="138">
        <v>49.31</v>
      </c>
      <c r="BT200" s="157">
        <v>41837</v>
      </c>
      <c r="BU200" s="138">
        <v>41</v>
      </c>
      <c r="BV200" s="157">
        <v>41837</v>
      </c>
      <c r="BW200" s="138">
        <v>14.8</v>
      </c>
      <c r="BX200" s="157">
        <v>41837</v>
      </c>
      <c r="CC200" s="138">
        <v>6.7</v>
      </c>
      <c r="CD200" s="157">
        <v>41837</v>
      </c>
      <c r="CI200" s="138">
        <v>9</v>
      </c>
    </row>
    <row r="201" spans="1:91">
      <c r="A201" s="159" t="s">
        <v>7744</v>
      </c>
      <c r="B201" s="112" t="s">
        <v>271</v>
      </c>
      <c r="C201" s="112">
        <v>1</v>
      </c>
      <c r="D201" s="112">
        <v>20</v>
      </c>
      <c r="E201" s="113">
        <v>20</v>
      </c>
      <c r="F201" s="113">
        <v>6</v>
      </c>
      <c r="I201" s="200"/>
      <c r="K201" s="142"/>
      <c r="M201" s="185">
        <v>2.94</v>
      </c>
      <c r="N201" s="157">
        <v>41837</v>
      </c>
      <c r="Q201" s="142"/>
      <c r="R201" s="185"/>
      <c r="S201" s="142">
        <v>7.65</v>
      </c>
      <c r="T201" s="157">
        <v>41837</v>
      </c>
      <c r="U201" s="142">
        <v>18</v>
      </c>
      <c r="W201" s="142"/>
      <c r="Y201" s="142">
        <f t="shared" si="3"/>
        <v>6.8431499999999996</v>
      </c>
      <c r="Z201" s="157">
        <v>41837</v>
      </c>
      <c r="AA201" s="142"/>
      <c r="AE201" s="142">
        <v>16.649999999999999</v>
      </c>
      <c r="AF201" s="157">
        <v>41837</v>
      </c>
      <c r="AG201" s="185"/>
      <c r="AH201" s="157">
        <v>41837</v>
      </c>
      <c r="AK201" s="142"/>
      <c r="AM201" s="142">
        <v>92</v>
      </c>
      <c r="BM201" s="138">
        <v>63.25</v>
      </c>
      <c r="BN201" s="157">
        <v>41837</v>
      </c>
      <c r="BS201" s="138">
        <v>45.96</v>
      </c>
      <c r="BT201" s="157">
        <v>41837</v>
      </c>
      <c r="BU201" s="138">
        <v>41.1</v>
      </c>
      <c r="BV201" s="157">
        <v>41837</v>
      </c>
      <c r="BW201" s="138">
        <v>56.3</v>
      </c>
      <c r="BX201" s="157">
        <v>41837</v>
      </c>
      <c r="CC201" s="138">
        <v>6.5</v>
      </c>
      <c r="CD201" s="157">
        <v>41837</v>
      </c>
      <c r="CI201" s="138">
        <v>1</v>
      </c>
    </row>
    <row r="202" spans="1:91">
      <c r="A202" s="189" t="s">
        <v>7762</v>
      </c>
      <c r="B202" s="190" t="s">
        <v>271</v>
      </c>
      <c r="C202" s="190">
        <v>1</v>
      </c>
      <c r="D202" s="190">
        <v>2</v>
      </c>
      <c r="E202" s="191">
        <v>21</v>
      </c>
      <c r="F202" s="191">
        <v>6</v>
      </c>
      <c r="G202" s="191"/>
      <c r="H202" s="191"/>
      <c r="I202" s="201"/>
      <c r="J202" s="190"/>
      <c r="K202" s="192"/>
      <c r="L202" s="193"/>
      <c r="M202" s="194">
        <v>2.14</v>
      </c>
      <c r="N202" s="193">
        <v>41837</v>
      </c>
      <c r="P202" s="193"/>
      <c r="Q202" s="192"/>
      <c r="R202" s="194"/>
      <c r="S202" s="192">
        <v>5.39</v>
      </c>
      <c r="T202" s="193">
        <v>41837</v>
      </c>
      <c r="U202" s="192">
        <v>18</v>
      </c>
      <c r="V202" s="193"/>
      <c r="W202" s="192"/>
      <c r="X202" s="193"/>
      <c r="Y202" s="192">
        <f t="shared" si="3"/>
        <v>4.6457899999999999</v>
      </c>
      <c r="Z202" s="193">
        <v>41837</v>
      </c>
      <c r="AA202" s="192"/>
      <c r="AB202" s="193"/>
      <c r="AC202" s="195"/>
      <c r="AD202" s="193"/>
      <c r="AE202" s="192">
        <v>12.13</v>
      </c>
      <c r="AF202" s="193">
        <v>41837</v>
      </c>
      <c r="AG202" s="194"/>
      <c r="AH202" s="193">
        <v>41837</v>
      </c>
      <c r="AI202" s="193"/>
      <c r="AJ202" s="193"/>
      <c r="AK202" s="192"/>
      <c r="AL202" s="193"/>
      <c r="AM202" s="192">
        <v>96</v>
      </c>
      <c r="AN202" s="193"/>
      <c r="AO202" s="195"/>
      <c r="AP202" s="195"/>
      <c r="AQ202" s="195"/>
      <c r="AR202" s="195"/>
      <c r="AS202" s="195"/>
      <c r="AT202" s="195"/>
      <c r="AU202" s="195"/>
      <c r="AV202" s="195"/>
      <c r="AW202" s="195"/>
      <c r="AX202" s="195"/>
      <c r="AY202" s="195"/>
      <c r="AZ202" s="195"/>
      <c r="BA202" s="195"/>
      <c r="BB202" s="195"/>
      <c r="BC202" s="195"/>
      <c r="BD202" s="195"/>
      <c r="BE202" s="196"/>
      <c r="BF202" s="196"/>
      <c r="BG202" s="196"/>
      <c r="BH202" s="196"/>
      <c r="BI202" s="196"/>
      <c r="BJ202" s="196"/>
      <c r="BK202" s="196"/>
      <c r="BL202" s="196"/>
      <c r="BM202" s="196">
        <v>59.27</v>
      </c>
      <c r="BN202" s="193">
        <v>41837</v>
      </c>
      <c r="BO202" s="196"/>
      <c r="BP202" s="196"/>
      <c r="BQ202" s="196"/>
      <c r="BR202" s="196"/>
      <c r="BS202" s="196">
        <v>44.42</v>
      </c>
      <c r="BT202" s="193">
        <v>41837</v>
      </c>
      <c r="BU202" s="196">
        <v>38.299999999999997</v>
      </c>
      <c r="BV202" s="193">
        <v>41837</v>
      </c>
      <c r="BW202" s="196">
        <v>58.7</v>
      </c>
      <c r="BX202" s="193">
        <v>41837</v>
      </c>
      <c r="BY202" s="196"/>
      <c r="BZ202" s="196"/>
      <c r="CA202" s="196"/>
      <c r="CB202" s="196"/>
      <c r="CC202" s="196">
        <v>6.4</v>
      </c>
      <c r="CD202" s="193">
        <v>41837</v>
      </c>
      <c r="CE202" s="196"/>
      <c r="CF202" s="196"/>
      <c r="CG202" s="196"/>
      <c r="CH202" s="196"/>
      <c r="CI202" s="196">
        <v>3</v>
      </c>
      <c r="CJ202" s="196"/>
      <c r="CK202" s="196"/>
      <c r="CL202" s="196"/>
      <c r="CM202" s="196"/>
    </row>
    <row r="203" spans="1:91">
      <c r="A203" s="159" t="s">
        <v>7642</v>
      </c>
      <c r="B203" s="112" t="s">
        <v>271</v>
      </c>
      <c r="C203" s="112">
        <v>1</v>
      </c>
      <c r="D203" s="112">
        <v>155</v>
      </c>
      <c r="E203" s="113">
        <v>22</v>
      </c>
      <c r="F203" s="113">
        <v>6</v>
      </c>
      <c r="M203" s="185">
        <v>5.48</v>
      </c>
      <c r="N203" s="157">
        <v>41837</v>
      </c>
      <c r="R203" s="185"/>
      <c r="S203" s="137">
        <v>14.47</v>
      </c>
      <c r="T203" s="157">
        <v>41837</v>
      </c>
      <c r="U203" s="142">
        <v>18</v>
      </c>
      <c r="Y203" s="142">
        <f t="shared" si="3"/>
        <v>12.798869999999999</v>
      </c>
      <c r="Z203" s="157">
        <v>41837</v>
      </c>
      <c r="AE203" s="137">
        <v>30.99</v>
      </c>
      <c r="AF203" s="157">
        <v>41837</v>
      </c>
      <c r="AG203" s="185"/>
      <c r="AH203" s="157">
        <v>41837</v>
      </c>
      <c r="AM203" s="137">
        <v>90</v>
      </c>
      <c r="BM203" s="138">
        <v>66.08</v>
      </c>
      <c r="BN203" s="157">
        <v>41837</v>
      </c>
      <c r="BS203" s="138">
        <v>46.69</v>
      </c>
      <c r="BT203" s="157">
        <v>41837</v>
      </c>
      <c r="BU203" s="138">
        <v>41.3</v>
      </c>
      <c r="BV203" s="157">
        <v>41837</v>
      </c>
      <c r="BW203" s="138">
        <v>51.2</v>
      </c>
      <c r="BX203" s="157">
        <v>41837</v>
      </c>
      <c r="CC203" s="138">
        <v>6.6</v>
      </c>
      <c r="CD203" s="157">
        <v>41837</v>
      </c>
      <c r="CI203" s="138">
        <v>7</v>
      </c>
    </row>
    <row r="204" spans="1:91">
      <c r="A204" s="159" t="s">
        <v>7680</v>
      </c>
      <c r="B204" s="112" t="s">
        <v>271</v>
      </c>
      <c r="C204" s="112">
        <v>1</v>
      </c>
      <c r="D204" s="112">
        <v>109</v>
      </c>
      <c r="E204" s="113">
        <v>23</v>
      </c>
      <c r="F204" s="113">
        <v>6</v>
      </c>
      <c r="M204" s="185">
        <v>5</v>
      </c>
      <c r="N204" s="157">
        <v>41837</v>
      </c>
      <c r="R204" s="185"/>
      <c r="S204" s="137">
        <v>14.13</v>
      </c>
      <c r="T204" s="157">
        <v>41837</v>
      </c>
      <c r="U204" s="142">
        <v>18</v>
      </c>
      <c r="Y204" s="142">
        <f t="shared" si="3"/>
        <v>10.831240000000001</v>
      </c>
      <c r="Z204" s="157">
        <v>41837</v>
      </c>
      <c r="AE204" s="137">
        <v>28.28</v>
      </c>
      <c r="AF204" s="157">
        <v>41837</v>
      </c>
      <c r="AG204" s="185"/>
      <c r="AH204" s="157">
        <v>41837</v>
      </c>
      <c r="AM204" s="137">
        <v>90</v>
      </c>
      <c r="BM204" s="138">
        <v>60.91</v>
      </c>
      <c r="BN204" s="157">
        <v>41837</v>
      </c>
      <c r="BS204" s="138">
        <v>49.96</v>
      </c>
      <c r="BT204" s="157">
        <v>41837</v>
      </c>
      <c r="BU204" s="138">
        <v>38.299999999999997</v>
      </c>
      <c r="BV204" s="157">
        <v>41837</v>
      </c>
      <c r="BW204" s="138">
        <v>14.4</v>
      </c>
      <c r="BX204" s="157">
        <v>41837</v>
      </c>
      <c r="CC204" s="138">
        <v>6.6</v>
      </c>
      <c r="CD204" s="157">
        <v>41837</v>
      </c>
      <c r="CI204" s="138">
        <v>5</v>
      </c>
    </row>
    <row r="205" spans="1:91">
      <c r="A205" s="159" t="s">
        <v>7803</v>
      </c>
      <c r="B205" s="112" t="s">
        <v>271</v>
      </c>
      <c r="C205" s="112">
        <v>1</v>
      </c>
      <c r="D205" s="112">
        <v>74</v>
      </c>
      <c r="E205" s="113">
        <v>24</v>
      </c>
      <c r="F205" s="113">
        <v>6</v>
      </c>
      <c r="M205" s="185">
        <v>7.81</v>
      </c>
      <c r="N205" s="157">
        <v>41837</v>
      </c>
      <c r="R205" s="185"/>
      <c r="S205" s="137">
        <v>22.49</v>
      </c>
      <c r="T205" s="157">
        <v>41837</v>
      </c>
      <c r="U205" s="142">
        <v>18</v>
      </c>
      <c r="Y205" s="142">
        <f t="shared" si="3"/>
        <v>16.907519999999998</v>
      </c>
      <c r="Z205" s="157">
        <v>41837</v>
      </c>
      <c r="AE205" s="137">
        <v>44.03</v>
      </c>
      <c r="AF205" s="157">
        <v>41837</v>
      </c>
      <c r="AG205" s="185"/>
      <c r="AH205" s="157">
        <v>41837</v>
      </c>
      <c r="AM205" s="137">
        <v>92</v>
      </c>
      <c r="BM205" s="138">
        <v>60.72</v>
      </c>
      <c r="BN205" s="157">
        <v>41837</v>
      </c>
      <c r="BS205" s="138">
        <v>51.09</v>
      </c>
      <c r="BT205" s="157">
        <v>41837</v>
      </c>
      <c r="BU205" s="138">
        <v>38.4</v>
      </c>
      <c r="BV205" s="157">
        <v>41837</v>
      </c>
      <c r="BW205" s="138">
        <v>12.5</v>
      </c>
      <c r="BX205" s="157">
        <v>41837</v>
      </c>
      <c r="CC205" s="138">
        <v>6.9</v>
      </c>
      <c r="CD205" s="157">
        <v>41837</v>
      </c>
      <c r="CI205" s="138">
        <v>5</v>
      </c>
    </row>
    <row r="206" spans="1:91" s="196" customFormat="1">
      <c r="A206" s="189" t="s">
        <v>7739</v>
      </c>
      <c r="B206" s="190" t="s">
        <v>271</v>
      </c>
      <c r="C206" s="190">
        <v>1</v>
      </c>
      <c r="D206" s="190">
        <v>46</v>
      </c>
      <c r="E206" s="191">
        <v>25</v>
      </c>
      <c r="F206" s="191">
        <v>6</v>
      </c>
      <c r="G206" s="191"/>
      <c r="H206" s="191"/>
      <c r="I206" s="190"/>
      <c r="J206" s="190"/>
      <c r="K206" s="195"/>
      <c r="L206" s="193"/>
      <c r="M206" s="194">
        <v>5.0599999999999996</v>
      </c>
      <c r="N206" s="193">
        <v>41837</v>
      </c>
      <c r="O206" s="137"/>
      <c r="P206" s="193"/>
      <c r="Q206" s="195"/>
      <c r="R206" s="194"/>
      <c r="S206" s="195">
        <v>13.93</v>
      </c>
      <c r="T206" s="193">
        <v>41837</v>
      </c>
      <c r="U206" s="192">
        <v>18</v>
      </c>
      <c r="V206" s="193"/>
      <c r="W206" s="195"/>
      <c r="X206" s="193"/>
      <c r="Y206" s="192">
        <f t="shared" si="3"/>
        <v>11.1501</v>
      </c>
      <c r="Z206" s="193">
        <v>41837</v>
      </c>
      <c r="AA206" s="195"/>
      <c r="AB206" s="193"/>
      <c r="AC206" s="195"/>
      <c r="AD206" s="193"/>
      <c r="AE206" s="195">
        <v>28.59</v>
      </c>
      <c r="AF206" s="193">
        <v>41837</v>
      </c>
      <c r="AG206" s="194"/>
      <c r="AH206" s="193">
        <v>41837</v>
      </c>
      <c r="AI206" s="193"/>
      <c r="AJ206" s="193"/>
      <c r="AK206" s="195"/>
      <c r="AL206" s="193"/>
      <c r="AM206" s="195">
        <v>92</v>
      </c>
      <c r="AN206" s="193"/>
      <c r="AO206" s="195"/>
      <c r="AP206" s="195"/>
      <c r="AQ206" s="195"/>
      <c r="AR206" s="195"/>
      <c r="AS206" s="195"/>
      <c r="AT206" s="195"/>
      <c r="AU206" s="195"/>
      <c r="AV206" s="195"/>
      <c r="AW206" s="195"/>
      <c r="AX206" s="195"/>
      <c r="AY206" s="195"/>
      <c r="AZ206" s="195"/>
      <c r="BA206" s="195"/>
      <c r="BB206" s="195"/>
      <c r="BC206" s="195"/>
      <c r="BD206" s="195"/>
      <c r="BM206" s="196">
        <v>59.21</v>
      </c>
      <c r="BN206" s="193">
        <v>41837</v>
      </c>
      <c r="BS206" s="196">
        <v>48.71</v>
      </c>
      <c r="BT206" s="193">
        <v>41837</v>
      </c>
      <c r="BU206" s="196">
        <v>39</v>
      </c>
      <c r="BV206" s="193">
        <v>41837</v>
      </c>
      <c r="BW206" s="196">
        <v>17.399999999999999</v>
      </c>
      <c r="BX206" s="193">
        <v>41837</v>
      </c>
      <c r="CC206" s="196">
        <v>6.7</v>
      </c>
      <c r="CD206" s="193">
        <v>41837</v>
      </c>
      <c r="CI206" s="196">
        <v>5</v>
      </c>
    </row>
    <row r="207" spans="1:91" s="196" customFormat="1">
      <c r="A207" s="159" t="s">
        <v>7616</v>
      </c>
      <c r="B207" s="112" t="s">
        <v>271</v>
      </c>
      <c r="C207" s="112">
        <v>1</v>
      </c>
      <c r="D207" s="112">
        <v>49</v>
      </c>
      <c r="E207" s="113">
        <v>26</v>
      </c>
      <c r="F207" s="113">
        <v>6</v>
      </c>
      <c r="G207" s="113"/>
      <c r="H207" s="113"/>
      <c r="I207" s="112"/>
      <c r="J207" s="112"/>
      <c r="K207" s="137"/>
      <c r="L207" s="157"/>
      <c r="M207" s="185">
        <v>2.9</v>
      </c>
      <c r="N207" s="157">
        <v>41837</v>
      </c>
      <c r="O207" s="137"/>
      <c r="P207" s="157"/>
      <c r="Q207" s="137"/>
      <c r="R207" s="185"/>
      <c r="S207" s="137">
        <v>7.81</v>
      </c>
      <c r="T207" s="157">
        <v>41837</v>
      </c>
      <c r="U207" s="142">
        <v>18</v>
      </c>
      <c r="V207" s="157"/>
      <c r="W207" s="137"/>
      <c r="X207" s="157"/>
      <c r="Y207" s="142">
        <f t="shared" si="3"/>
        <v>6.6209400000000009</v>
      </c>
      <c r="Z207" s="157">
        <v>41837</v>
      </c>
      <c r="AA207" s="137"/>
      <c r="AB207" s="157"/>
      <c r="AC207" s="137"/>
      <c r="AD207" s="157"/>
      <c r="AE207" s="137">
        <v>16.47</v>
      </c>
      <c r="AF207" s="157">
        <v>41837</v>
      </c>
      <c r="AG207" s="185"/>
      <c r="AH207" s="157">
        <v>41837</v>
      </c>
      <c r="AI207" s="157"/>
      <c r="AJ207" s="157"/>
      <c r="AK207" s="137"/>
      <c r="AL207" s="157"/>
      <c r="AM207" s="137">
        <v>78</v>
      </c>
      <c r="AN207" s="157"/>
      <c r="AO207" s="137"/>
      <c r="AP207" s="137"/>
      <c r="AQ207" s="137"/>
      <c r="AR207" s="137"/>
      <c r="AS207" s="137"/>
      <c r="AT207" s="137"/>
      <c r="AU207" s="137"/>
      <c r="AV207" s="137"/>
      <c r="AW207" s="137"/>
      <c r="AX207" s="137"/>
      <c r="AY207" s="137"/>
      <c r="AZ207" s="137"/>
      <c r="BA207" s="137"/>
      <c r="BB207" s="137"/>
      <c r="BC207" s="137"/>
      <c r="BD207" s="137"/>
      <c r="BE207" s="138"/>
      <c r="BF207" s="138"/>
      <c r="BG207" s="138"/>
      <c r="BH207" s="138"/>
      <c r="BI207" s="138"/>
      <c r="BJ207" s="138"/>
      <c r="BK207" s="138"/>
      <c r="BL207" s="138"/>
      <c r="BM207" s="138">
        <v>62.19</v>
      </c>
      <c r="BN207" s="157">
        <v>41837</v>
      </c>
      <c r="BO207" s="138"/>
      <c r="BP207" s="138"/>
      <c r="BQ207" s="138"/>
      <c r="BR207" s="138"/>
      <c r="BS207" s="138">
        <v>47.44</v>
      </c>
      <c r="BT207" s="157">
        <v>41837</v>
      </c>
      <c r="BU207" s="138">
        <v>40.200000000000003</v>
      </c>
      <c r="BV207" s="157">
        <v>41837</v>
      </c>
      <c r="BW207" s="138">
        <v>56.2</v>
      </c>
      <c r="BX207" s="157">
        <v>41837</v>
      </c>
      <c r="BY207" s="138"/>
      <c r="BZ207" s="138"/>
      <c r="CA207" s="138"/>
      <c r="CB207" s="138"/>
      <c r="CC207" s="138">
        <v>6.2</v>
      </c>
      <c r="CD207" s="157">
        <v>41837</v>
      </c>
      <c r="CE207" s="138"/>
      <c r="CF207" s="138"/>
      <c r="CG207" s="138"/>
      <c r="CH207" s="138"/>
      <c r="CI207" s="138">
        <v>3</v>
      </c>
      <c r="CJ207" s="138"/>
      <c r="CK207" s="138"/>
      <c r="CL207" s="138"/>
      <c r="CM207" s="138"/>
    </row>
    <row r="208" spans="1:91" s="196" customFormat="1">
      <c r="A208" s="159" t="s">
        <v>7800</v>
      </c>
      <c r="B208" s="112" t="s">
        <v>271</v>
      </c>
      <c r="C208" s="112">
        <v>1</v>
      </c>
      <c r="D208" s="112">
        <v>96</v>
      </c>
      <c r="E208" s="113">
        <v>27</v>
      </c>
      <c r="F208" s="113">
        <v>6</v>
      </c>
      <c r="G208" s="113"/>
      <c r="H208" s="113"/>
      <c r="I208" s="112"/>
      <c r="J208" s="112"/>
      <c r="K208" s="137"/>
      <c r="L208" s="157"/>
      <c r="M208" s="185">
        <v>7.29</v>
      </c>
      <c r="N208" s="157">
        <v>41837</v>
      </c>
      <c r="O208" s="137"/>
      <c r="P208" s="157"/>
      <c r="Q208" s="137"/>
      <c r="R208" s="185"/>
      <c r="S208" s="137">
        <v>21.01</v>
      </c>
      <c r="T208" s="157">
        <v>41837</v>
      </c>
      <c r="U208" s="142">
        <v>18</v>
      </c>
      <c r="V208" s="157"/>
      <c r="W208" s="137"/>
      <c r="X208" s="157"/>
      <c r="Y208" s="142">
        <f t="shared" si="3"/>
        <v>16.780609999999999</v>
      </c>
      <c r="Z208" s="157">
        <v>41837</v>
      </c>
      <c r="AA208" s="137"/>
      <c r="AB208" s="157"/>
      <c r="AC208" s="137"/>
      <c r="AD208" s="157"/>
      <c r="AE208" s="137">
        <v>41.23</v>
      </c>
      <c r="AF208" s="157">
        <v>41837</v>
      </c>
      <c r="AG208" s="185"/>
      <c r="AH208" s="157">
        <v>41837</v>
      </c>
      <c r="AI208" s="157"/>
      <c r="AJ208" s="157"/>
      <c r="AK208" s="137"/>
      <c r="AL208" s="157"/>
      <c r="AM208" s="137">
        <v>94</v>
      </c>
      <c r="AN208" s="157"/>
      <c r="AO208" s="137"/>
      <c r="AP208" s="137"/>
      <c r="AQ208" s="137"/>
      <c r="AR208" s="137"/>
      <c r="AS208" s="137"/>
      <c r="AT208" s="137"/>
      <c r="AU208" s="137"/>
      <c r="AV208" s="137"/>
      <c r="AW208" s="137"/>
      <c r="AX208" s="137"/>
      <c r="AY208" s="137"/>
      <c r="AZ208" s="137"/>
      <c r="BA208" s="137"/>
      <c r="BB208" s="137"/>
      <c r="BC208" s="137"/>
      <c r="BD208" s="137"/>
      <c r="BE208" s="138"/>
      <c r="BF208" s="138"/>
      <c r="BG208" s="138"/>
      <c r="BH208" s="138"/>
      <c r="BI208" s="138"/>
      <c r="BJ208" s="138"/>
      <c r="BK208" s="138"/>
      <c r="BL208" s="138"/>
      <c r="BM208" s="138">
        <v>60.6</v>
      </c>
      <c r="BN208" s="157">
        <v>41837</v>
      </c>
      <c r="BO208" s="138"/>
      <c r="BP208" s="138"/>
      <c r="BQ208" s="138"/>
      <c r="BR208" s="138"/>
      <c r="BS208" s="138">
        <v>50.95</v>
      </c>
      <c r="BT208" s="157">
        <v>41837</v>
      </c>
      <c r="BU208" s="138">
        <v>40.700000000000003</v>
      </c>
      <c r="BV208" s="157">
        <v>41837</v>
      </c>
      <c r="BW208" s="138">
        <v>10.9</v>
      </c>
      <c r="BX208" s="157">
        <v>41837</v>
      </c>
      <c r="BY208" s="138"/>
      <c r="BZ208" s="138"/>
      <c r="CA208" s="138"/>
      <c r="CB208" s="138"/>
      <c r="CC208" s="138">
        <v>6.6</v>
      </c>
      <c r="CD208" s="157">
        <v>41837</v>
      </c>
      <c r="CE208" s="138"/>
      <c r="CF208" s="138"/>
      <c r="CG208" s="138"/>
      <c r="CH208" s="138"/>
      <c r="CI208" s="138">
        <v>9</v>
      </c>
      <c r="CJ208" s="138"/>
      <c r="CK208" s="138"/>
      <c r="CL208" s="138"/>
      <c r="CM208" s="138"/>
    </row>
    <row r="209" spans="1:91" s="196" customFormat="1">
      <c r="A209" s="159" t="s">
        <v>7697</v>
      </c>
      <c r="B209" s="112" t="s">
        <v>271</v>
      </c>
      <c r="C209" s="112">
        <v>1</v>
      </c>
      <c r="D209" s="112">
        <v>83</v>
      </c>
      <c r="E209" s="113">
        <v>28</v>
      </c>
      <c r="F209" s="113">
        <v>6</v>
      </c>
      <c r="G209" s="113"/>
      <c r="H209" s="113"/>
      <c r="I209" s="112"/>
      <c r="J209" s="112"/>
      <c r="K209" s="137"/>
      <c r="L209" s="157"/>
      <c r="M209" s="185">
        <v>7.04</v>
      </c>
      <c r="N209" s="157">
        <v>41837</v>
      </c>
      <c r="O209" s="137"/>
      <c r="P209" s="157"/>
      <c r="Q209" s="137"/>
      <c r="R209" s="185"/>
      <c r="S209" s="137">
        <v>20.6</v>
      </c>
      <c r="T209" s="157">
        <v>41837</v>
      </c>
      <c r="U209" s="142">
        <v>18</v>
      </c>
      <c r="V209" s="157"/>
      <c r="W209" s="137"/>
      <c r="X209" s="157"/>
      <c r="Y209" s="142">
        <f t="shared" si="3"/>
        <v>16.305700000000002</v>
      </c>
      <c r="Z209" s="157">
        <v>41837</v>
      </c>
      <c r="AA209" s="137"/>
      <c r="AB209" s="157"/>
      <c r="AC209" s="137"/>
      <c r="AD209" s="157"/>
      <c r="AE209" s="137">
        <v>39.770000000000003</v>
      </c>
      <c r="AF209" s="157">
        <v>41837</v>
      </c>
      <c r="AG209" s="185"/>
      <c r="AH209" s="157">
        <v>41837</v>
      </c>
      <c r="AI209" s="157"/>
      <c r="AJ209" s="157"/>
      <c r="AK209" s="137"/>
      <c r="AL209" s="157"/>
      <c r="AM209" s="137">
        <v>96</v>
      </c>
      <c r="AN209" s="157"/>
      <c r="AO209" s="137"/>
      <c r="AP209" s="137"/>
      <c r="AQ209" s="137"/>
      <c r="AR209" s="137"/>
      <c r="AS209" s="137"/>
      <c r="AT209" s="137"/>
      <c r="AU209" s="137"/>
      <c r="AV209" s="137"/>
      <c r="AW209" s="137"/>
      <c r="AX209" s="137"/>
      <c r="AY209" s="137"/>
      <c r="AZ209" s="137"/>
      <c r="BA209" s="137"/>
      <c r="BB209" s="137"/>
      <c r="BC209" s="137"/>
      <c r="BD209" s="137"/>
      <c r="BE209" s="138"/>
      <c r="BF209" s="138"/>
      <c r="BG209" s="138"/>
      <c r="BH209" s="138"/>
      <c r="BI209" s="138"/>
      <c r="BJ209" s="138"/>
      <c r="BK209" s="138"/>
      <c r="BL209" s="138"/>
      <c r="BM209" s="138">
        <v>64.39</v>
      </c>
      <c r="BN209" s="157">
        <v>41837</v>
      </c>
      <c r="BO209" s="138"/>
      <c r="BP209" s="138"/>
      <c r="BQ209" s="138"/>
      <c r="BR209" s="138"/>
      <c r="BS209" s="138">
        <v>51.81</v>
      </c>
      <c r="BT209" s="157">
        <v>41837</v>
      </c>
      <c r="BU209" s="138">
        <v>41</v>
      </c>
      <c r="BV209" s="157">
        <v>41837</v>
      </c>
      <c r="BW209" s="138">
        <v>12.6</v>
      </c>
      <c r="BX209" s="157">
        <v>41837</v>
      </c>
      <c r="BY209" s="138"/>
      <c r="BZ209" s="138"/>
      <c r="CA209" s="138"/>
      <c r="CB209" s="138"/>
      <c r="CC209" s="138">
        <v>6.7</v>
      </c>
      <c r="CD209" s="157">
        <v>41837</v>
      </c>
      <c r="CE209" s="138"/>
      <c r="CF209" s="138"/>
      <c r="CG209" s="138"/>
      <c r="CH209" s="138"/>
      <c r="CI209" s="138">
        <v>9</v>
      </c>
      <c r="CJ209" s="138"/>
      <c r="CK209" s="138"/>
      <c r="CL209" s="138"/>
      <c r="CM209" s="138"/>
    </row>
    <row r="210" spans="1:91">
      <c r="A210" s="159" t="s">
        <v>7813</v>
      </c>
      <c r="B210" s="112" t="s">
        <v>271</v>
      </c>
      <c r="C210" s="112">
        <v>1</v>
      </c>
      <c r="D210" s="112">
        <v>188</v>
      </c>
      <c r="E210" s="113">
        <v>29</v>
      </c>
      <c r="F210" s="113">
        <v>6</v>
      </c>
      <c r="M210" s="185">
        <v>7.52</v>
      </c>
      <c r="N210" s="157">
        <v>41837</v>
      </c>
      <c r="R210" s="185"/>
      <c r="S210" s="137">
        <v>20.92</v>
      </c>
      <c r="T210" s="157">
        <v>41837</v>
      </c>
      <c r="U210" s="142">
        <v>18</v>
      </c>
      <c r="Y210" s="142">
        <f t="shared" si="3"/>
        <v>15.67881</v>
      </c>
      <c r="Z210" s="157">
        <v>41837</v>
      </c>
      <c r="AE210" s="137">
        <v>42.49</v>
      </c>
      <c r="AF210" s="157">
        <v>41837</v>
      </c>
      <c r="AG210" s="185"/>
      <c r="AH210" s="157">
        <v>41837</v>
      </c>
      <c r="AM210" s="137">
        <v>94</v>
      </c>
      <c r="BM210" s="138">
        <v>60.45</v>
      </c>
      <c r="BN210" s="157">
        <v>41837</v>
      </c>
      <c r="BS210" s="138">
        <v>49.24</v>
      </c>
      <c r="BT210" s="157">
        <v>41837</v>
      </c>
      <c r="BU210" s="138">
        <v>36.9</v>
      </c>
      <c r="BV210" s="157">
        <v>41837</v>
      </c>
      <c r="BW210" s="138">
        <v>13</v>
      </c>
      <c r="BX210" s="157">
        <v>41837</v>
      </c>
      <c r="CC210" s="138">
        <v>6.7</v>
      </c>
      <c r="CD210" s="157">
        <v>41837</v>
      </c>
      <c r="CI210" s="138">
        <v>9</v>
      </c>
    </row>
    <row r="211" spans="1:91">
      <c r="A211" s="159" t="s">
        <v>7857</v>
      </c>
      <c r="B211" s="112" t="s">
        <v>271</v>
      </c>
      <c r="C211" s="112">
        <v>1</v>
      </c>
      <c r="D211" s="112">
        <v>114</v>
      </c>
      <c r="E211" s="113">
        <v>30</v>
      </c>
      <c r="F211" s="113">
        <v>6</v>
      </c>
      <c r="M211" s="185">
        <v>8.08</v>
      </c>
      <c r="N211" s="157">
        <v>41837</v>
      </c>
      <c r="R211" s="185"/>
      <c r="S211" s="137">
        <v>23.54</v>
      </c>
      <c r="T211" s="157">
        <v>41837</v>
      </c>
      <c r="U211" s="142">
        <v>18</v>
      </c>
      <c r="Y211" s="142">
        <f t="shared" si="3"/>
        <v>17.678799999999999</v>
      </c>
      <c r="Z211" s="157">
        <v>41837</v>
      </c>
      <c r="AE211" s="137">
        <v>45.8</v>
      </c>
      <c r="AF211" s="157">
        <v>41837</v>
      </c>
      <c r="AG211" s="185"/>
      <c r="AH211" s="157">
        <v>41837</v>
      </c>
      <c r="AM211" s="137">
        <v>94</v>
      </c>
      <c r="BM211" s="138">
        <v>61.44</v>
      </c>
      <c r="BN211" s="157">
        <v>41837</v>
      </c>
      <c r="BS211" s="138">
        <v>51.4</v>
      </c>
      <c r="BT211" s="157">
        <v>41837</v>
      </c>
      <c r="BU211" s="138">
        <v>38.6</v>
      </c>
      <c r="BV211" s="157">
        <v>41837</v>
      </c>
      <c r="BW211" s="138">
        <v>14.1</v>
      </c>
      <c r="BX211" s="157">
        <v>41837</v>
      </c>
      <c r="CC211" s="138">
        <v>6.4</v>
      </c>
      <c r="CD211" s="157">
        <v>41837</v>
      </c>
      <c r="CI211" s="138">
        <v>7</v>
      </c>
    </row>
    <row r="212" spans="1:91">
      <c r="A212" s="159" t="s">
        <v>7660</v>
      </c>
      <c r="B212" s="112" t="s">
        <v>271</v>
      </c>
      <c r="C212" s="112">
        <v>1</v>
      </c>
      <c r="D212" s="112">
        <v>119</v>
      </c>
      <c r="E212" s="113">
        <v>31</v>
      </c>
      <c r="F212" s="113">
        <v>6</v>
      </c>
      <c r="M212" s="185">
        <v>5.29</v>
      </c>
      <c r="N212" s="157">
        <v>41837</v>
      </c>
      <c r="R212" s="185"/>
      <c r="S212" s="137">
        <v>15.04</v>
      </c>
      <c r="T212" s="157">
        <v>41837</v>
      </c>
      <c r="U212" s="142">
        <v>18</v>
      </c>
      <c r="Y212" s="142">
        <f t="shared" si="3"/>
        <v>11.36242</v>
      </c>
      <c r="Z212" s="157">
        <v>41837</v>
      </c>
      <c r="AE212" s="137">
        <v>29.98</v>
      </c>
      <c r="AF212" s="157">
        <v>41837</v>
      </c>
      <c r="AG212" s="185"/>
      <c r="AH212" s="157">
        <v>41837</v>
      </c>
      <c r="AM212" s="137">
        <v>92</v>
      </c>
      <c r="BM212" s="138">
        <v>61.12</v>
      </c>
      <c r="BN212" s="157">
        <v>41837</v>
      </c>
      <c r="BS212" s="138">
        <v>50.16</v>
      </c>
      <c r="BT212" s="157">
        <v>41837</v>
      </c>
      <c r="BU212" s="138">
        <v>37.9</v>
      </c>
      <c r="BV212" s="157">
        <v>41837</v>
      </c>
      <c r="BW212" s="138">
        <v>47.5</v>
      </c>
      <c r="BX212" s="157">
        <v>41837</v>
      </c>
      <c r="CC212" s="138">
        <v>6.4</v>
      </c>
      <c r="CD212" s="157">
        <v>41837</v>
      </c>
      <c r="CI212" s="138">
        <v>3</v>
      </c>
    </row>
    <row r="213" spans="1:91">
      <c r="A213" s="159" t="s">
        <v>7619</v>
      </c>
      <c r="B213" s="112" t="s">
        <v>271</v>
      </c>
      <c r="C213" s="112">
        <v>1</v>
      </c>
      <c r="D213" s="112">
        <v>213</v>
      </c>
      <c r="E213" s="113">
        <v>32</v>
      </c>
      <c r="F213" s="113">
        <v>6</v>
      </c>
      <c r="M213" s="185">
        <v>4.1399999999999997</v>
      </c>
      <c r="N213" s="157">
        <v>41837</v>
      </c>
      <c r="R213" s="185"/>
      <c r="S213" s="137">
        <v>11.21</v>
      </c>
      <c r="T213" s="157">
        <v>41837</v>
      </c>
      <c r="U213" s="142">
        <v>18</v>
      </c>
      <c r="Y213" s="142">
        <f t="shared" si="3"/>
        <v>9.5166400000000007</v>
      </c>
      <c r="Z213" s="157">
        <v>41837</v>
      </c>
      <c r="AE213" s="137">
        <v>23.44</v>
      </c>
      <c r="AF213" s="157">
        <v>41837</v>
      </c>
      <c r="AG213" s="185"/>
      <c r="AH213" s="157">
        <v>41837</v>
      </c>
      <c r="AM213" s="137">
        <v>96</v>
      </c>
      <c r="BM213" s="138">
        <v>64.239999999999995</v>
      </c>
      <c r="BN213" s="157">
        <v>41837</v>
      </c>
      <c r="BS213" s="138">
        <v>47.83</v>
      </c>
      <c r="BT213" s="157">
        <v>41837</v>
      </c>
      <c r="BU213" s="138">
        <v>40.6</v>
      </c>
      <c r="BV213" s="157">
        <v>41837</v>
      </c>
      <c r="BW213" s="138">
        <v>59.8</v>
      </c>
      <c r="BX213" s="157">
        <v>41837</v>
      </c>
      <c r="CC213" s="138">
        <v>6.5</v>
      </c>
      <c r="CD213" s="157">
        <v>41837</v>
      </c>
      <c r="CI213" s="138">
        <v>7</v>
      </c>
    </row>
    <row r="214" spans="1:91">
      <c r="A214" s="159" t="s">
        <v>7761</v>
      </c>
      <c r="B214" s="112" t="s">
        <v>271</v>
      </c>
      <c r="C214" s="112">
        <v>1</v>
      </c>
      <c r="D214" s="112">
        <v>58</v>
      </c>
      <c r="E214" s="113">
        <v>33</v>
      </c>
      <c r="F214" s="113">
        <v>6</v>
      </c>
      <c r="M214" s="185">
        <v>3.74</v>
      </c>
      <c r="N214" s="157">
        <v>41837</v>
      </c>
      <c r="R214" s="185"/>
      <c r="S214" s="137">
        <v>10.54</v>
      </c>
      <c r="T214" s="157">
        <v>41837</v>
      </c>
      <c r="U214" s="142">
        <v>18</v>
      </c>
      <c r="Y214" s="142">
        <f t="shared" si="3"/>
        <v>8.2468000000000004</v>
      </c>
      <c r="Z214" s="157">
        <v>41837</v>
      </c>
      <c r="AE214" s="137">
        <v>21.2</v>
      </c>
      <c r="AF214" s="157">
        <v>41837</v>
      </c>
      <c r="AG214" s="185"/>
      <c r="AH214" s="157">
        <v>41837</v>
      </c>
      <c r="AM214" s="137">
        <v>90</v>
      </c>
      <c r="BM214" s="138">
        <v>63.36</v>
      </c>
      <c r="BN214" s="157">
        <v>41837</v>
      </c>
      <c r="BS214" s="138">
        <v>49.7</v>
      </c>
      <c r="BT214" s="157">
        <v>41837</v>
      </c>
      <c r="BU214" s="138">
        <v>38.9</v>
      </c>
      <c r="BV214" s="157">
        <v>41837</v>
      </c>
      <c r="BW214" s="138">
        <v>43.5</v>
      </c>
      <c r="BX214" s="157">
        <v>41837</v>
      </c>
      <c r="CC214" s="138">
        <v>6.4</v>
      </c>
      <c r="CD214" s="157">
        <v>41837</v>
      </c>
      <c r="CI214" s="138">
        <v>5</v>
      </c>
    </row>
    <row r="215" spans="1:91">
      <c r="A215" s="159" t="s">
        <v>7661</v>
      </c>
      <c r="B215" s="112" t="s">
        <v>271</v>
      </c>
      <c r="C215" s="112">
        <v>1</v>
      </c>
      <c r="D215" s="112">
        <v>181</v>
      </c>
      <c r="E215" s="113">
        <v>34</v>
      </c>
      <c r="F215" s="113">
        <v>6</v>
      </c>
      <c r="M215" s="185">
        <v>3.58</v>
      </c>
      <c r="N215" s="157">
        <v>41837</v>
      </c>
      <c r="R215" s="185"/>
      <c r="S215" s="137">
        <v>10.07</v>
      </c>
      <c r="T215" s="157">
        <v>41837</v>
      </c>
      <c r="U215" s="142">
        <v>18</v>
      </c>
      <c r="Y215" s="142">
        <f t="shared" si="3"/>
        <v>8.4609300000000012</v>
      </c>
      <c r="Z215" s="157">
        <v>41837</v>
      </c>
      <c r="AE215" s="137">
        <v>20.29</v>
      </c>
      <c r="AF215" s="157">
        <v>41837</v>
      </c>
      <c r="AG215" s="185"/>
      <c r="AH215" s="157">
        <v>41837</v>
      </c>
      <c r="AM215" s="137">
        <v>92</v>
      </c>
      <c r="BM215" s="138">
        <v>62.43</v>
      </c>
      <c r="BN215" s="157">
        <v>41837</v>
      </c>
      <c r="BS215" s="138">
        <v>49.65</v>
      </c>
      <c r="BT215" s="157">
        <v>41837</v>
      </c>
      <c r="BU215" s="138">
        <v>41.7</v>
      </c>
      <c r="BV215" s="157">
        <v>41837</v>
      </c>
      <c r="BW215" s="138">
        <v>50.4</v>
      </c>
      <c r="BX215" s="157">
        <v>41837</v>
      </c>
      <c r="CC215" s="138">
        <v>6.4</v>
      </c>
      <c r="CD215" s="157">
        <v>41837</v>
      </c>
      <c r="CI215" s="138">
        <v>5</v>
      </c>
    </row>
    <row r="216" spans="1:91">
      <c r="A216" s="159" t="s">
        <v>7652</v>
      </c>
      <c r="B216" s="112" t="s">
        <v>271</v>
      </c>
      <c r="C216" s="112">
        <v>1</v>
      </c>
      <c r="D216" s="112">
        <v>143</v>
      </c>
      <c r="E216" s="113">
        <v>35</v>
      </c>
      <c r="F216" s="113">
        <v>6</v>
      </c>
      <c r="M216" s="185">
        <v>3.73</v>
      </c>
      <c r="N216" s="157">
        <v>41837</v>
      </c>
      <c r="R216" s="185"/>
      <c r="S216" s="137">
        <v>10.62</v>
      </c>
      <c r="T216" s="157">
        <v>41837</v>
      </c>
      <c r="U216" s="142">
        <v>18</v>
      </c>
      <c r="Y216" s="142">
        <f t="shared" si="3"/>
        <v>8.3793600000000001</v>
      </c>
      <c r="Z216" s="157">
        <v>41837</v>
      </c>
      <c r="AE216" s="137">
        <v>21.16</v>
      </c>
      <c r="AF216" s="157">
        <v>41837</v>
      </c>
      <c r="AG216" s="185"/>
      <c r="AH216" s="157">
        <v>41837</v>
      </c>
      <c r="AM216" s="137">
        <v>90</v>
      </c>
      <c r="BM216" s="138">
        <v>59.1</v>
      </c>
      <c r="BN216" s="157">
        <v>41837</v>
      </c>
      <c r="BS216" s="138">
        <v>50.17</v>
      </c>
      <c r="BT216" s="157">
        <v>41837</v>
      </c>
      <c r="BU216" s="138">
        <v>39.6</v>
      </c>
      <c r="BV216" s="157">
        <v>41837</v>
      </c>
      <c r="BW216" s="138">
        <v>40.200000000000003</v>
      </c>
      <c r="BX216" s="157">
        <v>41837</v>
      </c>
      <c r="CC216" s="138">
        <v>6.3</v>
      </c>
      <c r="CD216" s="157">
        <v>41837</v>
      </c>
      <c r="CI216" s="138">
        <v>5</v>
      </c>
    </row>
    <row r="217" spans="1:91">
      <c r="A217" s="159" t="s">
        <v>7856</v>
      </c>
      <c r="B217" s="112" t="s">
        <v>271</v>
      </c>
      <c r="C217" s="112">
        <v>1</v>
      </c>
      <c r="D217" s="112">
        <v>5</v>
      </c>
      <c r="E217" s="113">
        <v>36</v>
      </c>
      <c r="F217" s="113">
        <v>6</v>
      </c>
      <c r="I217" s="200"/>
      <c r="K217" s="142"/>
      <c r="M217" s="185">
        <v>8.5</v>
      </c>
      <c r="N217" s="157">
        <v>41837</v>
      </c>
      <c r="Q217" s="142"/>
      <c r="R217" s="185"/>
      <c r="S217" s="142">
        <v>25.39</v>
      </c>
      <c r="T217" s="157">
        <v>41837</v>
      </c>
      <c r="U217" s="142">
        <v>18</v>
      </c>
      <c r="W217" s="142"/>
      <c r="Y217" s="142">
        <f t="shared" si="3"/>
        <v>18.067499999999999</v>
      </c>
      <c r="Z217" s="157">
        <v>41837</v>
      </c>
      <c r="AA217" s="142"/>
      <c r="AE217" s="142">
        <v>48.18</v>
      </c>
      <c r="AF217" s="157">
        <v>41837</v>
      </c>
      <c r="AG217" s="185"/>
      <c r="AH217" s="157">
        <v>41837</v>
      </c>
      <c r="AK217" s="142"/>
      <c r="AM217" s="142">
        <v>83</v>
      </c>
      <c r="BM217" s="138">
        <v>62.03</v>
      </c>
      <c r="BN217" s="157">
        <v>41837</v>
      </c>
      <c r="BS217" s="138">
        <v>52.69</v>
      </c>
      <c r="BT217" s="157">
        <v>41837</v>
      </c>
      <c r="BU217" s="138">
        <v>37.5</v>
      </c>
      <c r="BV217" s="157">
        <v>41837</v>
      </c>
      <c r="BW217" s="138">
        <v>17.600000000000001</v>
      </c>
      <c r="BX217" s="157">
        <v>41837</v>
      </c>
      <c r="CC217" s="138">
        <v>6.4</v>
      </c>
      <c r="CD217" s="157">
        <v>41837</v>
      </c>
      <c r="CI217" s="138">
        <v>7</v>
      </c>
    </row>
    <row r="218" spans="1:91">
      <c r="A218" s="159" t="s">
        <v>7713</v>
      </c>
      <c r="B218" s="112" t="s">
        <v>269</v>
      </c>
      <c r="C218" s="112">
        <v>2</v>
      </c>
      <c r="D218" s="112">
        <v>127</v>
      </c>
      <c r="E218" s="113">
        <v>1</v>
      </c>
      <c r="F218" s="113">
        <v>7</v>
      </c>
      <c r="M218" s="185">
        <v>5.73</v>
      </c>
      <c r="N218" s="157">
        <v>41837</v>
      </c>
      <c r="R218" s="185"/>
      <c r="S218" s="137">
        <v>14.9</v>
      </c>
      <c r="T218" s="157">
        <v>41837</v>
      </c>
      <c r="U218" s="142">
        <v>18</v>
      </c>
      <c r="Y218" s="142">
        <f t="shared" si="3"/>
        <v>12.127059999999998</v>
      </c>
      <c r="Z218" s="157">
        <v>41837</v>
      </c>
      <c r="AE218" s="137">
        <v>30.47</v>
      </c>
      <c r="AF218" s="157">
        <v>41837</v>
      </c>
      <c r="AG218" s="185"/>
      <c r="AH218" s="157">
        <v>41837</v>
      </c>
      <c r="AM218" s="137">
        <v>85</v>
      </c>
      <c r="BM218" s="138">
        <v>60.62</v>
      </c>
      <c r="BN218" s="157">
        <v>41837</v>
      </c>
      <c r="BS218" s="138">
        <v>48.91</v>
      </c>
      <c r="BT218" s="157">
        <v>41837</v>
      </c>
      <c r="BU218" s="138">
        <v>39.799999999999997</v>
      </c>
      <c r="BV218" s="157">
        <v>41837</v>
      </c>
      <c r="BW218" s="138">
        <v>13.8</v>
      </c>
      <c r="BX218" s="157">
        <v>41837</v>
      </c>
      <c r="CC218" s="138">
        <v>12.2</v>
      </c>
      <c r="CD218" s="157">
        <v>41837</v>
      </c>
      <c r="CI218" s="138">
        <v>5</v>
      </c>
    </row>
    <row r="219" spans="1:91">
      <c r="A219" s="159" t="s">
        <v>7664</v>
      </c>
      <c r="B219" s="112" t="s">
        <v>269</v>
      </c>
      <c r="C219" s="112">
        <v>2</v>
      </c>
      <c r="D219" s="112">
        <v>214</v>
      </c>
      <c r="E219" s="113">
        <v>2</v>
      </c>
      <c r="F219" s="113">
        <v>7</v>
      </c>
      <c r="M219" s="185">
        <v>7.75</v>
      </c>
      <c r="N219" s="157">
        <v>41837</v>
      </c>
      <c r="R219" s="185"/>
      <c r="S219" s="137">
        <v>20.54</v>
      </c>
      <c r="T219" s="157">
        <v>41837</v>
      </c>
      <c r="U219" s="142">
        <v>18</v>
      </c>
      <c r="Y219" s="142">
        <f t="shared" si="3"/>
        <v>15.693039999999998</v>
      </c>
      <c r="Z219" s="157">
        <v>41837</v>
      </c>
      <c r="AE219" s="137">
        <v>41.96</v>
      </c>
      <c r="AF219" s="157">
        <v>41837</v>
      </c>
      <c r="AG219" s="185"/>
      <c r="AH219" s="157">
        <v>41837</v>
      </c>
      <c r="AM219" s="137">
        <v>96</v>
      </c>
      <c r="BM219" s="138">
        <v>62.64</v>
      </c>
      <c r="BN219" s="157">
        <v>41837</v>
      </c>
      <c r="BS219" s="138">
        <v>48.95</v>
      </c>
      <c r="BT219" s="157">
        <v>41837</v>
      </c>
      <c r="BU219" s="138">
        <v>37.4</v>
      </c>
      <c r="BV219" s="157">
        <v>41837</v>
      </c>
      <c r="BW219" s="138">
        <v>11.9</v>
      </c>
      <c r="BX219" s="157">
        <v>41837</v>
      </c>
      <c r="CC219" s="138">
        <v>10.6</v>
      </c>
      <c r="CD219" s="157">
        <v>41837</v>
      </c>
      <c r="CI219" s="138">
        <v>7</v>
      </c>
    </row>
    <row r="220" spans="1:91">
      <c r="A220" s="159" t="s">
        <v>7740</v>
      </c>
      <c r="B220" s="112" t="s">
        <v>269</v>
      </c>
      <c r="C220" s="112">
        <v>2</v>
      </c>
      <c r="D220" s="112">
        <v>99</v>
      </c>
      <c r="E220" s="113">
        <v>3</v>
      </c>
      <c r="F220" s="113">
        <v>7</v>
      </c>
      <c r="M220" s="185">
        <v>1.34</v>
      </c>
      <c r="N220" s="157">
        <v>41837</v>
      </c>
      <c r="R220" s="185"/>
      <c r="S220" s="137">
        <v>3.72</v>
      </c>
      <c r="T220" s="157">
        <v>41837</v>
      </c>
      <c r="U220" s="142">
        <v>18</v>
      </c>
      <c r="Y220" s="142">
        <f t="shared" si="3"/>
        <v>2.8782000000000001</v>
      </c>
      <c r="Z220" s="157">
        <v>41837</v>
      </c>
      <c r="AE220" s="137">
        <v>7.38</v>
      </c>
      <c r="AF220" s="157">
        <v>41837</v>
      </c>
      <c r="AG220" s="185"/>
      <c r="AH220" s="157">
        <v>41837</v>
      </c>
      <c r="AM220" s="137">
        <v>72</v>
      </c>
      <c r="BM220" s="138">
        <v>61.34</v>
      </c>
      <c r="BN220" s="157">
        <v>41837</v>
      </c>
      <c r="BS220" s="138">
        <v>50.41</v>
      </c>
      <c r="BT220" s="157">
        <v>41837</v>
      </c>
      <c r="BU220" s="138">
        <v>39</v>
      </c>
      <c r="BV220" s="157">
        <v>41837</v>
      </c>
      <c r="BW220" s="138">
        <v>18.399999999999999</v>
      </c>
      <c r="BX220" s="157">
        <v>41837</v>
      </c>
      <c r="CC220" s="138">
        <v>9.1</v>
      </c>
      <c r="CD220" s="157">
        <v>41837</v>
      </c>
      <c r="CI220" s="138">
        <v>1</v>
      </c>
    </row>
    <row r="221" spans="1:91">
      <c r="A221" s="189" t="s">
        <v>7653</v>
      </c>
      <c r="B221" s="190" t="s">
        <v>269</v>
      </c>
      <c r="C221" s="190">
        <v>2</v>
      </c>
      <c r="D221" s="190">
        <v>9</v>
      </c>
      <c r="E221" s="191">
        <v>4</v>
      </c>
      <c r="F221" s="191">
        <v>7</v>
      </c>
      <c r="G221" s="191"/>
      <c r="H221" s="191"/>
      <c r="I221" s="201"/>
      <c r="J221" s="190"/>
      <c r="K221" s="192"/>
      <c r="L221" s="193"/>
      <c r="M221" s="194">
        <v>2.61</v>
      </c>
      <c r="N221" s="193">
        <v>41837</v>
      </c>
      <c r="P221" s="193"/>
      <c r="Q221" s="192"/>
      <c r="R221" s="194"/>
      <c r="S221" s="192">
        <v>7.23</v>
      </c>
      <c r="T221" s="193">
        <v>41837</v>
      </c>
      <c r="U221" s="192">
        <v>18</v>
      </c>
      <c r="V221" s="193"/>
      <c r="W221" s="192"/>
      <c r="X221" s="193"/>
      <c r="Y221" s="192">
        <f t="shared" si="3"/>
        <v>5.7039999999999997</v>
      </c>
      <c r="Z221" s="193">
        <v>41837</v>
      </c>
      <c r="AA221" s="192"/>
      <c r="AB221" s="193"/>
      <c r="AC221" s="195"/>
      <c r="AD221" s="193"/>
      <c r="AE221" s="192">
        <v>14.26</v>
      </c>
      <c r="AF221" s="193">
        <v>41837</v>
      </c>
      <c r="AG221" s="194"/>
      <c r="AH221" s="193">
        <v>41837</v>
      </c>
      <c r="AI221" s="193"/>
      <c r="AJ221" s="193"/>
      <c r="AK221" s="192"/>
      <c r="AL221" s="193"/>
      <c r="AM221" s="192">
        <v>92</v>
      </c>
      <c r="AN221" s="193"/>
      <c r="AO221" s="195"/>
      <c r="AP221" s="195"/>
      <c r="AQ221" s="195"/>
      <c r="AR221" s="195"/>
      <c r="AS221" s="195"/>
      <c r="AT221" s="195"/>
      <c r="AU221" s="195"/>
      <c r="AV221" s="195"/>
      <c r="AW221" s="195"/>
      <c r="AX221" s="195"/>
      <c r="AY221" s="195"/>
      <c r="AZ221" s="195"/>
      <c r="BA221" s="195"/>
      <c r="BB221" s="195"/>
      <c r="BC221" s="195"/>
      <c r="BD221" s="195"/>
      <c r="BE221" s="196"/>
      <c r="BF221" s="196"/>
      <c r="BG221" s="196"/>
      <c r="BH221" s="196"/>
      <c r="BI221" s="196"/>
      <c r="BJ221" s="196"/>
      <c r="BK221" s="196"/>
      <c r="BL221" s="196"/>
      <c r="BM221" s="196">
        <v>60.43</v>
      </c>
      <c r="BN221" s="193">
        <v>41837</v>
      </c>
      <c r="BO221" s="196"/>
      <c r="BP221" s="196"/>
      <c r="BQ221" s="196"/>
      <c r="BR221" s="196"/>
      <c r="BS221" s="196">
        <v>50.73</v>
      </c>
      <c r="BT221" s="193">
        <v>41837</v>
      </c>
      <c r="BU221" s="196">
        <v>40</v>
      </c>
      <c r="BV221" s="193">
        <v>41837</v>
      </c>
      <c r="BW221" s="196">
        <v>17.2</v>
      </c>
      <c r="BX221" s="193">
        <v>41837</v>
      </c>
      <c r="BY221" s="196"/>
      <c r="BZ221" s="196"/>
      <c r="CA221" s="196"/>
      <c r="CB221" s="196"/>
      <c r="CC221" s="196">
        <v>9.8000000000000007</v>
      </c>
      <c r="CD221" s="193">
        <v>41837</v>
      </c>
      <c r="CE221" s="196"/>
      <c r="CF221" s="196"/>
      <c r="CG221" s="196"/>
      <c r="CH221" s="196"/>
      <c r="CI221" s="196">
        <v>3</v>
      </c>
      <c r="CJ221" s="196"/>
      <c r="CK221" s="196"/>
      <c r="CL221" s="196"/>
      <c r="CM221" s="196"/>
    </row>
    <row r="222" spans="1:91">
      <c r="A222" s="159" t="s">
        <v>7708</v>
      </c>
      <c r="B222" s="112" t="s">
        <v>269</v>
      </c>
      <c r="C222" s="112">
        <v>2</v>
      </c>
      <c r="D222" s="112">
        <v>41</v>
      </c>
      <c r="E222" s="113">
        <v>5</v>
      </c>
      <c r="F222" s="113">
        <v>7</v>
      </c>
      <c r="M222" s="185">
        <v>5.33</v>
      </c>
      <c r="N222" s="157">
        <v>41837</v>
      </c>
      <c r="R222" s="185"/>
      <c r="S222" s="137">
        <v>14.08</v>
      </c>
      <c r="T222" s="157">
        <v>41837</v>
      </c>
      <c r="U222" s="142">
        <v>18</v>
      </c>
      <c r="Y222" s="142">
        <f t="shared" si="3"/>
        <v>11.225729999999999</v>
      </c>
      <c r="Z222" s="157">
        <v>41837</v>
      </c>
      <c r="AE222" s="137">
        <v>29.31</v>
      </c>
      <c r="AF222" s="157">
        <v>41837</v>
      </c>
      <c r="AG222" s="185"/>
      <c r="AH222" s="157">
        <v>41837</v>
      </c>
      <c r="AM222" s="137">
        <v>94</v>
      </c>
      <c r="BM222" s="138">
        <v>64.900000000000006</v>
      </c>
      <c r="BN222" s="157">
        <v>41837</v>
      </c>
      <c r="BS222" s="138">
        <v>48.04</v>
      </c>
      <c r="BT222" s="157">
        <v>41837</v>
      </c>
      <c r="BU222" s="138">
        <v>38.299999999999997</v>
      </c>
      <c r="BV222" s="157">
        <v>41837</v>
      </c>
      <c r="BW222" s="138">
        <v>12.6</v>
      </c>
      <c r="BX222" s="157">
        <v>41837</v>
      </c>
      <c r="CC222" s="138">
        <v>9.1999999999999993</v>
      </c>
      <c r="CD222" s="157">
        <v>41837</v>
      </c>
      <c r="CI222" s="138">
        <v>3</v>
      </c>
    </row>
    <row r="223" spans="1:91">
      <c r="A223" s="159" t="s">
        <v>7686</v>
      </c>
      <c r="B223" s="112" t="s">
        <v>269</v>
      </c>
      <c r="C223" s="112">
        <v>2</v>
      </c>
      <c r="D223" s="112">
        <v>96</v>
      </c>
      <c r="E223" s="113">
        <v>6</v>
      </c>
      <c r="F223" s="113">
        <v>7</v>
      </c>
      <c r="M223" s="185">
        <v>6.15</v>
      </c>
      <c r="N223" s="157">
        <v>41837</v>
      </c>
      <c r="R223" s="185"/>
      <c r="S223" s="137">
        <v>16.649999999999999</v>
      </c>
      <c r="T223" s="157">
        <v>41837</v>
      </c>
      <c r="U223" s="142">
        <v>18</v>
      </c>
      <c r="Y223" s="142">
        <f t="shared" si="3"/>
        <v>13.328000000000001</v>
      </c>
      <c r="Z223" s="157">
        <v>41837</v>
      </c>
      <c r="AE223" s="137">
        <v>34</v>
      </c>
      <c r="AF223" s="157">
        <v>41837</v>
      </c>
      <c r="AG223" s="185"/>
      <c r="AH223" s="157">
        <v>41837</v>
      </c>
      <c r="AM223" s="137">
        <v>96</v>
      </c>
      <c r="BM223" s="138">
        <v>60.5</v>
      </c>
      <c r="BN223" s="157">
        <v>41837</v>
      </c>
      <c r="BS223" s="138">
        <v>48.96</v>
      </c>
      <c r="BT223" s="157">
        <v>41837</v>
      </c>
      <c r="BU223" s="138">
        <v>39.200000000000003</v>
      </c>
      <c r="BV223" s="157">
        <v>41837</v>
      </c>
      <c r="BW223" s="138">
        <v>25.3</v>
      </c>
      <c r="BX223" s="157">
        <v>41837</v>
      </c>
      <c r="CC223" s="138">
        <v>8.6999999999999993</v>
      </c>
      <c r="CD223" s="157">
        <v>41837</v>
      </c>
      <c r="CI223" s="138">
        <v>7</v>
      </c>
    </row>
    <row r="224" spans="1:91">
      <c r="A224" s="159" t="s">
        <v>7621</v>
      </c>
      <c r="B224" s="112" t="s">
        <v>269</v>
      </c>
      <c r="C224" s="112">
        <v>2</v>
      </c>
      <c r="D224" s="112">
        <v>63</v>
      </c>
      <c r="E224" s="113">
        <v>7</v>
      </c>
      <c r="F224" s="113">
        <v>7</v>
      </c>
      <c r="M224" s="185">
        <v>5.69</v>
      </c>
      <c r="N224" s="157">
        <v>41837</v>
      </c>
      <c r="R224" s="185"/>
      <c r="S224" s="137">
        <v>16.47</v>
      </c>
      <c r="T224" s="157">
        <v>41837</v>
      </c>
      <c r="U224" s="142">
        <v>18</v>
      </c>
      <c r="Y224" s="142">
        <f t="shared" si="3"/>
        <v>13.274560000000001</v>
      </c>
      <c r="Z224" s="157">
        <v>41837</v>
      </c>
      <c r="AE224" s="137">
        <v>31.91</v>
      </c>
      <c r="AF224" s="157">
        <v>41837</v>
      </c>
      <c r="AG224" s="185"/>
      <c r="AH224" s="157">
        <v>41837</v>
      </c>
      <c r="AM224" s="137">
        <v>96</v>
      </c>
      <c r="BM224" s="138">
        <v>61.95</v>
      </c>
      <c r="BN224" s="157">
        <v>41837</v>
      </c>
      <c r="BS224" s="138">
        <v>51.6</v>
      </c>
      <c r="BT224" s="157">
        <v>41837</v>
      </c>
      <c r="BU224" s="138">
        <v>41.6</v>
      </c>
      <c r="BV224" s="157">
        <v>41837</v>
      </c>
      <c r="BW224" s="138">
        <v>56.4</v>
      </c>
      <c r="BX224" s="157">
        <v>41837</v>
      </c>
      <c r="CC224" s="138">
        <v>7.4</v>
      </c>
      <c r="CD224" s="157">
        <v>41837</v>
      </c>
      <c r="CI224" s="138">
        <v>7</v>
      </c>
    </row>
    <row r="225" spans="1:91">
      <c r="A225" s="159" t="s">
        <v>7778</v>
      </c>
      <c r="B225" s="112" t="s">
        <v>269</v>
      </c>
      <c r="C225" s="112">
        <v>2</v>
      </c>
      <c r="D225" s="112">
        <v>204</v>
      </c>
      <c r="E225" s="113">
        <v>8</v>
      </c>
      <c r="F225" s="113">
        <v>7</v>
      </c>
      <c r="M225" s="185">
        <v>4.45</v>
      </c>
      <c r="N225" s="157">
        <v>41837</v>
      </c>
      <c r="R225" s="185"/>
      <c r="S225" s="137">
        <v>12.61</v>
      </c>
      <c r="T225" s="157">
        <v>41837</v>
      </c>
      <c r="U225" s="142">
        <v>18</v>
      </c>
      <c r="Y225" s="142">
        <f t="shared" si="3"/>
        <v>9.7110299999999992</v>
      </c>
      <c r="Z225" s="157">
        <v>41837</v>
      </c>
      <c r="AE225" s="137">
        <v>24.71</v>
      </c>
      <c r="AF225" s="157">
        <v>41837</v>
      </c>
      <c r="AG225" s="185"/>
      <c r="AH225" s="157">
        <v>41837</v>
      </c>
      <c r="AM225" s="137">
        <v>92</v>
      </c>
      <c r="BM225" s="138">
        <v>61.73</v>
      </c>
      <c r="BN225" s="157">
        <v>41837</v>
      </c>
      <c r="BS225" s="138">
        <v>51.03</v>
      </c>
      <c r="BT225" s="157">
        <v>41837</v>
      </c>
      <c r="BU225" s="138">
        <v>39.299999999999997</v>
      </c>
      <c r="BV225" s="157">
        <v>41837</v>
      </c>
      <c r="BW225" s="138">
        <v>16.8</v>
      </c>
      <c r="BX225" s="157">
        <v>41837</v>
      </c>
      <c r="CC225" s="138">
        <v>8.3000000000000007</v>
      </c>
      <c r="CD225" s="157">
        <v>41837</v>
      </c>
      <c r="CI225" s="138">
        <v>7</v>
      </c>
    </row>
    <row r="226" spans="1:91">
      <c r="A226" s="159" t="s">
        <v>7721</v>
      </c>
      <c r="B226" s="112" t="s">
        <v>269</v>
      </c>
      <c r="C226" s="112">
        <v>2</v>
      </c>
      <c r="D226" s="112">
        <v>79</v>
      </c>
      <c r="E226" s="113">
        <v>9</v>
      </c>
      <c r="F226" s="113">
        <v>7</v>
      </c>
      <c r="M226" s="185">
        <v>6.9</v>
      </c>
      <c r="N226" s="157">
        <v>41837</v>
      </c>
      <c r="R226" s="185"/>
      <c r="S226" s="137">
        <v>18.28</v>
      </c>
      <c r="T226" s="157">
        <v>41837</v>
      </c>
      <c r="U226" s="142">
        <v>18</v>
      </c>
      <c r="Y226" s="142">
        <f t="shared" si="3"/>
        <v>14.909699999999997</v>
      </c>
      <c r="Z226" s="157">
        <v>41837</v>
      </c>
      <c r="AE226" s="137">
        <v>38.229999999999997</v>
      </c>
      <c r="AF226" s="157">
        <v>41837</v>
      </c>
      <c r="AG226" s="185"/>
      <c r="AH226" s="157">
        <v>41837</v>
      </c>
      <c r="AM226" s="137">
        <v>92</v>
      </c>
      <c r="BM226" s="138">
        <v>56.13</v>
      </c>
      <c r="BN226" s="157">
        <v>41837</v>
      </c>
      <c r="BS226" s="138">
        <v>47.81</v>
      </c>
      <c r="BT226" s="157">
        <v>41837</v>
      </c>
      <c r="BU226" s="138">
        <v>39</v>
      </c>
      <c r="BV226" s="157">
        <v>41837</v>
      </c>
      <c r="BW226" s="138">
        <v>10.8</v>
      </c>
      <c r="BX226" s="157">
        <v>41837</v>
      </c>
      <c r="CC226" s="138">
        <v>8.5</v>
      </c>
      <c r="CD226" s="157">
        <v>41837</v>
      </c>
      <c r="CI226" s="138">
        <v>1</v>
      </c>
    </row>
    <row r="227" spans="1:91">
      <c r="A227" s="159" t="s">
        <v>7672</v>
      </c>
      <c r="B227" s="112" t="s">
        <v>269</v>
      </c>
      <c r="C227" s="112">
        <v>2</v>
      </c>
      <c r="D227" s="112">
        <v>165</v>
      </c>
      <c r="E227" s="113">
        <v>10</v>
      </c>
      <c r="F227" s="113">
        <v>7</v>
      </c>
      <c r="M227" s="185">
        <v>5.73</v>
      </c>
      <c r="N227" s="157">
        <v>41837</v>
      </c>
      <c r="R227" s="185"/>
      <c r="S227" s="137">
        <v>16.18</v>
      </c>
      <c r="T227" s="157">
        <v>41837</v>
      </c>
      <c r="U227" s="142">
        <v>18</v>
      </c>
      <c r="Y227" s="142">
        <f t="shared" si="3"/>
        <v>12.35328</v>
      </c>
      <c r="Z227" s="157">
        <v>41837</v>
      </c>
      <c r="AE227" s="137">
        <v>32.17</v>
      </c>
      <c r="AF227" s="157">
        <v>41837</v>
      </c>
      <c r="AG227" s="185"/>
      <c r="AH227" s="157">
        <v>41837</v>
      </c>
      <c r="AM227" s="137">
        <v>92</v>
      </c>
      <c r="BM227" s="138">
        <v>62.03</v>
      </c>
      <c r="BN227" s="157">
        <v>41837</v>
      </c>
      <c r="BS227" s="138">
        <v>50.29</v>
      </c>
      <c r="BT227" s="157">
        <v>41837</v>
      </c>
      <c r="BU227" s="138">
        <v>38.4</v>
      </c>
      <c r="BV227" s="157">
        <v>41837</v>
      </c>
      <c r="BW227" s="138">
        <v>17.7</v>
      </c>
      <c r="BX227" s="157">
        <v>41837</v>
      </c>
      <c r="CC227" s="138">
        <v>7.3</v>
      </c>
      <c r="CD227" s="157">
        <v>41837</v>
      </c>
      <c r="CI227" s="138">
        <v>5</v>
      </c>
    </row>
    <row r="228" spans="1:91">
      <c r="A228" s="159" t="s">
        <v>7715</v>
      </c>
      <c r="B228" s="112" t="s">
        <v>269</v>
      </c>
      <c r="C228" s="112">
        <v>2</v>
      </c>
      <c r="D228" s="112">
        <v>171</v>
      </c>
      <c r="E228" s="113">
        <v>11</v>
      </c>
      <c r="F228" s="113">
        <v>7</v>
      </c>
      <c r="M228" s="185">
        <v>4.58</v>
      </c>
      <c r="N228" s="157">
        <v>41837</v>
      </c>
      <c r="R228" s="185"/>
      <c r="S228" s="137">
        <v>12.27</v>
      </c>
      <c r="T228" s="157">
        <v>41837</v>
      </c>
      <c r="U228" s="142">
        <v>18</v>
      </c>
      <c r="Y228" s="142">
        <f t="shared" si="3"/>
        <v>9.57864</v>
      </c>
      <c r="Z228" s="157">
        <v>41837</v>
      </c>
      <c r="AE228" s="137">
        <v>25.68</v>
      </c>
      <c r="AF228" s="157">
        <v>41837</v>
      </c>
      <c r="AG228" s="185"/>
      <c r="AH228" s="157">
        <v>41837</v>
      </c>
      <c r="AM228" s="137">
        <v>92</v>
      </c>
      <c r="BM228" s="138">
        <v>57.51</v>
      </c>
      <c r="BN228" s="157">
        <v>41837</v>
      </c>
      <c r="BS228" s="138">
        <v>47.78</v>
      </c>
      <c r="BT228" s="157">
        <v>41837</v>
      </c>
      <c r="BU228" s="138">
        <v>37.299999999999997</v>
      </c>
      <c r="BV228" s="157">
        <v>41837</v>
      </c>
      <c r="BW228" s="138">
        <v>17.899999999999999</v>
      </c>
      <c r="BX228" s="157">
        <v>41837</v>
      </c>
      <c r="CC228" s="138">
        <v>7.4</v>
      </c>
      <c r="CD228" s="157">
        <v>41837</v>
      </c>
      <c r="CI228" s="138">
        <v>5</v>
      </c>
    </row>
    <row r="229" spans="1:91">
      <c r="A229" s="159" t="s">
        <v>7712</v>
      </c>
      <c r="B229" s="112" t="s">
        <v>269</v>
      </c>
      <c r="C229" s="112">
        <v>2</v>
      </c>
      <c r="D229" s="112">
        <v>25</v>
      </c>
      <c r="E229" s="113">
        <v>12</v>
      </c>
      <c r="F229" s="113">
        <v>7</v>
      </c>
      <c r="M229" s="185">
        <v>6.26</v>
      </c>
      <c r="N229" s="157">
        <v>41837</v>
      </c>
      <c r="R229" s="185"/>
      <c r="S229" s="137">
        <v>17.45</v>
      </c>
      <c r="T229" s="157">
        <v>41837</v>
      </c>
      <c r="U229" s="142">
        <v>18</v>
      </c>
      <c r="Y229" s="142">
        <f t="shared" si="3"/>
        <v>13.506079999999999</v>
      </c>
      <c r="Z229" s="157">
        <v>41837</v>
      </c>
      <c r="AE229" s="137">
        <v>34.72</v>
      </c>
      <c r="AF229" s="157">
        <v>41837</v>
      </c>
      <c r="AG229" s="185"/>
      <c r="AH229" s="157">
        <v>41837</v>
      </c>
      <c r="AM229" s="137">
        <v>92</v>
      </c>
      <c r="BM229" s="138">
        <v>61.9</v>
      </c>
      <c r="BN229" s="157">
        <v>41837</v>
      </c>
      <c r="BS229" s="138">
        <v>50.27</v>
      </c>
      <c r="BT229" s="157">
        <v>41837</v>
      </c>
      <c r="BU229" s="138">
        <v>38.9</v>
      </c>
      <c r="BV229" s="157">
        <v>41837</v>
      </c>
      <c r="BW229" s="138">
        <v>14.5</v>
      </c>
      <c r="BX229" s="157">
        <v>41837</v>
      </c>
      <c r="CC229" s="138">
        <v>8.4</v>
      </c>
      <c r="CD229" s="157">
        <v>41837</v>
      </c>
      <c r="CI229" s="138">
        <v>5</v>
      </c>
    </row>
    <row r="230" spans="1:91">
      <c r="A230" s="159" t="s">
        <v>7681</v>
      </c>
      <c r="B230" s="112" t="s">
        <v>269</v>
      </c>
      <c r="C230" s="112">
        <v>2</v>
      </c>
      <c r="D230" s="112">
        <v>51</v>
      </c>
      <c r="E230" s="113">
        <v>13</v>
      </c>
      <c r="F230" s="113">
        <v>7</v>
      </c>
      <c r="M230" s="185">
        <v>5.36</v>
      </c>
      <c r="N230" s="157">
        <v>41837</v>
      </c>
      <c r="R230" s="185"/>
      <c r="S230" s="137">
        <v>14.84</v>
      </c>
      <c r="T230" s="157">
        <v>41837</v>
      </c>
      <c r="U230" s="142">
        <v>18</v>
      </c>
      <c r="Y230" s="142">
        <f t="shared" si="3"/>
        <v>11.7585</v>
      </c>
      <c r="Z230" s="157">
        <v>41837</v>
      </c>
      <c r="AE230" s="137">
        <v>30.15</v>
      </c>
      <c r="AF230" s="157">
        <v>41837</v>
      </c>
      <c r="AG230" s="185"/>
      <c r="AH230" s="157">
        <v>41837</v>
      </c>
      <c r="AM230" s="137">
        <v>96</v>
      </c>
      <c r="BM230" s="138">
        <v>62.48</v>
      </c>
      <c r="BN230" s="157">
        <v>41837</v>
      </c>
      <c r="BS230" s="138">
        <v>49.22</v>
      </c>
      <c r="BT230" s="157">
        <v>41837</v>
      </c>
      <c r="BU230" s="138">
        <v>39</v>
      </c>
      <c r="BV230" s="157">
        <v>41837</v>
      </c>
      <c r="BW230" s="138">
        <v>17.899999999999999</v>
      </c>
      <c r="BX230" s="157">
        <v>41837</v>
      </c>
      <c r="CC230" s="138">
        <v>7.1</v>
      </c>
      <c r="CD230" s="157">
        <v>41837</v>
      </c>
      <c r="CI230" s="138">
        <v>9</v>
      </c>
    </row>
    <row r="231" spans="1:91">
      <c r="A231" s="159" t="s">
        <v>7812</v>
      </c>
      <c r="B231" s="112" t="s">
        <v>269</v>
      </c>
      <c r="C231" s="112">
        <v>2</v>
      </c>
      <c r="D231" s="112">
        <v>72</v>
      </c>
      <c r="E231" s="113">
        <v>14</v>
      </c>
      <c r="F231" s="113">
        <v>7</v>
      </c>
      <c r="M231" s="185">
        <v>6.43</v>
      </c>
      <c r="N231" s="157">
        <v>41837</v>
      </c>
      <c r="R231" s="185"/>
      <c r="S231" s="137">
        <v>18.34</v>
      </c>
      <c r="T231" s="157">
        <v>41837</v>
      </c>
      <c r="U231" s="142">
        <v>18</v>
      </c>
      <c r="Y231" s="142">
        <f t="shared" si="3"/>
        <v>14.013270000000002</v>
      </c>
      <c r="Z231" s="157">
        <v>41837</v>
      </c>
      <c r="AE231" s="137">
        <v>36.21</v>
      </c>
      <c r="AF231" s="157">
        <v>41837</v>
      </c>
      <c r="AG231" s="185"/>
      <c r="AH231" s="157">
        <v>41837</v>
      </c>
      <c r="AM231" s="137">
        <v>90</v>
      </c>
      <c r="BM231" s="138">
        <v>63.37</v>
      </c>
      <c r="BN231" s="157">
        <v>41837</v>
      </c>
      <c r="BS231" s="138">
        <v>50.64</v>
      </c>
      <c r="BT231" s="157">
        <v>41837</v>
      </c>
      <c r="BU231" s="138">
        <v>38.700000000000003</v>
      </c>
      <c r="BV231" s="157">
        <v>41837</v>
      </c>
      <c r="BW231" s="138">
        <v>18.899999999999999</v>
      </c>
      <c r="BX231" s="157">
        <v>41837</v>
      </c>
      <c r="CC231" s="138">
        <v>7</v>
      </c>
      <c r="CD231" s="157">
        <v>41837</v>
      </c>
      <c r="CI231" s="138">
        <v>7</v>
      </c>
    </row>
    <row r="232" spans="1:91">
      <c r="A232" s="159" t="s">
        <v>7748</v>
      </c>
      <c r="B232" s="112" t="s">
        <v>269</v>
      </c>
      <c r="C232" s="112">
        <v>2</v>
      </c>
      <c r="D232" s="112">
        <v>143</v>
      </c>
      <c r="E232" s="113">
        <v>15</v>
      </c>
      <c r="F232" s="113">
        <v>7</v>
      </c>
      <c r="M232" s="185">
        <v>2.52</v>
      </c>
      <c r="N232" s="157">
        <v>41837</v>
      </c>
      <c r="R232" s="185"/>
      <c r="S232" s="137">
        <v>6.77</v>
      </c>
      <c r="T232" s="157">
        <v>41837</v>
      </c>
      <c r="U232" s="142">
        <v>18</v>
      </c>
      <c r="Y232" s="142">
        <f t="shared" si="3"/>
        <v>5.8811199999999992</v>
      </c>
      <c r="Z232" s="157">
        <v>41837</v>
      </c>
      <c r="AE232" s="137">
        <v>14.24</v>
      </c>
      <c r="AF232" s="157">
        <v>41837</v>
      </c>
      <c r="AG232" s="185"/>
      <c r="AH232" s="157">
        <v>41837</v>
      </c>
      <c r="AM232" s="137">
        <v>96</v>
      </c>
      <c r="BM232" s="138">
        <v>64.27</v>
      </c>
      <c r="BN232" s="157">
        <v>41837</v>
      </c>
      <c r="BS232" s="138">
        <v>47.53</v>
      </c>
      <c r="BT232" s="157">
        <v>41837</v>
      </c>
      <c r="BU232" s="138">
        <v>41.3</v>
      </c>
      <c r="BV232" s="157">
        <v>41837</v>
      </c>
      <c r="BW232" s="138">
        <v>60.2</v>
      </c>
      <c r="BX232" s="157">
        <v>41837</v>
      </c>
      <c r="CC232" s="138">
        <v>6.7</v>
      </c>
      <c r="CD232" s="157">
        <v>41837</v>
      </c>
      <c r="CI232" s="138">
        <v>5</v>
      </c>
    </row>
    <row r="233" spans="1:91">
      <c r="A233" s="159" t="s">
        <v>7803</v>
      </c>
      <c r="B233" s="112" t="s">
        <v>269</v>
      </c>
      <c r="C233" s="112">
        <v>2</v>
      </c>
      <c r="D233" s="112">
        <v>70</v>
      </c>
      <c r="E233" s="113">
        <v>16</v>
      </c>
      <c r="F233" s="113">
        <v>7</v>
      </c>
      <c r="M233" s="185">
        <v>6.89</v>
      </c>
      <c r="N233" s="157">
        <v>41837</v>
      </c>
      <c r="R233" s="185"/>
      <c r="S233" s="137">
        <v>19.87</v>
      </c>
      <c r="T233" s="157">
        <v>41837</v>
      </c>
      <c r="U233" s="142">
        <v>18</v>
      </c>
      <c r="Y233" s="142">
        <f t="shared" si="3"/>
        <v>15.007839999999998</v>
      </c>
      <c r="Z233" s="157">
        <v>41837</v>
      </c>
      <c r="AE233" s="137">
        <v>38.68</v>
      </c>
      <c r="AF233" s="157">
        <v>41837</v>
      </c>
      <c r="AG233" s="185"/>
      <c r="AH233" s="157">
        <v>41837</v>
      </c>
      <c r="AM233" s="137">
        <v>90</v>
      </c>
      <c r="BM233" s="138">
        <v>61.61</v>
      </c>
      <c r="BN233" s="157">
        <v>41837</v>
      </c>
      <c r="BS233" s="138">
        <v>51.36</v>
      </c>
      <c r="BT233" s="157">
        <v>41837</v>
      </c>
      <c r="BU233" s="138">
        <v>38.799999999999997</v>
      </c>
      <c r="BV233" s="157">
        <v>41837</v>
      </c>
      <c r="BW233" s="138">
        <v>13.1</v>
      </c>
      <c r="BX233" s="157">
        <v>41837</v>
      </c>
      <c r="CC233" s="138">
        <v>7.3</v>
      </c>
      <c r="CD233" s="157">
        <v>41837</v>
      </c>
      <c r="CI233" s="138">
        <v>5</v>
      </c>
    </row>
    <row r="234" spans="1:91">
      <c r="A234" s="159" t="s">
        <v>7725</v>
      </c>
      <c r="B234" s="112" t="s">
        <v>269</v>
      </c>
      <c r="C234" s="112">
        <v>2</v>
      </c>
      <c r="D234" s="112">
        <v>88</v>
      </c>
      <c r="E234" s="113">
        <v>17</v>
      </c>
      <c r="F234" s="113">
        <v>7</v>
      </c>
      <c r="M234" s="185">
        <v>4.0999999999999996</v>
      </c>
      <c r="N234" s="157">
        <v>41837</v>
      </c>
      <c r="R234" s="185"/>
      <c r="S234" s="137">
        <v>11.18</v>
      </c>
      <c r="T234" s="157">
        <v>41837</v>
      </c>
      <c r="U234" s="142">
        <v>18</v>
      </c>
      <c r="Y234" s="142">
        <f t="shared" si="3"/>
        <v>8.9820099999999989</v>
      </c>
      <c r="Z234" s="157">
        <v>41837</v>
      </c>
      <c r="AE234" s="137">
        <v>23.09</v>
      </c>
      <c r="AF234" s="157">
        <v>41837</v>
      </c>
      <c r="AG234" s="185"/>
      <c r="AH234" s="157">
        <v>41837</v>
      </c>
      <c r="AM234" s="137">
        <v>92</v>
      </c>
      <c r="BM234" s="138">
        <v>61.62</v>
      </c>
      <c r="BN234" s="157">
        <v>41837</v>
      </c>
      <c r="BS234" s="138">
        <v>48.43</v>
      </c>
      <c r="BT234" s="157">
        <v>41837</v>
      </c>
      <c r="BU234" s="138">
        <v>38.9</v>
      </c>
      <c r="BV234" s="157">
        <v>41837</v>
      </c>
      <c r="BW234" s="138">
        <v>23.6</v>
      </c>
      <c r="BX234" s="157">
        <v>41837</v>
      </c>
      <c r="CC234" s="138">
        <v>7</v>
      </c>
      <c r="CD234" s="157">
        <v>41837</v>
      </c>
      <c r="CI234" s="138">
        <v>3</v>
      </c>
    </row>
    <row r="235" spans="1:91">
      <c r="A235" s="189" t="s">
        <v>7794</v>
      </c>
      <c r="B235" s="190" t="s">
        <v>269</v>
      </c>
      <c r="C235" s="190">
        <v>2</v>
      </c>
      <c r="D235" s="190">
        <v>48</v>
      </c>
      <c r="E235" s="191">
        <v>18</v>
      </c>
      <c r="F235" s="191">
        <v>7</v>
      </c>
      <c r="G235" s="191"/>
      <c r="H235" s="191"/>
      <c r="I235" s="190"/>
      <c r="J235" s="190"/>
      <c r="K235" s="195"/>
      <c r="L235" s="193"/>
      <c r="M235" s="194">
        <v>5.77</v>
      </c>
      <c r="N235" s="193">
        <v>41837</v>
      </c>
      <c r="P235" s="193"/>
      <c r="Q235" s="195"/>
      <c r="R235" s="194"/>
      <c r="S235" s="195">
        <v>16.37</v>
      </c>
      <c r="T235" s="193">
        <v>41837</v>
      </c>
      <c r="U235" s="192">
        <v>18</v>
      </c>
      <c r="V235" s="193"/>
      <c r="W235" s="195"/>
      <c r="X235" s="193"/>
      <c r="Y235" s="192">
        <f t="shared" si="3"/>
        <v>12.562020000000002</v>
      </c>
      <c r="Z235" s="193">
        <v>41837</v>
      </c>
      <c r="AA235" s="195"/>
      <c r="AB235" s="193"/>
      <c r="AC235" s="195"/>
      <c r="AD235" s="193"/>
      <c r="AE235" s="195">
        <v>32.46</v>
      </c>
      <c r="AF235" s="193">
        <v>41837</v>
      </c>
      <c r="AG235" s="194"/>
      <c r="AH235" s="193">
        <v>41837</v>
      </c>
      <c r="AI235" s="193"/>
      <c r="AJ235" s="193"/>
      <c r="AK235" s="195"/>
      <c r="AL235" s="193"/>
      <c r="AM235" s="195">
        <v>96</v>
      </c>
      <c r="AN235" s="193"/>
      <c r="AO235" s="195"/>
      <c r="AP235" s="195"/>
      <c r="AQ235" s="195"/>
      <c r="AR235" s="195"/>
      <c r="AS235" s="195"/>
      <c r="AT235" s="195"/>
      <c r="AU235" s="195"/>
      <c r="AV235" s="195"/>
      <c r="AW235" s="195"/>
      <c r="AX235" s="195"/>
      <c r="AY235" s="195"/>
      <c r="AZ235" s="195"/>
      <c r="BA235" s="195"/>
      <c r="BB235" s="195"/>
      <c r="BC235" s="195"/>
      <c r="BD235" s="195"/>
      <c r="BE235" s="196"/>
      <c r="BF235" s="196"/>
      <c r="BG235" s="196"/>
      <c r="BH235" s="196"/>
      <c r="BI235" s="196"/>
      <c r="BJ235" s="196"/>
      <c r="BK235" s="196"/>
      <c r="BL235" s="196"/>
      <c r="BM235" s="196">
        <v>63.33</v>
      </c>
      <c r="BN235" s="193">
        <v>41837</v>
      </c>
      <c r="BO235" s="196"/>
      <c r="BP235" s="196"/>
      <c r="BQ235" s="196"/>
      <c r="BR235" s="196"/>
      <c r="BS235" s="196">
        <v>50.42</v>
      </c>
      <c r="BT235" s="193">
        <v>41837</v>
      </c>
      <c r="BU235" s="196">
        <v>38.700000000000003</v>
      </c>
      <c r="BV235" s="193">
        <v>41837</v>
      </c>
      <c r="BW235" s="196">
        <v>14.3</v>
      </c>
      <c r="BX235" s="193">
        <v>41837</v>
      </c>
      <c r="BY235" s="196"/>
      <c r="BZ235" s="196"/>
      <c r="CA235" s="196"/>
      <c r="CB235" s="196"/>
      <c r="CC235" s="196">
        <v>7.1</v>
      </c>
      <c r="CD235" s="193">
        <v>41837</v>
      </c>
      <c r="CE235" s="196"/>
      <c r="CF235" s="196"/>
      <c r="CG235" s="196"/>
      <c r="CH235" s="196"/>
      <c r="CI235" s="196">
        <v>7</v>
      </c>
      <c r="CJ235" s="196"/>
      <c r="CK235" s="196"/>
      <c r="CL235" s="196"/>
      <c r="CM235" s="196"/>
    </row>
    <row r="236" spans="1:91">
      <c r="A236" s="189" t="s">
        <v>7765</v>
      </c>
      <c r="B236" s="190" t="s">
        <v>269</v>
      </c>
      <c r="C236" s="190">
        <v>2</v>
      </c>
      <c r="D236" s="190">
        <v>153</v>
      </c>
      <c r="E236" s="191">
        <v>19</v>
      </c>
      <c r="F236" s="191">
        <v>7</v>
      </c>
      <c r="G236" s="191"/>
      <c r="H236" s="191"/>
      <c r="I236" s="190"/>
      <c r="J236" s="190"/>
      <c r="K236" s="195"/>
      <c r="L236" s="193"/>
      <c r="M236" s="194">
        <v>5.03</v>
      </c>
      <c r="N236" s="193">
        <v>41837</v>
      </c>
      <c r="P236" s="193"/>
      <c r="Q236" s="195"/>
      <c r="R236" s="194"/>
      <c r="S236" s="195">
        <v>14.56</v>
      </c>
      <c r="T236" s="193">
        <v>41837</v>
      </c>
      <c r="U236" s="192">
        <v>18</v>
      </c>
      <c r="V236" s="193"/>
      <c r="W236" s="195"/>
      <c r="X236" s="193"/>
      <c r="Y236" s="192">
        <f t="shared" si="3"/>
        <v>10.811</v>
      </c>
      <c r="Z236" s="193">
        <v>41837</v>
      </c>
      <c r="AA236" s="195"/>
      <c r="AB236" s="193"/>
      <c r="AC236" s="195"/>
      <c r="AD236" s="193"/>
      <c r="AE236" s="195">
        <v>28.45</v>
      </c>
      <c r="AF236" s="193">
        <v>41837</v>
      </c>
      <c r="AG236" s="194"/>
      <c r="AH236" s="193">
        <v>41837</v>
      </c>
      <c r="AI236" s="193"/>
      <c r="AJ236" s="193"/>
      <c r="AK236" s="195"/>
      <c r="AL236" s="193"/>
      <c r="AM236" s="195">
        <v>94</v>
      </c>
      <c r="AN236" s="193"/>
      <c r="AO236" s="195"/>
      <c r="AP236" s="195"/>
      <c r="AQ236" s="195"/>
      <c r="AR236" s="195"/>
      <c r="AS236" s="195"/>
      <c r="AT236" s="195"/>
      <c r="AU236" s="195"/>
      <c r="AV236" s="195"/>
      <c r="AW236" s="195"/>
      <c r="AX236" s="195"/>
      <c r="AY236" s="195"/>
      <c r="AZ236" s="195"/>
      <c r="BA236" s="195"/>
      <c r="BB236" s="195"/>
      <c r="BC236" s="195"/>
      <c r="BD236" s="195"/>
      <c r="BE236" s="196"/>
      <c r="BF236" s="196"/>
      <c r="BG236" s="196"/>
      <c r="BH236" s="196"/>
      <c r="BI236" s="196"/>
      <c r="BJ236" s="196"/>
      <c r="BK236" s="196"/>
      <c r="BL236" s="196"/>
      <c r="BM236" s="196">
        <v>63.69</v>
      </c>
      <c r="BN236" s="193">
        <v>41837</v>
      </c>
      <c r="BO236" s="196"/>
      <c r="BP236" s="196"/>
      <c r="BQ236" s="196"/>
      <c r="BR236" s="196"/>
      <c r="BS236" s="196">
        <v>51.16</v>
      </c>
      <c r="BT236" s="193">
        <v>41837</v>
      </c>
      <c r="BU236" s="196">
        <v>38</v>
      </c>
      <c r="BV236" s="193">
        <v>41837</v>
      </c>
      <c r="BW236" s="196">
        <v>15.5</v>
      </c>
      <c r="BX236" s="193">
        <v>41837</v>
      </c>
      <c r="BY236" s="196"/>
      <c r="BZ236" s="196"/>
      <c r="CA236" s="196"/>
      <c r="CB236" s="196"/>
      <c r="CC236" s="196">
        <v>6.6</v>
      </c>
      <c r="CD236" s="193">
        <v>41837</v>
      </c>
      <c r="CE236" s="196"/>
      <c r="CF236" s="196"/>
      <c r="CG236" s="196"/>
      <c r="CH236" s="196"/>
      <c r="CI236" s="196">
        <v>7</v>
      </c>
      <c r="CJ236" s="196"/>
      <c r="CK236" s="196"/>
      <c r="CL236" s="196"/>
      <c r="CM236" s="196"/>
    </row>
    <row r="237" spans="1:91">
      <c r="A237" s="159" t="s">
        <v>7678</v>
      </c>
      <c r="B237" s="112" t="s">
        <v>269</v>
      </c>
      <c r="C237" s="112">
        <v>2</v>
      </c>
      <c r="D237" s="112">
        <v>56</v>
      </c>
      <c r="E237" s="113">
        <v>20</v>
      </c>
      <c r="F237" s="113">
        <v>7</v>
      </c>
      <c r="M237" s="185">
        <v>4.68</v>
      </c>
      <c r="N237" s="157">
        <v>41837</v>
      </c>
      <c r="R237" s="185"/>
      <c r="S237" s="137">
        <v>12.85</v>
      </c>
      <c r="T237" s="157">
        <v>41837</v>
      </c>
      <c r="U237" s="142">
        <v>18</v>
      </c>
      <c r="Y237" s="142">
        <f t="shared" si="3"/>
        <v>10.32136</v>
      </c>
      <c r="Z237" s="157">
        <v>41837</v>
      </c>
      <c r="AE237" s="137">
        <v>26.33</v>
      </c>
      <c r="AF237" s="157">
        <v>41837</v>
      </c>
      <c r="AG237" s="185"/>
      <c r="AH237" s="157">
        <v>41837</v>
      </c>
      <c r="AM237" s="137">
        <v>96</v>
      </c>
      <c r="BM237" s="138">
        <v>59.38</v>
      </c>
      <c r="BN237" s="157">
        <v>41837</v>
      </c>
      <c r="BS237" s="138">
        <v>48.82</v>
      </c>
      <c r="BT237" s="157">
        <v>41837</v>
      </c>
      <c r="BU237" s="138">
        <v>39.200000000000003</v>
      </c>
      <c r="BV237" s="157">
        <v>41837</v>
      </c>
      <c r="BW237" s="138">
        <v>19.5</v>
      </c>
      <c r="BX237" s="157">
        <v>41837</v>
      </c>
      <c r="CC237" s="138">
        <v>7.1</v>
      </c>
      <c r="CD237" s="157">
        <v>41837</v>
      </c>
      <c r="CI237" s="138">
        <v>7</v>
      </c>
    </row>
    <row r="238" spans="1:91">
      <c r="A238" s="159" t="s">
        <v>7811</v>
      </c>
      <c r="B238" s="112" t="s">
        <v>269</v>
      </c>
      <c r="C238" s="112">
        <v>2</v>
      </c>
      <c r="D238" s="112">
        <v>130</v>
      </c>
      <c r="E238" s="113">
        <v>21</v>
      </c>
      <c r="F238" s="113">
        <v>7</v>
      </c>
      <c r="M238" s="185">
        <v>6.36</v>
      </c>
      <c r="N238" s="157">
        <v>41837</v>
      </c>
      <c r="R238" s="185"/>
      <c r="S238" s="137">
        <v>17.86</v>
      </c>
      <c r="T238" s="157">
        <v>41837</v>
      </c>
      <c r="U238" s="142">
        <v>18</v>
      </c>
      <c r="Y238" s="142">
        <f t="shared" si="3"/>
        <v>13.504140000000001</v>
      </c>
      <c r="Z238" s="157">
        <v>41837</v>
      </c>
      <c r="AE238" s="137">
        <v>35.82</v>
      </c>
      <c r="AF238" s="157">
        <v>41837</v>
      </c>
      <c r="AG238" s="185"/>
      <c r="AH238" s="157">
        <v>41837</v>
      </c>
      <c r="AM238" s="137">
        <v>94</v>
      </c>
      <c r="BM238" s="138">
        <v>60.76</v>
      </c>
      <c r="BN238" s="157">
        <v>41837</v>
      </c>
      <c r="BS238" s="138">
        <v>49.86</v>
      </c>
      <c r="BT238" s="157">
        <v>41837</v>
      </c>
      <c r="BU238" s="138">
        <v>37.700000000000003</v>
      </c>
      <c r="BV238" s="157">
        <v>41837</v>
      </c>
      <c r="BW238" s="138">
        <v>14.5</v>
      </c>
      <c r="BX238" s="157">
        <v>41837</v>
      </c>
      <c r="CC238" s="138">
        <v>7</v>
      </c>
      <c r="CD238" s="157">
        <v>41837</v>
      </c>
      <c r="CI238" s="138">
        <v>5</v>
      </c>
    </row>
    <row r="239" spans="1:91">
      <c r="A239" s="189" t="s">
        <v>7697</v>
      </c>
      <c r="B239" s="190" t="s">
        <v>269</v>
      </c>
      <c r="C239" s="190">
        <v>2</v>
      </c>
      <c r="D239" s="190">
        <v>42</v>
      </c>
      <c r="E239" s="191">
        <v>22</v>
      </c>
      <c r="F239" s="191">
        <v>7</v>
      </c>
      <c r="G239" s="191"/>
      <c r="H239" s="191"/>
      <c r="I239" s="190"/>
      <c r="J239" s="190"/>
      <c r="K239" s="195"/>
      <c r="L239" s="193"/>
      <c r="M239" s="194">
        <v>6.45</v>
      </c>
      <c r="N239" s="193">
        <v>41837</v>
      </c>
      <c r="P239" s="193"/>
      <c r="Q239" s="195"/>
      <c r="R239" s="194"/>
      <c r="S239" s="195">
        <v>18.420000000000002</v>
      </c>
      <c r="T239" s="193">
        <v>41837</v>
      </c>
      <c r="U239" s="192">
        <v>18</v>
      </c>
      <c r="V239" s="193"/>
      <c r="W239" s="195"/>
      <c r="X239" s="193"/>
      <c r="Y239" s="192">
        <f t="shared" si="3"/>
        <v>14.689439999999999</v>
      </c>
      <c r="Z239" s="193">
        <v>41837</v>
      </c>
      <c r="AA239" s="195"/>
      <c r="AB239" s="193"/>
      <c r="AC239" s="195"/>
      <c r="AD239" s="193"/>
      <c r="AE239" s="195">
        <v>36.36</v>
      </c>
      <c r="AF239" s="193">
        <v>41837</v>
      </c>
      <c r="AG239" s="194"/>
      <c r="AH239" s="193">
        <v>41837</v>
      </c>
      <c r="AI239" s="193"/>
      <c r="AJ239" s="193"/>
      <c r="AK239" s="195"/>
      <c r="AL239" s="193"/>
      <c r="AM239" s="195">
        <v>96</v>
      </c>
      <c r="AN239" s="193"/>
      <c r="AO239" s="195"/>
      <c r="AP239" s="195"/>
      <c r="AQ239" s="195"/>
      <c r="AR239" s="195"/>
      <c r="AS239" s="195"/>
      <c r="AT239" s="195"/>
      <c r="AU239" s="195"/>
      <c r="AV239" s="195"/>
      <c r="AW239" s="195"/>
      <c r="AX239" s="195"/>
      <c r="AY239" s="195"/>
      <c r="AZ239" s="195"/>
      <c r="BA239" s="195"/>
      <c r="BB239" s="195"/>
      <c r="BC239" s="195"/>
      <c r="BD239" s="195"/>
      <c r="BE239" s="196"/>
      <c r="BF239" s="196"/>
      <c r="BG239" s="196"/>
      <c r="BH239" s="196"/>
      <c r="BI239" s="196"/>
      <c r="BJ239" s="196"/>
      <c r="BK239" s="196"/>
      <c r="BL239" s="196"/>
      <c r="BM239" s="196">
        <v>65.91</v>
      </c>
      <c r="BN239" s="193">
        <v>41837</v>
      </c>
      <c r="BO239" s="196"/>
      <c r="BP239" s="196"/>
      <c r="BQ239" s="196"/>
      <c r="BR239" s="196"/>
      <c r="BS239" s="196">
        <v>50.67</v>
      </c>
      <c r="BT239" s="193">
        <v>41837</v>
      </c>
      <c r="BU239" s="196">
        <v>40.4</v>
      </c>
      <c r="BV239" s="193">
        <v>41837</v>
      </c>
      <c r="BW239" s="196">
        <v>15.4</v>
      </c>
      <c r="BX239" s="193">
        <v>41837</v>
      </c>
      <c r="BY239" s="196"/>
      <c r="BZ239" s="196"/>
      <c r="CA239" s="196"/>
      <c r="CB239" s="196"/>
      <c r="CC239" s="196">
        <v>6.9</v>
      </c>
      <c r="CD239" s="193">
        <v>41837</v>
      </c>
      <c r="CE239" s="196"/>
      <c r="CF239" s="196"/>
      <c r="CG239" s="196"/>
      <c r="CH239" s="196"/>
      <c r="CI239" s="196">
        <v>7</v>
      </c>
      <c r="CJ239" s="196"/>
      <c r="CK239" s="196"/>
      <c r="CL239" s="196"/>
      <c r="CM239" s="196"/>
    </row>
    <row r="240" spans="1:91">
      <c r="A240" s="159" t="s">
        <v>7652</v>
      </c>
      <c r="B240" s="112" t="s">
        <v>269</v>
      </c>
      <c r="C240" s="112">
        <v>2</v>
      </c>
      <c r="D240" s="112">
        <v>208</v>
      </c>
      <c r="E240" s="113">
        <v>23</v>
      </c>
      <c r="F240" s="113">
        <v>7</v>
      </c>
      <c r="M240" s="185">
        <v>2.4</v>
      </c>
      <c r="N240" s="157">
        <v>41837</v>
      </c>
      <c r="R240" s="185"/>
      <c r="S240" s="137">
        <v>6.77</v>
      </c>
      <c r="T240" s="157">
        <v>41837</v>
      </c>
      <c r="U240" s="142">
        <v>18</v>
      </c>
      <c r="Y240" s="142">
        <f t="shared" si="3"/>
        <v>5.6179800000000002</v>
      </c>
      <c r="Z240" s="157">
        <v>41837</v>
      </c>
      <c r="AE240" s="137">
        <v>13.57</v>
      </c>
      <c r="AF240" s="157">
        <v>41837</v>
      </c>
      <c r="AG240" s="185"/>
      <c r="AH240" s="157">
        <v>41837</v>
      </c>
      <c r="AM240" s="137">
        <v>92</v>
      </c>
      <c r="BM240" s="138">
        <v>58.56</v>
      </c>
      <c r="BN240" s="157">
        <v>41837</v>
      </c>
      <c r="BS240" s="138">
        <v>49.92</v>
      </c>
      <c r="BT240" s="157">
        <v>41837</v>
      </c>
      <c r="BU240" s="138">
        <v>41.4</v>
      </c>
      <c r="BV240" s="157">
        <v>41837</v>
      </c>
      <c r="BW240" s="138">
        <v>44.2</v>
      </c>
      <c r="BX240" s="157">
        <v>41837</v>
      </c>
      <c r="CC240" s="138">
        <v>6.6</v>
      </c>
      <c r="CD240" s="157">
        <v>41837</v>
      </c>
      <c r="CI240" s="138">
        <v>3</v>
      </c>
    </row>
    <row r="241" spans="1:91">
      <c r="A241" s="159" t="s">
        <v>7857</v>
      </c>
      <c r="B241" s="112" t="s">
        <v>269</v>
      </c>
      <c r="C241" s="112">
        <v>2</v>
      </c>
      <c r="D241" s="112">
        <v>85</v>
      </c>
      <c r="E241" s="113">
        <v>24</v>
      </c>
      <c r="F241" s="113">
        <v>7</v>
      </c>
      <c r="M241" s="185">
        <v>7.08</v>
      </c>
      <c r="N241" s="157">
        <v>41837</v>
      </c>
      <c r="R241" s="185"/>
      <c r="S241" s="137">
        <v>20.58</v>
      </c>
      <c r="T241" s="157">
        <v>41837</v>
      </c>
      <c r="U241" s="142">
        <v>18</v>
      </c>
      <c r="Y241" s="142">
        <f t="shared" si="3"/>
        <v>15.528879999999999</v>
      </c>
      <c r="Z241" s="157">
        <v>41837</v>
      </c>
      <c r="AE241" s="137">
        <v>39.92</v>
      </c>
      <c r="AF241" s="157">
        <v>41837</v>
      </c>
      <c r="AG241" s="185"/>
      <c r="AH241" s="157">
        <v>41837</v>
      </c>
      <c r="AM241" s="137">
        <v>96</v>
      </c>
      <c r="BM241" s="138">
        <v>61.44</v>
      </c>
      <c r="BN241" s="157">
        <v>41837</v>
      </c>
      <c r="BS241" s="138">
        <v>51.56</v>
      </c>
      <c r="BT241" s="157">
        <v>41837</v>
      </c>
      <c r="BU241" s="138">
        <v>38.9</v>
      </c>
      <c r="BV241" s="157">
        <v>41837</v>
      </c>
      <c r="BW241" s="138">
        <v>13</v>
      </c>
      <c r="BX241" s="157">
        <v>41837</v>
      </c>
      <c r="CC241" s="138">
        <v>6.9</v>
      </c>
      <c r="CD241" s="157">
        <v>41837</v>
      </c>
      <c r="CI241" s="138">
        <v>7</v>
      </c>
    </row>
    <row r="242" spans="1:91">
      <c r="A242" s="159" t="s">
        <v>7640</v>
      </c>
      <c r="B242" s="112" t="s">
        <v>269</v>
      </c>
      <c r="C242" s="112">
        <v>2</v>
      </c>
      <c r="D242" s="112">
        <v>120</v>
      </c>
      <c r="E242" s="113">
        <v>25</v>
      </c>
      <c r="F242" s="113">
        <v>7</v>
      </c>
      <c r="M242" s="185">
        <v>6.89</v>
      </c>
      <c r="N242" s="157">
        <v>41837</v>
      </c>
      <c r="R242" s="185"/>
      <c r="S242" s="137">
        <v>20.399999999999999</v>
      </c>
      <c r="T242" s="157">
        <v>41837</v>
      </c>
      <c r="U242" s="142">
        <v>18</v>
      </c>
      <c r="Y242" s="142">
        <f t="shared" si="3"/>
        <v>16.15014</v>
      </c>
      <c r="Z242" s="157">
        <v>41837</v>
      </c>
      <c r="AE242" s="137">
        <v>39.01</v>
      </c>
      <c r="AF242" s="157">
        <v>41837</v>
      </c>
      <c r="AG242" s="185"/>
      <c r="AH242" s="157">
        <v>41837</v>
      </c>
      <c r="AM242" s="137">
        <v>90</v>
      </c>
      <c r="BM242" s="138">
        <v>64.02</v>
      </c>
      <c r="BN242" s="157">
        <v>41837</v>
      </c>
      <c r="BS242" s="138">
        <v>52.3</v>
      </c>
      <c r="BT242" s="157">
        <v>41837</v>
      </c>
      <c r="BU242" s="138">
        <v>41.4</v>
      </c>
      <c r="BV242" s="157">
        <v>41837</v>
      </c>
      <c r="BW242" s="138">
        <v>15.7</v>
      </c>
      <c r="BX242" s="157">
        <v>41837</v>
      </c>
      <c r="CC242" s="138">
        <v>6.5</v>
      </c>
      <c r="CD242" s="157">
        <v>41837</v>
      </c>
      <c r="CI242" s="138">
        <v>3</v>
      </c>
    </row>
    <row r="243" spans="1:91">
      <c r="A243" s="159" t="s">
        <v>7614</v>
      </c>
      <c r="B243" s="112" t="s">
        <v>269</v>
      </c>
      <c r="C243" s="112">
        <v>2</v>
      </c>
      <c r="D243" s="112">
        <v>58</v>
      </c>
      <c r="E243" s="113">
        <v>26</v>
      </c>
      <c r="F243" s="113">
        <v>7</v>
      </c>
      <c r="M243" s="185">
        <v>5.19</v>
      </c>
      <c r="N243" s="157">
        <v>41837</v>
      </c>
      <c r="R243" s="185"/>
      <c r="S243" s="137">
        <v>14.09</v>
      </c>
      <c r="T243" s="157">
        <v>41837</v>
      </c>
      <c r="U243" s="142">
        <v>18</v>
      </c>
      <c r="Y243" s="142">
        <f t="shared" si="3"/>
        <v>12.314410000000001</v>
      </c>
      <c r="Z243" s="157">
        <v>41837</v>
      </c>
      <c r="AE243" s="137">
        <v>29.39</v>
      </c>
      <c r="AF243" s="157">
        <v>41837</v>
      </c>
      <c r="AG243" s="185"/>
      <c r="AH243" s="157">
        <v>41837</v>
      </c>
      <c r="AM243" s="137">
        <v>96</v>
      </c>
      <c r="BM243" s="138">
        <v>63.27</v>
      </c>
      <c r="BN243" s="157">
        <v>41837</v>
      </c>
      <c r="BS243" s="138">
        <v>47.94</v>
      </c>
      <c r="BT243" s="157">
        <v>41837</v>
      </c>
      <c r="BU243" s="138">
        <v>41.9</v>
      </c>
      <c r="BV243" s="157">
        <v>41837</v>
      </c>
      <c r="BW243" s="138">
        <v>70.599999999999994</v>
      </c>
      <c r="BX243" s="157">
        <v>41837</v>
      </c>
      <c r="CC243" s="138">
        <v>6.5</v>
      </c>
      <c r="CD243" s="157">
        <v>41837</v>
      </c>
      <c r="CI243" s="138">
        <v>7</v>
      </c>
    </row>
    <row r="244" spans="1:91">
      <c r="A244" s="159" t="s">
        <v>7670</v>
      </c>
      <c r="B244" s="112" t="s">
        <v>269</v>
      </c>
      <c r="C244" s="112">
        <v>2</v>
      </c>
      <c r="D244" s="112">
        <v>148</v>
      </c>
      <c r="E244" s="113">
        <v>27</v>
      </c>
      <c r="F244" s="113">
        <v>7</v>
      </c>
      <c r="M244" s="185">
        <v>5.31</v>
      </c>
      <c r="N244" s="157">
        <v>41837</v>
      </c>
      <c r="R244" s="185"/>
      <c r="S244" s="137">
        <v>15.13</v>
      </c>
      <c r="T244" s="157">
        <v>41837</v>
      </c>
      <c r="U244" s="142">
        <v>18</v>
      </c>
      <c r="Y244" s="142">
        <f t="shared" si="3"/>
        <v>11.859400000000001</v>
      </c>
      <c r="Z244" s="157">
        <v>41837</v>
      </c>
      <c r="AE244" s="137">
        <v>30.1</v>
      </c>
      <c r="AF244" s="157">
        <v>41837</v>
      </c>
      <c r="AG244" s="185"/>
      <c r="AH244" s="157">
        <v>41837</v>
      </c>
      <c r="AM244" s="137">
        <v>94</v>
      </c>
      <c r="BM244" s="138">
        <v>60.99</v>
      </c>
      <c r="BN244" s="157">
        <v>41837</v>
      </c>
      <c r="BS244" s="138">
        <v>50.26</v>
      </c>
      <c r="BT244" s="157">
        <v>41837</v>
      </c>
      <c r="BU244" s="138">
        <v>39.4</v>
      </c>
      <c r="BV244" s="157">
        <v>41837</v>
      </c>
      <c r="BW244" s="138">
        <v>17.899999999999999</v>
      </c>
      <c r="BX244" s="157">
        <v>41837</v>
      </c>
      <c r="CC244" s="138">
        <v>6.4</v>
      </c>
      <c r="CD244" s="157">
        <v>41837</v>
      </c>
      <c r="CI244" s="138">
        <v>5</v>
      </c>
    </row>
    <row r="245" spans="1:91">
      <c r="A245" s="159" t="s">
        <v>7723</v>
      </c>
      <c r="B245" s="112" t="s">
        <v>269</v>
      </c>
      <c r="C245" s="112">
        <v>2</v>
      </c>
      <c r="D245" s="112">
        <v>21</v>
      </c>
      <c r="E245" s="113">
        <v>28</v>
      </c>
      <c r="F245" s="113">
        <v>7</v>
      </c>
      <c r="I245" s="200"/>
      <c r="K245" s="142"/>
      <c r="M245" s="185">
        <v>7.1</v>
      </c>
      <c r="N245" s="157">
        <v>41837</v>
      </c>
      <c r="Q245" s="142"/>
      <c r="R245" s="185"/>
      <c r="S245" s="142">
        <v>20.04</v>
      </c>
      <c r="T245" s="157">
        <v>41837</v>
      </c>
      <c r="U245" s="142">
        <v>18</v>
      </c>
      <c r="W245" s="142"/>
      <c r="Y245" s="142">
        <f t="shared" si="3"/>
        <v>15.58723</v>
      </c>
      <c r="Z245" s="157">
        <v>41837</v>
      </c>
      <c r="AA245" s="142"/>
      <c r="AE245" s="142">
        <v>40.07</v>
      </c>
      <c r="AF245" s="157">
        <v>41837</v>
      </c>
      <c r="AG245" s="185"/>
      <c r="AH245" s="157">
        <v>41837</v>
      </c>
      <c r="AK245" s="142"/>
      <c r="AM245" s="142">
        <v>90</v>
      </c>
      <c r="BM245" s="138">
        <v>62.52</v>
      </c>
      <c r="BN245" s="157">
        <v>41837</v>
      </c>
      <c r="BS245" s="138">
        <v>50</v>
      </c>
      <c r="BT245" s="157">
        <v>41837</v>
      </c>
      <c r="BU245" s="138">
        <v>38.9</v>
      </c>
      <c r="BV245" s="157">
        <v>41837</v>
      </c>
      <c r="BW245" s="138">
        <v>15.1</v>
      </c>
      <c r="BX245" s="157">
        <v>41837</v>
      </c>
      <c r="CC245" s="138">
        <v>6.8</v>
      </c>
      <c r="CD245" s="157">
        <v>41837</v>
      </c>
      <c r="CI245" s="138">
        <v>7</v>
      </c>
    </row>
    <row r="246" spans="1:91">
      <c r="A246" s="159" t="s">
        <v>7856</v>
      </c>
      <c r="B246" s="112" t="s">
        <v>269</v>
      </c>
      <c r="C246" s="112">
        <v>2</v>
      </c>
      <c r="D246" s="112">
        <v>151</v>
      </c>
      <c r="E246" s="113">
        <v>29</v>
      </c>
      <c r="F246" s="113">
        <v>7</v>
      </c>
      <c r="M246" s="185">
        <v>6.89</v>
      </c>
      <c r="N246" s="157">
        <v>41837</v>
      </c>
      <c r="R246" s="185"/>
      <c r="S246" s="137">
        <v>20.09</v>
      </c>
      <c r="T246" s="157">
        <v>41837</v>
      </c>
      <c r="U246" s="142">
        <v>18</v>
      </c>
      <c r="Y246" s="142">
        <f t="shared" si="3"/>
        <v>14.107140000000001</v>
      </c>
      <c r="Z246" s="157">
        <v>41837</v>
      </c>
      <c r="AE246" s="137">
        <v>38.97</v>
      </c>
      <c r="AF246" s="157">
        <v>41837</v>
      </c>
      <c r="AG246" s="185"/>
      <c r="AH246" s="157">
        <v>41837</v>
      </c>
      <c r="AM246" s="137">
        <v>83</v>
      </c>
      <c r="BM246" s="138">
        <v>60.96</v>
      </c>
      <c r="BN246" s="157">
        <v>41837</v>
      </c>
      <c r="BS246" s="138">
        <v>51.55</v>
      </c>
      <c r="BT246" s="157">
        <v>41837</v>
      </c>
      <c r="BU246" s="138">
        <v>36.200000000000003</v>
      </c>
      <c r="BV246" s="157">
        <v>41837</v>
      </c>
      <c r="BW246" s="138">
        <v>18.100000000000001</v>
      </c>
      <c r="BX246" s="157">
        <v>41837</v>
      </c>
      <c r="CC246" s="138">
        <v>6.6</v>
      </c>
      <c r="CD246" s="157">
        <v>41837</v>
      </c>
      <c r="CI246" s="138">
        <v>7</v>
      </c>
    </row>
    <row r="247" spans="1:91">
      <c r="A247" s="159" t="s">
        <v>7754</v>
      </c>
      <c r="B247" s="112" t="s">
        <v>269</v>
      </c>
      <c r="C247" s="112">
        <v>2</v>
      </c>
      <c r="D247" s="112">
        <v>184</v>
      </c>
      <c r="E247" s="113">
        <v>30</v>
      </c>
      <c r="F247" s="113">
        <v>7</v>
      </c>
      <c r="M247" s="185">
        <v>4.4400000000000004</v>
      </c>
      <c r="N247" s="157">
        <v>41837</v>
      </c>
      <c r="R247" s="185"/>
      <c r="S247" s="137">
        <v>11.99</v>
      </c>
      <c r="T247" s="157">
        <v>41837</v>
      </c>
      <c r="U247" s="142">
        <v>18</v>
      </c>
      <c r="Y247" s="142">
        <f t="shared" si="3"/>
        <v>9.9169800000000006</v>
      </c>
      <c r="Z247" s="157">
        <v>41837</v>
      </c>
      <c r="AE247" s="137">
        <v>25.17</v>
      </c>
      <c r="AF247" s="157">
        <v>41837</v>
      </c>
      <c r="AG247" s="185"/>
      <c r="AH247" s="157">
        <v>41837</v>
      </c>
      <c r="AM247" s="137">
        <v>96</v>
      </c>
      <c r="BM247" s="138">
        <v>62</v>
      </c>
      <c r="BN247" s="157">
        <v>41837</v>
      </c>
      <c r="BS247" s="138">
        <v>47.64</v>
      </c>
      <c r="BT247" s="157">
        <v>41837</v>
      </c>
      <c r="BU247" s="138">
        <v>39.4</v>
      </c>
      <c r="BV247" s="157">
        <v>41837</v>
      </c>
      <c r="BW247" s="138">
        <v>59.8</v>
      </c>
      <c r="BX247" s="157">
        <v>41837</v>
      </c>
      <c r="CC247" s="138">
        <v>6.4</v>
      </c>
      <c r="CD247" s="157">
        <v>41837</v>
      </c>
      <c r="CI247" s="138">
        <v>5</v>
      </c>
    </row>
    <row r="248" spans="1:91">
      <c r="A248" s="159" t="s">
        <v>7631</v>
      </c>
      <c r="B248" s="112" t="s">
        <v>269</v>
      </c>
      <c r="C248" s="112">
        <v>2</v>
      </c>
      <c r="D248" s="112">
        <v>106</v>
      </c>
      <c r="E248" s="113">
        <v>31</v>
      </c>
      <c r="F248" s="113">
        <v>7</v>
      </c>
      <c r="M248" s="185">
        <v>4.46</v>
      </c>
      <c r="N248" s="157">
        <v>41837</v>
      </c>
      <c r="R248" s="185"/>
      <c r="S248" s="137">
        <v>11.72</v>
      </c>
      <c r="T248" s="157">
        <v>41837</v>
      </c>
      <c r="U248" s="142">
        <v>18</v>
      </c>
      <c r="Y248" s="142">
        <f t="shared" si="3"/>
        <v>9.9721399999999996</v>
      </c>
      <c r="Z248" s="157">
        <v>41837</v>
      </c>
      <c r="AE248" s="137">
        <v>25.31</v>
      </c>
      <c r="AF248" s="157">
        <v>41837</v>
      </c>
      <c r="AG248" s="185"/>
      <c r="AH248" s="157">
        <v>41837</v>
      </c>
      <c r="AM248" s="137">
        <v>96</v>
      </c>
      <c r="BM248" s="138">
        <v>64.61</v>
      </c>
      <c r="BN248" s="157">
        <v>41837</v>
      </c>
      <c r="BS248" s="138">
        <v>46.31</v>
      </c>
      <c r="BT248" s="157">
        <v>41837</v>
      </c>
      <c r="BU248" s="138">
        <v>39.4</v>
      </c>
      <c r="BV248" s="157">
        <v>41837</v>
      </c>
      <c r="BW248" s="138">
        <v>62.4</v>
      </c>
      <c r="BX248" s="157">
        <v>41837</v>
      </c>
      <c r="CC248" s="138">
        <v>6.3</v>
      </c>
      <c r="CD248" s="157">
        <v>41837</v>
      </c>
      <c r="CI248" s="138">
        <v>5</v>
      </c>
    </row>
    <row r="249" spans="1:91">
      <c r="A249" s="159" t="s">
        <v>7627</v>
      </c>
      <c r="B249" s="112" t="s">
        <v>269</v>
      </c>
      <c r="C249" s="112">
        <v>2</v>
      </c>
      <c r="D249" s="112">
        <v>57</v>
      </c>
      <c r="E249" s="113">
        <v>32</v>
      </c>
      <c r="F249" s="113">
        <v>7</v>
      </c>
      <c r="M249" s="185">
        <v>3.99</v>
      </c>
      <c r="N249" s="157">
        <v>41837</v>
      </c>
      <c r="R249" s="185"/>
      <c r="S249" s="137">
        <v>11.22</v>
      </c>
      <c r="T249" s="157">
        <v>41837</v>
      </c>
      <c r="U249" s="142">
        <v>18</v>
      </c>
      <c r="Y249" s="142">
        <f t="shared" si="3"/>
        <v>9.2618999999999989</v>
      </c>
      <c r="Z249" s="157">
        <v>41837</v>
      </c>
      <c r="AE249" s="137">
        <v>22.59</v>
      </c>
      <c r="AF249" s="157">
        <v>41837</v>
      </c>
      <c r="AG249" s="185"/>
      <c r="AH249" s="157">
        <v>41837</v>
      </c>
      <c r="AM249" s="137">
        <v>90</v>
      </c>
      <c r="BM249" s="138">
        <v>62.78</v>
      </c>
      <c r="BN249" s="157">
        <v>41837</v>
      </c>
      <c r="BS249" s="138">
        <v>49.66</v>
      </c>
      <c r="BT249" s="157">
        <v>41837</v>
      </c>
      <c r="BU249" s="138">
        <v>41</v>
      </c>
      <c r="BV249" s="157">
        <v>41837</v>
      </c>
      <c r="BW249" s="138">
        <v>40.299999999999997</v>
      </c>
      <c r="BX249" s="157">
        <v>41837</v>
      </c>
      <c r="CC249" s="138">
        <v>6.5</v>
      </c>
      <c r="CD249" s="157">
        <v>41837</v>
      </c>
      <c r="CI249" s="138">
        <v>3</v>
      </c>
    </row>
    <row r="250" spans="1:91">
      <c r="A250" s="159" t="s">
        <v>7806</v>
      </c>
      <c r="B250" s="112" t="s">
        <v>269</v>
      </c>
      <c r="C250" s="112">
        <v>2</v>
      </c>
      <c r="D250" s="112">
        <v>64</v>
      </c>
      <c r="E250" s="113">
        <v>33</v>
      </c>
      <c r="F250" s="113">
        <v>7</v>
      </c>
      <c r="M250" s="185">
        <v>6.81</v>
      </c>
      <c r="N250" s="157">
        <v>41837</v>
      </c>
      <c r="R250" s="185"/>
      <c r="S250" s="137">
        <v>20.149999999999999</v>
      </c>
      <c r="T250" s="157">
        <v>41837</v>
      </c>
      <c r="U250" s="142">
        <v>18</v>
      </c>
      <c r="Y250" s="142">
        <f t="shared" si="3"/>
        <v>14.729920000000002</v>
      </c>
      <c r="Z250" s="157">
        <v>41837</v>
      </c>
      <c r="AE250" s="137">
        <v>38.56</v>
      </c>
      <c r="AF250" s="157">
        <v>41837</v>
      </c>
      <c r="AG250" s="185"/>
      <c r="AH250" s="157">
        <v>41837</v>
      </c>
      <c r="AM250" s="137">
        <v>90</v>
      </c>
      <c r="BM250" s="138">
        <v>61.59</v>
      </c>
      <c r="BN250" s="157">
        <v>41837</v>
      </c>
      <c r="BS250" s="138">
        <v>52.25</v>
      </c>
      <c r="BT250" s="157">
        <v>41837</v>
      </c>
      <c r="BU250" s="138">
        <v>38.200000000000003</v>
      </c>
      <c r="BV250" s="157">
        <v>41837</v>
      </c>
      <c r="BW250" s="138">
        <v>14.7</v>
      </c>
      <c r="BX250" s="157">
        <v>41837</v>
      </c>
      <c r="CC250" s="138">
        <v>6.5</v>
      </c>
      <c r="CD250" s="157">
        <v>41837</v>
      </c>
      <c r="CI250" s="138">
        <v>7</v>
      </c>
    </row>
    <row r="251" spans="1:91">
      <c r="A251" s="159" t="s">
        <v>7628</v>
      </c>
      <c r="B251" s="112" t="s">
        <v>269</v>
      </c>
      <c r="C251" s="112">
        <v>2</v>
      </c>
      <c r="D251" s="112">
        <v>85</v>
      </c>
      <c r="E251" s="113">
        <v>34</v>
      </c>
      <c r="F251" s="113">
        <v>7</v>
      </c>
      <c r="M251" s="185">
        <v>2.4900000000000002</v>
      </c>
      <c r="N251" s="157">
        <v>41837</v>
      </c>
      <c r="R251" s="185"/>
      <c r="S251" s="137">
        <v>6.6</v>
      </c>
      <c r="T251" s="157">
        <v>41837</v>
      </c>
      <c r="U251" s="142">
        <v>18</v>
      </c>
      <c r="Y251" s="142">
        <f t="shared" si="3"/>
        <v>5.5452299999999992</v>
      </c>
      <c r="Z251" s="157">
        <v>41837</v>
      </c>
      <c r="AE251" s="137">
        <v>14.11</v>
      </c>
      <c r="AF251" s="157">
        <v>41837</v>
      </c>
      <c r="AG251" s="185"/>
      <c r="AH251" s="157">
        <v>41837</v>
      </c>
      <c r="AM251" s="137">
        <v>96</v>
      </c>
      <c r="BM251" s="138">
        <v>64.67</v>
      </c>
      <c r="BN251" s="157">
        <v>41837</v>
      </c>
      <c r="BS251" s="138">
        <v>46.76</v>
      </c>
      <c r="BT251" s="157">
        <v>41837</v>
      </c>
      <c r="BU251" s="138">
        <v>39.299999999999997</v>
      </c>
      <c r="BV251" s="157">
        <v>41837</v>
      </c>
      <c r="BW251" s="138">
        <v>45.4</v>
      </c>
      <c r="BX251" s="157">
        <v>41837</v>
      </c>
      <c r="CC251" s="138">
        <v>6.4</v>
      </c>
      <c r="CD251" s="157">
        <v>41837</v>
      </c>
      <c r="CI251" s="138">
        <v>3</v>
      </c>
    </row>
    <row r="252" spans="1:91">
      <c r="A252" s="159" t="s">
        <v>7769</v>
      </c>
      <c r="B252" s="112" t="s">
        <v>269</v>
      </c>
      <c r="C252" s="112">
        <v>2</v>
      </c>
      <c r="D252" s="112">
        <v>98</v>
      </c>
      <c r="E252" s="113">
        <v>35</v>
      </c>
      <c r="F252" s="113">
        <v>7</v>
      </c>
      <c r="M252" s="185">
        <v>7.06</v>
      </c>
      <c r="N252" s="157">
        <v>41837</v>
      </c>
      <c r="R252" s="185"/>
      <c r="S252" s="137">
        <v>20.190000000000001</v>
      </c>
      <c r="T252" s="157">
        <v>41837</v>
      </c>
      <c r="U252" s="142">
        <v>18</v>
      </c>
      <c r="Y252" s="142">
        <f t="shared" si="3"/>
        <v>15.607800000000003</v>
      </c>
      <c r="Z252" s="157">
        <v>41837</v>
      </c>
      <c r="AE252" s="137">
        <v>40.020000000000003</v>
      </c>
      <c r="AF252" s="157">
        <v>41837</v>
      </c>
      <c r="AG252" s="185"/>
      <c r="AH252" s="157">
        <v>41837</v>
      </c>
      <c r="AM252" s="137">
        <v>87</v>
      </c>
      <c r="BM252" s="138">
        <v>64.42</v>
      </c>
      <c r="BN252" s="157">
        <v>41837</v>
      </c>
      <c r="BS252" s="138">
        <v>50.45</v>
      </c>
      <c r="BT252" s="157">
        <v>41837</v>
      </c>
      <c r="BU252" s="138">
        <v>39</v>
      </c>
      <c r="BV252" s="157">
        <v>41837</v>
      </c>
      <c r="BW252" s="138">
        <v>17.3</v>
      </c>
      <c r="BX252" s="157">
        <v>41837</v>
      </c>
      <c r="CC252" s="138">
        <v>6.4</v>
      </c>
      <c r="CD252" s="157">
        <v>41837</v>
      </c>
      <c r="CI252" s="138">
        <v>5</v>
      </c>
    </row>
    <row r="253" spans="1:91">
      <c r="A253" s="159" t="s">
        <v>7733</v>
      </c>
      <c r="B253" s="112" t="s">
        <v>269</v>
      </c>
      <c r="C253" s="112">
        <v>2</v>
      </c>
      <c r="D253" s="112">
        <v>87</v>
      </c>
      <c r="E253" s="113">
        <v>36</v>
      </c>
      <c r="F253" s="113">
        <v>7</v>
      </c>
      <c r="M253" s="185">
        <v>5.16</v>
      </c>
      <c r="N253" s="157">
        <v>41837</v>
      </c>
      <c r="R253" s="185"/>
      <c r="S253" s="137">
        <v>13.97</v>
      </c>
      <c r="T253" s="157">
        <v>41837</v>
      </c>
      <c r="U253" s="142">
        <v>18</v>
      </c>
      <c r="Y253" s="142">
        <f t="shared" si="3"/>
        <v>11.205119999999999</v>
      </c>
      <c r="Z253" s="157">
        <v>41837</v>
      </c>
      <c r="AE253" s="137">
        <v>29.18</v>
      </c>
      <c r="AF253" s="157">
        <v>41837</v>
      </c>
      <c r="AG253" s="185"/>
      <c r="AH253" s="157">
        <v>41837</v>
      </c>
      <c r="AM253" s="137">
        <v>94</v>
      </c>
      <c r="BM253" s="138">
        <v>59.93</v>
      </c>
      <c r="BN253" s="157">
        <v>41837</v>
      </c>
      <c r="BS253" s="138">
        <v>47.88</v>
      </c>
      <c r="BT253" s="157">
        <v>41837</v>
      </c>
      <c r="BU253" s="138">
        <v>38.4</v>
      </c>
      <c r="BV253" s="157">
        <v>41837</v>
      </c>
      <c r="BW253" s="138">
        <v>12.6</v>
      </c>
      <c r="BX253" s="157">
        <v>41837</v>
      </c>
      <c r="CC253" s="138">
        <v>6.6</v>
      </c>
      <c r="CD253" s="157">
        <v>41837</v>
      </c>
      <c r="CI253" s="138">
        <v>3</v>
      </c>
    </row>
    <row r="254" spans="1:91">
      <c r="A254" s="189" t="s">
        <v>7720</v>
      </c>
      <c r="B254" s="190" t="s">
        <v>269</v>
      </c>
      <c r="C254" s="190">
        <v>2</v>
      </c>
      <c r="D254" s="190">
        <v>52</v>
      </c>
      <c r="E254" s="191">
        <v>1</v>
      </c>
      <c r="F254" s="191">
        <v>8</v>
      </c>
      <c r="G254" s="191"/>
      <c r="H254" s="191"/>
      <c r="I254" s="190"/>
      <c r="J254" s="190"/>
      <c r="K254" s="195"/>
      <c r="L254" s="193"/>
      <c r="M254" s="194">
        <v>5.61</v>
      </c>
      <c r="N254" s="193">
        <v>41837</v>
      </c>
      <c r="P254" s="193"/>
      <c r="Q254" s="195"/>
      <c r="R254" s="194"/>
      <c r="S254" s="195">
        <v>15.07</v>
      </c>
      <c r="T254" s="193">
        <v>41837</v>
      </c>
      <c r="U254" s="192">
        <v>18</v>
      </c>
      <c r="V254" s="193"/>
      <c r="W254" s="195"/>
      <c r="X254" s="193"/>
      <c r="Y254" s="192">
        <f t="shared" si="3"/>
        <v>11.498200000000002</v>
      </c>
      <c r="Z254" s="193">
        <v>41837</v>
      </c>
      <c r="AA254" s="195"/>
      <c r="AB254" s="193"/>
      <c r="AC254" s="195"/>
      <c r="AD254" s="193"/>
      <c r="AE254" s="195">
        <v>30.1</v>
      </c>
      <c r="AF254" s="193">
        <v>41837</v>
      </c>
      <c r="AG254" s="194"/>
      <c r="AH254" s="193">
        <v>41837</v>
      </c>
      <c r="AI254" s="193"/>
      <c r="AJ254" s="193"/>
      <c r="AK254" s="195"/>
      <c r="AL254" s="193"/>
      <c r="AM254" s="195">
        <v>90</v>
      </c>
      <c r="AN254" s="193"/>
      <c r="AO254" s="195"/>
      <c r="AP254" s="195"/>
      <c r="AQ254" s="195"/>
      <c r="AR254" s="195"/>
      <c r="AS254" s="195"/>
      <c r="AT254" s="195"/>
      <c r="AU254" s="195"/>
      <c r="AV254" s="195"/>
      <c r="AW254" s="195"/>
      <c r="AX254" s="195"/>
      <c r="AY254" s="195"/>
      <c r="AZ254" s="195"/>
      <c r="BA254" s="195"/>
      <c r="BB254" s="195"/>
      <c r="BC254" s="195"/>
      <c r="BD254" s="195"/>
      <c r="BE254" s="196"/>
      <c r="BF254" s="196"/>
      <c r="BG254" s="196"/>
      <c r="BH254" s="196"/>
      <c r="BI254" s="196"/>
      <c r="BJ254" s="196"/>
      <c r="BK254" s="196"/>
      <c r="BL254" s="196"/>
      <c r="BM254" s="196">
        <v>63.99</v>
      </c>
      <c r="BN254" s="193">
        <v>41837</v>
      </c>
      <c r="BO254" s="196"/>
      <c r="BP254" s="196"/>
      <c r="BQ254" s="196"/>
      <c r="BR254" s="196"/>
      <c r="BS254" s="196">
        <v>50.05</v>
      </c>
      <c r="BT254" s="193">
        <v>41837</v>
      </c>
      <c r="BU254" s="196">
        <v>38.200000000000003</v>
      </c>
      <c r="BV254" s="193">
        <v>41837</v>
      </c>
      <c r="BW254" s="196">
        <v>17.899999999999999</v>
      </c>
      <c r="BX254" s="193">
        <v>41837</v>
      </c>
      <c r="BY254" s="196"/>
      <c r="BZ254" s="196"/>
      <c r="CA254" s="196"/>
      <c r="CB254" s="196"/>
      <c r="CC254" s="196">
        <v>11.4</v>
      </c>
      <c r="CD254" s="193">
        <v>41837</v>
      </c>
      <c r="CE254" s="196"/>
      <c r="CF254" s="196"/>
      <c r="CG254" s="196"/>
      <c r="CH254" s="196"/>
      <c r="CI254" s="196">
        <v>7</v>
      </c>
      <c r="CJ254" s="196"/>
      <c r="CK254" s="196"/>
      <c r="CL254" s="196"/>
      <c r="CM254" s="196"/>
    </row>
    <row r="255" spans="1:91">
      <c r="A255" s="189" t="s">
        <v>7682</v>
      </c>
      <c r="B255" s="190" t="s">
        <v>269</v>
      </c>
      <c r="C255" s="190">
        <v>2</v>
      </c>
      <c r="D255" s="190">
        <v>139</v>
      </c>
      <c r="E255" s="191">
        <v>2</v>
      </c>
      <c r="F255" s="191">
        <v>8</v>
      </c>
      <c r="G255" s="191"/>
      <c r="H255" s="191"/>
      <c r="I255" s="190"/>
      <c r="J255" s="190"/>
      <c r="K255" s="195"/>
      <c r="L255" s="193"/>
      <c r="M255" s="194">
        <v>5</v>
      </c>
      <c r="N255" s="193">
        <v>41837</v>
      </c>
      <c r="P255" s="193"/>
      <c r="Q255" s="195"/>
      <c r="R255" s="194"/>
      <c r="S255" s="195">
        <v>13.49</v>
      </c>
      <c r="T255" s="193">
        <v>41837</v>
      </c>
      <c r="U255" s="192">
        <v>18</v>
      </c>
      <c r="V255" s="193"/>
      <c r="W255" s="195"/>
      <c r="X255" s="193"/>
      <c r="Y255" s="192">
        <f t="shared" si="3"/>
        <v>10.812899999999999</v>
      </c>
      <c r="Z255" s="193">
        <v>41837</v>
      </c>
      <c r="AA255" s="195"/>
      <c r="AB255" s="193"/>
      <c r="AC255" s="195"/>
      <c r="AD255" s="193"/>
      <c r="AE255" s="195">
        <v>27.1</v>
      </c>
      <c r="AF255" s="193">
        <v>41837</v>
      </c>
      <c r="AG255" s="194"/>
      <c r="AH255" s="193">
        <v>41837</v>
      </c>
      <c r="AI255" s="193"/>
      <c r="AJ255" s="193"/>
      <c r="AK255" s="195"/>
      <c r="AL255" s="193"/>
      <c r="AM255" s="195">
        <v>90</v>
      </c>
      <c r="AN255" s="193"/>
      <c r="AO255" s="195"/>
      <c r="AP255" s="195"/>
      <c r="AQ255" s="195"/>
      <c r="AR255" s="195"/>
      <c r="AS255" s="195"/>
      <c r="AT255" s="195"/>
      <c r="AU255" s="195"/>
      <c r="AV255" s="195"/>
      <c r="AW255" s="195"/>
      <c r="AX255" s="195"/>
      <c r="AY255" s="195"/>
      <c r="AZ255" s="195"/>
      <c r="BA255" s="195"/>
      <c r="BB255" s="195"/>
      <c r="BC255" s="195"/>
      <c r="BD255" s="195"/>
      <c r="BE255" s="196"/>
      <c r="BF255" s="196"/>
      <c r="BG255" s="196"/>
      <c r="BH255" s="196"/>
      <c r="BI255" s="196"/>
      <c r="BJ255" s="196"/>
      <c r="BK255" s="196"/>
      <c r="BL255" s="196"/>
      <c r="BM255" s="196">
        <v>60.38</v>
      </c>
      <c r="BN255" s="193">
        <v>41837</v>
      </c>
      <c r="BO255" s="196"/>
      <c r="BP255" s="196"/>
      <c r="BQ255" s="196"/>
      <c r="BR255" s="196"/>
      <c r="BS255" s="196">
        <v>49.78</v>
      </c>
      <c r="BT255" s="193">
        <v>41837</v>
      </c>
      <c r="BU255" s="196">
        <v>39.9</v>
      </c>
      <c r="BV255" s="193">
        <v>41837</v>
      </c>
      <c r="BW255" s="196">
        <v>14.5</v>
      </c>
      <c r="BX255" s="193">
        <v>41837</v>
      </c>
      <c r="BY255" s="196"/>
      <c r="BZ255" s="196"/>
      <c r="CA255" s="196"/>
      <c r="CB255" s="196"/>
      <c r="CC255" s="196">
        <v>10.5</v>
      </c>
      <c r="CD255" s="193">
        <v>41837</v>
      </c>
      <c r="CE255" s="196"/>
      <c r="CF255" s="196"/>
      <c r="CG255" s="196"/>
      <c r="CH255" s="196"/>
      <c r="CI255" s="196">
        <v>7</v>
      </c>
      <c r="CJ255" s="196"/>
      <c r="CK255" s="196"/>
      <c r="CL255" s="196"/>
      <c r="CM255" s="196"/>
    </row>
    <row r="256" spans="1:91">
      <c r="A256" s="159" t="s">
        <v>8126</v>
      </c>
      <c r="B256" s="112" t="s">
        <v>269</v>
      </c>
      <c r="C256" s="112">
        <v>2</v>
      </c>
      <c r="D256" s="112">
        <v>148</v>
      </c>
      <c r="E256" s="113">
        <v>3</v>
      </c>
      <c r="F256" s="113">
        <v>8</v>
      </c>
      <c r="M256" s="185">
        <v>9.19</v>
      </c>
      <c r="N256" s="157">
        <v>41837</v>
      </c>
      <c r="R256" s="185"/>
      <c r="S256" s="137">
        <v>25.94</v>
      </c>
      <c r="T256" s="157">
        <v>41837</v>
      </c>
      <c r="U256" s="142">
        <v>18</v>
      </c>
      <c r="Y256" s="142">
        <f t="shared" si="3"/>
        <v>18.01098</v>
      </c>
      <c r="Z256" s="157">
        <v>41837</v>
      </c>
      <c r="AE256" s="137">
        <v>50.31</v>
      </c>
      <c r="AF256" s="157">
        <v>41837</v>
      </c>
      <c r="AG256" s="185"/>
      <c r="AH256" s="157">
        <v>41837</v>
      </c>
      <c r="AM256" s="137">
        <v>85</v>
      </c>
      <c r="BM256" s="138">
        <v>59.62</v>
      </c>
      <c r="BN256" s="157">
        <v>41837</v>
      </c>
      <c r="BS256" s="138">
        <v>51.57</v>
      </c>
      <c r="BT256" s="157">
        <v>41837</v>
      </c>
      <c r="BU256" s="138">
        <v>35.799999999999997</v>
      </c>
      <c r="BV256" s="157">
        <v>41837</v>
      </c>
      <c r="BW256" s="138">
        <v>15.9</v>
      </c>
      <c r="BX256" s="157">
        <v>41837</v>
      </c>
      <c r="CC256" s="138">
        <v>9.6</v>
      </c>
      <c r="CD256" s="157">
        <v>41837</v>
      </c>
      <c r="CI256" s="138">
        <v>7</v>
      </c>
    </row>
    <row r="257" spans="1:91">
      <c r="A257" s="159" t="s">
        <v>7644</v>
      </c>
      <c r="B257" s="112" t="s">
        <v>269</v>
      </c>
      <c r="C257" s="112">
        <v>2</v>
      </c>
      <c r="D257" s="112">
        <v>145</v>
      </c>
      <c r="E257" s="113">
        <v>4</v>
      </c>
      <c r="F257" s="113">
        <v>8</v>
      </c>
      <c r="M257" s="185">
        <v>3.62</v>
      </c>
      <c r="N257" s="157">
        <v>41837</v>
      </c>
      <c r="R257" s="185"/>
      <c r="S257" s="137">
        <v>9.3699999999999992</v>
      </c>
      <c r="T257" s="157">
        <v>41837</v>
      </c>
      <c r="U257" s="142">
        <v>18</v>
      </c>
      <c r="Y257" s="142">
        <f t="shared" si="3"/>
        <v>8.12547</v>
      </c>
      <c r="Z257" s="157">
        <v>41837</v>
      </c>
      <c r="AE257" s="137">
        <v>19.77</v>
      </c>
      <c r="AF257" s="157">
        <v>41837</v>
      </c>
      <c r="AG257" s="185"/>
      <c r="AH257" s="157">
        <v>41837</v>
      </c>
      <c r="AM257" s="137">
        <v>92</v>
      </c>
      <c r="BM257" s="138">
        <v>56.62</v>
      </c>
      <c r="BN257" s="157">
        <v>41837</v>
      </c>
      <c r="BS257" s="138">
        <v>47.39</v>
      </c>
      <c r="BT257" s="157">
        <v>41837</v>
      </c>
      <c r="BU257" s="138">
        <v>41.1</v>
      </c>
      <c r="BV257" s="157">
        <v>41837</v>
      </c>
      <c r="BW257" s="138">
        <v>53.5</v>
      </c>
      <c r="BX257" s="157">
        <v>41837</v>
      </c>
      <c r="CC257" s="138">
        <v>9.8000000000000007</v>
      </c>
      <c r="CD257" s="157">
        <v>41837</v>
      </c>
      <c r="CI257" s="138">
        <v>5</v>
      </c>
    </row>
    <row r="258" spans="1:91">
      <c r="A258" s="159" t="s">
        <v>7710</v>
      </c>
      <c r="B258" s="112" t="s">
        <v>269</v>
      </c>
      <c r="C258" s="112">
        <v>2</v>
      </c>
      <c r="D258" s="112">
        <v>213</v>
      </c>
      <c r="E258" s="113">
        <v>5</v>
      </c>
      <c r="F258" s="113">
        <v>8</v>
      </c>
      <c r="M258" s="185">
        <v>7.07</v>
      </c>
      <c r="N258" s="157">
        <v>41837</v>
      </c>
      <c r="R258" s="185"/>
      <c r="S258" s="137">
        <v>19.43</v>
      </c>
      <c r="T258" s="157">
        <v>41837</v>
      </c>
      <c r="U258" s="142">
        <v>18</v>
      </c>
      <c r="Y258" s="142">
        <f t="shared" ref="Y258:Y321" si="4">(AE258*BU258)/100</f>
        <v>15.472150000000001</v>
      </c>
      <c r="Z258" s="157">
        <v>41837</v>
      </c>
      <c r="AE258" s="137">
        <v>39.17</v>
      </c>
      <c r="AF258" s="157">
        <v>41837</v>
      </c>
      <c r="AG258" s="185"/>
      <c r="AH258" s="157">
        <v>41837</v>
      </c>
      <c r="AM258" s="137">
        <v>94</v>
      </c>
      <c r="BM258" s="138">
        <v>58.41</v>
      </c>
      <c r="BN258" s="157">
        <v>41837</v>
      </c>
      <c r="BS258" s="138">
        <v>49.61</v>
      </c>
      <c r="BT258" s="157">
        <v>41837</v>
      </c>
      <c r="BU258" s="138">
        <v>39.5</v>
      </c>
      <c r="BV258" s="157">
        <v>41837</v>
      </c>
      <c r="BW258" s="138">
        <v>19.7</v>
      </c>
      <c r="BX258" s="157">
        <v>41837</v>
      </c>
      <c r="CC258" s="138">
        <v>8.5</v>
      </c>
      <c r="CD258" s="157">
        <v>41837</v>
      </c>
      <c r="CI258" s="138">
        <v>7</v>
      </c>
    </row>
    <row r="259" spans="1:91">
      <c r="A259" s="159" t="s">
        <v>7676</v>
      </c>
      <c r="B259" s="112" t="s">
        <v>269</v>
      </c>
      <c r="C259" s="112">
        <v>2</v>
      </c>
      <c r="D259" s="112">
        <v>13</v>
      </c>
      <c r="E259" s="113">
        <v>6</v>
      </c>
      <c r="F259" s="113">
        <v>8</v>
      </c>
      <c r="I259" s="200"/>
      <c r="K259" s="142"/>
      <c r="M259" s="185">
        <v>5.37</v>
      </c>
      <c r="N259" s="157">
        <v>41837</v>
      </c>
      <c r="Q259" s="142"/>
      <c r="R259" s="185"/>
      <c r="S259" s="142">
        <v>14.62</v>
      </c>
      <c r="T259" s="157">
        <v>41837</v>
      </c>
      <c r="U259" s="142">
        <v>18</v>
      </c>
      <c r="W259" s="142"/>
      <c r="Y259" s="142">
        <f t="shared" si="4"/>
        <v>11.77272</v>
      </c>
      <c r="Z259" s="157">
        <v>41837</v>
      </c>
      <c r="AA259" s="142"/>
      <c r="AE259" s="142">
        <v>29.88</v>
      </c>
      <c r="AF259" s="157">
        <v>41837</v>
      </c>
      <c r="AG259" s="185"/>
      <c r="AH259" s="157">
        <v>41837</v>
      </c>
      <c r="AK259" s="142"/>
      <c r="AM259" s="142">
        <v>96</v>
      </c>
      <c r="BM259" s="138">
        <v>59.52</v>
      </c>
      <c r="BN259" s="157">
        <v>41837</v>
      </c>
      <c r="BS259" s="138">
        <v>48.94</v>
      </c>
      <c r="BT259" s="157">
        <v>41837</v>
      </c>
      <c r="BU259" s="138">
        <v>39.4</v>
      </c>
      <c r="BV259" s="157">
        <v>41837</v>
      </c>
      <c r="BW259" s="138">
        <v>16</v>
      </c>
      <c r="BX259" s="157">
        <v>41837</v>
      </c>
      <c r="CC259" s="138">
        <v>8.1</v>
      </c>
      <c r="CD259" s="157">
        <v>41837</v>
      </c>
      <c r="CI259" s="138">
        <v>7</v>
      </c>
    </row>
    <row r="260" spans="1:91">
      <c r="A260" s="159" t="s">
        <v>7804</v>
      </c>
      <c r="B260" s="112" t="s">
        <v>269</v>
      </c>
      <c r="C260" s="112">
        <v>2</v>
      </c>
      <c r="D260" s="112">
        <v>3</v>
      </c>
      <c r="E260" s="113">
        <v>7</v>
      </c>
      <c r="F260" s="113">
        <v>8</v>
      </c>
      <c r="I260" s="200"/>
      <c r="K260" s="142"/>
      <c r="M260" s="185">
        <v>6.87</v>
      </c>
      <c r="N260" s="157">
        <v>41837</v>
      </c>
      <c r="Q260" s="142"/>
      <c r="R260" s="185"/>
      <c r="S260" s="142">
        <v>18.72</v>
      </c>
      <c r="T260" s="157">
        <v>41837</v>
      </c>
      <c r="U260" s="142">
        <v>18</v>
      </c>
      <c r="W260" s="142"/>
      <c r="Y260" s="142">
        <f t="shared" si="4"/>
        <v>13.933620000000001</v>
      </c>
      <c r="Z260" s="157">
        <v>41837</v>
      </c>
      <c r="AA260" s="142"/>
      <c r="AE260" s="142">
        <v>38.07</v>
      </c>
      <c r="AF260" s="157">
        <v>41837</v>
      </c>
      <c r="AG260" s="185"/>
      <c r="AH260" s="157">
        <v>41837</v>
      </c>
      <c r="AK260" s="142"/>
      <c r="AM260" s="142">
        <v>94</v>
      </c>
      <c r="BM260" s="138">
        <v>61.76</v>
      </c>
      <c r="BN260" s="157">
        <v>41837</v>
      </c>
      <c r="BS260" s="138">
        <v>49.16</v>
      </c>
      <c r="BT260" s="157">
        <v>41837</v>
      </c>
      <c r="BU260" s="138">
        <v>36.6</v>
      </c>
      <c r="BV260" s="157">
        <v>41837</v>
      </c>
      <c r="BW260" s="138">
        <v>13.8</v>
      </c>
      <c r="BX260" s="157">
        <v>41837</v>
      </c>
      <c r="CC260" s="138">
        <v>8.5</v>
      </c>
      <c r="CD260" s="157">
        <v>41837</v>
      </c>
      <c r="CI260" s="138">
        <v>9</v>
      </c>
    </row>
    <row r="261" spans="1:91">
      <c r="A261" s="159" t="s">
        <v>7786</v>
      </c>
      <c r="B261" s="112" t="s">
        <v>269</v>
      </c>
      <c r="C261" s="112">
        <v>2</v>
      </c>
      <c r="D261" s="112">
        <v>182</v>
      </c>
      <c r="E261" s="113">
        <v>8</v>
      </c>
      <c r="F261" s="113">
        <v>8</v>
      </c>
      <c r="M261" s="185">
        <v>6.95</v>
      </c>
      <c r="N261" s="157">
        <v>41837</v>
      </c>
      <c r="R261" s="185"/>
      <c r="S261" s="137">
        <v>19.22</v>
      </c>
      <c r="T261" s="157">
        <v>41837</v>
      </c>
      <c r="U261" s="142">
        <v>18</v>
      </c>
      <c r="Y261" s="142">
        <f t="shared" si="4"/>
        <v>15.588039999999999</v>
      </c>
      <c r="Z261" s="157">
        <v>41837</v>
      </c>
      <c r="AE261" s="137">
        <v>38.68</v>
      </c>
      <c r="AF261" s="157">
        <v>41837</v>
      </c>
      <c r="AG261" s="185"/>
      <c r="AH261" s="157">
        <v>41837</v>
      </c>
      <c r="AM261" s="137">
        <v>92</v>
      </c>
      <c r="BM261" s="138">
        <v>63.78</v>
      </c>
      <c r="BN261" s="157">
        <v>41837</v>
      </c>
      <c r="BS261" s="138">
        <v>49.7</v>
      </c>
      <c r="BT261" s="157">
        <v>41837</v>
      </c>
      <c r="BU261" s="138">
        <v>40.299999999999997</v>
      </c>
      <c r="BV261" s="157">
        <v>41837</v>
      </c>
      <c r="BW261" s="138">
        <v>12.2</v>
      </c>
      <c r="BX261" s="157">
        <v>41837</v>
      </c>
      <c r="CC261" s="138">
        <v>8.1</v>
      </c>
      <c r="CD261" s="157">
        <v>41837</v>
      </c>
      <c r="CI261" s="138">
        <v>7</v>
      </c>
    </row>
    <row r="262" spans="1:91">
      <c r="A262" s="159" t="s">
        <v>7629</v>
      </c>
      <c r="B262" s="112" t="s">
        <v>269</v>
      </c>
      <c r="C262" s="112">
        <v>2</v>
      </c>
      <c r="D262" s="112">
        <v>27</v>
      </c>
      <c r="E262" s="113">
        <v>9</v>
      </c>
      <c r="F262" s="113">
        <v>8</v>
      </c>
      <c r="M262" s="185">
        <v>2.75</v>
      </c>
      <c r="N262" s="157">
        <v>41837</v>
      </c>
      <c r="R262" s="185"/>
      <c r="S262" s="137">
        <v>7.12</v>
      </c>
      <c r="T262" s="157">
        <v>41837</v>
      </c>
      <c r="U262" s="142">
        <v>18</v>
      </c>
      <c r="Y262" s="142">
        <f t="shared" si="4"/>
        <v>6.3619599999999998</v>
      </c>
      <c r="Z262" s="157">
        <v>41837</v>
      </c>
      <c r="AE262" s="137">
        <v>15.22</v>
      </c>
      <c r="AF262" s="157">
        <v>41837</v>
      </c>
      <c r="AG262" s="185"/>
      <c r="AH262" s="157">
        <v>41837</v>
      </c>
      <c r="AM262" s="137">
        <v>76</v>
      </c>
      <c r="BM262" s="138">
        <v>60.1</v>
      </c>
      <c r="BN262" s="157">
        <v>41837</v>
      </c>
      <c r="BS262" s="138">
        <v>46.79</v>
      </c>
      <c r="BT262" s="157">
        <v>41837</v>
      </c>
      <c r="BU262" s="138">
        <v>41.8</v>
      </c>
      <c r="BV262" s="157">
        <v>41837</v>
      </c>
      <c r="BW262" s="138">
        <v>47.3</v>
      </c>
      <c r="BX262" s="157">
        <v>41837</v>
      </c>
      <c r="CC262" s="138">
        <v>8.6</v>
      </c>
      <c r="CD262" s="157">
        <v>41837</v>
      </c>
      <c r="CI262" s="138">
        <v>3</v>
      </c>
    </row>
    <row r="263" spans="1:91">
      <c r="A263" s="189" t="s">
        <v>7813</v>
      </c>
      <c r="B263" s="190" t="s">
        <v>269</v>
      </c>
      <c r="C263" s="190">
        <v>2</v>
      </c>
      <c r="D263" s="190">
        <v>141</v>
      </c>
      <c r="E263" s="191">
        <v>10</v>
      </c>
      <c r="F263" s="191">
        <v>8</v>
      </c>
      <c r="G263" s="191"/>
      <c r="H263" s="191"/>
      <c r="I263" s="190"/>
      <c r="J263" s="190"/>
      <c r="K263" s="195"/>
      <c r="L263" s="193"/>
      <c r="M263" s="194">
        <v>5.89</v>
      </c>
      <c r="N263" s="193">
        <v>41837</v>
      </c>
      <c r="P263" s="193"/>
      <c r="Q263" s="195"/>
      <c r="R263" s="194"/>
      <c r="S263" s="195">
        <v>15.73</v>
      </c>
      <c r="T263" s="193">
        <v>41837</v>
      </c>
      <c r="U263" s="192">
        <v>18</v>
      </c>
      <c r="V263" s="193"/>
      <c r="W263" s="195"/>
      <c r="X263" s="193"/>
      <c r="Y263" s="192">
        <f t="shared" si="4"/>
        <v>12.608359999999999</v>
      </c>
      <c r="Z263" s="193">
        <v>41837</v>
      </c>
      <c r="AA263" s="195"/>
      <c r="AB263" s="193"/>
      <c r="AC263" s="195"/>
      <c r="AD263" s="193"/>
      <c r="AE263" s="195">
        <v>32.92</v>
      </c>
      <c r="AF263" s="193">
        <v>41837</v>
      </c>
      <c r="AG263" s="194"/>
      <c r="AH263" s="193">
        <v>41837</v>
      </c>
      <c r="AI263" s="193"/>
      <c r="AJ263" s="193"/>
      <c r="AK263" s="195"/>
      <c r="AL263" s="193"/>
      <c r="AM263" s="195">
        <v>96</v>
      </c>
      <c r="AN263" s="193"/>
      <c r="AO263" s="195"/>
      <c r="AP263" s="195"/>
      <c r="AQ263" s="195"/>
      <c r="AR263" s="195"/>
      <c r="AS263" s="195"/>
      <c r="AT263" s="195"/>
      <c r="AU263" s="195"/>
      <c r="AV263" s="195"/>
      <c r="AW263" s="195"/>
      <c r="AX263" s="195"/>
      <c r="AY263" s="195"/>
      <c r="AZ263" s="195"/>
      <c r="BA263" s="195"/>
      <c r="BB263" s="195"/>
      <c r="BC263" s="195"/>
      <c r="BD263" s="195"/>
      <c r="BE263" s="196"/>
      <c r="BF263" s="196"/>
      <c r="BG263" s="196"/>
      <c r="BH263" s="196"/>
      <c r="BI263" s="196"/>
      <c r="BJ263" s="196"/>
      <c r="BK263" s="196"/>
      <c r="BL263" s="196"/>
      <c r="BM263" s="196">
        <v>59.21</v>
      </c>
      <c r="BN263" s="193">
        <v>41837</v>
      </c>
      <c r="BO263" s="196"/>
      <c r="BP263" s="196"/>
      <c r="BQ263" s="196"/>
      <c r="BR263" s="196"/>
      <c r="BS263" s="196">
        <v>47.77</v>
      </c>
      <c r="BT263" s="193">
        <v>41837</v>
      </c>
      <c r="BU263" s="196">
        <v>38.299999999999997</v>
      </c>
      <c r="BV263" s="193">
        <v>41837</v>
      </c>
      <c r="BW263" s="196">
        <v>14.4</v>
      </c>
      <c r="BX263" s="193">
        <v>41837</v>
      </c>
      <c r="BY263" s="196"/>
      <c r="BZ263" s="196"/>
      <c r="CA263" s="196"/>
      <c r="CB263" s="196"/>
      <c r="CC263" s="196">
        <v>7.7</v>
      </c>
      <c r="CD263" s="193">
        <v>41837</v>
      </c>
      <c r="CE263" s="196"/>
      <c r="CF263" s="196"/>
      <c r="CG263" s="196"/>
      <c r="CH263" s="196"/>
      <c r="CI263" s="196">
        <v>9</v>
      </c>
      <c r="CJ263" s="196"/>
      <c r="CK263" s="196"/>
      <c r="CL263" s="196"/>
      <c r="CM263" s="196"/>
    </row>
    <row r="264" spans="1:91">
      <c r="A264" s="159" t="s">
        <v>7666</v>
      </c>
      <c r="B264" s="112" t="s">
        <v>269</v>
      </c>
      <c r="C264" s="112">
        <v>2</v>
      </c>
      <c r="D264" s="112">
        <v>97</v>
      </c>
      <c r="E264" s="113">
        <v>11</v>
      </c>
      <c r="F264" s="113">
        <v>8</v>
      </c>
      <c r="M264" s="185">
        <v>5.8</v>
      </c>
      <c r="N264" s="157">
        <v>41837</v>
      </c>
      <c r="R264" s="185"/>
      <c r="S264" s="137">
        <v>16.09</v>
      </c>
      <c r="T264" s="157">
        <v>41837</v>
      </c>
      <c r="U264" s="142">
        <v>18</v>
      </c>
      <c r="Y264" s="142">
        <f t="shared" si="4"/>
        <v>12.195000000000002</v>
      </c>
      <c r="Z264" s="157">
        <v>41837</v>
      </c>
      <c r="AE264" s="137">
        <v>32.520000000000003</v>
      </c>
      <c r="AF264" s="157">
        <v>41837</v>
      </c>
      <c r="AG264" s="185"/>
      <c r="AH264" s="157">
        <v>41837</v>
      </c>
      <c r="AM264" s="137">
        <v>90</v>
      </c>
      <c r="BM264" s="138">
        <v>61.98</v>
      </c>
      <c r="BN264" s="157">
        <v>41837</v>
      </c>
      <c r="BS264" s="138">
        <v>49.49</v>
      </c>
      <c r="BT264" s="157">
        <v>41837</v>
      </c>
      <c r="BU264" s="138">
        <v>37.5</v>
      </c>
      <c r="BV264" s="157">
        <v>41837</v>
      </c>
      <c r="BW264" s="138">
        <v>15.9</v>
      </c>
      <c r="BX264" s="157">
        <v>41837</v>
      </c>
      <c r="CC264" s="138">
        <v>7.4</v>
      </c>
      <c r="CD264" s="157">
        <v>41837</v>
      </c>
      <c r="CI264" s="138">
        <v>5</v>
      </c>
    </row>
    <row r="265" spans="1:91">
      <c r="A265" s="159" t="s">
        <v>7789</v>
      </c>
      <c r="B265" s="112" t="s">
        <v>269</v>
      </c>
      <c r="C265" s="112">
        <v>2</v>
      </c>
      <c r="D265" s="112">
        <v>116</v>
      </c>
      <c r="E265" s="113">
        <v>12</v>
      </c>
      <c r="F265" s="113">
        <v>8</v>
      </c>
      <c r="M265" s="185">
        <v>7.53</v>
      </c>
      <c r="N265" s="157">
        <v>41837</v>
      </c>
      <c r="R265" s="185"/>
      <c r="S265" s="137">
        <v>20.62</v>
      </c>
      <c r="T265" s="157">
        <v>41837</v>
      </c>
      <c r="U265" s="142">
        <v>18</v>
      </c>
      <c r="Y265" s="142">
        <f t="shared" si="4"/>
        <v>16.227439999999998</v>
      </c>
      <c r="Z265" s="157">
        <v>41837</v>
      </c>
      <c r="AE265" s="137">
        <v>42.04</v>
      </c>
      <c r="AF265" s="157">
        <v>41837</v>
      </c>
      <c r="AG265" s="185"/>
      <c r="AH265" s="157">
        <v>41837</v>
      </c>
      <c r="AM265" s="137">
        <v>90</v>
      </c>
      <c r="BM265" s="138">
        <v>60.64</v>
      </c>
      <c r="BN265" s="157">
        <v>41837</v>
      </c>
      <c r="BS265" s="138">
        <v>49.05</v>
      </c>
      <c r="BT265" s="157">
        <v>41837</v>
      </c>
      <c r="BU265" s="138">
        <v>38.6</v>
      </c>
      <c r="BV265" s="157">
        <v>41837</v>
      </c>
      <c r="BW265" s="138">
        <v>16.5</v>
      </c>
      <c r="BX265" s="157">
        <v>41837</v>
      </c>
      <c r="CC265" s="138">
        <v>7.8</v>
      </c>
      <c r="CD265" s="157">
        <v>41837</v>
      </c>
      <c r="CI265" s="138">
        <v>7</v>
      </c>
    </row>
    <row r="266" spans="1:91">
      <c r="A266" s="159" t="s">
        <v>7788</v>
      </c>
      <c r="B266" s="112" t="s">
        <v>269</v>
      </c>
      <c r="C266" s="112">
        <v>2</v>
      </c>
      <c r="D266" s="112">
        <v>3</v>
      </c>
      <c r="E266" s="113">
        <v>13</v>
      </c>
      <c r="F266" s="113">
        <v>8</v>
      </c>
      <c r="I266" s="200"/>
      <c r="K266" s="142"/>
      <c r="M266" s="185">
        <v>6.77</v>
      </c>
      <c r="N266" s="157">
        <v>41837</v>
      </c>
      <c r="Q266" s="142"/>
      <c r="R266" s="185"/>
      <c r="S266" s="142">
        <v>19.47</v>
      </c>
      <c r="T266" s="157">
        <v>41837</v>
      </c>
      <c r="U266" s="142">
        <v>18</v>
      </c>
      <c r="W266" s="142"/>
      <c r="Y266" s="142">
        <f t="shared" si="4"/>
        <v>13.955580000000003</v>
      </c>
      <c r="Z266" s="157">
        <v>41837</v>
      </c>
      <c r="AA266" s="142"/>
      <c r="AE266" s="142">
        <v>38.130000000000003</v>
      </c>
      <c r="AF266" s="157">
        <v>41837</v>
      </c>
      <c r="AG266" s="185"/>
      <c r="AH266" s="157">
        <v>41837</v>
      </c>
      <c r="AK266" s="142"/>
      <c r="AM266" s="142">
        <v>83</v>
      </c>
      <c r="BM266" s="138">
        <v>60.68</v>
      </c>
      <c r="BN266" s="157">
        <v>41837</v>
      </c>
      <c r="BS266" s="138">
        <v>51.05</v>
      </c>
      <c r="BT266" s="157">
        <v>41837</v>
      </c>
      <c r="BU266" s="138">
        <v>36.6</v>
      </c>
      <c r="BV266" s="157">
        <v>41837</v>
      </c>
      <c r="BW266" s="138">
        <v>17.5</v>
      </c>
      <c r="BX266" s="157">
        <v>41837</v>
      </c>
      <c r="CC266" s="138">
        <v>7</v>
      </c>
      <c r="CD266" s="157">
        <v>41837</v>
      </c>
      <c r="CI266" s="138">
        <v>9</v>
      </c>
    </row>
    <row r="267" spans="1:91">
      <c r="A267" s="159" t="s">
        <v>7814</v>
      </c>
      <c r="B267" s="112" t="s">
        <v>269</v>
      </c>
      <c r="C267" s="112">
        <v>2</v>
      </c>
      <c r="D267" s="112">
        <v>104</v>
      </c>
      <c r="E267" s="113">
        <v>14</v>
      </c>
      <c r="F267" s="113">
        <v>8</v>
      </c>
      <c r="M267" s="185">
        <v>5.9</v>
      </c>
      <c r="N267" s="157">
        <v>41837</v>
      </c>
      <c r="R267" s="185"/>
      <c r="S267" s="137">
        <v>16.78</v>
      </c>
      <c r="T267" s="157">
        <v>41837</v>
      </c>
      <c r="U267" s="142">
        <v>18</v>
      </c>
      <c r="Y267" s="142">
        <f t="shared" si="4"/>
        <v>12.700279999999998</v>
      </c>
      <c r="Z267" s="157">
        <v>41837</v>
      </c>
      <c r="AE267" s="137">
        <v>33.159999999999997</v>
      </c>
      <c r="AF267" s="157">
        <v>41837</v>
      </c>
      <c r="AG267" s="185"/>
      <c r="AH267" s="157">
        <v>41837</v>
      </c>
      <c r="AM267" s="137">
        <v>92</v>
      </c>
      <c r="BM267" s="138">
        <v>61.62</v>
      </c>
      <c r="BN267" s="157">
        <v>41837</v>
      </c>
      <c r="BS267" s="138">
        <v>50.6</v>
      </c>
      <c r="BT267" s="157">
        <v>41837</v>
      </c>
      <c r="BU267" s="138">
        <v>38.299999999999997</v>
      </c>
      <c r="BV267" s="157">
        <v>41837</v>
      </c>
      <c r="BW267" s="138">
        <v>14.7</v>
      </c>
      <c r="BX267" s="157">
        <v>41837</v>
      </c>
      <c r="CC267" s="138">
        <v>7.2</v>
      </c>
      <c r="CD267" s="157">
        <v>41837</v>
      </c>
      <c r="CI267" s="138">
        <v>9</v>
      </c>
    </row>
    <row r="268" spans="1:91">
      <c r="A268" s="159" t="s">
        <v>7746</v>
      </c>
      <c r="B268" s="112" t="s">
        <v>269</v>
      </c>
      <c r="C268" s="112">
        <v>2</v>
      </c>
      <c r="D268" s="112">
        <v>61</v>
      </c>
      <c r="E268" s="113">
        <v>15</v>
      </c>
      <c r="F268" s="113">
        <v>8</v>
      </c>
      <c r="M268" s="185">
        <v>3.04</v>
      </c>
      <c r="N268" s="157">
        <v>41837</v>
      </c>
      <c r="R268" s="185"/>
      <c r="S268" s="137">
        <v>8.34</v>
      </c>
      <c r="T268" s="157">
        <v>41837</v>
      </c>
      <c r="U268" s="142">
        <v>18</v>
      </c>
      <c r="Y268" s="142">
        <f t="shared" si="4"/>
        <v>7.2586799999999991</v>
      </c>
      <c r="Z268" s="157">
        <v>41837</v>
      </c>
      <c r="AE268" s="137">
        <v>17.16</v>
      </c>
      <c r="AF268" s="157">
        <v>41837</v>
      </c>
      <c r="AG268" s="185"/>
      <c r="AH268" s="157">
        <v>41837</v>
      </c>
      <c r="AM268" s="137">
        <v>90</v>
      </c>
      <c r="BM268" s="138">
        <v>63.98</v>
      </c>
      <c r="BN268" s="157">
        <v>41837</v>
      </c>
      <c r="BS268" s="138">
        <v>48.62</v>
      </c>
      <c r="BT268" s="157">
        <v>41837</v>
      </c>
      <c r="BU268" s="138">
        <v>42.3</v>
      </c>
      <c r="BV268" s="157">
        <v>41837</v>
      </c>
      <c r="BW268" s="138">
        <v>64.099999999999994</v>
      </c>
      <c r="BX268" s="157">
        <v>41837</v>
      </c>
      <c r="CC268" s="138">
        <v>6.8</v>
      </c>
      <c r="CD268" s="157">
        <v>41837</v>
      </c>
      <c r="CI268" s="138">
        <v>5</v>
      </c>
    </row>
    <row r="269" spans="1:91">
      <c r="A269" s="159" t="s">
        <v>7669</v>
      </c>
      <c r="B269" s="112" t="s">
        <v>269</v>
      </c>
      <c r="C269" s="112">
        <v>2</v>
      </c>
      <c r="D269" s="112">
        <v>138</v>
      </c>
      <c r="E269" s="113">
        <v>16</v>
      </c>
      <c r="F269" s="113">
        <v>8</v>
      </c>
      <c r="M269" s="185">
        <v>5.94</v>
      </c>
      <c r="N269" s="157">
        <v>41837</v>
      </c>
      <c r="R269" s="185"/>
      <c r="S269" s="137">
        <v>17.03</v>
      </c>
      <c r="T269" s="157">
        <v>41837</v>
      </c>
      <c r="U269" s="142">
        <v>18</v>
      </c>
      <c r="Y269" s="142">
        <f t="shared" si="4"/>
        <v>13.051580000000001</v>
      </c>
      <c r="Z269" s="157">
        <v>41837</v>
      </c>
      <c r="AE269" s="137">
        <v>33.380000000000003</v>
      </c>
      <c r="AF269" s="157">
        <v>41837</v>
      </c>
      <c r="AG269" s="185"/>
      <c r="AH269" s="157">
        <v>41837</v>
      </c>
      <c r="AM269" s="137">
        <v>90</v>
      </c>
      <c r="BM269" s="138">
        <v>60.43</v>
      </c>
      <c r="BN269" s="157">
        <v>41837</v>
      </c>
      <c r="BS269" s="138">
        <v>51.02</v>
      </c>
      <c r="BT269" s="157">
        <v>41837</v>
      </c>
      <c r="BU269" s="138">
        <v>39.1</v>
      </c>
      <c r="BV269" s="157">
        <v>41837</v>
      </c>
      <c r="BW269" s="138">
        <v>13.8</v>
      </c>
      <c r="BX269" s="157">
        <v>41837</v>
      </c>
      <c r="CC269" s="138">
        <v>7.2</v>
      </c>
      <c r="CD269" s="157">
        <v>41837</v>
      </c>
      <c r="CI269" s="138">
        <v>9</v>
      </c>
    </row>
    <row r="270" spans="1:91">
      <c r="A270" s="159" t="s">
        <v>7749</v>
      </c>
      <c r="B270" s="112" t="s">
        <v>269</v>
      </c>
      <c r="C270" s="112">
        <v>2</v>
      </c>
      <c r="D270" s="112">
        <v>167</v>
      </c>
      <c r="E270" s="113">
        <v>17</v>
      </c>
      <c r="F270" s="113">
        <v>8</v>
      </c>
      <c r="M270" s="185">
        <v>3.83</v>
      </c>
      <c r="N270" s="157">
        <v>41837</v>
      </c>
      <c r="R270" s="185"/>
      <c r="S270" s="137">
        <v>10.3</v>
      </c>
      <c r="T270" s="157">
        <v>41837</v>
      </c>
      <c r="U270" s="142">
        <v>18</v>
      </c>
      <c r="Y270" s="142">
        <f t="shared" si="4"/>
        <v>8.8518999999999988</v>
      </c>
      <c r="Z270" s="157">
        <v>41837</v>
      </c>
      <c r="AE270" s="137">
        <v>21.59</v>
      </c>
      <c r="AF270" s="157">
        <v>41837</v>
      </c>
      <c r="AG270" s="185"/>
      <c r="AH270" s="157">
        <v>41837</v>
      </c>
      <c r="AM270" s="137">
        <v>96</v>
      </c>
      <c r="BM270" s="138">
        <v>64.489999999999995</v>
      </c>
      <c r="BN270" s="157">
        <v>41837</v>
      </c>
      <c r="BS270" s="138">
        <v>47.7</v>
      </c>
      <c r="BT270" s="157">
        <v>41837</v>
      </c>
      <c r="BU270" s="138">
        <v>41</v>
      </c>
      <c r="BV270" s="157">
        <v>41837</v>
      </c>
      <c r="BW270" s="138">
        <v>59.4</v>
      </c>
      <c r="BX270" s="157">
        <v>41837</v>
      </c>
      <c r="CC270" s="138">
        <v>6.9</v>
      </c>
      <c r="CD270" s="157">
        <v>41837</v>
      </c>
      <c r="CI270" s="138">
        <v>7</v>
      </c>
    </row>
    <row r="271" spans="1:91">
      <c r="A271" s="159" t="s">
        <v>7799</v>
      </c>
      <c r="B271" s="112" t="s">
        <v>269</v>
      </c>
      <c r="C271" s="112">
        <v>2</v>
      </c>
      <c r="D271" s="112">
        <v>83</v>
      </c>
      <c r="E271" s="113">
        <v>18</v>
      </c>
      <c r="F271" s="113">
        <v>8</v>
      </c>
      <c r="M271" s="185">
        <v>5.61</v>
      </c>
      <c r="N271" s="157">
        <v>41837</v>
      </c>
      <c r="R271" s="185"/>
      <c r="S271" s="137">
        <v>15.56</v>
      </c>
      <c r="T271" s="157">
        <v>41837</v>
      </c>
      <c r="U271" s="142">
        <v>18</v>
      </c>
      <c r="Y271" s="142">
        <f t="shared" si="4"/>
        <v>12.3201</v>
      </c>
      <c r="Z271" s="157">
        <v>41837</v>
      </c>
      <c r="AE271" s="137">
        <v>31.59</v>
      </c>
      <c r="AF271" s="157">
        <v>41837</v>
      </c>
      <c r="AG271" s="185"/>
      <c r="AH271" s="157">
        <v>41837</v>
      </c>
      <c r="AM271" s="137">
        <v>90</v>
      </c>
      <c r="BM271" s="138">
        <v>60.4</v>
      </c>
      <c r="BN271" s="157">
        <v>41837</v>
      </c>
      <c r="BS271" s="138">
        <v>49.27</v>
      </c>
      <c r="BT271" s="157">
        <v>41837</v>
      </c>
      <c r="BU271" s="138">
        <v>39</v>
      </c>
      <c r="BV271" s="157">
        <v>41837</v>
      </c>
      <c r="BW271" s="138">
        <v>15.4</v>
      </c>
      <c r="BX271" s="157">
        <v>41837</v>
      </c>
      <c r="CC271" s="138">
        <v>7</v>
      </c>
      <c r="CD271" s="157">
        <v>41837</v>
      </c>
      <c r="CI271" s="138">
        <v>9</v>
      </c>
    </row>
    <row r="272" spans="1:91">
      <c r="A272" s="159" t="s">
        <v>7807</v>
      </c>
      <c r="B272" s="112" t="s">
        <v>269</v>
      </c>
      <c r="C272" s="112">
        <v>2</v>
      </c>
      <c r="D272" s="112">
        <v>103</v>
      </c>
      <c r="E272" s="113">
        <v>19</v>
      </c>
      <c r="F272" s="113">
        <v>8</v>
      </c>
      <c r="M272" s="185">
        <v>7.25</v>
      </c>
      <c r="N272" s="157">
        <v>41837</v>
      </c>
      <c r="R272" s="185"/>
      <c r="S272" s="137">
        <v>20.54</v>
      </c>
      <c r="T272" s="157">
        <v>41837</v>
      </c>
      <c r="U272" s="142">
        <v>18</v>
      </c>
      <c r="Y272" s="142">
        <f t="shared" si="4"/>
        <v>16.838440000000002</v>
      </c>
      <c r="Z272" s="157">
        <v>41837</v>
      </c>
      <c r="AE272" s="137">
        <v>40.869999999999997</v>
      </c>
      <c r="AF272" s="157">
        <v>41837</v>
      </c>
      <c r="AG272" s="185"/>
      <c r="AH272" s="157">
        <v>41837</v>
      </c>
      <c r="AM272" s="137">
        <v>94</v>
      </c>
      <c r="BM272" s="138">
        <v>61.64</v>
      </c>
      <c r="BN272" s="157">
        <v>41837</v>
      </c>
      <c r="BS272" s="138">
        <v>50.26</v>
      </c>
      <c r="BT272" s="157">
        <v>41837</v>
      </c>
      <c r="BU272" s="138">
        <v>41.2</v>
      </c>
      <c r="BV272" s="157">
        <v>41837</v>
      </c>
      <c r="BW272" s="138">
        <v>22.1</v>
      </c>
      <c r="BX272" s="157">
        <v>41837</v>
      </c>
      <c r="CC272" s="138">
        <v>6.9</v>
      </c>
      <c r="CD272" s="157">
        <v>41837</v>
      </c>
      <c r="CI272" s="138">
        <v>7</v>
      </c>
    </row>
    <row r="273" spans="1:91">
      <c r="A273" s="159" t="s">
        <v>7636</v>
      </c>
      <c r="B273" s="112" t="s">
        <v>269</v>
      </c>
      <c r="C273" s="112">
        <v>2</v>
      </c>
      <c r="D273" s="112">
        <v>180</v>
      </c>
      <c r="E273" s="113">
        <v>20</v>
      </c>
      <c r="F273" s="113">
        <v>8</v>
      </c>
      <c r="M273" s="185">
        <v>3.92</v>
      </c>
      <c r="N273" s="157">
        <v>41837</v>
      </c>
      <c r="R273" s="185"/>
      <c r="S273" s="137">
        <v>9.8699999999999992</v>
      </c>
      <c r="T273" s="157">
        <v>41837</v>
      </c>
      <c r="U273" s="142">
        <v>18</v>
      </c>
      <c r="Y273" s="142">
        <f t="shared" si="4"/>
        <v>8.8420500000000004</v>
      </c>
      <c r="Z273" s="157">
        <v>41837</v>
      </c>
      <c r="AE273" s="137">
        <v>22.05</v>
      </c>
      <c r="AF273" s="157">
        <v>41837</v>
      </c>
      <c r="AG273" s="185"/>
      <c r="AH273" s="157">
        <v>41837</v>
      </c>
      <c r="AM273" s="137">
        <v>92</v>
      </c>
      <c r="BM273" s="138">
        <v>59.44</v>
      </c>
      <c r="BN273" s="157">
        <v>41837</v>
      </c>
      <c r="BS273" s="138">
        <v>44.78</v>
      </c>
      <c r="BT273" s="157">
        <v>41837</v>
      </c>
      <c r="BU273" s="138">
        <v>40.1</v>
      </c>
      <c r="BV273" s="157">
        <v>41837</v>
      </c>
      <c r="BW273" s="138">
        <v>56.3</v>
      </c>
      <c r="BX273" s="157">
        <v>41837</v>
      </c>
      <c r="CC273" s="138">
        <v>7.1</v>
      </c>
      <c r="CD273" s="157">
        <v>41837</v>
      </c>
      <c r="CI273" s="138">
        <v>5</v>
      </c>
    </row>
    <row r="274" spans="1:91">
      <c r="A274" s="159" t="s">
        <v>7815</v>
      </c>
      <c r="B274" s="112" t="s">
        <v>269</v>
      </c>
      <c r="C274" s="112">
        <v>2</v>
      </c>
      <c r="D274" s="112">
        <v>40</v>
      </c>
      <c r="E274" s="113">
        <v>21</v>
      </c>
      <c r="F274" s="113">
        <v>8</v>
      </c>
      <c r="M274" s="185">
        <v>6.26</v>
      </c>
      <c r="N274" s="157">
        <v>41837</v>
      </c>
      <c r="R274" s="185"/>
      <c r="S274" s="137">
        <v>17.48</v>
      </c>
      <c r="T274" s="157">
        <v>41837</v>
      </c>
      <c r="U274" s="142">
        <v>18</v>
      </c>
      <c r="Y274" s="142">
        <f t="shared" si="4"/>
        <v>13.21875</v>
      </c>
      <c r="Z274" s="157">
        <v>41837</v>
      </c>
      <c r="AE274" s="137">
        <v>35.25</v>
      </c>
      <c r="AF274" s="157">
        <v>41837</v>
      </c>
      <c r="AG274" s="185"/>
      <c r="AH274" s="157">
        <v>41837</v>
      </c>
      <c r="AM274" s="137">
        <v>92</v>
      </c>
      <c r="BM274" s="138">
        <v>62.3</v>
      </c>
      <c r="BN274" s="157">
        <v>41837</v>
      </c>
      <c r="BS274" s="138">
        <v>49.58</v>
      </c>
      <c r="BT274" s="157">
        <v>41837</v>
      </c>
      <c r="BU274" s="138">
        <v>37.5</v>
      </c>
      <c r="BV274" s="157">
        <v>41837</v>
      </c>
      <c r="BW274" s="138">
        <v>19</v>
      </c>
      <c r="BX274" s="157">
        <v>41837</v>
      </c>
      <c r="CC274" s="138">
        <v>7</v>
      </c>
      <c r="CD274" s="157">
        <v>41837</v>
      </c>
      <c r="CI274" s="138">
        <v>7</v>
      </c>
    </row>
    <row r="275" spans="1:91">
      <c r="A275" s="159" t="s">
        <v>7619</v>
      </c>
      <c r="B275" s="112" t="s">
        <v>269</v>
      </c>
      <c r="C275" s="112">
        <v>2</v>
      </c>
      <c r="D275" s="112">
        <v>81</v>
      </c>
      <c r="E275" s="113">
        <v>22</v>
      </c>
      <c r="F275" s="113">
        <v>8</v>
      </c>
      <c r="M275" s="185">
        <v>3.15</v>
      </c>
      <c r="N275" s="157">
        <v>41837</v>
      </c>
      <c r="R275" s="185"/>
      <c r="S275" s="137">
        <v>8.3699999999999992</v>
      </c>
      <c r="T275" s="157">
        <v>41837</v>
      </c>
      <c r="U275" s="142">
        <v>18</v>
      </c>
      <c r="Y275" s="142">
        <f t="shared" si="4"/>
        <v>7.4582000000000006</v>
      </c>
      <c r="Z275" s="157">
        <v>41837</v>
      </c>
      <c r="AE275" s="137">
        <v>17.8</v>
      </c>
      <c r="AF275" s="157">
        <v>41837</v>
      </c>
      <c r="AG275" s="185"/>
      <c r="AH275" s="157">
        <v>41837</v>
      </c>
      <c r="AM275" s="137">
        <v>96</v>
      </c>
      <c r="BM275" s="138">
        <v>64.95</v>
      </c>
      <c r="BN275" s="157">
        <v>41837</v>
      </c>
      <c r="BS275" s="138">
        <v>47.05</v>
      </c>
      <c r="BT275" s="157">
        <v>41837</v>
      </c>
      <c r="BU275" s="138">
        <v>41.9</v>
      </c>
      <c r="BV275" s="157">
        <v>41837</v>
      </c>
      <c r="BW275" s="138">
        <v>61</v>
      </c>
      <c r="BX275" s="157">
        <v>41837</v>
      </c>
      <c r="CC275" s="138">
        <v>6.7</v>
      </c>
      <c r="CD275" s="157">
        <v>41837</v>
      </c>
      <c r="CI275" s="138">
        <v>5</v>
      </c>
    </row>
    <row r="276" spans="1:91">
      <c r="A276" s="159" t="s">
        <v>7732</v>
      </c>
      <c r="B276" s="112" t="s">
        <v>269</v>
      </c>
      <c r="C276" s="112">
        <v>2</v>
      </c>
      <c r="D276" s="112">
        <v>143</v>
      </c>
      <c r="E276" s="113">
        <v>23</v>
      </c>
      <c r="F276" s="113">
        <v>8</v>
      </c>
      <c r="M276" s="185">
        <v>5.27</v>
      </c>
      <c r="N276" s="157">
        <v>41837</v>
      </c>
      <c r="R276" s="185"/>
      <c r="S276" s="137">
        <v>15.37</v>
      </c>
      <c r="T276" s="157">
        <v>41837</v>
      </c>
      <c r="U276" s="142">
        <v>18</v>
      </c>
      <c r="Y276" s="142">
        <f t="shared" si="4"/>
        <v>12.174720000000001</v>
      </c>
      <c r="Z276" s="157">
        <v>41837</v>
      </c>
      <c r="AE276" s="137">
        <v>29.84</v>
      </c>
      <c r="AF276" s="157">
        <v>41837</v>
      </c>
      <c r="AG276" s="185"/>
      <c r="AH276" s="157">
        <v>41837</v>
      </c>
      <c r="AM276" s="137">
        <v>83</v>
      </c>
      <c r="BM276" s="138">
        <v>62.64</v>
      </c>
      <c r="BN276" s="157">
        <v>41837</v>
      </c>
      <c r="BS276" s="138">
        <v>51.5</v>
      </c>
      <c r="BT276" s="157">
        <v>41837</v>
      </c>
      <c r="BU276" s="138">
        <v>40.799999999999997</v>
      </c>
      <c r="BV276" s="157">
        <v>41837</v>
      </c>
      <c r="BW276" s="138">
        <v>20.3</v>
      </c>
      <c r="BX276" s="157">
        <v>41837</v>
      </c>
      <c r="CC276" s="138">
        <v>6.5</v>
      </c>
      <c r="CD276" s="157">
        <v>41837</v>
      </c>
      <c r="CI276" s="138">
        <v>7</v>
      </c>
    </row>
    <row r="277" spans="1:91">
      <c r="A277" s="159" t="s">
        <v>7638</v>
      </c>
      <c r="B277" s="112" t="s">
        <v>269</v>
      </c>
      <c r="C277" s="112">
        <v>2</v>
      </c>
      <c r="D277" s="112">
        <v>166</v>
      </c>
      <c r="E277" s="113">
        <v>24</v>
      </c>
      <c r="F277" s="113">
        <v>8</v>
      </c>
      <c r="M277" s="185">
        <v>1.68</v>
      </c>
      <c r="N277" s="157">
        <v>41837</v>
      </c>
      <c r="R277" s="185"/>
      <c r="S277" s="137">
        <v>4.3499999999999996</v>
      </c>
      <c r="T277" s="157">
        <v>41837</v>
      </c>
      <c r="U277" s="142">
        <v>18</v>
      </c>
      <c r="Y277" s="142">
        <f t="shared" si="4"/>
        <v>4.1768800000000006</v>
      </c>
      <c r="Z277" s="157">
        <v>41837</v>
      </c>
      <c r="AE277" s="137">
        <v>9.58</v>
      </c>
      <c r="AF277" s="157">
        <v>41837</v>
      </c>
      <c r="AG277" s="185"/>
      <c r="AH277" s="157">
        <v>41837</v>
      </c>
      <c r="AM277" s="137">
        <v>90</v>
      </c>
      <c r="BM277" s="138">
        <v>62.55</v>
      </c>
      <c r="BN277" s="157">
        <v>41837</v>
      </c>
      <c r="BS277" s="138">
        <v>45.42</v>
      </c>
      <c r="BT277" s="157">
        <v>41837</v>
      </c>
      <c r="BU277" s="138">
        <v>43.6</v>
      </c>
      <c r="BV277" s="157">
        <v>41837</v>
      </c>
      <c r="BW277" s="138">
        <v>76.8</v>
      </c>
      <c r="BX277" s="157">
        <v>41837</v>
      </c>
      <c r="CC277" s="138">
        <v>5.8</v>
      </c>
      <c r="CD277" s="157">
        <v>41837</v>
      </c>
      <c r="CI277" s="138">
        <v>5</v>
      </c>
    </row>
    <row r="278" spans="1:91">
      <c r="A278" s="159" t="s">
        <v>7615</v>
      </c>
      <c r="B278" s="112" t="s">
        <v>269</v>
      </c>
      <c r="C278" s="112">
        <v>2</v>
      </c>
      <c r="D278" s="112">
        <v>181</v>
      </c>
      <c r="E278" s="113">
        <v>25</v>
      </c>
      <c r="F278" s="113">
        <v>8</v>
      </c>
      <c r="M278" s="185">
        <v>2.1</v>
      </c>
      <c r="N278" s="157">
        <v>41837</v>
      </c>
      <c r="R278" s="185"/>
      <c r="S278" s="137">
        <v>5.76</v>
      </c>
      <c r="T278" s="157">
        <v>41837</v>
      </c>
      <c r="U278" s="142">
        <v>18</v>
      </c>
      <c r="Y278" s="142">
        <f t="shared" si="4"/>
        <v>5.0615199999999998</v>
      </c>
      <c r="Z278" s="157">
        <v>41837</v>
      </c>
      <c r="AE278" s="137">
        <v>12.08</v>
      </c>
      <c r="AF278" s="157">
        <v>41837</v>
      </c>
      <c r="AG278" s="185"/>
      <c r="AH278" s="157">
        <v>41837</v>
      </c>
      <c r="AM278" s="137">
        <v>90</v>
      </c>
      <c r="BM278" s="138">
        <v>64.78</v>
      </c>
      <c r="BN278" s="157">
        <v>41837</v>
      </c>
      <c r="BS278" s="138">
        <v>47.65</v>
      </c>
      <c r="BT278" s="157">
        <v>41837</v>
      </c>
      <c r="BU278" s="138">
        <v>41.9</v>
      </c>
      <c r="BV278" s="157">
        <v>41837</v>
      </c>
      <c r="BW278" s="138">
        <v>54.1</v>
      </c>
      <c r="BX278" s="157">
        <v>41837</v>
      </c>
      <c r="CC278" s="138">
        <v>5</v>
      </c>
      <c r="CD278" s="157">
        <v>41837</v>
      </c>
      <c r="CI278" s="138">
        <v>3</v>
      </c>
    </row>
    <row r="279" spans="1:91">
      <c r="A279" s="159" t="s">
        <v>7781</v>
      </c>
      <c r="B279" s="112" t="s">
        <v>269</v>
      </c>
      <c r="C279" s="112">
        <v>2</v>
      </c>
      <c r="D279" s="112">
        <v>15</v>
      </c>
      <c r="E279" s="113">
        <v>26</v>
      </c>
      <c r="F279" s="113">
        <v>8</v>
      </c>
      <c r="I279" s="200"/>
      <c r="K279" s="142"/>
      <c r="M279" s="185">
        <v>5.93</v>
      </c>
      <c r="N279" s="157">
        <v>41837</v>
      </c>
      <c r="Q279" s="142"/>
      <c r="R279" s="185"/>
      <c r="S279" s="142">
        <v>16.36</v>
      </c>
      <c r="T279" s="157">
        <v>41837</v>
      </c>
      <c r="U279" s="142">
        <v>18</v>
      </c>
      <c r="W279" s="142"/>
      <c r="Y279" s="142">
        <f t="shared" si="4"/>
        <v>12.54396</v>
      </c>
      <c r="Z279" s="157">
        <v>41837</v>
      </c>
      <c r="AA279" s="142"/>
      <c r="AE279" s="142">
        <v>33.54</v>
      </c>
      <c r="AF279" s="157">
        <v>41837</v>
      </c>
      <c r="AG279" s="185"/>
      <c r="AH279" s="157">
        <v>41837</v>
      </c>
      <c r="AK279" s="142"/>
      <c r="AM279" s="142">
        <v>94</v>
      </c>
      <c r="BM279" s="138">
        <v>62.69</v>
      </c>
      <c r="BN279" s="157">
        <v>41837</v>
      </c>
      <c r="BS279" s="138">
        <v>48.79</v>
      </c>
      <c r="BT279" s="157">
        <v>41837</v>
      </c>
      <c r="BU279" s="138">
        <v>37.4</v>
      </c>
      <c r="BV279" s="157">
        <v>41837</v>
      </c>
      <c r="BW279" s="138">
        <v>14.5</v>
      </c>
      <c r="BX279" s="157">
        <v>41837</v>
      </c>
      <c r="CC279" s="138">
        <v>6.6</v>
      </c>
      <c r="CD279" s="157">
        <v>41837</v>
      </c>
      <c r="CI279" s="138">
        <v>7</v>
      </c>
    </row>
    <row r="280" spans="1:91">
      <c r="A280" s="189" t="s">
        <v>7758</v>
      </c>
      <c r="B280" s="190" t="s">
        <v>269</v>
      </c>
      <c r="C280" s="190">
        <v>2</v>
      </c>
      <c r="D280" s="190">
        <v>4</v>
      </c>
      <c r="E280" s="191">
        <v>27</v>
      </c>
      <c r="F280" s="191">
        <v>8</v>
      </c>
      <c r="G280" s="191"/>
      <c r="H280" s="191"/>
      <c r="I280" s="201"/>
      <c r="J280" s="190"/>
      <c r="K280" s="192"/>
      <c r="L280" s="193"/>
      <c r="M280" s="194">
        <v>6</v>
      </c>
      <c r="N280" s="193">
        <v>41837</v>
      </c>
      <c r="P280" s="193"/>
      <c r="Q280" s="192"/>
      <c r="R280" s="194"/>
      <c r="S280" s="192">
        <v>16.7</v>
      </c>
      <c r="T280" s="193">
        <v>41837</v>
      </c>
      <c r="U280" s="192">
        <v>18</v>
      </c>
      <c r="V280" s="193"/>
      <c r="W280" s="192"/>
      <c r="X280" s="193"/>
      <c r="Y280" s="192">
        <f t="shared" si="4"/>
        <v>13.4244</v>
      </c>
      <c r="Z280" s="193">
        <v>41837</v>
      </c>
      <c r="AA280" s="192"/>
      <c r="AB280" s="193"/>
      <c r="AC280" s="195"/>
      <c r="AD280" s="193"/>
      <c r="AE280" s="192">
        <v>33.9</v>
      </c>
      <c r="AF280" s="193">
        <v>41837</v>
      </c>
      <c r="AG280" s="194"/>
      <c r="AH280" s="193">
        <v>41837</v>
      </c>
      <c r="AI280" s="193"/>
      <c r="AJ280" s="193"/>
      <c r="AK280" s="192"/>
      <c r="AL280" s="193"/>
      <c r="AM280" s="192">
        <v>90</v>
      </c>
      <c r="AN280" s="193"/>
      <c r="AO280" s="195"/>
      <c r="AP280" s="195"/>
      <c r="AQ280" s="195"/>
      <c r="AR280" s="195"/>
      <c r="AS280" s="195"/>
      <c r="AT280" s="195"/>
      <c r="AU280" s="195"/>
      <c r="AV280" s="195"/>
      <c r="AW280" s="195"/>
      <c r="AX280" s="195"/>
      <c r="AY280" s="195"/>
      <c r="AZ280" s="195"/>
      <c r="BA280" s="195"/>
      <c r="BB280" s="195"/>
      <c r="BC280" s="195"/>
      <c r="BD280" s="195"/>
      <c r="BE280" s="196"/>
      <c r="BF280" s="196"/>
      <c r="BG280" s="196"/>
      <c r="BH280" s="196"/>
      <c r="BI280" s="196"/>
      <c r="BJ280" s="196"/>
      <c r="BK280" s="196"/>
      <c r="BL280" s="196"/>
      <c r="BM280" s="196">
        <v>61.58</v>
      </c>
      <c r="BN280" s="193">
        <v>41837</v>
      </c>
      <c r="BO280" s="196"/>
      <c r="BP280" s="196"/>
      <c r="BQ280" s="196"/>
      <c r="BR280" s="196"/>
      <c r="BS280" s="196">
        <v>49.27</v>
      </c>
      <c r="BT280" s="193">
        <v>41837</v>
      </c>
      <c r="BU280" s="196">
        <v>39.6</v>
      </c>
      <c r="BV280" s="193">
        <v>41837</v>
      </c>
      <c r="BW280" s="196">
        <v>16.2</v>
      </c>
      <c r="BX280" s="193">
        <v>41837</v>
      </c>
      <c r="BY280" s="196"/>
      <c r="BZ280" s="196"/>
      <c r="CA280" s="196"/>
      <c r="CB280" s="196"/>
      <c r="CC280" s="196">
        <v>6.7</v>
      </c>
      <c r="CD280" s="193">
        <v>41837</v>
      </c>
      <c r="CE280" s="196"/>
      <c r="CF280" s="196"/>
      <c r="CG280" s="196"/>
      <c r="CH280" s="196"/>
      <c r="CI280" s="196">
        <v>5</v>
      </c>
      <c r="CJ280" s="196"/>
      <c r="CK280" s="196"/>
      <c r="CL280" s="196"/>
      <c r="CM280" s="196"/>
    </row>
    <row r="281" spans="1:91">
      <c r="A281" s="159" t="s">
        <v>7790</v>
      </c>
      <c r="B281" s="112" t="s">
        <v>269</v>
      </c>
      <c r="C281" s="112">
        <v>2</v>
      </c>
      <c r="D281" s="112">
        <v>198</v>
      </c>
      <c r="E281" s="113">
        <v>28</v>
      </c>
      <c r="F281" s="113">
        <v>8</v>
      </c>
      <c r="M281" s="185">
        <v>6.91</v>
      </c>
      <c r="N281" s="157">
        <v>41837</v>
      </c>
      <c r="R281" s="185"/>
      <c r="S281" s="137">
        <v>19.02</v>
      </c>
      <c r="T281" s="157">
        <v>41837</v>
      </c>
      <c r="U281" s="142">
        <v>18</v>
      </c>
      <c r="Y281" s="142">
        <f t="shared" si="4"/>
        <v>15.093000000000002</v>
      </c>
      <c r="Z281" s="157">
        <v>41837</v>
      </c>
      <c r="AE281" s="137">
        <v>39</v>
      </c>
      <c r="AF281" s="157">
        <v>41837</v>
      </c>
      <c r="AG281" s="185"/>
      <c r="AH281" s="157">
        <v>41837</v>
      </c>
      <c r="AM281" s="137">
        <v>92</v>
      </c>
      <c r="BM281" s="138">
        <v>60.41</v>
      </c>
      <c r="BN281" s="157">
        <v>41837</v>
      </c>
      <c r="BS281" s="138">
        <v>48.78</v>
      </c>
      <c r="BT281" s="157">
        <v>41837</v>
      </c>
      <c r="BU281" s="138">
        <v>38.700000000000003</v>
      </c>
      <c r="BV281" s="157">
        <v>41837</v>
      </c>
      <c r="BW281" s="138">
        <v>16.8</v>
      </c>
      <c r="BX281" s="157">
        <v>41837</v>
      </c>
      <c r="CC281" s="138">
        <v>6.8</v>
      </c>
      <c r="CD281" s="157">
        <v>41837</v>
      </c>
      <c r="CI281" s="138">
        <v>5</v>
      </c>
    </row>
    <row r="282" spans="1:91">
      <c r="A282" s="159" t="s">
        <v>7654</v>
      </c>
      <c r="B282" s="112" t="s">
        <v>269</v>
      </c>
      <c r="C282" s="112">
        <v>2</v>
      </c>
      <c r="D282" s="112">
        <v>200</v>
      </c>
      <c r="E282" s="113">
        <v>29</v>
      </c>
      <c r="F282" s="113">
        <v>8</v>
      </c>
      <c r="M282" s="185">
        <v>3.05</v>
      </c>
      <c r="N282" s="157">
        <v>41837</v>
      </c>
      <c r="R282" s="185"/>
      <c r="S282" s="137">
        <v>8.27</v>
      </c>
      <c r="T282" s="157">
        <v>41837</v>
      </c>
      <c r="U282" s="142">
        <v>18</v>
      </c>
      <c r="Y282" s="142">
        <f t="shared" si="4"/>
        <v>6.7530399999999995</v>
      </c>
      <c r="Z282" s="157">
        <v>41837</v>
      </c>
      <c r="AE282" s="137">
        <v>17.36</v>
      </c>
      <c r="AF282" s="157">
        <v>41837</v>
      </c>
      <c r="AG282" s="185"/>
      <c r="AH282" s="157">
        <v>41837</v>
      </c>
      <c r="AM282" s="137">
        <v>92</v>
      </c>
      <c r="BM282" s="138">
        <v>57.87</v>
      </c>
      <c r="BN282" s="157">
        <v>41837</v>
      </c>
      <c r="BS282" s="138">
        <v>47.65</v>
      </c>
      <c r="BT282" s="157">
        <v>41837</v>
      </c>
      <c r="BU282" s="138">
        <v>38.9</v>
      </c>
      <c r="BV282" s="157">
        <v>41837</v>
      </c>
      <c r="BW282" s="138">
        <v>64.900000000000006</v>
      </c>
      <c r="BX282" s="157">
        <v>41837</v>
      </c>
      <c r="CC282" s="138">
        <v>6</v>
      </c>
      <c r="CD282" s="157">
        <v>41837</v>
      </c>
      <c r="CI282" s="138">
        <v>1</v>
      </c>
    </row>
    <row r="283" spans="1:91">
      <c r="A283" s="159" t="s">
        <v>7625</v>
      </c>
      <c r="B283" s="112" t="s">
        <v>269</v>
      </c>
      <c r="C283" s="112">
        <v>2</v>
      </c>
      <c r="D283" s="112">
        <v>28</v>
      </c>
      <c r="E283" s="113">
        <v>30</v>
      </c>
      <c r="F283" s="113">
        <v>8</v>
      </c>
      <c r="M283" s="185">
        <v>4.8099999999999996</v>
      </c>
      <c r="N283" s="157">
        <v>41837</v>
      </c>
      <c r="R283" s="185"/>
      <c r="S283" s="137">
        <v>12.36</v>
      </c>
      <c r="T283" s="157">
        <v>41837</v>
      </c>
      <c r="U283" s="142">
        <v>18</v>
      </c>
      <c r="Y283" s="142">
        <f t="shared" si="4"/>
        <v>10.904000000000002</v>
      </c>
      <c r="Z283" s="157">
        <v>41837</v>
      </c>
      <c r="AE283" s="137">
        <v>27.26</v>
      </c>
      <c r="AF283" s="157">
        <v>41837</v>
      </c>
      <c r="AG283" s="185"/>
      <c r="AH283" s="157">
        <v>41837</v>
      </c>
      <c r="AM283" s="137">
        <v>90</v>
      </c>
      <c r="BM283" s="138">
        <v>59.18</v>
      </c>
      <c r="BN283" s="157">
        <v>41837</v>
      </c>
      <c r="BS283" s="138">
        <v>45.34</v>
      </c>
      <c r="BT283" s="157">
        <v>41837</v>
      </c>
      <c r="BU283" s="138">
        <v>40</v>
      </c>
      <c r="BV283" s="157">
        <v>41837</v>
      </c>
      <c r="BW283" s="138">
        <v>73.099999999999994</v>
      </c>
      <c r="BX283" s="157">
        <v>41837</v>
      </c>
      <c r="CC283" s="138">
        <v>6.4</v>
      </c>
      <c r="CD283" s="157">
        <v>41837</v>
      </c>
      <c r="CI283" s="138">
        <v>7</v>
      </c>
    </row>
    <row r="284" spans="1:91">
      <c r="A284" s="159" t="s">
        <v>7656</v>
      </c>
      <c r="B284" s="112" t="s">
        <v>269</v>
      </c>
      <c r="C284" s="112">
        <v>2</v>
      </c>
      <c r="D284" s="112">
        <v>44</v>
      </c>
      <c r="E284" s="113">
        <v>31</v>
      </c>
      <c r="F284" s="113">
        <v>8</v>
      </c>
      <c r="M284" s="185">
        <v>5.6</v>
      </c>
      <c r="N284" s="157">
        <v>41837</v>
      </c>
      <c r="R284" s="185"/>
      <c r="S284" s="137">
        <v>16.39</v>
      </c>
      <c r="T284" s="157">
        <v>41837</v>
      </c>
      <c r="U284" s="142">
        <v>18</v>
      </c>
      <c r="Y284" s="142">
        <f t="shared" si="4"/>
        <v>12.63252</v>
      </c>
      <c r="Z284" s="157">
        <v>41837</v>
      </c>
      <c r="AE284" s="137">
        <v>31.74</v>
      </c>
      <c r="AF284" s="157">
        <v>41837</v>
      </c>
      <c r="AG284" s="185"/>
      <c r="AH284" s="157">
        <v>41837</v>
      </c>
      <c r="AM284" s="137">
        <v>85</v>
      </c>
      <c r="BM284" s="138">
        <v>60.46</v>
      </c>
      <c r="BN284" s="157">
        <v>41837</v>
      </c>
      <c r="BS284" s="138">
        <v>51.63</v>
      </c>
      <c r="BT284" s="157">
        <v>41837</v>
      </c>
      <c r="BU284" s="138">
        <v>39.799999999999997</v>
      </c>
      <c r="BV284" s="157">
        <v>41837</v>
      </c>
      <c r="BW284" s="138">
        <v>50.2</v>
      </c>
      <c r="BX284" s="157">
        <v>41837</v>
      </c>
      <c r="CC284" s="138">
        <v>6.4</v>
      </c>
      <c r="CD284" s="157">
        <v>41837</v>
      </c>
      <c r="CI284" s="138">
        <v>5</v>
      </c>
    </row>
    <row r="285" spans="1:91">
      <c r="A285" s="159" t="s">
        <v>7692</v>
      </c>
      <c r="B285" s="112" t="s">
        <v>269</v>
      </c>
      <c r="C285" s="112">
        <v>2</v>
      </c>
      <c r="D285" s="112">
        <v>215</v>
      </c>
      <c r="E285" s="113">
        <v>32</v>
      </c>
      <c r="F285" s="113">
        <v>8</v>
      </c>
      <c r="M285" s="185">
        <v>5.98</v>
      </c>
      <c r="N285" s="157">
        <v>41837</v>
      </c>
      <c r="R285" s="185"/>
      <c r="S285" s="137">
        <v>16.559999999999999</v>
      </c>
      <c r="T285" s="157">
        <v>41837</v>
      </c>
      <c r="U285" s="142">
        <v>18</v>
      </c>
      <c r="Y285" s="142">
        <f t="shared" si="4"/>
        <v>13.178099999999999</v>
      </c>
      <c r="Z285" s="157">
        <v>41837</v>
      </c>
      <c r="AE285" s="137">
        <v>33.79</v>
      </c>
      <c r="AF285" s="157">
        <v>41837</v>
      </c>
      <c r="AG285" s="185"/>
      <c r="AH285" s="157">
        <v>41837</v>
      </c>
      <c r="AM285" s="137">
        <v>90</v>
      </c>
      <c r="BM285" s="138">
        <v>62.03</v>
      </c>
      <c r="BN285" s="157">
        <v>41837</v>
      </c>
      <c r="BS285" s="138">
        <v>49</v>
      </c>
      <c r="BT285" s="157">
        <v>41837</v>
      </c>
      <c r="BU285" s="138">
        <v>39</v>
      </c>
      <c r="BV285" s="157">
        <v>41837</v>
      </c>
      <c r="BW285" s="138">
        <v>18.3</v>
      </c>
      <c r="BX285" s="157">
        <v>41837</v>
      </c>
      <c r="CC285" s="138">
        <v>6.7</v>
      </c>
      <c r="CD285" s="157">
        <v>41837</v>
      </c>
      <c r="CI285" s="138">
        <v>7</v>
      </c>
    </row>
    <row r="286" spans="1:91">
      <c r="A286" s="159" t="s">
        <v>7663</v>
      </c>
      <c r="B286" s="112" t="s">
        <v>269</v>
      </c>
      <c r="C286" s="112">
        <v>2</v>
      </c>
      <c r="D286" s="112">
        <v>62</v>
      </c>
      <c r="E286" s="113">
        <v>33</v>
      </c>
      <c r="F286" s="113">
        <v>8</v>
      </c>
      <c r="M286" s="185">
        <v>5.7</v>
      </c>
      <c r="N286" s="157">
        <v>41837</v>
      </c>
      <c r="R286" s="185"/>
      <c r="S286" s="137">
        <v>15.68</v>
      </c>
      <c r="T286" s="157">
        <v>41837</v>
      </c>
      <c r="U286" s="142">
        <v>18</v>
      </c>
      <c r="Y286" s="142">
        <f t="shared" si="4"/>
        <v>12.476880000000001</v>
      </c>
      <c r="Z286" s="157">
        <v>41837</v>
      </c>
      <c r="AE286" s="137">
        <v>32.24</v>
      </c>
      <c r="AF286" s="157">
        <v>41837</v>
      </c>
      <c r="AG286" s="185"/>
      <c r="AH286" s="157">
        <v>41837</v>
      </c>
      <c r="AM286" s="137">
        <v>94</v>
      </c>
      <c r="BM286" s="138">
        <v>60.75</v>
      </c>
      <c r="BN286" s="157">
        <v>41837</v>
      </c>
      <c r="BS286" s="138">
        <v>48.62</v>
      </c>
      <c r="BT286" s="157">
        <v>41837</v>
      </c>
      <c r="BU286" s="138">
        <v>38.700000000000003</v>
      </c>
      <c r="BV286" s="157">
        <v>41837</v>
      </c>
      <c r="BW286" s="138">
        <v>43.2</v>
      </c>
      <c r="BX286" s="157">
        <v>41837</v>
      </c>
      <c r="CC286" s="138">
        <v>6.6</v>
      </c>
      <c r="CD286" s="157">
        <v>41837</v>
      </c>
      <c r="CI286" s="138">
        <v>5</v>
      </c>
    </row>
    <row r="287" spans="1:91">
      <c r="A287" s="159" t="s">
        <v>7648</v>
      </c>
      <c r="B287" s="112" t="s">
        <v>269</v>
      </c>
      <c r="C287" s="112">
        <v>2</v>
      </c>
      <c r="D287" s="112">
        <v>136</v>
      </c>
      <c r="E287" s="113">
        <v>34</v>
      </c>
      <c r="F287" s="113">
        <v>8</v>
      </c>
      <c r="M287" s="185">
        <v>5.41</v>
      </c>
      <c r="N287" s="157">
        <v>41837</v>
      </c>
      <c r="R287" s="185"/>
      <c r="S287" s="137">
        <v>14.14</v>
      </c>
      <c r="T287" s="157">
        <v>41837</v>
      </c>
      <c r="U287" s="142">
        <v>18</v>
      </c>
      <c r="Y287" s="142">
        <f t="shared" si="4"/>
        <v>12.417300000000001</v>
      </c>
      <c r="Z287" s="157">
        <v>41837</v>
      </c>
      <c r="AE287" s="137">
        <v>30.66</v>
      </c>
      <c r="AF287" s="157">
        <v>41837</v>
      </c>
      <c r="AG287" s="185"/>
      <c r="AH287" s="157">
        <v>41837</v>
      </c>
      <c r="AM287" s="137">
        <v>90</v>
      </c>
      <c r="BM287" s="138">
        <v>62.34</v>
      </c>
      <c r="BN287" s="157">
        <v>41837</v>
      </c>
      <c r="BS287" s="138">
        <v>46.13</v>
      </c>
      <c r="BT287" s="157">
        <v>41837</v>
      </c>
      <c r="BU287" s="138">
        <v>40.5</v>
      </c>
      <c r="BV287" s="157">
        <v>41837</v>
      </c>
      <c r="BW287" s="138">
        <v>65.900000000000006</v>
      </c>
      <c r="BX287" s="157">
        <v>41837</v>
      </c>
      <c r="CC287" s="138">
        <v>6.4</v>
      </c>
      <c r="CD287" s="157">
        <v>41837</v>
      </c>
      <c r="CI287" s="138">
        <v>7</v>
      </c>
    </row>
    <row r="288" spans="1:91">
      <c r="A288" s="159" t="s">
        <v>7796</v>
      </c>
      <c r="B288" s="112" t="s">
        <v>269</v>
      </c>
      <c r="C288" s="112">
        <v>2</v>
      </c>
      <c r="D288" s="112">
        <v>164</v>
      </c>
      <c r="E288" s="113">
        <v>35</v>
      </c>
      <c r="F288" s="113">
        <v>8</v>
      </c>
      <c r="M288" s="185">
        <v>5.24</v>
      </c>
      <c r="N288" s="157">
        <v>41837</v>
      </c>
      <c r="R288" s="185"/>
      <c r="S288" s="137">
        <v>14.62</v>
      </c>
      <c r="T288" s="157">
        <v>41837</v>
      </c>
      <c r="U288" s="142">
        <v>18</v>
      </c>
      <c r="Y288" s="142">
        <f t="shared" si="4"/>
        <v>11.77899</v>
      </c>
      <c r="Z288" s="157">
        <v>41837</v>
      </c>
      <c r="AE288" s="137">
        <v>29.67</v>
      </c>
      <c r="AF288" s="157">
        <v>41837</v>
      </c>
      <c r="AG288" s="185"/>
      <c r="AH288" s="157">
        <v>41837</v>
      </c>
      <c r="AM288" s="137">
        <v>92</v>
      </c>
      <c r="BM288" s="138">
        <v>62.51</v>
      </c>
      <c r="BN288" s="157">
        <v>41837</v>
      </c>
      <c r="BS288" s="138">
        <v>49.26</v>
      </c>
      <c r="BT288" s="157">
        <v>41837</v>
      </c>
      <c r="BU288" s="138">
        <v>39.700000000000003</v>
      </c>
      <c r="BV288" s="157">
        <v>41837</v>
      </c>
      <c r="BW288" s="138">
        <v>14</v>
      </c>
      <c r="BX288" s="157">
        <v>41837</v>
      </c>
      <c r="CC288" s="138">
        <v>6.5</v>
      </c>
      <c r="CD288" s="157">
        <v>41837</v>
      </c>
      <c r="CI288" s="138">
        <v>5</v>
      </c>
    </row>
    <row r="289" spans="1:91">
      <c r="A289" s="159" t="s">
        <v>7743</v>
      </c>
      <c r="B289" s="112" t="s">
        <v>269</v>
      </c>
      <c r="C289" s="112">
        <v>2</v>
      </c>
      <c r="D289" s="112">
        <v>38</v>
      </c>
      <c r="E289" s="113">
        <v>36</v>
      </c>
      <c r="F289" s="113">
        <v>8</v>
      </c>
      <c r="M289" s="185">
        <v>2.54</v>
      </c>
      <c r="N289" s="157">
        <v>41837</v>
      </c>
      <c r="R289" s="185"/>
      <c r="S289" s="137">
        <v>6.98</v>
      </c>
      <c r="T289" s="157">
        <v>41837</v>
      </c>
      <c r="U289" s="142">
        <v>18</v>
      </c>
      <c r="Y289" s="142">
        <f t="shared" si="4"/>
        <v>6.2539400000000001</v>
      </c>
      <c r="Z289" s="157">
        <v>41837</v>
      </c>
      <c r="AE289" s="137">
        <v>14.41</v>
      </c>
      <c r="AF289" s="157">
        <v>41837</v>
      </c>
      <c r="AG289" s="185"/>
      <c r="AH289" s="157">
        <v>41837</v>
      </c>
      <c r="BM289" s="138">
        <v>64.42</v>
      </c>
      <c r="BN289" s="157">
        <v>41837</v>
      </c>
      <c r="BS289" s="138">
        <v>48.44</v>
      </c>
      <c r="BT289" s="157">
        <v>41837</v>
      </c>
      <c r="BU289" s="138">
        <v>43.4</v>
      </c>
      <c r="BV289" s="157">
        <v>41837</v>
      </c>
      <c r="BW289" s="138">
        <v>52.4</v>
      </c>
      <c r="BX289" s="157">
        <v>41837</v>
      </c>
      <c r="CC289" s="138">
        <v>6.3</v>
      </c>
      <c r="CD289" s="157">
        <v>41837</v>
      </c>
      <c r="CI289" s="138">
        <v>5</v>
      </c>
    </row>
    <row r="290" spans="1:91">
      <c r="A290" s="159" t="s">
        <v>7642</v>
      </c>
      <c r="B290" s="112" t="s">
        <v>269</v>
      </c>
      <c r="C290" s="112">
        <v>2</v>
      </c>
      <c r="D290" s="112">
        <v>136</v>
      </c>
      <c r="E290" s="113">
        <v>1</v>
      </c>
      <c r="F290" s="113">
        <v>9</v>
      </c>
      <c r="M290" s="185">
        <v>4.6100000000000003</v>
      </c>
      <c r="N290" s="157">
        <v>41837</v>
      </c>
      <c r="R290" s="185"/>
      <c r="S290" s="137">
        <v>11.34</v>
      </c>
      <c r="T290" s="157">
        <v>41837</v>
      </c>
      <c r="U290" s="142">
        <v>18</v>
      </c>
      <c r="Y290" s="142">
        <f t="shared" si="4"/>
        <v>10.85802</v>
      </c>
      <c r="Z290" s="157">
        <v>41837</v>
      </c>
      <c r="AE290" s="137">
        <v>24.79</v>
      </c>
      <c r="AF290" s="157">
        <v>41837</v>
      </c>
      <c r="AG290" s="185"/>
      <c r="AH290" s="157">
        <v>41837</v>
      </c>
      <c r="AM290" s="137">
        <v>90</v>
      </c>
      <c r="BM290" s="138">
        <v>63.06</v>
      </c>
      <c r="BN290" s="157">
        <v>41837</v>
      </c>
      <c r="BS290" s="138">
        <v>45.73</v>
      </c>
      <c r="BT290" s="157">
        <v>41837</v>
      </c>
      <c r="BU290" s="138">
        <v>43.8</v>
      </c>
      <c r="BV290" s="157">
        <v>41837</v>
      </c>
      <c r="BW290" s="138">
        <v>68.099999999999994</v>
      </c>
      <c r="BX290" s="157">
        <v>41837</v>
      </c>
      <c r="CC290" s="138">
        <v>11.2</v>
      </c>
      <c r="CD290" s="157">
        <v>41837</v>
      </c>
      <c r="CI290" s="138">
        <v>7</v>
      </c>
    </row>
    <row r="291" spans="1:91">
      <c r="A291" s="159" t="s">
        <v>7705</v>
      </c>
      <c r="B291" s="112" t="s">
        <v>269</v>
      </c>
      <c r="C291" s="112">
        <v>2</v>
      </c>
      <c r="D291" s="112">
        <v>162</v>
      </c>
      <c r="E291" s="113">
        <v>2</v>
      </c>
      <c r="F291" s="113">
        <v>9</v>
      </c>
      <c r="M291" s="185">
        <v>6.76</v>
      </c>
      <c r="N291" s="157">
        <v>41837</v>
      </c>
      <c r="R291" s="185"/>
      <c r="S291" s="137">
        <v>18.489999999999998</v>
      </c>
      <c r="T291" s="157">
        <v>41837</v>
      </c>
      <c r="U291" s="142">
        <v>18</v>
      </c>
      <c r="Y291" s="142">
        <f t="shared" si="4"/>
        <v>14.92456</v>
      </c>
      <c r="Z291" s="157">
        <v>41837</v>
      </c>
      <c r="AE291" s="137">
        <v>36.76</v>
      </c>
      <c r="AF291" s="157">
        <v>41837</v>
      </c>
      <c r="AG291" s="185"/>
      <c r="AH291" s="157">
        <v>41837</v>
      </c>
      <c r="AM291" s="137">
        <v>92</v>
      </c>
      <c r="BM291" s="138">
        <v>62.52</v>
      </c>
      <c r="BN291" s="157">
        <v>41837</v>
      </c>
      <c r="BS291" s="138">
        <v>50.3</v>
      </c>
      <c r="BT291" s="157">
        <v>41837</v>
      </c>
      <c r="BU291" s="138">
        <v>40.6</v>
      </c>
      <c r="BV291" s="157">
        <v>41837</v>
      </c>
      <c r="BW291" s="138">
        <v>12.6</v>
      </c>
      <c r="BX291" s="157">
        <v>41837</v>
      </c>
      <c r="CC291" s="138">
        <v>10.199999999999999</v>
      </c>
      <c r="CD291" s="157">
        <v>41837</v>
      </c>
      <c r="CI291" s="138">
        <v>7</v>
      </c>
    </row>
    <row r="292" spans="1:91">
      <c r="A292" s="159" t="s">
        <v>7782</v>
      </c>
      <c r="B292" s="112" t="s">
        <v>269</v>
      </c>
      <c r="C292" s="112">
        <v>2</v>
      </c>
      <c r="D292" s="112">
        <v>20</v>
      </c>
      <c r="E292" s="113">
        <v>3</v>
      </c>
      <c r="F292" s="113">
        <v>9</v>
      </c>
      <c r="I292" s="200"/>
      <c r="K292" s="142"/>
      <c r="M292" s="185">
        <v>5.76</v>
      </c>
      <c r="N292" s="157">
        <v>41837</v>
      </c>
      <c r="Q292" s="142"/>
      <c r="R292" s="185"/>
      <c r="S292" s="142">
        <v>15.51</v>
      </c>
      <c r="T292" s="157">
        <v>41837</v>
      </c>
      <c r="U292" s="142">
        <v>18</v>
      </c>
      <c r="W292" s="142"/>
      <c r="Y292" s="142">
        <f t="shared" si="4"/>
        <v>12.012930000000001</v>
      </c>
      <c r="Z292" s="157">
        <v>41837</v>
      </c>
      <c r="AA292" s="142"/>
      <c r="AE292" s="142">
        <v>31.53</v>
      </c>
      <c r="AF292" s="157">
        <v>41837</v>
      </c>
      <c r="AG292" s="185"/>
      <c r="AH292" s="157">
        <v>41837</v>
      </c>
      <c r="AK292" s="142"/>
      <c r="AM292" s="142">
        <v>94</v>
      </c>
      <c r="BM292" s="138">
        <v>62.95</v>
      </c>
      <c r="BN292" s="157">
        <v>41837</v>
      </c>
      <c r="BS292" s="138">
        <v>49.18</v>
      </c>
      <c r="BT292" s="157">
        <v>41837</v>
      </c>
      <c r="BU292" s="138">
        <v>38.1</v>
      </c>
      <c r="BV292" s="157">
        <v>41837</v>
      </c>
      <c r="BW292" s="138">
        <v>13.4</v>
      </c>
      <c r="BX292" s="157">
        <v>41837</v>
      </c>
      <c r="CC292" s="138">
        <v>9.6</v>
      </c>
      <c r="CD292" s="157">
        <v>41837</v>
      </c>
      <c r="CI292" s="138">
        <v>9</v>
      </c>
    </row>
    <row r="293" spans="1:91">
      <c r="A293" s="159" t="s">
        <v>7685</v>
      </c>
      <c r="B293" s="112" t="s">
        <v>269</v>
      </c>
      <c r="C293" s="112">
        <v>2</v>
      </c>
      <c r="D293" s="112">
        <v>23</v>
      </c>
      <c r="E293" s="113">
        <v>4</v>
      </c>
      <c r="F293" s="113">
        <v>9</v>
      </c>
      <c r="I293" s="200"/>
      <c r="K293" s="142"/>
      <c r="M293" s="185">
        <v>6.38</v>
      </c>
      <c r="N293" s="157">
        <v>41837</v>
      </c>
      <c r="Q293" s="142"/>
      <c r="R293" s="185"/>
      <c r="S293" s="142">
        <v>17.11</v>
      </c>
      <c r="T293" s="157">
        <v>41837</v>
      </c>
      <c r="U293" s="142">
        <v>18</v>
      </c>
      <c r="W293" s="142"/>
      <c r="Y293" s="142">
        <f t="shared" si="4"/>
        <v>13.56148</v>
      </c>
      <c r="Z293" s="157">
        <v>41837</v>
      </c>
      <c r="AA293" s="142"/>
      <c r="AE293" s="142">
        <v>34.42</v>
      </c>
      <c r="AF293" s="157">
        <v>41837</v>
      </c>
      <c r="AG293" s="185"/>
      <c r="AH293" s="157">
        <v>41837</v>
      </c>
      <c r="AK293" s="142"/>
      <c r="AM293" s="142">
        <v>94</v>
      </c>
      <c r="BM293" s="138">
        <v>60.81</v>
      </c>
      <c r="BN293" s="157">
        <v>41837</v>
      </c>
      <c r="BS293" s="138">
        <v>49.7</v>
      </c>
      <c r="BT293" s="157">
        <v>41837</v>
      </c>
      <c r="BU293" s="138">
        <v>39.4</v>
      </c>
      <c r="BV293" s="157">
        <v>41837</v>
      </c>
      <c r="BW293" s="138">
        <v>15.9</v>
      </c>
      <c r="BX293" s="157">
        <v>41837</v>
      </c>
      <c r="CC293" s="138">
        <v>10.9</v>
      </c>
      <c r="CD293" s="157">
        <v>41837</v>
      </c>
      <c r="CI293" s="138">
        <v>7</v>
      </c>
    </row>
    <row r="294" spans="1:91">
      <c r="A294" s="159" t="s">
        <v>7702</v>
      </c>
      <c r="B294" s="112" t="s">
        <v>269</v>
      </c>
      <c r="C294" s="112">
        <v>2</v>
      </c>
      <c r="D294" s="112">
        <v>197</v>
      </c>
      <c r="E294" s="113">
        <v>5</v>
      </c>
      <c r="F294" s="113">
        <v>9</v>
      </c>
      <c r="M294" s="185">
        <v>7</v>
      </c>
      <c r="N294" s="157">
        <v>41837</v>
      </c>
      <c r="R294" s="185"/>
      <c r="S294" s="137">
        <v>18.059999999999999</v>
      </c>
      <c r="T294" s="157">
        <v>41837</v>
      </c>
      <c r="U294" s="142">
        <v>18</v>
      </c>
      <c r="Y294" s="142">
        <f t="shared" si="4"/>
        <v>14.001399999999999</v>
      </c>
      <c r="Z294" s="157">
        <v>41837</v>
      </c>
      <c r="AE294" s="137">
        <v>38.36</v>
      </c>
      <c r="AF294" s="157">
        <v>41837</v>
      </c>
      <c r="AG294" s="185"/>
      <c r="AH294" s="157">
        <v>41837</v>
      </c>
      <c r="AM294" s="137">
        <v>87</v>
      </c>
      <c r="BM294" s="138">
        <v>57.13</v>
      </c>
      <c r="BN294" s="157">
        <v>41837</v>
      </c>
      <c r="BS294" s="138">
        <v>47.07</v>
      </c>
      <c r="BT294" s="157">
        <v>41837</v>
      </c>
      <c r="BU294" s="138">
        <v>36.5</v>
      </c>
      <c r="BV294" s="157">
        <v>41837</v>
      </c>
      <c r="BW294" s="138">
        <v>16.7</v>
      </c>
      <c r="BX294" s="157">
        <v>41837</v>
      </c>
      <c r="CC294" s="138">
        <v>9.5</v>
      </c>
      <c r="CD294" s="157">
        <v>41837</v>
      </c>
      <c r="CI294" s="138">
        <v>7</v>
      </c>
    </row>
    <row r="295" spans="1:91">
      <c r="A295" s="159" t="s">
        <v>7760</v>
      </c>
      <c r="B295" s="112" t="s">
        <v>269</v>
      </c>
      <c r="C295" s="112">
        <v>2</v>
      </c>
      <c r="D295" s="112">
        <v>101</v>
      </c>
      <c r="E295" s="113">
        <v>6</v>
      </c>
      <c r="F295" s="113">
        <v>9</v>
      </c>
      <c r="M295" s="185">
        <v>7.42</v>
      </c>
      <c r="N295" s="157">
        <v>41837</v>
      </c>
      <c r="R295" s="185"/>
      <c r="S295" s="137">
        <v>20.07</v>
      </c>
      <c r="T295" s="157">
        <v>41837</v>
      </c>
      <c r="U295" s="142">
        <v>18</v>
      </c>
      <c r="Y295" s="142">
        <f t="shared" si="4"/>
        <v>16.777180000000001</v>
      </c>
      <c r="Z295" s="157">
        <v>41837</v>
      </c>
      <c r="AE295" s="137">
        <v>41.02</v>
      </c>
      <c r="AF295" s="157">
        <v>41837</v>
      </c>
      <c r="AG295" s="185"/>
      <c r="AH295" s="157">
        <v>41837</v>
      </c>
      <c r="AM295" s="137">
        <v>92</v>
      </c>
      <c r="BM295" s="138">
        <v>61.22</v>
      </c>
      <c r="BN295" s="157">
        <v>41837</v>
      </c>
      <c r="BS295" s="138">
        <v>48.92</v>
      </c>
      <c r="BT295" s="157">
        <v>41837</v>
      </c>
      <c r="BU295" s="138">
        <v>40.9</v>
      </c>
      <c r="BV295" s="157">
        <v>41837</v>
      </c>
      <c r="BW295" s="138">
        <v>13</v>
      </c>
      <c r="BX295" s="157">
        <v>41837</v>
      </c>
      <c r="CC295" s="138">
        <v>8.6999999999999993</v>
      </c>
      <c r="CD295" s="157">
        <v>41837</v>
      </c>
      <c r="CI295" s="138">
        <v>9</v>
      </c>
    </row>
    <row r="296" spans="1:91">
      <c r="A296" s="159" t="s">
        <v>7668</v>
      </c>
      <c r="B296" s="112" t="s">
        <v>269</v>
      </c>
      <c r="C296" s="112">
        <v>2</v>
      </c>
      <c r="D296" s="112">
        <v>72</v>
      </c>
      <c r="E296" s="113">
        <v>7</v>
      </c>
      <c r="F296" s="113">
        <v>9</v>
      </c>
      <c r="M296" s="185">
        <v>5.15</v>
      </c>
      <c r="N296" s="157">
        <v>41837</v>
      </c>
      <c r="R296" s="185"/>
      <c r="S296" s="137">
        <v>14.63</v>
      </c>
      <c r="T296" s="157">
        <v>41837</v>
      </c>
      <c r="U296" s="142">
        <v>18</v>
      </c>
      <c r="Y296" s="142">
        <f t="shared" si="4"/>
        <v>11.62378</v>
      </c>
      <c r="Z296" s="157">
        <v>41837</v>
      </c>
      <c r="AE296" s="137">
        <v>28.63</v>
      </c>
      <c r="AF296" s="157">
        <v>41837</v>
      </c>
      <c r="AG296" s="185"/>
      <c r="AH296" s="157">
        <v>41837</v>
      </c>
      <c r="AM296" s="137">
        <v>90</v>
      </c>
      <c r="BM296" s="138">
        <v>65.81</v>
      </c>
      <c r="BN296" s="157">
        <v>41837</v>
      </c>
      <c r="BS296" s="138">
        <v>51.09</v>
      </c>
      <c r="BT296" s="157">
        <v>41837</v>
      </c>
      <c r="BU296" s="138">
        <v>40.6</v>
      </c>
      <c r="BV296" s="157">
        <v>41837</v>
      </c>
      <c r="BW296" s="138">
        <v>15.5</v>
      </c>
      <c r="BX296" s="157">
        <v>41837</v>
      </c>
      <c r="CC296" s="138">
        <v>8.1999999999999993</v>
      </c>
      <c r="CD296" s="157">
        <v>41837</v>
      </c>
      <c r="CI296" s="138">
        <v>9</v>
      </c>
    </row>
    <row r="297" spans="1:91">
      <c r="A297" s="159" t="s">
        <v>7785</v>
      </c>
      <c r="B297" s="112" t="s">
        <v>269</v>
      </c>
      <c r="C297" s="112">
        <v>2</v>
      </c>
      <c r="D297" s="112">
        <v>179</v>
      </c>
      <c r="E297" s="113">
        <v>8</v>
      </c>
      <c r="F297" s="113">
        <v>9</v>
      </c>
      <c r="M297" s="185">
        <v>5.59</v>
      </c>
      <c r="N297" s="157">
        <v>41837</v>
      </c>
      <c r="R297" s="185"/>
      <c r="S297" s="137">
        <v>15.21</v>
      </c>
      <c r="T297" s="157">
        <v>41837</v>
      </c>
      <c r="U297" s="142">
        <v>18</v>
      </c>
      <c r="Y297" s="142">
        <f t="shared" si="4"/>
        <v>12.381600000000001</v>
      </c>
      <c r="Z297" s="157">
        <v>41837</v>
      </c>
      <c r="AE297" s="137">
        <v>30.8</v>
      </c>
      <c r="AF297" s="157">
        <v>41837</v>
      </c>
      <c r="AG297" s="185"/>
      <c r="AH297" s="157">
        <v>41837</v>
      </c>
      <c r="AM297" s="137">
        <v>94</v>
      </c>
      <c r="BM297" s="138">
        <v>59.64</v>
      </c>
      <c r="BN297" s="157">
        <v>41837</v>
      </c>
      <c r="BS297" s="138">
        <v>49.38</v>
      </c>
      <c r="BT297" s="157">
        <v>41837</v>
      </c>
      <c r="BU297" s="138">
        <v>40.200000000000003</v>
      </c>
      <c r="BV297" s="157">
        <v>41837</v>
      </c>
      <c r="BW297" s="138">
        <v>11.9</v>
      </c>
      <c r="BX297" s="157">
        <v>41837</v>
      </c>
      <c r="CC297" s="138">
        <v>9</v>
      </c>
      <c r="CD297" s="157">
        <v>41837</v>
      </c>
      <c r="CI297" s="138">
        <v>7</v>
      </c>
    </row>
    <row r="298" spans="1:91">
      <c r="A298" s="189" t="s">
        <v>7611</v>
      </c>
      <c r="B298" s="190" t="s">
        <v>269</v>
      </c>
      <c r="C298" s="190">
        <v>2</v>
      </c>
      <c r="D298" s="190">
        <v>135</v>
      </c>
      <c r="E298" s="191">
        <v>9</v>
      </c>
      <c r="F298" s="191">
        <v>9</v>
      </c>
      <c r="G298" s="191"/>
      <c r="H298" s="191"/>
      <c r="I298" s="190"/>
      <c r="J298" s="190"/>
      <c r="K298" s="195"/>
      <c r="L298" s="193"/>
      <c r="M298" s="194">
        <v>2.38</v>
      </c>
      <c r="N298" s="193">
        <v>41837</v>
      </c>
      <c r="P298" s="193"/>
      <c r="Q298" s="195"/>
      <c r="R298" s="194"/>
      <c r="S298" s="195">
        <v>6.09</v>
      </c>
      <c r="T298" s="193">
        <v>41837</v>
      </c>
      <c r="U298" s="192">
        <v>18</v>
      </c>
      <c r="V298" s="193"/>
      <c r="W298" s="195"/>
      <c r="X298" s="193"/>
      <c r="Y298" s="192">
        <f t="shared" si="4"/>
        <v>5.2628399999999997</v>
      </c>
      <c r="Z298" s="193">
        <v>41837</v>
      </c>
      <c r="AA298" s="195"/>
      <c r="AB298" s="193"/>
      <c r="AC298" s="195"/>
      <c r="AD298" s="193"/>
      <c r="AE298" s="195">
        <v>13.29</v>
      </c>
      <c r="AF298" s="193">
        <v>41837</v>
      </c>
      <c r="AG298" s="194"/>
      <c r="AH298" s="193">
        <v>41837</v>
      </c>
      <c r="AI298" s="193"/>
      <c r="AJ298" s="193"/>
      <c r="AK298" s="195"/>
      <c r="AL298" s="193"/>
      <c r="AM298" s="195">
        <v>92</v>
      </c>
      <c r="AN298" s="193"/>
      <c r="AO298" s="195"/>
      <c r="AP298" s="195"/>
      <c r="AQ298" s="195"/>
      <c r="AR298" s="195"/>
      <c r="AS298" s="195"/>
      <c r="AT298" s="195"/>
      <c r="AU298" s="195"/>
      <c r="AV298" s="195"/>
      <c r="AW298" s="195"/>
      <c r="AX298" s="195"/>
      <c r="AY298" s="195"/>
      <c r="AZ298" s="195"/>
      <c r="BA298" s="195"/>
      <c r="BB298" s="195"/>
      <c r="BC298" s="195"/>
      <c r="BD298" s="195"/>
      <c r="BE298" s="196"/>
      <c r="BF298" s="196"/>
      <c r="BG298" s="196"/>
      <c r="BH298" s="196"/>
      <c r="BI298" s="196"/>
      <c r="BJ298" s="196"/>
      <c r="BK298" s="196"/>
      <c r="BL298" s="196"/>
      <c r="BM298" s="196">
        <v>60.87</v>
      </c>
      <c r="BN298" s="193">
        <v>41837</v>
      </c>
      <c r="BO298" s="196"/>
      <c r="BP298" s="196"/>
      <c r="BQ298" s="196"/>
      <c r="BR298" s="196"/>
      <c r="BS298" s="196">
        <v>45.83</v>
      </c>
      <c r="BT298" s="193">
        <v>41837</v>
      </c>
      <c r="BU298" s="196">
        <v>39.6</v>
      </c>
      <c r="BV298" s="193">
        <v>41837</v>
      </c>
      <c r="BW298" s="196">
        <v>46.9</v>
      </c>
      <c r="BX298" s="193">
        <v>41837</v>
      </c>
      <c r="BY298" s="196"/>
      <c r="BZ298" s="196"/>
      <c r="CA298" s="196"/>
      <c r="CB298" s="196"/>
      <c r="CC298" s="196">
        <v>7.8</v>
      </c>
      <c r="CD298" s="193">
        <v>41837</v>
      </c>
      <c r="CE298" s="196"/>
      <c r="CF298" s="196"/>
      <c r="CG298" s="196"/>
      <c r="CH298" s="196"/>
      <c r="CI298" s="196">
        <v>1</v>
      </c>
      <c r="CJ298" s="196"/>
      <c r="CK298" s="196"/>
      <c r="CL298" s="196"/>
      <c r="CM298" s="196"/>
    </row>
    <row r="299" spans="1:91">
      <c r="A299" s="159" t="s">
        <v>7688</v>
      </c>
      <c r="B299" s="112" t="s">
        <v>269</v>
      </c>
      <c r="C299" s="112">
        <v>2</v>
      </c>
      <c r="D299" s="112">
        <v>37</v>
      </c>
      <c r="E299" s="113">
        <v>10</v>
      </c>
      <c r="F299" s="113">
        <v>9</v>
      </c>
      <c r="M299" s="185">
        <v>6.06</v>
      </c>
      <c r="N299" s="157">
        <v>41837</v>
      </c>
      <c r="R299" s="185"/>
      <c r="S299" s="137">
        <v>16.309999999999999</v>
      </c>
      <c r="T299" s="157">
        <v>41837</v>
      </c>
      <c r="U299" s="142">
        <v>18</v>
      </c>
      <c r="Y299" s="142">
        <f t="shared" si="4"/>
        <v>13.693939999999998</v>
      </c>
      <c r="Z299" s="157">
        <v>41837</v>
      </c>
      <c r="AE299" s="137">
        <v>33.979999999999997</v>
      </c>
      <c r="AF299" s="157">
        <v>41837</v>
      </c>
      <c r="AG299" s="185"/>
      <c r="AH299" s="157">
        <v>41837</v>
      </c>
      <c r="AM299" s="137">
        <v>83</v>
      </c>
      <c r="BM299" s="138">
        <v>62.12</v>
      </c>
      <c r="BN299" s="157">
        <v>41837</v>
      </c>
      <c r="BS299" s="138">
        <v>48</v>
      </c>
      <c r="BT299" s="157">
        <v>41837</v>
      </c>
      <c r="BU299" s="138">
        <v>40.299999999999997</v>
      </c>
      <c r="BV299" s="157">
        <v>41837</v>
      </c>
      <c r="BW299" s="138">
        <v>13.7</v>
      </c>
      <c r="BX299" s="157">
        <v>41837</v>
      </c>
      <c r="CC299" s="138">
        <v>7.4</v>
      </c>
      <c r="CD299" s="157">
        <v>41837</v>
      </c>
      <c r="CI299" s="138">
        <v>7</v>
      </c>
    </row>
    <row r="300" spans="1:91">
      <c r="A300" s="159" t="s">
        <v>7673</v>
      </c>
      <c r="B300" s="112" t="s">
        <v>269</v>
      </c>
      <c r="C300" s="112">
        <v>2</v>
      </c>
      <c r="D300" s="112">
        <v>126</v>
      </c>
      <c r="E300" s="113">
        <v>11</v>
      </c>
      <c r="F300" s="113">
        <v>9</v>
      </c>
      <c r="M300" s="185">
        <v>4.46</v>
      </c>
      <c r="N300" s="157">
        <v>41837</v>
      </c>
      <c r="R300" s="185"/>
      <c r="T300" s="157">
        <v>41837</v>
      </c>
      <c r="U300" s="142">
        <v>18</v>
      </c>
      <c r="Y300" s="142">
        <f t="shared" si="4"/>
        <v>0</v>
      </c>
      <c r="Z300" s="157">
        <v>41837</v>
      </c>
      <c r="AE300" s="137">
        <v>25.01</v>
      </c>
      <c r="AF300" s="157">
        <v>41837</v>
      </c>
      <c r="AG300" s="185"/>
      <c r="AH300" s="157">
        <v>41837</v>
      </c>
      <c r="AM300" s="137">
        <v>80</v>
      </c>
      <c r="BN300" s="157">
        <v>41837</v>
      </c>
      <c r="BT300" s="157">
        <v>41837</v>
      </c>
      <c r="BV300" s="157">
        <v>41837</v>
      </c>
      <c r="BX300" s="157">
        <v>41837</v>
      </c>
      <c r="CC300" s="138">
        <v>7.4</v>
      </c>
      <c r="CD300" s="157">
        <v>41837</v>
      </c>
      <c r="CI300" s="138">
        <v>3</v>
      </c>
    </row>
    <row r="301" spans="1:91">
      <c r="A301" s="189" t="s">
        <v>7649</v>
      </c>
      <c r="B301" s="190" t="s">
        <v>269</v>
      </c>
      <c r="C301" s="190">
        <v>2</v>
      </c>
      <c r="D301" s="190">
        <v>141</v>
      </c>
      <c r="E301" s="191">
        <v>12</v>
      </c>
      <c r="F301" s="191">
        <v>9</v>
      </c>
      <c r="G301" s="191"/>
      <c r="H301" s="191"/>
      <c r="I301" s="190"/>
      <c r="J301" s="190"/>
      <c r="K301" s="195"/>
      <c r="L301" s="193"/>
      <c r="M301" s="194">
        <v>4.26</v>
      </c>
      <c r="N301" s="193">
        <v>41837</v>
      </c>
      <c r="P301" s="193"/>
      <c r="Q301" s="195"/>
      <c r="R301" s="194"/>
      <c r="S301" s="195">
        <v>10.69</v>
      </c>
      <c r="T301" s="193">
        <v>41837</v>
      </c>
      <c r="U301" s="192">
        <v>18</v>
      </c>
      <c r="V301" s="193"/>
      <c r="W301" s="195"/>
      <c r="X301" s="193"/>
      <c r="Y301" s="192">
        <f t="shared" si="4"/>
        <v>9.4049499999999995</v>
      </c>
      <c r="Z301" s="193">
        <v>41837</v>
      </c>
      <c r="AA301" s="195"/>
      <c r="AB301" s="193"/>
      <c r="AC301" s="195"/>
      <c r="AD301" s="193"/>
      <c r="AE301" s="195">
        <v>23.81</v>
      </c>
      <c r="AF301" s="193">
        <v>41837</v>
      </c>
      <c r="AG301" s="194"/>
      <c r="AH301" s="193">
        <v>41837</v>
      </c>
      <c r="AI301" s="193"/>
      <c r="AJ301" s="193"/>
      <c r="AK301" s="195"/>
      <c r="AL301" s="193"/>
      <c r="AM301" s="195">
        <v>90</v>
      </c>
      <c r="AN301" s="193"/>
      <c r="AO301" s="195"/>
      <c r="AP301" s="195"/>
      <c r="AQ301" s="195"/>
      <c r="AR301" s="195"/>
      <c r="AS301" s="195"/>
      <c r="AT301" s="195"/>
      <c r="AU301" s="195"/>
      <c r="AV301" s="195"/>
      <c r="AW301" s="195"/>
      <c r="AX301" s="195"/>
      <c r="AY301" s="195"/>
      <c r="AZ301" s="195"/>
      <c r="BA301" s="195"/>
      <c r="BB301" s="195"/>
      <c r="BC301" s="195"/>
      <c r="BD301" s="195"/>
      <c r="BE301" s="196"/>
      <c r="BF301" s="196"/>
      <c r="BG301" s="196"/>
      <c r="BH301" s="196"/>
      <c r="BI301" s="196"/>
      <c r="BJ301" s="196"/>
      <c r="BK301" s="196"/>
      <c r="BL301" s="196"/>
      <c r="BM301" s="196">
        <v>58.13</v>
      </c>
      <c r="BN301" s="193">
        <v>41837</v>
      </c>
      <c r="BO301" s="196"/>
      <c r="BP301" s="196"/>
      <c r="BQ301" s="196"/>
      <c r="BR301" s="196"/>
      <c r="BS301" s="196">
        <v>44.89</v>
      </c>
      <c r="BT301" s="193">
        <v>41837</v>
      </c>
      <c r="BU301" s="196">
        <v>39.5</v>
      </c>
      <c r="BV301" s="193">
        <v>41837</v>
      </c>
      <c r="BW301" s="196">
        <v>56.4</v>
      </c>
      <c r="BX301" s="193">
        <v>41837</v>
      </c>
      <c r="BY301" s="196"/>
      <c r="BZ301" s="196"/>
      <c r="CA301" s="196"/>
      <c r="CB301" s="196"/>
      <c r="CC301" s="196">
        <v>7.7</v>
      </c>
      <c r="CD301" s="193">
        <v>41837</v>
      </c>
      <c r="CE301" s="196"/>
      <c r="CF301" s="196"/>
      <c r="CG301" s="196"/>
      <c r="CH301" s="196"/>
      <c r="CI301" s="196">
        <v>7</v>
      </c>
      <c r="CJ301" s="196"/>
      <c r="CK301" s="196"/>
      <c r="CL301" s="196"/>
      <c r="CM301" s="196"/>
    </row>
    <row r="302" spans="1:91">
      <c r="A302" s="159" t="s">
        <v>7744</v>
      </c>
      <c r="B302" s="112" t="s">
        <v>269</v>
      </c>
      <c r="C302" s="112">
        <v>2</v>
      </c>
      <c r="D302" s="112">
        <v>211</v>
      </c>
      <c r="E302" s="113">
        <v>13</v>
      </c>
      <c r="F302" s="113">
        <v>9</v>
      </c>
      <c r="M302" s="185">
        <v>0.32</v>
      </c>
      <c r="N302" s="157">
        <v>41837</v>
      </c>
      <c r="R302" s="185"/>
      <c r="S302" s="137">
        <v>0.93</v>
      </c>
      <c r="T302" s="157">
        <v>41837</v>
      </c>
      <c r="U302" s="142">
        <v>18</v>
      </c>
      <c r="Y302" s="142">
        <f t="shared" si="4"/>
        <v>0.70484999999999998</v>
      </c>
      <c r="Z302" s="157">
        <v>41837</v>
      </c>
      <c r="AE302" s="137">
        <v>1.85</v>
      </c>
      <c r="AF302" s="157">
        <v>41837</v>
      </c>
      <c r="AG302" s="185"/>
      <c r="AH302" s="157">
        <v>41837</v>
      </c>
      <c r="AM302" s="137">
        <v>92</v>
      </c>
      <c r="BM302" s="138">
        <v>61.33</v>
      </c>
      <c r="BN302" s="157">
        <v>41837</v>
      </c>
      <c r="BS302" s="138">
        <v>50.18</v>
      </c>
      <c r="BT302" s="157">
        <v>41837</v>
      </c>
      <c r="BU302" s="138">
        <v>38.1</v>
      </c>
      <c r="BV302" s="157">
        <v>41837</v>
      </c>
      <c r="BW302" s="138">
        <v>21.7</v>
      </c>
      <c r="BX302" s="157">
        <v>41837</v>
      </c>
      <c r="CC302" s="138">
        <v>4.5</v>
      </c>
      <c r="CD302" s="157">
        <v>41837</v>
      </c>
      <c r="CI302" s="138">
        <v>1</v>
      </c>
    </row>
    <row r="303" spans="1:91">
      <c r="A303" s="159" t="s">
        <v>7856</v>
      </c>
      <c r="B303" s="112" t="s">
        <v>269</v>
      </c>
      <c r="C303" s="112">
        <v>2</v>
      </c>
      <c r="D303" s="112">
        <v>170</v>
      </c>
      <c r="E303" s="113">
        <v>14</v>
      </c>
      <c r="F303" s="113">
        <v>9</v>
      </c>
      <c r="M303" s="185">
        <v>6.5</v>
      </c>
      <c r="N303" s="157">
        <v>41837</v>
      </c>
      <c r="R303" s="185"/>
      <c r="S303" s="137">
        <v>18.420000000000002</v>
      </c>
      <c r="T303" s="157">
        <v>41837</v>
      </c>
      <c r="U303" s="142">
        <v>18</v>
      </c>
      <c r="Y303" s="142">
        <f t="shared" si="4"/>
        <v>14.69665</v>
      </c>
      <c r="Z303" s="157">
        <v>41837</v>
      </c>
      <c r="AE303" s="137">
        <v>36.65</v>
      </c>
      <c r="AF303" s="157">
        <v>41837</v>
      </c>
      <c r="AG303" s="185"/>
      <c r="AH303" s="157">
        <v>41837</v>
      </c>
      <c r="AM303" s="137">
        <v>85</v>
      </c>
      <c r="BM303" s="138">
        <v>62.91</v>
      </c>
      <c r="BN303" s="157">
        <v>41837</v>
      </c>
      <c r="BS303" s="138">
        <v>50.25</v>
      </c>
      <c r="BT303" s="157">
        <v>41837</v>
      </c>
      <c r="BU303" s="138">
        <v>40.1</v>
      </c>
      <c r="BV303" s="157">
        <v>41837</v>
      </c>
      <c r="BW303" s="138">
        <v>21.6</v>
      </c>
      <c r="BX303" s="157">
        <v>41837</v>
      </c>
      <c r="CC303" s="138">
        <v>6.9</v>
      </c>
      <c r="CD303" s="157">
        <v>41837</v>
      </c>
      <c r="CI303" s="138">
        <v>9</v>
      </c>
    </row>
    <row r="304" spans="1:91">
      <c r="A304" s="159" t="s">
        <v>7714</v>
      </c>
      <c r="B304" s="112" t="s">
        <v>269</v>
      </c>
      <c r="C304" s="112">
        <v>2</v>
      </c>
      <c r="D304" s="112">
        <v>214</v>
      </c>
      <c r="E304" s="113">
        <v>15</v>
      </c>
      <c r="F304" s="113">
        <v>9</v>
      </c>
      <c r="M304" s="185">
        <v>5.16</v>
      </c>
      <c r="N304" s="157">
        <v>41837</v>
      </c>
      <c r="R304" s="185"/>
      <c r="S304" s="137">
        <v>13.52</v>
      </c>
      <c r="T304" s="157">
        <v>41837</v>
      </c>
      <c r="U304" s="142">
        <v>18</v>
      </c>
      <c r="Y304" s="142">
        <f t="shared" si="4"/>
        <v>11.211390000000002</v>
      </c>
      <c r="Z304" s="157">
        <v>41837</v>
      </c>
      <c r="AE304" s="137">
        <v>28.97</v>
      </c>
      <c r="AF304" s="157">
        <v>41837</v>
      </c>
      <c r="AG304" s="185"/>
      <c r="AH304" s="157">
        <v>41837</v>
      </c>
      <c r="AM304" s="137">
        <v>92</v>
      </c>
      <c r="BM304" s="138">
        <v>60.57</v>
      </c>
      <c r="BN304" s="157">
        <v>41837</v>
      </c>
      <c r="BS304" s="138">
        <v>46.66</v>
      </c>
      <c r="BT304" s="157">
        <v>41837</v>
      </c>
      <c r="BU304" s="138">
        <v>38.700000000000003</v>
      </c>
      <c r="BV304" s="157">
        <v>41837</v>
      </c>
      <c r="BW304" s="138">
        <v>19.600000000000001</v>
      </c>
      <c r="BX304" s="157">
        <v>41837</v>
      </c>
      <c r="CC304" s="138">
        <v>7.3</v>
      </c>
      <c r="CD304" s="157">
        <v>41837</v>
      </c>
      <c r="CI304" s="138">
        <v>7</v>
      </c>
    </row>
    <row r="305" spans="1:91">
      <c r="A305" s="159" t="s">
        <v>7755</v>
      </c>
      <c r="B305" s="112" t="s">
        <v>269</v>
      </c>
      <c r="C305" s="112">
        <v>2</v>
      </c>
      <c r="D305" s="112">
        <v>57</v>
      </c>
      <c r="E305" s="113">
        <v>16</v>
      </c>
      <c r="F305" s="113">
        <v>9</v>
      </c>
      <c r="M305" s="185">
        <v>2.85</v>
      </c>
      <c r="N305" s="157">
        <v>41837</v>
      </c>
      <c r="R305" s="185"/>
      <c r="S305" s="137">
        <v>7.46</v>
      </c>
      <c r="T305" s="157">
        <v>41837</v>
      </c>
      <c r="U305" s="142">
        <v>18</v>
      </c>
      <c r="Y305" s="142">
        <f t="shared" si="4"/>
        <v>6.67821</v>
      </c>
      <c r="Z305" s="157">
        <v>41837</v>
      </c>
      <c r="AE305" s="137">
        <v>16.170000000000002</v>
      </c>
      <c r="AF305" s="157">
        <v>41837</v>
      </c>
      <c r="AG305" s="185"/>
      <c r="AH305" s="157">
        <v>41837</v>
      </c>
      <c r="AM305" s="137">
        <v>94</v>
      </c>
      <c r="BM305" s="138">
        <v>61.61</v>
      </c>
      <c r="BN305" s="157">
        <v>41837</v>
      </c>
      <c r="BS305" s="138">
        <v>46.16</v>
      </c>
      <c r="BT305" s="157">
        <v>41837</v>
      </c>
      <c r="BU305" s="138">
        <v>41.3</v>
      </c>
      <c r="BV305" s="157">
        <v>41837</v>
      </c>
      <c r="BW305" s="138">
        <v>57.7</v>
      </c>
      <c r="BX305" s="157">
        <v>41837</v>
      </c>
      <c r="CC305" s="138">
        <v>6.3</v>
      </c>
      <c r="CD305" s="157">
        <v>41837</v>
      </c>
      <c r="CI305" s="138">
        <v>1</v>
      </c>
    </row>
    <row r="306" spans="1:91">
      <c r="A306" s="159" t="s">
        <v>7671</v>
      </c>
      <c r="B306" s="112" t="s">
        <v>269</v>
      </c>
      <c r="C306" s="112">
        <v>2</v>
      </c>
      <c r="D306" s="112">
        <v>212</v>
      </c>
      <c r="E306" s="113">
        <v>17</v>
      </c>
      <c r="F306" s="113">
        <v>9</v>
      </c>
      <c r="M306" s="185">
        <v>4.08</v>
      </c>
      <c r="N306" s="157">
        <v>41837</v>
      </c>
      <c r="R306" s="185"/>
      <c r="S306" s="137">
        <v>11.01</v>
      </c>
      <c r="T306" s="157">
        <v>41837</v>
      </c>
      <c r="U306" s="142">
        <v>18</v>
      </c>
      <c r="Y306" s="142">
        <f t="shared" si="4"/>
        <v>9.2542500000000008</v>
      </c>
      <c r="Z306" s="157">
        <v>41837</v>
      </c>
      <c r="AE306" s="137">
        <v>22.85</v>
      </c>
      <c r="AF306" s="157">
        <v>41837</v>
      </c>
      <c r="AG306" s="185"/>
      <c r="AH306" s="157">
        <v>41837</v>
      </c>
      <c r="AM306" s="137">
        <v>96</v>
      </c>
      <c r="BM306" s="138">
        <v>62.88</v>
      </c>
      <c r="BN306" s="157">
        <v>41837</v>
      </c>
      <c r="BS306" s="138">
        <v>48.18</v>
      </c>
      <c r="BT306" s="157">
        <v>41837</v>
      </c>
      <c r="BU306" s="138">
        <v>40.5</v>
      </c>
      <c r="BV306" s="157">
        <v>41837</v>
      </c>
      <c r="BW306" s="138">
        <v>19.3</v>
      </c>
      <c r="BX306" s="157">
        <v>41837</v>
      </c>
      <c r="CC306" s="138">
        <v>7.5</v>
      </c>
      <c r="CD306" s="157">
        <v>41837</v>
      </c>
      <c r="CI306" s="138">
        <v>9</v>
      </c>
    </row>
    <row r="307" spans="1:91">
      <c r="A307" s="159" t="s">
        <v>7693</v>
      </c>
      <c r="B307" s="112" t="s">
        <v>269</v>
      </c>
      <c r="C307" s="112">
        <v>2</v>
      </c>
      <c r="D307" s="112">
        <v>133</v>
      </c>
      <c r="E307" s="113">
        <v>18</v>
      </c>
      <c r="F307" s="113">
        <v>9</v>
      </c>
      <c r="M307" s="185">
        <v>5.58</v>
      </c>
      <c r="N307" s="157">
        <v>41837</v>
      </c>
      <c r="R307" s="185"/>
      <c r="S307" s="137">
        <v>15.59</v>
      </c>
      <c r="T307" s="157">
        <v>41837</v>
      </c>
      <c r="U307" s="142">
        <v>18</v>
      </c>
      <c r="Y307" s="142">
        <f t="shared" si="4"/>
        <v>12.461830000000003</v>
      </c>
      <c r="Z307" s="157">
        <v>41837</v>
      </c>
      <c r="AE307" s="137">
        <v>31.39</v>
      </c>
      <c r="AF307" s="157">
        <v>41837</v>
      </c>
      <c r="AG307" s="185"/>
      <c r="AH307" s="157">
        <v>41837</v>
      </c>
      <c r="AM307" s="137">
        <v>90</v>
      </c>
      <c r="BM307" s="138">
        <v>61.09</v>
      </c>
      <c r="BN307" s="157">
        <v>41837</v>
      </c>
      <c r="BS307" s="138">
        <v>49.67</v>
      </c>
      <c r="BT307" s="157">
        <v>41837</v>
      </c>
      <c r="BU307" s="138">
        <v>39.700000000000003</v>
      </c>
      <c r="BV307" s="157">
        <v>41837</v>
      </c>
      <c r="BW307" s="138">
        <v>14.2</v>
      </c>
      <c r="BX307" s="157">
        <v>41837</v>
      </c>
      <c r="CC307" s="138">
        <v>7.1</v>
      </c>
      <c r="CD307" s="157">
        <v>41837</v>
      </c>
      <c r="CI307" s="138">
        <v>7</v>
      </c>
    </row>
    <row r="308" spans="1:91">
      <c r="A308" s="159" t="s">
        <v>7745</v>
      </c>
      <c r="B308" s="112" t="s">
        <v>269</v>
      </c>
      <c r="C308" s="112">
        <v>2</v>
      </c>
      <c r="D308" s="112">
        <v>205</v>
      </c>
      <c r="E308" s="113">
        <v>19</v>
      </c>
      <c r="F308" s="113">
        <v>9</v>
      </c>
      <c r="M308" s="185">
        <v>3.43</v>
      </c>
      <c r="N308" s="157">
        <v>41837</v>
      </c>
      <c r="R308" s="185"/>
      <c r="S308" s="137">
        <v>9.15</v>
      </c>
      <c r="T308" s="157">
        <v>41837</v>
      </c>
      <c r="U308" s="142">
        <v>18</v>
      </c>
      <c r="Y308" s="142">
        <f t="shared" si="4"/>
        <v>8.3333999999999993</v>
      </c>
      <c r="Z308" s="157">
        <v>41837</v>
      </c>
      <c r="AE308" s="137">
        <v>19.38</v>
      </c>
      <c r="AF308" s="157">
        <v>41837</v>
      </c>
      <c r="AG308" s="185"/>
      <c r="AH308" s="157">
        <v>41837</v>
      </c>
      <c r="AM308" s="137">
        <v>96</v>
      </c>
      <c r="BM308" s="138">
        <v>64.27</v>
      </c>
      <c r="BN308" s="157">
        <v>41837</v>
      </c>
      <c r="BS308" s="138">
        <v>47.23</v>
      </c>
      <c r="BT308" s="157">
        <v>41837</v>
      </c>
      <c r="BU308" s="138">
        <v>43</v>
      </c>
      <c r="BV308" s="157">
        <v>41837</v>
      </c>
      <c r="BW308" s="138">
        <v>58.1</v>
      </c>
      <c r="BX308" s="157">
        <v>41837</v>
      </c>
      <c r="CC308" s="138">
        <v>6.7</v>
      </c>
      <c r="CD308" s="157">
        <v>41837</v>
      </c>
      <c r="CI308" s="138">
        <v>3</v>
      </c>
    </row>
    <row r="309" spans="1:91">
      <c r="A309" s="159" t="s">
        <v>7738</v>
      </c>
      <c r="B309" s="112" t="s">
        <v>269</v>
      </c>
      <c r="C309" s="112">
        <v>2</v>
      </c>
      <c r="D309" s="112">
        <v>18</v>
      </c>
      <c r="E309" s="113">
        <v>20</v>
      </c>
      <c r="F309" s="113">
        <v>9</v>
      </c>
      <c r="I309" s="200"/>
      <c r="K309" s="142"/>
      <c r="M309" s="185">
        <v>5.53</v>
      </c>
      <c r="N309" s="157">
        <v>41837</v>
      </c>
      <c r="Q309" s="142"/>
      <c r="R309" s="185"/>
      <c r="S309" s="142">
        <v>14.93</v>
      </c>
      <c r="T309" s="157">
        <v>41837</v>
      </c>
      <c r="U309" s="142">
        <v>18</v>
      </c>
      <c r="W309" s="142"/>
      <c r="Y309" s="142">
        <f t="shared" si="4"/>
        <v>12.062889999999999</v>
      </c>
      <c r="Z309" s="157">
        <v>41837</v>
      </c>
      <c r="AA309" s="142"/>
      <c r="AE309" s="142">
        <v>31.01</v>
      </c>
      <c r="AF309" s="157">
        <v>41837</v>
      </c>
      <c r="AG309" s="185"/>
      <c r="AH309" s="157">
        <v>41837</v>
      </c>
      <c r="AK309" s="142"/>
      <c r="AM309" s="142">
        <v>94</v>
      </c>
      <c r="BM309" s="138">
        <v>59.24</v>
      </c>
      <c r="BN309" s="157">
        <v>41837</v>
      </c>
      <c r="BS309" s="138">
        <v>48.15</v>
      </c>
      <c r="BT309" s="157">
        <v>41837</v>
      </c>
      <c r="BU309" s="138">
        <v>38.9</v>
      </c>
      <c r="BV309" s="157">
        <v>41837</v>
      </c>
      <c r="BW309" s="138">
        <v>18.8</v>
      </c>
      <c r="BX309" s="157">
        <v>41837</v>
      </c>
      <c r="CC309" s="138">
        <v>7.4</v>
      </c>
      <c r="CD309" s="157">
        <v>41837</v>
      </c>
      <c r="CI309" s="138">
        <v>3</v>
      </c>
    </row>
    <row r="310" spans="1:91">
      <c r="A310" s="159" t="s">
        <v>7655</v>
      </c>
      <c r="B310" s="112" t="s">
        <v>269</v>
      </c>
      <c r="C310" s="112">
        <v>2</v>
      </c>
      <c r="D310" s="112">
        <v>12</v>
      </c>
      <c r="E310" s="113">
        <v>21</v>
      </c>
      <c r="F310" s="113">
        <v>9</v>
      </c>
      <c r="I310" s="200"/>
      <c r="K310" s="142"/>
      <c r="M310" s="185">
        <v>0.23</v>
      </c>
      <c r="N310" s="157">
        <v>41837</v>
      </c>
      <c r="Q310" s="142"/>
      <c r="R310" s="185"/>
      <c r="S310" s="142">
        <v>0.66</v>
      </c>
      <c r="T310" s="157">
        <v>41837</v>
      </c>
      <c r="U310" s="142">
        <v>18</v>
      </c>
      <c r="W310" s="142"/>
      <c r="Y310" s="142">
        <f t="shared" si="4"/>
        <v>0.51870000000000005</v>
      </c>
      <c r="Z310" s="157">
        <v>41837</v>
      </c>
      <c r="AA310" s="142"/>
      <c r="AE310" s="142">
        <v>1.33</v>
      </c>
      <c r="AF310" s="157">
        <v>41837</v>
      </c>
      <c r="AG310" s="185"/>
      <c r="AH310" s="157">
        <v>41837</v>
      </c>
      <c r="AK310" s="142"/>
      <c r="AM310" s="142">
        <v>94</v>
      </c>
      <c r="BM310" s="138">
        <v>62.19</v>
      </c>
      <c r="BN310" s="157">
        <v>41837</v>
      </c>
      <c r="BS310" s="138">
        <v>49.93</v>
      </c>
      <c r="BT310" s="157">
        <v>41837</v>
      </c>
      <c r="BU310" s="138">
        <v>39</v>
      </c>
      <c r="BV310" s="157">
        <v>41837</v>
      </c>
      <c r="BW310" s="138">
        <v>19.600000000000001</v>
      </c>
      <c r="BX310" s="157">
        <v>41837</v>
      </c>
      <c r="CC310" s="138">
        <v>4.5</v>
      </c>
      <c r="CD310" s="157">
        <v>41837</v>
      </c>
      <c r="CI310" s="138">
        <v>1</v>
      </c>
    </row>
    <row r="311" spans="1:91">
      <c r="A311" s="159" t="s">
        <v>7783</v>
      </c>
      <c r="B311" s="112" t="s">
        <v>269</v>
      </c>
      <c r="C311" s="112">
        <v>2</v>
      </c>
      <c r="D311" s="112">
        <v>183</v>
      </c>
      <c r="E311" s="113">
        <v>22</v>
      </c>
      <c r="F311" s="113">
        <v>9</v>
      </c>
      <c r="M311" s="185">
        <v>5.0199999999999996</v>
      </c>
      <c r="N311" s="157">
        <v>41837</v>
      </c>
      <c r="R311" s="185"/>
      <c r="S311" s="137">
        <v>13.8</v>
      </c>
      <c r="T311" s="157">
        <v>41837</v>
      </c>
      <c r="U311" s="142">
        <v>18</v>
      </c>
      <c r="Y311" s="142">
        <f t="shared" si="4"/>
        <v>11.59924</v>
      </c>
      <c r="Z311" s="157">
        <v>41837</v>
      </c>
      <c r="AE311" s="137">
        <v>28.36</v>
      </c>
      <c r="AF311" s="157">
        <v>41837</v>
      </c>
      <c r="AG311" s="185"/>
      <c r="AH311" s="157">
        <v>41837</v>
      </c>
      <c r="AM311" s="137">
        <v>92</v>
      </c>
      <c r="BM311" s="138">
        <v>63.38</v>
      </c>
      <c r="BN311" s="157">
        <v>41837</v>
      </c>
      <c r="BS311" s="138">
        <v>48.65</v>
      </c>
      <c r="BT311" s="157">
        <v>41837</v>
      </c>
      <c r="BU311" s="138">
        <v>40.9</v>
      </c>
      <c r="BV311" s="157">
        <v>41837</v>
      </c>
      <c r="BW311" s="138">
        <v>21.6</v>
      </c>
      <c r="BX311" s="157">
        <v>41837</v>
      </c>
      <c r="CC311" s="138">
        <v>6.7</v>
      </c>
      <c r="CD311" s="157">
        <v>41837</v>
      </c>
      <c r="CI311" s="138">
        <v>7</v>
      </c>
    </row>
    <row r="312" spans="1:91">
      <c r="A312" s="159" t="s">
        <v>7637</v>
      </c>
      <c r="B312" s="112" t="s">
        <v>269</v>
      </c>
      <c r="C312" s="112">
        <v>2</v>
      </c>
      <c r="D312" s="112">
        <v>39</v>
      </c>
      <c r="E312" s="113">
        <v>23</v>
      </c>
      <c r="F312" s="113">
        <v>9</v>
      </c>
      <c r="M312" s="185">
        <v>3.78</v>
      </c>
      <c r="N312" s="157">
        <v>41837</v>
      </c>
      <c r="R312" s="185"/>
      <c r="S312" s="137">
        <v>10</v>
      </c>
      <c r="T312" s="157">
        <v>41837</v>
      </c>
      <c r="U312" s="142">
        <v>18</v>
      </c>
      <c r="Y312" s="142">
        <f t="shared" si="4"/>
        <v>8.7576000000000001</v>
      </c>
      <c r="Z312" s="157">
        <v>41837</v>
      </c>
      <c r="AE312" s="137">
        <v>21.36</v>
      </c>
      <c r="AF312" s="157">
        <v>41837</v>
      </c>
      <c r="AG312" s="185"/>
      <c r="AH312" s="157">
        <v>41837</v>
      </c>
      <c r="AM312" s="137">
        <v>96</v>
      </c>
      <c r="BM312" s="138">
        <v>63.62</v>
      </c>
      <c r="BN312" s="157">
        <v>41837</v>
      </c>
      <c r="BS312" s="138">
        <v>46.82</v>
      </c>
      <c r="BT312" s="157">
        <v>41837</v>
      </c>
      <c r="BU312" s="138">
        <v>41</v>
      </c>
      <c r="BV312" s="157">
        <v>41837</v>
      </c>
      <c r="BW312" s="138">
        <v>62.1</v>
      </c>
      <c r="BX312" s="157">
        <v>41837</v>
      </c>
      <c r="CC312" s="138">
        <v>6.7</v>
      </c>
      <c r="CD312" s="157">
        <v>41837</v>
      </c>
      <c r="CI312" s="138">
        <v>5</v>
      </c>
    </row>
    <row r="313" spans="1:91">
      <c r="A313" s="159" t="s">
        <v>7610</v>
      </c>
      <c r="B313" s="112" t="s">
        <v>269</v>
      </c>
      <c r="C313" s="112">
        <v>2</v>
      </c>
      <c r="D313" s="112">
        <v>91</v>
      </c>
      <c r="E313" s="113">
        <v>24</v>
      </c>
      <c r="F313" s="113">
        <v>9</v>
      </c>
      <c r="M313" s="185">
        <v>0.79</v>
      </c>
      <c r="N313" s="157">
        <v>41837</v>
      </c>
      <c r="R313" s="185"/>
      <c r="S313" s="137">
        <v>2.14</v>
      </c>
      <c r="T313" s="157">
        <v>41837</v>
      </c>
      <c r="U313" s="142">
        <v>18</v>
      </c>
      <c r="Y313" s="142">
        <f t="shared" si="4"/>
        <v>1.8011999999999997</v>
      </c>
      <c r="Z313" s="157">
        <v>41837</v>
      </c>
      <c r="AE313" s="137">
        <v>4.5599999999999996</v>
      </c>
      <c r="AF313" s="157">
        <v>41837</v>
      </c>
      <c r="AG313" s="185"/>
      <c r="AH313" s="157">
        <v>41837</v>
      </c>
      <c r="AM313" s="137">
        <v>94</v>
      </c>
      <c r="BM313" s="138">
        <v>62.03</v>
      </c>
      <c r="BN313" s="157">
        <v>41837</v>
      </c>
      <c r="BS313" s="138">
        <v>46.98</v>
      </c>
      <c r="BT313" s="157">
        <v>41837</v>
      </c>
      <c r="BU313" s="138">
        <v>39.5</v>
      </c>
      <c r="BV313" s="157">
        <v>41837</v>
      </c>
      <c r="BW313" s="138">
        <v>54.9</v>
      </c>
      <c r="BX313" s="157">
        <v>41837</v>
      </c>
      <c r="CC313" s="138">
        <v>4.7</v>
      </c>
      <c r="CD313" s="157">
        <v>41837</v>
      </c>
      <c r="CI313" s="138">
        <v>1</v>
      </c>
    </row>
    <row r="314" spans="1:91">
      <c r="A314" s="189" t="s">
        <v>7734</v>
      </c>
      <c r="B314" s="190" t="s">
        <v>269</v>
      </c>
      <c r="C314" s="190">
        <v>2</v>
      </c>
      <c r="D314" s="190">
        <v>26</v>
      </c>
      <c r="E314" s="191">
        <v>25</v>
      </c>
      <c r="F314" s="191">
        <v>9</v>
      </c>
      <c r="G314" s="191"/>
      <c r="H314" s="191"/>
      <c r="I314" s="190"/>
      <c r="J314" s="190"/>
      <c r="K314" s="195"/>
      <c r="L314" s="193"/>
      <c r="M314" s="194">
        <v>6.05</v>
      </c>
      <c r="N314" s="193">
        <v>41837</v>
      </c>
      <c r="P314" s="193"/>
      <c r="Q314" s="195"/>
      <c r="R314" s="194"/>
      <c r="S314" s="195">
        <v>17.23</v>
      </c>
      <c r="T314" s="193">
        <v>41837</v>
      </c>
      <c r="U314" s="192">
        <v>18</v>
      </c>
      <c r="V314" s="193"/>
      <c r="W314" s="195"/>
      <c r="X314" s="193"/>
      <c r="Y314" s="192">
        <f t="shared" si="4"/>
        <v>12.995910000000002</v>
      </c>
      <c r="Z314" s="193">
        <v>41837</v>
      </c>
      <c r="AA314" s="195"/>
      <c r="AB314" s="193"/>
      <c r="AC314" s="195"/>
      <c r="AD314" s="193"/>
      <c r="AE314" s="195">
        <v>34.11</v>
      </c>
      <c r="AF314" s="193">
        <v>41837</v>
      </c>
      <c r="AG314" s="194"/>
      <c r="AH314" s="193">
        <v>41837</v>
      </c>
      <c r="AI314" s="193"/>
      <c r="AJ314" s="193"/>
      <c r="AK314" s="195"/>
      <c r="AL314" s="193"/>
      <c r="AM314" s="195">
        <v>92</v>
      </c>
      <c r="AN314" s="193"/>
      <c r="AO314" s="195"/>
      <c r="AP314" s="195"/>
      <c r="AQ314" s="195"/>
      <c r="AR314" s="195"/>
      <c r="AS314" s="195"/>
      <c r="AT314" s="195"/>
      <c r="AU314" s="195"/>
      <c r="AV314" s="195"/>
      <c r="AW314" s="195"/>
      <c r="AX314" s="195"/>
      <c r="AY314" s="195"/>
      <c r="AZ314" s="195"/>
      <c r="BA314" s="195"/>
      <c r="BB314" s="195"/>
      <c r="BC314" s="195"/>
      <c r="BD314" s="195"/>
      <c r="BE314" s="196"/>
      <c r="BF314" s="196"/>
      <c r="BG314" s="196"/>
      <c r="BH314" s="196"/>
      <c r="BI314" s="196"/>
      <c r="BJ314" s="196"/>
      <c r="BK314" s="196"/>
      <c r="BL314" s="196"/>
      <c r="BM314" s="196">
        <v>60.28</v>
      </c>
      <c r="BN314" s="193">
        <v>41837</v>
      </c>
      <c r="BO314" s="196"/>
      <c r="BP314" s="196"/>
      <c r="BQ314" s="196"/>
      <c r="BR314" s="196"/>
      <c r="BS314" s="196">
        <v>50.52</v>
      </c>
      <c r="BT314" s="193">
        <v>41837</v>
      </c>
      <c r="BU314" s="196">
        <v>38.1</v>
      </c>
      <c r="BV314" s="193">
        <v>41837</v>
      </c>
      <c r="BW314" s="196">
        <v>17.399999999999999</v>
      </c>
      <c r="BX314" s="193">
        <v>41837</v>
      </c>
      <c r="BY314" s="196"/>
      <c r="BZ314" s="196"/>
      <c r="CA314" s="196"/>
      <c r="CB314" s="196"/>
      <c r="CC314" s="196">
        <v>6.9</v>
      </c>
      <c r="CD314" s="193">
        <v>41837</v>
      </c>
      <c r="CE314" s="196"/>
      <c r="CF314" s="196"/>
      <c r="CG314" s="196"/>
      <c r="CH314" s="196"/>
      <c r="CI314" s="196">
        <v>9</v>
      </c>
      <c r="CJ314" s="196"/>
      <c r="CK314" s="196"/>
      <c r="CL314" s="196"/>
      <c r="CM314" s="196"/>
    </row>
    <row r="315" spans="1:91">
      <c r="A315" s="159" t="s">
        <v>7657</v>
      </c>
      <c r="B315" s="112" t="s">
        <v>269</v>
      </c>
      <c r="C315" s="112">
        <v>2</v>
      </c>
      <c r="D315" s="112">
        <v>175</v>
      </c>
      <c r="E315" s="113">
        <v>26</v>
      </c>
      <c r="F315" s="113">
        <v>9</v>
      </c>
      <c r="M315" s="185">
        <v>1.17</v>
      </c>
      <c r="N315" s="157">
        <v>41837</v>
      </c>
      <c r="R315" s="185"/>
      <c r="S315" s="137">
        <v>3.17</v>
      </c>
      <c r="T315" s="157">
        <v>41837</v>
      </c>
      <c r="U315" s="142">
        <v>18</v>
      </c>
      <c r="Y315" s="142">
        <f t="shared" si="4"/>
        <v>2.5879599999999998</v>
      </c>
      <c r="Z315" s="157">
        <v>41837</v>
      </c>
      <c r="AE315" s="137">
        <v>6.67</v>
      </c>
      <c r="AF315" s="157">
        <v>41837</v>
      </c>
      <c r="AG315" s="185"/>
      <c r="AH315" s="157">
        <v>41837</v>
      </c>
      <c r="AM315" s="137">
        <v>87</v>
      </c>
      <c r="BM315" s="138">
        <v>58.69</v>
      </c>
      <c r="BN315" s="157">
        <v>41837</v>
      </c>
      <c r="BS315" s="138">
        <v>47.52</v>
      </c>
      <c r="BT315" s="157">
        <v>41837</v>
      </c>
      <c r="BU315" s="138">
        <v>38.799999999999997</v>
      </c>
      <c r="BV315" s="157">
        <v>41837</v>
      </c>
      <c r="BW315" s="138">
        <v>31.3</v>
      </c>
      <c r="BX315" s="157">
        <v>41837</v>
      </c>
      <c r="CC315" s="138">
        <v>5.9</v>
      </c>
      <c r="CD315" s="157">
        <v>41837</v>
      </c>
      <c r="CI315" s="138">
        <v>1</v>
      </c>
    </row>
    <row r="316" spans="1:91">
      <c r="A316" s="159" t="s">
        <v>7619</v>
      </c>
      <c r="B316" s="112" t="s">
        <v>269</v>
      </c>
      <c r="C316" s="112">
        <v>2</v>
      </c>
      <c r="D316" s="112">
        <v>111</v>
      </c>
      <c r="E316" s="113">
        <v>27</v>
      </c>
      <c r="F316" s="113">
        <v>9</v>
      </c>
      <c r="M316" s="185">
        <v>4.12</v>
      </c>
      <c r="N316" s="157">
        <v>41837</v>
      </c>
      <c r="R316" s="185"/>
      <c r="S316" s="137">
        <v>11.46</v>
      </c>
      <c r="T316" s="157">
        <v>41837</v>
      </c>
      <c r="U316" s="142">
        <v>18</v>
      </c>
      <c r="Y316" s="142">
        <f t="shared" si="4"/>
        <v>10.437450000000002</v>
      </c>
      <c r="Z316" s="157">
        <v>41837</v>
      </c>
      <c r="AE316" s="137">
        <v>23.35</v>
      </c>
      <c r="AF316" s="157">
        <v>41837</v>
      </c>
      <c r="AG316" s="185"/>
      <c r="AH316" s="157">
        <v>41837</v>
      </c>
      <c r="AM316" s="137">
        <v>96</v>
      </c>
      <c r="BM316" s="138">
        <v>63.36</v>
      </c>
      <c r="BN316" s="157">
        <v>41837</v>
      </c>
      <c r="BS316" s="138">
        <v>49.06</v>
      </c>
      <c r="BT316" s="157">
        <v>41837</v>
      </c>
      <c r="BU316" s="138">
        <v>44.7</v>
      </c>
      <c r="BV316" s="157">
        <v>41837</v>
      </c>
      <c r="BW316" s="138">
        <v>58.3</v>
      </c>
      <c r="BX316" s="157">
        <v>41837</v>
      </c>
      <c r="CC316" s="138">
        <v>6.4</v>
      </c>
      <c r="CD316" s="157">
        <v>41837</v>
      </c>
      <c r="CI316" s="138">
        <v>9</v>
      </c>
    </row>
    <row r="317" spans="1:91">
      <c r="A317" s="159" t="s">
        <v>7731</v>
      </c>
      <c r="B317" s="112" t="s">
        <v>269</v>
      </c>
      <c r="C317" s="112">
        <v>2</v>
      </c>
      <c r="D317" s="112">
        <v>189</v>
      </c>
      <c r="E317" s="113">
        <v>28</v>
      </c>
      <c r="F317" s="113">
        <v>9</v>
      </c>
      <c r="M317" s="185">
        <v>5.41</v>
      </c>
      <c r="N317" s="157">
        <v>41837</v>
      </c>
      <c r="R317" s="185"/>
      <c r="S317" s="137">
        <v>14.62</v>
      </c>
      <c r="T317" s="157">
        <v>41837</v>
      </c>
      <c r="U317" s="142">
        <v>18</v>
      </c>
      <c r="Y317" s="142">
        <f t="shared" si="4"/>
        <v>12.15753</v>
      </c>
      <c r="Z317" s="157">
        <v>41837</v>
      </c>
      <c r="AE317" s="137">
        <v>30.47</v>
      </c>
      <c r="AF317" s="157">
        <v>41837</v>
      </c>
      <c r="AG317" s="185"/>
      <c r="AH317" s="157">
        <v>41837</v>
      </c>
      <c r="AM317" s="137">
        <v>96</v>
      </c>
      <c r="BM317" s="138">
        <v>60.36</v>
      </c>
      <c r="BN317" s="157">
        <v>41837</v>
      </c>
      <c r="BS317" s="138">
        <v>47.97</v>
      </c>
      <c r="BT317" s="157">
        <v>41837</v>
      </c>
      <c r="BU317" s="138">
        <v>39.9</v>
      </c>
      <c r="BV317" s="157">
        <v>41837</v>
      </c>
      <c r="BW317" s="138">
        <v>16.899999999999999</v>
      </c>
      <c r="BX317" s="157">
        <v>41837</v>
      </c>
      <c r="CC317" s="138">
        <v>7</v>
      </c>
      <c r="CD317" s="157">
        <v>41837</v>
      </c>
      <c r="CI317" s="138">
        <v>3</v>
      </c>
    </row>
    <row r="318" spans="1:91">
      <c r="A318" s="159" t="s">
        <v>7797</v>
      </c>
      <c r="B318" s="112" t="s">
        <v>269</v>
      </c>
      <c r="C318" s="112">
        <v>2</v>
      </c>
      <c r="D318" s="112">
        <v>123</v>
      </c>
      <c r="E318" s="113">
        <v>29</v>
      </c>
      <c r="F318" s="113">
        <v>9</v>
      </c>
      <c r="M318" s="185">
        <v>7.49</v>
      </c>
      <c r="N318" s="157">
        <v>41837</v>
      </c>
      <c r="R318" s="185"/>
      <c r="S318" s="137">
        <v>21.77</v>
      </c>
      <c r="T318" s="157">
        <v>41837</v>
      </c>
      <c r="U318" s="142">
        <v>18</v>
      </c>
      <c r="Y318" s="142">
        <f t="shared" si="4"/>
        <v>16.67408</v>
      </c>
      <c r="Z318" s="157">
        <v>41837</v>
      </c>
      <c r="AE318" s="137">
        <v>42.32</v>
      </c>
      <c r="AF318" s="157">
        <v>41837</v>
      </c>
      <c r="AG318" s="185"/>
      <c r="AH318" s="157">
        <v>41837</v>
      </c>
      <c r="AM318" s="137">
        <v>90</v>
      </c>
      <c r="BM318" s="138">
        <v>62.97</v>
      </c>
      <c r="BN318" s="157">
        <v>41837</v>
      </c>
      <c r="BS318" s="138">
        <v>51.45</v>
      </c>
      <c r="BT318" s="157">
        <v>41837</v>
      </c>
      <c r="BU318" s="138">
        <v>39.4</v>
      </c>
      <c r="BV318" s="157">
        <v>41837</v>
      </c>
      <c r="BW318" s="138">
        <v>19.8</v>
      </c>
      <c r="BX318" s="157">
        <v>41837</v>
      </c>
      <c r="CC318" s="138">
        <v>6.7</v>
      </c>
      <c r="CD318" s="157">
        <v>41837</v>
      </c>
      <c r="CI318" s="138">
        <v>9</v>
      </c>
    </row>
    <row r="319" spans="1:91">
      <c r="A319" s="159" t="s">
        <v>7757</v>
      </c>
      <c r="B319" s="112" t="s">
        <v>269</v>
      </c>
      <c r="C319" s="112">
        <v>2</v>
      </c>
      <c r="D319" s="112">
        <v>12</v>
      </c>
      <c r="E319" s="113">
        <v>30</v>
      </c>
      <c r="F319" s="113">
        <v>9</v>
      </c>
      <c r="I319" s="200"/>
      <c r="K319" s="142"/>
      <c r="M319" s="185">
        <v>5.04</v>
      </c>
      <c r="N319" s="157">
        <v>41837</v>
      </c>
      <c r="Q319" s="142"/>
      <c r="R319" s="185"/>
      <c r="S319" s="142">
        <v>13.51</v>
      </c>
      <c r="T319" s="157">
        <v>41837</v>
      </c>
      <c r="U319" s="142">
        <v>18</v>
      </c>
      <c r="W319" s="142"/>
      <c r="Y319" s="142">
        <f t="shared" si="4"/>
        <v>11.4114</v>
      </c>
      <c r="Z319" s="157">
        <v>41837</v>
      </c>
      <c r="AA319" s="142"/>
      <c r="AE319" s="142">
        <v>28.6</v>
      </c>
      <c r="AF319" s="157">
        <v>41837</v>
      </c>
      <c r="AG319" s="185"/>
      <c r="AH319" s="157">
        <v>41837</v>
      </c>
      <c r="AK319" s="142"/>
      <c r="AM319" s="142">
        <v>96</v>
      </c>
      <c r="BM319" s="138">
        <v>61.79</v>
      </c>
      <c r="BN319" s="157">
        <v>41837</v>
      </c>
      <c r="BS319" s="138">
        <v>47.24</v>
      </c>
      <c r="BT319" s="157">
        <v>41837</v>
      </c>
      <c r="BU319" s="138">
        <v>39.9</v>
      </c>
      <c r="BV319" s="157">
        <v>41837</v>
      </c>
      <c r="BW319" s="138">
        <v>47.4</v>
      </c>
      <c r="BX319" s="157">
        <v>41837</v>
      </c>
      <c r="CC319" s="138">
        <v>6.3</v>
      </c>
      <c r="CD319" s="157">
        <v>41837</v>
      </c>
      <c r="CI319" s="138">
        <v>7</v>
      </c>
    </row>
    <row r="320" spans="1:91">
      <c r="A320" s="159" t="s">
        <v>7784</v>
      </c>
      <c r="B320" s="112" t="s">
        <v>269</v>
      </c>
      <c r="C320" s="112">
        <v>2</v>
      </c>
      <c r="D320" s="112">
        <v>203</v>
      </c>
      <c r="E320" s="113">
        <v>31</v>
      </c>
      <c r="F320" s="113">
        <v>9</v>
      </c>
      <c r="M320" s="185">
        <v>7.35</v>
      </c>
      <c r="N320" s="157">
        <v>41837</v>
      </c>
      <c r="R320" s="185"/>
      <c r="S320" s="137">
        <v>20.94</v>
      </c>
      <c r="T320" s="157">
        <v>41837</v>
      </c>
      <c r="U320" s="142">
        <v>18</v>
      </c>
      <c r="Y320" s="142">
        <f t="shared" si="4"/>
        <v>15.532220000000001</v>
      </c>
      <c r="Z320" s="157">
        <v>41837</v>
      </c>
      <c r="AE320" s="137">
        <v>41.53</v>
      </c>
      <c r="AF320" s="157">
        <v>41837</v>
      </c>
      <c r="AG320" s="185"/>
      <c r="AH320" s="157">
        <v>41837</v>
      </c>
      <c r="AM320" s="137">
        <v>92</v>
      </c>
      <c r="BM320" s="138">
        <v>64.06</v>
      </c>
      <c r="BN320" s="157">
        <v>41837</v>
      </c>
      <c r="BS320" s="138">
        <v>50.43</v>
      </c>
      <c r="BT320" s="157">
        <v>41837</v>
      </c>
      <c r="BU320" s="138">
        <v>37.4</v>
      </c>
      <c r="BV320" s="157">
        <v>41837</v>
      </c>
      <c r="BW320" s="138">
        <v>14.3</v>
      </c>
      <c r="BX320" s="157">
        <v>41837</v>
      </c>
      <c r="CC320" s="138">
        <v>6.7</v>
      </c>
      <c r="CD320" s="157">
        <v>41837</v>
      </c>
      <c r="CI320" s="138">
        <v>9</v>
      </c>
    </row>
    <row r="321" spans="1:91">
      <c r="A321" s="159" t="s">
        <v>7808</v>
      </c>
      <c r="B321" s="112" t="s">
        <v>269</v>
      </c>
      <c r="C321" s="112">
        <v>2</v>
      </c>
      <c r="D321" s="112">
        <v>205</v>
      </c>
      <c r="E321" s="113">
        <v>32</v>
      </c>
      <c r="F321" s="113">
        <v>9</v>
      </c>
      <c r="M321" s="185">
        <v>6.14</v>
      </c>
      <c r="N321" s="157">
        <v>41837</v>
      </c>
      <c r="R321" s="185"/>
      <c r="S321" s="137">
        <v>17.25</v>
      </c>
      <c r="T321" s="157">
        <v>41837</v>
      </c>
      <c r="U321" s="142">
        <v>18</v>
      </c>
      <c r="Y321" s="142">
        <f t="shared" si="4"/>
        <v>13.23213</v>
      </c>
      <c r="Z321" s="157">
        <v>41837</v>
      </c>
      <c r="AE321" s="137">
        <v>34.729999999999997</v>
      </c>
      <c r="AF321" s="157">
        <v>41837</v>
      </c>
      <c r="AG321" s="185"/>
      <c r="AH321" s="157">
        <v>41837</v>
      </c>
      <c r="AM321" s="137">
        <v>92</v>
      </c>
      <c r="BM321" s="138">
        <v>61.61</v>
      </c>
      <c r="BN321" s="157">
        <v>41837</v>
      </c>
      <c r="BS321" s="138">
        <v>49.67</v>
      </c>
      <c r="BT321" s="157">
        <v>41837</v>
      </c>
      <c r="BU321" s="138">
        <v>38.1</v>
      </c>
      <c r="BV321" s="157">
        <v>41837</v>
      </c>
      <c r="BW321" s="138">
        <v>18.399999999999999</v>
      </c>
      <c r="BX321" s="157">
        <v>41837</v>
      </c>
      <c r="CC321" s="138">
        <v>6.6</v>
      </c>
      <c r="CD321" s="157">
        <v>41837</v>
      </c>
      <c r="CI321" s="138">
        <v>7</v>
      </c>
    </row>
    <row r="322" spans="1:91">
      <c r="A322" s="159" t="s">
        <v>7624</v>
      </c>
      <c r="B322" s="112" t="s">
        <v>269</v>
      </c>
      <c r="C322" s="112">
        <v>2</v>
      </c>
      <c r="D322" s="112">
        <v>207</v>
      </c>
      <c r="E322" s="113">
        <v>33</v>
      </c>
      <c r="F322" s="113">
        <v>9</v>
      </c>
      <c r="M322" s="185">
        <v>4.41</v>
      </c>
      <c r="N322" s="157">
        <v>41837</v>
      </c>
      <c r="R322" s="185"/>
      <c r="S322" s="137">
        <v>11.71</v>
      </c>
      <c r="T322" s="157">
        <v>41837</v>
      </c>
      <c r="U322" s="142">
        <v>18</v>
      </c>
      <c r="Y322" s="142">
        <f t="shared" ref="Y322:Y385" si="5">(AE322*BU322)/100</f>
        <v>10.73358</v>
      </c>
      <c r="Z322" s="157">
        <v>41837</v>
      </c>
      <c r="AE322" s="137">
        <v>25.02</v>
      </c>
      <c r="AF322" s="157">
        <v>41837</v>
      </c>
      <c r="AG322" s="185"/>
      <c r="AH322" s="157">
        <v>41837</v>
      </c>
      <c r="AM322" s="137">
        <v>87</v>
      </c>
      <c r="BM322" s="138">
        <v>61.07</v>
      </c>
      <c r="BN322" s="157">
        <v>41837</v>
      </c>
      <c r="BS322" s="138">
        <v>46.82</v>
      </c>
      <c r="BT322" s="157">
        <v>41837</v>
      </c>
      <c r="BU322" s="138">
        <v>42.9</v>
      </c>
      <c r="BV322" s="157">
        <v>41837</v>
      </c>
      <c r="BW322" s="138">
        <v>66.8</v>
      </c>
      <c r="BX322" s="157">
        <v>41837</v>
      </c>
      <c r="CC322" s="138">
        <v>6.3</v>
      </c>
      <c r="CD322" s="157">
        <v>41837</v>
      </c>
      <c r="CI322" s="138">
        <v>5</v>
      </c>
    </row>
    <row r="323" spans="1:91">
      <c r="A323" s="189" t="s">
        <v>8126</v>
      </c>
      <c r="B323" s="190" t="s">
        <v>269</v>
      </c>
      <c r="C323" s="190">
        <v>2</v>
      </c>
      <c r="D323" s="190">
        <v>7</v>
      </c>
      <c r="E323" s="191">
        <v>34</v>
      </c>
      <c r="F323" s="191">
        <v>9</v>
      </c>
      <c r="G323" s="191"/>
      <c r="H323" s="191"/>
      <c r="I323" s="201"/>
      <c r="J323" s="190"/>
      <c r="K323" s="192"/>
      <c r="L323" s="193"/>
      <c r="M323" s="194">
        <v>8.33</v>
      </c>
      <c r="N323" s="193">
        <v>41837</v>
      </c>
      <c r="P323" s="193"/>
      <c r="Q323" s="192"/>
      <c r="R323" s="194"/>
      <c r="S323" s="192">
        <v>24.23</v>
      </c>
      <c r="T323" s="193">
        <v>41837</v>
      </c>
      <c r="U323" s="192">
        <v>18</v>
      </c>
      <c r="V323" s="193"/>
      <c r="W323" s="192"/>
      <c r="X323" s="193"/>
      <c r="Y323" s="192">
        <f t="shared" si="5"/>
        <v>17.590679999999999</v>
      </c>
      <c r="Z323" s="193">
        <v>41837</v>
      </c>
      <c r="AA323" s="192"/>
      <c r="AB323" s="193"/>
      <c r="AC323" s="195"/>
      <c r="AD323" s="193"/>
      <c r="AE323" s="192">
        <v>47.16</v>
      </c>
      <c r="AF323" s="193">
        <v>41837</v>
      </c>
      <c r="AG323" s="194"/>
      <c r="AH323" s="193">
        <v>41837</v>
      </c>
      <c r="AI323" s="193"/>
      <c r="AJ323" s="193"/>
      <c r="AK323" s="192"/>
      <c r="AL323" s="193"/>
      <c r="AM323" s="192">
        <v>87</v>
      </c>
      <c r="AN323" s="193"/>
      <c r="AO323" s="195"/>
      <c r="AP323" s="195"/>
      <c r="AQ323" s="195"/>
      <c r="AR323" s="195"/>
      <c r="AS323" s="195"/>
      <c r="AT323" s="195"/>
      <c r="AU323" s="195"/>
      <c r="AV323" s="195"/>
      <c r="AW323" s="195"/>
      <c r="AX323" s="195"/>
      <c r="AY323" s="195"/>
      <c r="AZ323" s="195"/>
      <c r="BA323" s="195"/>
      <c r="BB323" s="195"/>
      <c r="BC323" s="195"/>
      <c r="BD323" s="195"/>
      <c r="BE323" s="196"/>
      <c r="BF323" s="196"/>
      <c r="BG323" s="196"/>
      <c r="BH323" s="196"/>
      <c r="BI323" s="196"/>
      <c r="BJ323" s="196"/>
      <c r="BK323" s="196"/>
      <c r="BL323" s="196"/>
      <c r="BM323" s="196">
        <v>61.23</v>
      </c>
      <c r="BN323" s="193">
        <v>41837</v>
      </c>
      <c r="BO323" s="196"/>
      <c r="BP323" s="196"/>
      <c r="BQ323" s="196"/>
      <c r="BR323" s="196"/>
      <c r="BS323" s="196">
        <v>51.38</v>
      </c>
      <c r="BT323" s="193">
        <v>41837</v>
      </c>
      <c r="BU323" s="196">
        <v>37.299999999999997</v>
      </c>
      <c r="BV323" s="193">
        <v>41837</v>
      </c>
      <c r="BW323" s="196">
        <v>15.2</v>
      </c>
      <c r="BX323" s="193">
        <v>41837</v>
      </c>
      <c r="BY323" s="196"/>
      <c r="BZ323" s="196"/>
      <c r="CA323" s="196"/>
      <c r="CB323" s="196"/>
      <c r="CC323" s="196">
        <v>6.5</v>
      </c>
      <c r="CD323" s="193">
        <v>41837</v>
      </c>
      <c r="CE323" s="196"/>
      <c r="CF323" s="196"/>
      <c r="CG323" s="196"/>
      <c r="CH323" s="196"/>
      <c r="CI323" s="196">
        <v>9</v>
      </c>
      <c r="CJ323" s="196"/>
      <c r="CK323" s="196"/>
      <c r="CL323" s="196"/>
      <c r="CM323" s="196"/>
    </row>
    <row r="324" spans="1:91">
      <c r="A324" s="159" t="s">
        <v>7716</v>
      </c>
      <c r="B324" s="112" t="s">
        <v>269</v>
      </c>
      <c r="C324" s="112">
        <v>2</v>
      </c>
      <c r="D324" s="112">
        <v>211</v>
      </c>
      <c r="E324" s="113">
        <v>35</v>
      </c>
      <c r="F324" s="113">
        <v>9</v>
      </c>
      <c r="M324" s="185">
        <v>6.36</v>
      </c>
      <c r="N324" s="157">
        <v>41837</v>
      </c>
      <c r="R324" s="185"/>
      <c r="S324" s="137">
        <v>18.55</v>
      </c>
      <c r="T324" s="157">
        <v>41837</v>
      </c>
      <c r="U324" s="142">
        <v>18</v>
      </c>
      <c r="Y324" s="142">
        <f t="shared" si="5"/>
        <v>14.760810000000001</v>
      </c>
      <c r="Z324" s="157">
        <v>41837</v>
      </c>
      <c r="AE324" s="137">
        <v>36.090000000000003</v>
      </c>
      <c r="AF324" s="157">
        <v>41837</v>
      </c>
      <c r="AG324" s="185"/>
      <c r="AH324" s="157">
        <v>41837</v>
      </c>
      <c r="AM324" s="137">
        <v>90</v>
      </c>
      <c r="BM324" s="138">
        <v>62.59</v>
      </c>
      <c r="BN324" s="157">
        <v>41837</v>
      </c>
      <c r="BS324" s="138">
        <v>51.4</v>
      </c>
      <c r="BT324" s="157">
        <v>41837</v>
      </c>
      <c r="BU324" s="138">
        <v>40.9</v>
      </c>
      <c r="BV324" s="157">
        <v>41837</v>
      </c>
      <c r="BW324" s="138">
        <v>15.1</v>
      </c>
      <c r="BX324" s="157">
        <v>41837</v>
      </c>
      <c r="CC324" s="138">
        <v>6.3</v>
      </c>
      <c r="CD324" s="157">
        <v>41837</v>
      </c>
      <c r="CI324" s="138">
        <v>9</v>
      </c>
    </row>
    <row r="325" spans="1:91">
      <c r="A325" s="159" t="s">
        <v>7687</v>
      </c>
      <c r="B325" s="112" t="s">
        <v>269</v>
      </c>
      <c r="C325" s="112">
        <v>2</v>
      </c>
      <c r="D325" s="112">
        <v>92</v>
      </c>
      <c r="E325" s="113">
        <v>36</v>
      </c>
      <c r="F325" s="113">
        <v>9</v>
      </c>
      <c r="M325" s="185">
        <v>6</v>
      </c>
      <c r="N325" s="157">
        <v>41837</v>
      </c>
      <c r="R325" s="185"/>
      <c r="S325" s="137">
        <v>17.53</v>
      </c>
      <c r="T325" s="157">
        <v>41837</v>
      </c>
      <c r="U325" s="142">
        <v>18</v>
      </c>
      <c r="Y325" s="142">
        <f t="shared" si="5"/>
        <v>13.9277</v>
      </c>
      <c r="Z325" s="157">
        <v>41837</v>
      </c>
      <c r="AE325" s="137">
        <v>33.97</v>
      </c>
      <c r="AF325" s="157">
        <v>41837</v>
      </c>
      <c r="AG325" s="185"/>
      <c r="AH325" s="157">
        <v>41837</v>
      </c>
      <c r="AM325" s="137">
        <v>90</v>
      </c>
      <c r="BM325" s="138">
        <v>59.04</v>
      </c>
      <c r="BN325" s="157">
        <v>41837</v>
      </c>
      <c r="BS325" s="138">
        <v>51.59</v>
      </c>
      <c r="BT325" s="157">
        <v>41837</v>
      </c>
      <c r="BU325" s="138">
        <v>41</v>
      </c>
      <c r="BV325" s="157">
        <v>41837</v>
      </c>
      <c r="BW325" s="138">
        <v>14</v>
      </c>
      <c r="BX325" s="157">
        <v>41837</v>
      </c>
      <c r="CC325" s="138">
        <v>6.5</v>
      </c>
      <c r="CD325" s="157">
        <v>41837</v>
      </c>
      <c r="CI325" s="138">
        <v>5</v>
      </c>
    </row>
    <row r="326" spans="1:91">
      <c r="A326" s="159" t="s">
        <v>7703</v>
      </c>
      <c r="B326" s="112" t="s">
        <v>269</v>
      </c>
      <c r="C326" s="112">
        <v>2</v>
      </c>
      <c r="D326" s="112">
        <v>168</v>
      </c>
      <c r="E326" s="113">
        <v>1</v>
      </c>
      <c r="F326" s="113">
        <v>10</v>
      </c>
      <c r="M326" s="185">
        <v>4.74</v>
      </c>
      <c r="N326" s="157">
        <v>41837</v>
      </c>
      <c r="R326" s="185"/>
      <c r="S326" s="137">
        <v>12.22</v>
      </c>
      <c r="T326" s="157">
        <v>41837</v>
      </c>
      <c r="U326" s="142">
        <v>18</v>
      </c>
      <c r="Y326" s="142">
        <f t="shared" si="5"/>
        <v>10.443620000000001</v>
      </c>
      <c r="Z326" s="157">
        <v>41837</v>
      </c>
      <c r="AE326" s="137">
        <v>25.66</v>
      </c>
      <c r="AF326" s="157">
        <v>41837</v>
      </c>
      <c r="AG326" s="185">
        <v>5.1100000000000003</v>
      </c>
      <c r="AH326" s="157">
        <v>41837</v>
      </c>
      <c r="AM326" s="137">
        <v>90</v>
      </c>
      <c r="BM326" s="138">
        <v>60.09</v>
      </c>
      <c r="BN326" s="157">
        <v>41837</v>
      </c>
      <c r="BS326" s="138">
        <v>47.61</v>
      </c>
      <c r="BT326" s="157">
        <v>41837</v>
      </c>
      <c r="BU326" s="138">
        <v>40.700000000000003</v>
      </c>
      <c r="BV326" s="157">
        <v>41837</v>
      </c>
      <c r="BW326" s="138">
        <v>18.899999999999999</v>
      </c>
      <c r="BX326" s="157">
        <v>41837</v>
      </c>
      <c r="CC326" s="138">
        <v>10.6</v>
      </c>
      <c r="CD326" s="157">
        <v>41837</v>
      </c>
      <c r="CI326" s="138">
        <v>5</v>
      </c>
    </row>
    <row r="327" spans="1:91">
      <c r="A327" s="159" t="s">
        <v>7739</v>
      </c>
      <c r="B327" s="112" t="s">
        <v>269</v>
      </c>
      <c r="C327" s="112">
        <v>2</v>
      </c>
      <c r="D327" s="112">
        <v>45</v>
      </c>
      <c r="E327" s="113">
        <v>2</v>
      </c>
      <c r="F327" s="113">
        <v>10</v>
      </c>
      <c r="M327" s="185">
        <v>4.5999999999999996</v>
      </c>
      <c r="N327" s="157">
        <v>41837</v>
      </c>
      <c r="R327" s="185"/>
      <c r="S327" s="137">
        <v>11.91</v>
      </c>
      <c r="T327" s="157">
        <v>41837</v>
      </c>
      <c r="U327" s="142">
        <v>18</v>
      </c>
      <c r="Y327" s="142">
        <f t="shared" si="5"/>
        <v>9.6863200000000003</v>
      </c>
      <c r="Z327" s="157">
        <v>41837</v>
      </c>
      <c r="AE327" s="137">
        <v>24.71</v>
      </c>
      <c r="AF327" s="157">
        <v>41837</v>
      </c>
      <c r="AG327" s="185">
        <v>4.55</v>
      </c>
      <c r="AH327" s="157">
        <v>41837</v>
      </c>
      <c r="AM327" s="137">
        <v>90</v>
      </c>
      <c r="BM327" s="138">
        <v>56.84</v>
      </c>
      <c r="BN327" s="157">
        <v>41837</v>
      </c>
      <c r="BS327" s="138">
        <v>48.21</v>
      </c>
      <c r="BT327" s="157">
        <v>41837</v>
      </c>
      <c r="BU327" s="138">
        <v>39.200000000000003</v>
      </c>
      <c r="BV327" s="157">
        <v>41837</v>
      </c>
      <c r="BW327" s="138">
        <v>21.5</v>
      </c>
      <c r="BX327" s="157">
        <v>41837</v>
      </c>
      <c r="CC327" s="138">
        <v>11.3</v>
      </c>
      <c r="CD327" s="157">
        <v>41837</v>
      </c>
      <c r="CI327" s="138">
        <v>1</v>
      </c>
    </row>
    <row r="328" spans="1:91">
      <c r="A328" s="189" t="s">
        <v>7709</v>
      </c>
      <c r="B328" s="190" t="s">
        <v>269</v>
      </c>
      <c r="C328" s="190">
        <v>2</v>
      </c>
      <c r="D328" s="190">
        <v>11</v>
      </c>
      <c r="E328" s="191">
        <v>3</v>
      </c>
      <c r="F328" s="191">
        <v>10</v>
      </c>
      <c r="G328" s="191"/>
      <c r="H328" s="191"/>
      <c r="I328" s="201"/>
      <c r="J328" s="190"/>
      <c r="K328" s="192"/>
      <c r="L328" s="193"/>
      <c r="M328" s="194">
        <v>6.1</v>
      </c>
      <c r="N328" s="193">
        <v>41837</v>
      </c>
      <c r="P328" s="193"/>
      <c r="Q328" s="192"/>
      <c r="R328" s="194"/>
      <c r="S328" s="192">
        <v>15.95</v>
      </c>
      <c r="T328" s="193">
        <v>41837</v>
      </c>
      <c r="U328" s="192">
        <v>18</v>
      </c>
      <c r="V328" s="193"/>
      <c r="W328" s="192"/>
      <c r="X328" s="193"/>
      <c r="Y328" s="192">
        <f t="shared" si="5"/>
        <v>13.604240000000003</v>
      </c>
      <c r="Z328" s="193">
        <v>41837</v>
      </c>
      <c r="AA328" s="192"/>
      <c r="AB328" s="193"/>
      <c r="AC328" s="195"/>
      <c r="AD328" s="193"/>
      <c r="AE328" s="192">
        <v>33.020000000000003</v>
      </c>
      <c r="AF328" s="193">
        <v>41837</v>
      </c>
      <c r="AG328" s="194">
        <v>5.23</v>
      </c>
      <c r="AH328" s="193">
        <v>41837</v>
      </c>
      <c r="AI328" s="193"/>
      <c r="AJ328" s="193"/>
      <c r="AK328" s="192"/>
      <c r="AL328" s="193"/>
      <c r="AM328" s="192">
        <v>87</v>
      </c>
      <c r="AN328" s="193"/>
      <c r="AO328" s="195"/>
      <c r="AP328" s="195"/>
      <c r="AQ328" s="195"/>
      <c r="AR328" s="195"/>
      <c r="AS328" s="195"/>
      <c r="AT328" s="195"/>
      <c r="AU328" s="195"/>
      <c r="AV328" s="195"/>
      <c r="AW328" s="195"/>
      <c r="AX328" s="195"/>
      <c r="AY328" s="195"/>
      <c r="AZ328" s="195"/>
      <c r="BA328" s="195"/>
      <c r="BB328" s="195"/>
      <c r="BC328" s="195"/>
      <c r="BD328" s="195"/>
      <c r="BE328" s="196"/>
      <c r="BF328" s="196"/>
      <c r="BG328" s="196"/>
      <c r="BH328" s="196"/>
      <c r="BI328" s="196"/>
      <c r="BJ328" s="196"/>
      <c r="BK328" s="196"/>
      <c r="BL328" s="196"/>
      <c r="BM328" s="196">
        <v>59.78</v>
      </c>
      <c r="BN328" s="193">
        <v>41837</v>
      </c>
      <c r="BO328" s="196"/>
      <c r="BP328" s="196"/>
      <c r="BQ328" s="196"/>
      <c r="BR328" s="196"/>
      <c r="BS328" s="196">
        <v>48.31</v>
      </c>
      <c r="BT328" s="193">
        <v>41837</v>
      </c>
      <c r="BU328" s="196">
        <v>41.2</v>
      </c>
      <c r="BV328" s="193">
        <v>41837</v>
      </c>
      <c r="BW328" s="196">
        <v>15.7</v>
      </c>
      <c r="BX328" s="193">
        <v>41837</v>
      </c>
      <c r="BY328" s="196"/>
      <c r="BZ328" s="196"/>
      <c r="CA328" s="196"/>
      <c r="CB328" s="196"/>
      <c r="CC328" s="196">
        <v>10.6</v>
      </c>
      <c r="CD328" s="193">
        <v>41837</v>
      </c>
      <c r="CE328" s="196"/>
      <c r="CF328" s="196"/>
      <c r="CG328" s="196"/>
      <c r="CH328" s="196"/>
      <c r="CI328" s="196">
        <v>7</v>
      </c>
      <c r="CJ328" s="196"/>
      <c r="CK328" s="196"/>
      <c r="CL328" s="196"/>
      <c r="CM328" s="196"/>
    </row>
    <row r="329" spans="1:91">
      <c r="A329" s="159" t="s">
        <v>7800</v>
      </c>
      <c r="B329" s="112" t="s">
        <v>269</v>
      </c>
      <c r="C329" s="112">
        <v>2</v>
      </c>
      <c r="D329" s="112">
        <v>76</v>
      </c>
      <c r="E329" s="113">
        <v>4</v>
      </c>
      <c r="F329" s="113">
        <v>10</v>
      </c>
      <c r="M329" s="185">
        <v>6.88</v>
      </c>
      <c r="N329" s="157">
        <v>41837</v>
      </c>
      <c r="R329" s="185"/>
      <c r="S329" s="137">
        <v>19.05</v>
      </c>
      <c r="T329" s="157">
        <v>41837</v>
      </c>
      <c r="U329" s="142">
        <v>18</v>
      </c>
      <c r="Y329" s="142">
        <f t="shared" si="5"/>
        <v>15.172219999999999</v>
      </c>
      <c r="Z329" s="157">
        <v>41837</v>
      </c>
      <c r="AE329" s="137">
        <v>37.369999999999997</v>
      </c>
      <c r="AF329" s="157">
        <v>41837</v>
      </c>
      <c r="AG329" s="185">
        <v>4.32</v>
      </c>
      <c r="AH329" s="157">
        <v>41837</v>
      </c>
      <c r="AM329" s="137">
        <v>92</v>
      </c>
      <c r="BM329" s="138">
        <v>62.31</v>
      </c>
      <c r="BN329" s="157">
        <v>41837</v>
      </c>
      <c r="BS329" s="138">
        <v>50.99</v>
      </c>
      <c r="BT329" s="157">
        <v>41837</v>
      </c>
      <c r="BU329" s="138">
        <v>40.6</v>
      </c>
      <c r="BV329" s="157">
        <v>41837</v>
      </c>
      <c r="BW329" s="138">
        <v>10.9</v>
      </c>
      <c r="BX329" s="157">
        <v>41837</v>
      </c>
      <c r="CC329" s="138">
        <v>10.3</v>
      </c>
      <c r="CD329" s="157">
        <v>41837</v>
      </c>
      <c r="CI329" s="138">
        <v>9</v>
      </c>
    </row>
    <row r="330" spans="1:91">
      <c r="A330" s="159" t="s">
        <v>7706</v>
      </c>
      <c r="B330" s="112" t="s">
        <v>269</v>
      </c>
      <c r="C330" s="112">
        <v>2</v>
      </c>
      <c r="D330" s="112">
        <v>134</v>
      </c>
      <c r="E330" s="113">
        <v>5</v>
      </c>
      <c r="F330" s="113">
        <v>10</v>
      </c>
      <c r="M330" s="185">
        <v>5.2</v>
      </c>
      <c r="N330" s="157">
        <v>41837</v>
      </c>
      <c r="R330" s="185"/>
      <c r="S330" s="137">
        <v>14.06</v>
      </c>
      <c r="T330" s="157">
        <v>41837</v>
      </c>
      <c r="U330" s="142">
        <v>18</v>
      </c>
      <c r="Y330" s="142">
        <f t="shared" si="5"/>
        <v>11.379949999999999</v>
      </c>
      <c r="Z330" s="157">
        <v>41837</v>
      </c>
      <c r="AE330" s="137">
        <v>28.81</v>
      </c>
      <c r="AF330" s="157">
        <v>41837</v>
      </c>
      <c r="AG330" s="185">
        <v>4.66</v>
      </c>
      <c r="AH330" s="157">
        <v>41837</v>
      </c>
      <c r="AM330" s="137">
        <v>90</v>
      </c>
      <c r="BM330" s="138">
        <v>61.08</v>
      </c>
      <c r="BN330" s="157">
        <v>41837</v>
      </c>
      <c r="BS330" s="138">
        <v>48.79</v>
      </c>
      <c r="BT330" s="157">
        <v>41837</v>
      </c>
      <c r="BU330" s="138">
        <v>39.5</v>
      </c>
      <c r="BV330" s="157">
        <v>41837</v>
      </c>
      <c r="BW330" s="138">
        <v>15.7</v>
      </c>
      <c r="BX330" s="157">
        <v>41837</v>
      </c>
      <c r="CC330" s="138">
        <v>8.5</v>
      </c>
      <c r="CD330" s="157">
        <v>41837</v>
      </c>
      <c r="CI330" s="138">
        <v>3</v>
      </c>
    </row>
    <row r="331" spans="1:91">
      <c r="A331" s="159" t="s">
        <v>7698</v>
      </c>
      <c r="B331" s="112" t="s">
        <v>269</v>
      </c>
      <c r="C331" s="112">
        <v>2</v>
      </c>
      <c r="D331" s="112">
        <v>184</v>
      </c>
      <c r="E331" s="113">
        <v>6</v>
      </c>
      <c r="F331" s="113">
        <v>10</v>
      </c>
      <c r="M331" s="185">
        <v>5.23</v>
      </c>
      <c r="N331" s="157">
        <v>41837</v>
      </c>
      <c r="R331" s="185"/>
      <c r="S331" s="137">
        <v>13.89</v>
      </c>
      <c r="T331" s="157">
        <v>41837</v>
      </c>
      <c r="U331" s="142">
        <v>18</v>
      </c>
      <c r="Y331" s="142">
        <f t="shared" si="5"/>
        <v>11.683679999999999</v>
      </c>
      <c r="Z331" s="157">
        <v>41837</v>
      </c>
      <c r="AE331" s="137">
        <v>28.92</v>
      </c>
      <c r="AF331" s="157">
        <v>41837</v>
      </c>
      <c r="AG331" s="185">
        <v>6.09</v>
      </c>
      <c r="AH331" s="157">
        <v>41837</v>
      </c>
      <c r="AM331" s="137">
        <v>90</v>
      </c>
      <c r="BM331" s="138">
        <v>61.6</v>
      </c>
      <c r="BN331" s="157">
        <v>41837</v>
      </c>
      <c r="BS331" s="138">
        <v>48.03</v>
      </c>
      <c r="BT331" s="157">
        <v>41837</v>
      </c>
      <c r="BU331" s="138">
        <v>40.4</v>
      </c>
      <c r="BV331" s="157">
        <v>41837</v>
      </c>
      <c r="BW331" s="138">
        <v>12.7</v>
      </c>
      <c r="BX331" s="157">
        <v>41837</v>
      </c>
      <c r="CC331" s="138">
        <v>8.6999999999999993</v>
      </c>
      <c r="CD331" s="157">
        <v>41837</v>
      </c>
      <c r="CI331" s="138">
        <v>9</v>
      </c>
    </row>
    <row r="332" spans="1:91">
      <c r="A332" s="189" t="s">
        <v>7857</v>
      </c>
      <c r="B332" s="190" t="s">
        <v>269</v>
      </c>
      <c r="C332" s="190">
        <v>2</v>
      </c>
      <c r="D332" s="190">
        <v>131</v>
      </c>
      <c r="E332" s="191">
        <v>7</v>
      </c>
      <c r="F332" s="191">
        <v>10</v>
      </c>
      <c r="G332" s="191"/>
      <c r="H332" s="191"/>
      <c r="I332" s="190"/>
      <c r="J332" s="190"/>
      <c r="K332" s="195"/>
      <c r="L332" s="193"/>
      <c r="M332" s="194">
        <v>8.2799999999999994</v>
      </c>
      <c r="N332" s="193">
        <v>41837</v>
      </c>
      <c r="P332" s="193"/>
      <c r="Q332" s="195"/>
      <c r="R332" s="194"/>
      <c r="S332" s="195">
        <v>23.93</v>
      </c>
      <c r="T332" s="193">
        <v>41837</v>
      </c>
      <c r="U332" s="192">
        <v>18</v>
      </c>
      <c r="V332" s="193"/>
      <c r="W332" s="195"/>
      <c r="X332" s="193"/>
      <c r="Y332" s="192">
        <f t="shared" si="5"/>
        <v>18.458030000000001</v>
      </c>
      <c r="Z332" s="193">
        <v>41837</v>
      </c>
      <c r="AA332" s="195"/>
      <c r="AB332" s="193"/>
      <c r="AC332" s="195"/>
      <c r="AD332" s="193"/>
      <c r="AE332" s="195">
        <v>46.03</v>
      </c>
      <c r="AF332" s="193">
        <v>41837</v>
      </c>
      <c r="AG332" s="194">
        <v>5.44</v>
      </c>
      <c r="AH332" s="193">
        <v>41837</v>
      </c>
      <c r="AI332" s="193"/>
      <c r="AJ332" s="193"/>
      <c r="AK332" s="195"/>
      <c r="AL332" s="193"/>
      <c r="AM332" s="195">
        <v>92</v>
      </c>
      <c r="AN332" s="193"/>
      <c r="AO332" s="195"/>
      <c r="AP332" s="195"/>
      <c r="AQ332" s="195"/>
      <c r="AR332" s="195"/>
      <c r="AS332" s="195"/>
      <c r="AT332" s="195"/>
      <c r="AU332" s="195"/>
      <c r="AV332" s="195"/>
      <c r="AW332" s="195"/>
      <c r="AX332" s="195"/>
      <c r="AY332" s="195"/>
      <c r="AZ332" s="195"/>
      <c r="BA332" s="195"/>
      <c r="BB332" s="195"/>
      <c r="BC332" s="195"/>
      <c r="BD332" s="195"/>
      <c r="BE332" s="196"/>
      <c r="BF332" s="196"/>
      <c r="BG332" s="196"/>
      <c r="BH332" s="196"/>
      <c r="BI332" s="196"/>
      <c r="BJ332" s="196"/>
      <c r="BK332" s="196"/>
      <c r="BL332" s="196"/>
      <c r="BM332" s="196">
        <v>61.98</v>
      </c>
      <c r="BN332" s="193">
        <v>41837</v>
      </c>
      <c r="BO332" s="196"/>
      <c r="BP332" s="196"/>
      <c r="BQ332" s="196"/>
      <c r="BR332" s="196"/>
      <c r="BS332" s="196">
        <v>51.98</v>
      </c>
      <c r="BT332" s="193">
        <v>41837</v>
      </c>
      <c r="BU332" s="196">
        <v>40.1</v>
      </c>
      <c r="BV332" s="193">
        <v>41837</v>
      </c>
      <c r="BW332" s="196">
        <v>14.4</v>
      </c>
      <c r="BX332" s="193">
        <v>41837</v>
      </c>
      <c r="BY332" s="196"/>
      <c r="BZ332" s="196"/>
      <c r="CA332" s="196"/>
      <c r="CB332" s="196"/>
      <c r="CC332" s="196">
        <v>8.1999999999999993</v>
      </c>
      <c r="CD332" s="193">
        <v>41837</v>
      </c>
      <c r="CE332" s="196"/>
      <c r="CF332" s="196"/>
      <c r="CG332" s="196"/>
      <c r="CH332" s="196"/>
      <c r="CI332" s="196">
        <v>9</v>
      </c>
      <c r="CJ332" s="196"/>
      <c r="CK332" s="196"/>
      <c r="CL332" s="196"/>
      <c r="CM332" s="196"/>
    </row>
    <row r="333" spans="1:91">
      <c r="A333" s="189" t="s">
        <v>8126</v>
      </c>
      <c r="B333" s="190" t="s">
        <v>269</v>
      </c>
      <c r="C333" s="190">
        <v>2</v>
      </c>
      <c r="D333" s="190">
        <v>46</v>
      </c>
      <c r="E333" s="191">
        <v>8</v>
      </c>
      <c r="F333" s="191">
        <v>10</v>
      </c>
      <c r="G333" s="191"/>
      <c r="H333" s="191"/>
      <c r="I333" s="190"/>
      <c r="J333" s="190"/>
      <c r="K333" s="195"/>
      <c r="L333" s="193"/>
      <c r="M333" s="194">
        <v>8.33</v>
      </c>
      <c r="N333" s="193">
        <v>41837</v>
      </c>
      <c r="P333" s="193"/>
      <c r="Q333" s="195"/>
      <c r="R333" s="194"/>
      <c r="S333" s="195">
        <v>23.09</v>
      </c>
      <c r="T333" s="193">
        <v>41837</v>
      </c>
      <c r="U333" s="192">
        <v>18</v>
      </c>
      <c r="V333" s="193"/>
      <c r="W333" s="195"/>
      <c r="X333" s="193"/>
      <c r="Y333" s="192">
        <f t="shared" si="5"/>
        <v>17.790849999999999</v>
      </c>
      <c r="Z333" s="193">
        <v>41837</v>
      </c>
      <c r="AA333" s="195"/>
      <c r="AB333" s="193"/>
      <c r="AC333" s="195"/>
      <c r="AD333" s="193"/>
      <c r="AE333" s="195">
        <v>46.21</v>
      </c>
      <c r="AF333" s="193">
        <v>41837</v>
      </c>
      <c r="AG333" s="194">
        <v>4.3</v>
      </c>
      <c r="AH333" s="193">
        <v>41837</v>
      </c>
      <c r="AI333" s="193"/>
      <c r="AJ333" s="193"/>
      <c r="AK333" s="195"/>
      <c r="AL333" s="193"/>
      <c r="AM333" s="195">
        <v>87</v>
      </c>
      <c r="AN333" s="193"/>
      <c r="AO333" s="195"/>
      <c r="AP333" s="195"/>
      <c r="AQ333" s="195"/>
      <c r="AR333" s="195"/>
      <c r="AS333" s="195"/>
      <c r="AT333" s="195"/>
      <c r="AU333" s="195"/>
      <c r="AV333" s="195"/>
      <c r="AW333" s="195"/>
      <c r="AX333" s="195"/>
      <c r="AY333" s="195"/>
      <c r="AZ333" s="195"/>
      <c r="BA333" s="195"/>
      <c r="BB333" s="195"/>
      <c r="BC333" s="195"/>
      <c r="BD333" s="195"/>
      <c r="BE333" s="196"/>
      <c r="BF333" s="196"/>
      <c r="BG333" s="196"/>
      <c r="BH333" s="196"/>
      <c r="BI333" s="196"/>
      <c r="BJ333" s="196"/>
      <c r="BK333" s="196"/>
      <c r="BL333" s="196"/>
      <c r="BM333" s="196">
        <v>60.5</v>
      </c>
      <c r="BN333" s="193">
        <v>41837</v>
      </c>
      <c r="BO333" s="196"/>
      <c r="BP333" s="196"/>
      <c r="BQ333" s="196"/>
      <c r="BR333" s="196"/>
      <c r="BS333" s="196">
        <v>49.96</v>
      </c>
      <c r="BT333" s="193">
        <v>41837</v>
      </c>
      <c r="BU333" s="196">
        <v>38.5</v>
      </c>
      <c r="BV333" s="193">
        <v>41837</v>
      </c>
      <c r="BW333" s="196">
        <v>16.399999999999999</v>
      </c>
      <c r="BX333" s="193">
        <v>41837</v>
      </c>
      <c r="BY333" s="196"/>
      <c r="BZ333" s="196"/>
      <c r="CA333" s="196"/>
      <c r="CB333" s="196"/>
      <c r="CC333" s="196">
        <v>8.4</v>
      </c>
      <c r="CD333" s="193">
        <v>41837</v>
      </c>
      <c r="CE333" s="196"/>
      <c r="CF333" s="196"/>
      <c r="CG333" s="196"/>
      <c r="CH333" s="196"/>
      <c r="CI333" s="196">
        <v>9</v>
      </c>
      <c r="CJ333" s="196"/>
      <c r="CK333" s="196"/>
      <c r="CL333" s="196"/>
      <c r="CM333" s="196"/>
    </row>
    <row r="334" spans="1:91">
      <c r="A334" s="189" t="s">
        <v>7764</v>
      </c>
      <c r="B334" s="190" t="s">
        <v>269</v>
      </c>
      <c r="C334" s="190">
        <v>2</v>
      </c>
      <c r="D334" s="190">
        <v>135</v>
      </c>
      <c r="E334" s="191">
        <v>9</v>
      </c>
      <c r="F334" s="191">
        <v>10</v>
      </c>
      <c r="G334" s="191"/>
      <c r="H334" s="191"/>
      <c r="I334" s="190"/>
      <c r="J334" s="190"/>
      <c r="K334" s="195"/>
      <c r="L334" s="193"/>
      <c r="M334" s="194">
        <v>4.47</v>
      </c>
      <c r="N334" s="193">
        <v>41837</v>
      </c>
      <c r="P334" s="193"/>
      <c r="Q334" s="195"/>
      <c r="R334" s="194"/>
      <c r="S334" s="195">
        <v>11.6</v>
      </c>
      <c r="T334" s="193">
        <v>41837</v>
      </c>
      <c r="U334" s="192">
        <v>18</v>
      </c>
      <c r="V334" s="193"/>
      <c r="W334" s="195"/>
      <c r="X334" s="193"/>
      <c r="Y334" s="192">
        <f t="shared" si="5"/>
        <v>9.4370999999999992</v>
      </c>
      <c r="Z334" s="193">
        <v>41837</v>
      </c>
      <c r="AA334" s="195"/>
      <c r="AB334" s="193"/>
      <c r="AC334" s="195"/>
      <c r="AD334" s="193"/>
      <c r="AE334" s="195">
        <v>24.9</v>
      </c>
      <c r="AF334" s="193">
        <v>41837</v>
      </c>
      <c r="AG334" s="194">
        <v>5.24</v>
      </c>
      <c r="AH334" s="193">
        <v>41837</v>
      </c>
      <c r="AI334" s="193"/>
      <c r="AJ334" s="193"/>
      <c r="AK334" s="195"/>
      <c r="AL334" s="193"/>
      <c r="AM334" s="195">
        <v>90</v>
      </c>
      <c r="AN334" s="193"/>
      <c r="AO334" s="195"/>
      <c r="AP334" s="195"/>
      <c r="AQ334" s="195"/>
      <c r="AR334" s="195"/>
      <c r="AS334" s="195"/>
      <c r="AT334" s="195"/>
      <c r="AU334" s="195"/>
      <c r="AV334" s="195"/>
      <c r="AW334" s="195"/>
      <c r="AX334" s="195"/>
      <c r="AY334" s="195"/>
      <c r="AZ334" s="195"/>
      <c r="BA334" s="195"/>
      <c r="BB334" s="195"/>
      <c r="BC334" s="195"/>
      <c r="BD334" s="195"/>
      <c r="BE334" s="196"/>
      <c r="BF334" s="196"/>
      <c r="BG334" s="196"/>
      <c r="BH334" s="196"/>
      <c r="BI334" s="196"/>
      <c r="BJ334" s="196"/>
      <c r="BK334" s="196"/>
      <c r="BL334" s="196"/>
      <c r="BM334" s="196">
        <v>58.2</v>
      </c>
      <c r="BN334" s="193">
        <v>41837</v>
      </c>
      <c r="BO334" s="196"/>
      <c r="BP334" s="196"/>
      <c r="BQ334" s="196"/>
      <c r="BR334" s="196"/>
      <c r="BS334" s="196">
        <v>46.6</v>
      </c>
      <c r="BT334" s="193">
        <v>41837</v>
      </c>
      <c r="BU334" s="196">
        <v>37.9</v>
      </c>
      <c r="BV334" s="193">
        <v>41837</v>
      </c>
      <c r="BW334" s="196">
        <v>23.8</v>
      </c>
      <c r="BX334" s="193">
        <v>41837</v>
      </c>
      <c r="BY334" s="196"/>
      <c r="BZ334" s="196"/>
      <c r="CA334" s="196"/>
      <c r="CB334" s="196"/>
      <c r="CC334" s="196">
        <v>8</v>
      </c>
      <c r="CD334" s="193">
        <v>41837</v>
      </c>
      <c r="CE334" s="196"/>
      <c r="CF334" s="196"/>
      <c r="CG334" s="196"/>
      <c r="CH334" s="196"/>
      <c r="CI334" s="196">
        <v>5</v>
      </c>
      <c r="CJ334" s="196"/>
      <c r="CK334" s="196"/>
      <c r="CL334" s="196"/>
      <c r="CM334" s="196"/>
    </row>
    <row r="335" spans="1:91">
      <c r="A335" s="186" t="s">
        <v>7774</v>
      </c>
      <c r="B335" s="187" t="s">
        <v>269</v>
      </c>
      <c r="C335" s="187">
        <v>2</v>
      </c>
      <c r="D335" s="187">
        <v>10</v>
      </c>
      <c r="E335" s="188">
        <v>10</v>
      </c>
      <c r="F335" s="188">
        <v>10</v>
      </c>
      <c r="G335" s="188"/>
      <c r="H335" s="188"/>
      <c r="I335" s="200"/>
      <c r="J335" s="187"/>
      <c r="K335" s="142"/>
      <c r="M335" s="185">
        <v>6.2</v>
      </c>
      <c r="N335" s="157">
        <v>41837</v>
      </c>
      <c r="Q335" s="142"/>
      <c r="R335" s="185"/>
      <c r="S335" s="142">
        <v>17.16</v>
      </c>
      <c r="T335" s="157">
        <v>41837</v>
      </c>
      <c r="U335" s="142">
        <v>18</v>
      </c>
      <c r="W335" s="142"/>
      <c r="Y335" s="142">
        <f t="shared" si="5"/>
        <v>13.127939999999999</v>
      </c>
      <c r="Z335" s="157">
        <v>41837</v>
      </c>
      <c r="AA335" s="142"/>
      <c r="AE335" s="142">
        <v>34.729999999999997</v>
      </c>
      <c r="AF335" s="157">
        <v>41837</v>
      </c>
      <c r="AG335" s="185">
        <v>5.38</v>
      </c>
      <c r="AH335" s="157">
        <v>41837</v>
      </c>
      <c r="AK335" s="142"/>
      <c r="AM335" s="142">
        <v>92</v>
      </c>
      <c r="BM335" s="138">
        <v>61.28</v>
      </c>
      <c r="BN335" s="157">
        <v>41837</v>
      </c>
      <c r="BS335" s="138">
        <v>49.42</v>
      </c>
      <c r="BT335" s="157">
        <v>41837</v>
      </c>
      <c r="BU335" s="138">
        <v>37.799999999999997</v>
      </c>
      <c r="BV335" s="157">
        <v>41837</v>
      </c>
      <c r="BW335" s="138">
        <v>18.8</v>
      </c>
      <c r="BX335" s="157">
        <v>41837</v>
      </c>
      <c r="CC335" s="138">
        <v>7.5</v>
      </c>
      <c r="CD335" s="157">
        <v>41837</v>
      </c>
      <c r="CI335" s="138">
        <v>9</v>
      </c>
    </row>
    <row r="336" spans="1:91">
      <c r="A336" s="159" t="s">
        <v>7694</v>
      </c>
      <c r="B336" s="112" t="s">
        <v>269</v>
      </c>
      <c r="C336" s="112">
        <v>2</v>
      </c>
      <c r="D336" s="112">
        <v>167</v>
      </c>
      <c r="E336" s="113">
        <v>11</v>
      </c>
      <c r="F336" s="113">
        <v>10</v>
      </c>
      <c r="M336" s="185">
        <v>5.0999999999999996</v>
      </c>
      <c r="N336" s="157">
        <v>41837</v>
      </c>
      <c r="R336" s="185"/>
      <c r="S336" s="137">
        <v>13.69</v>
      </c>
      <c r="T336" s="157">
        <v>41837</v>
      </c>
      <c r="U336" s="142">
        <v>18</v>
      </c>
      <c r="Y336" s="142">
        <f t="shared" si="5"/>
        <v>11.468600000000002</v>
      </c>
      <c r="Z336" s="157">
        <v>41837</v>
      </c>
      <c r="AE336" s="137">
        <v>28.6</v>
      </c>
      <c r="AF336" s="157">
        <v>41837</v>
      </c>
      <c r="AG336" s="185">
        <v>4.62</v>
      </c>
      <c r="AH336" s="157">
        <v>41837</v>
      </c>
      <c r="AM336" s="137">
        <v>94</v>
      </c>
      <c r="BM336" s="138">
        <v>59.38</v>
      </c>
      <c r="BN336" s="157">
        <v>41837</v>
      </c>
      <c r="BS336" s="138">
        <v>47.85</v>
      </c>
      <c r="BT336" s="157">
        <v>41837</v>
      </c>
      <c r="BU336" s="138">
        <v>40.1</v>
      </c>
      <c r="BV336" s="157">
        <v>41837</v>
      </c>
      <c r="BW336" s="138">
        <v>16.8</v>
      </c>
      <c r="BX336" s="157">
        <v>41837</v>
      </c>
      <c r="CC336" s="138">
        <v>7.4</v>
      </c>
      <c r="CD336" s="157">
        <v>41837</v>
      </c>
      <c r="CI336" s="138">
        <v>7</v>
      </c>
    </row>
    <row r="337" spans="1:91">
      <c r="A337" s="159" t="s">
        <v>7690</v>
      </c>
      <c r="B337" s="112" t="s">
        <v>269</v>
      </c>
      <c r="C337" s="112">
        <v>2</v>
      </c>
      <c r="D337" s="112">
        <v>79</v>
      </c>
      <c r="E337" s="113">
        <v>12</v>
      </c>
      <c r="F337" s="113">
        <v>10</v>
      </c>
      <c r="M337" s="185">
        <v>6.59</v>
      </c>
      <c r="N337" s="157">
        <v>41837</v>
      </c>
      <c r="R337" s="185"/>
      <c r="S337" s="137">
        <v>17.510000000000002</v>
      </c>
      <c r="T337" s="157">
        <v>41837</v>
      </c>
      <c r="U337" s="142">
        <v>18</v>
      </c>
      <c r="Y337" s="142">
        <f t="shared" si="5"/>
        <v>14.847000000000001</v>
      </c>
      <c r="Z337" s="157">
        <v>41837</v>
      </c>
      <c r="AE337" s="137">
        <v>36.75</v>
      </c>
      <c r="AF337" s="157">
        <v>41837</v>
      </c>
      <c r="AG337" s="185">
        <v>5.53</v>
      </c>
      <c r="AH337" s="157">
        <v>41837</v>
      </c>
      <c r="AM337" s="137">
        <v>90</v>
      </c>
      <c r="BM337" s="138">
        <v>61.09</v>
      </c>
      <c r="BN337" s="157">
        <v>41837</v>
      </c>
      <c r="BS337" s="138">
        <v>47.64</v>
      </c>
      <c r="BT337" s="157">
        <v>41837</v>
      </c>
      <c r="BU337" s="138">
        <v>40.4</v>
      </c>
      <c r="BV337" s="157">
        <v>41837</v>
      </c>
      <c r="BW337" s="138">
        <v>18.2</v>
      </c>
      <c r="BX337" s="157">
        <v>41837</v>
      </c>
      <c r="CC337" s="138">
        <v>7.9</v>
      </c>
      <c r="CD337" s="157">
        <v>41837</v>
      </c>
      <c r="CI337" s="138">
        <v>7</v>
      </c>
    </row>
    <row r="338" spans="1:91">
      <c r="A338" s="159" t="s">
        <v>7646</v>
      </c>
      <c r="B338" s="112" t="s">
        <v>269</v>
      </c>
      <c r="C338" s="112">
        <v>2</v>
      </c>
      <c r="D338" s="112">
        <v>100</v>
      </c>
      <c r="E338" s="113">
        <v>13</v>
      </c>
      <c r="F338" s="113">
        <v>10</v>
      </c>
      <c r="M338" s="185">
        <v>1.1100000000000001</v>
      </c>
      <c r="N338" s="157">
        <v>41837</v>
      </c>
      <c r="R338" s="185"/>
      <c r="S338" s="137">
        <v>3.09</v>
      </c>
      <c r="T338" s="157">
        <v>41837</v>
      </c>
      <c r="U338" s="142">
        <v>18</v>
      </c>
      <c r="Y338" s="142">
        <f t="shared" si="5"/>
        <v>2.4754399999999999</v>
      </c>
      <c r="Z338" s="157">
        <v>41837</v>
      </c>
      <c r="AE338" s="137">
        <v>6.38</v>
      </c>
      <c r="AF338" s="157">
        <v>41837</v>
      </c>
      <c r="AG338" s="185">
        <v>4.76</v>
      </c>
      <c r="AH338" s="157">
        <v>41837</v>
      </c>
      <c r="AM338" s="137">
        <v>83</v>
      </c>
      <c r="BM338" s="138">
        <v>60.56</v>
      </c>
      <c r="BN338" s="157">
        <v>41837</v>
      </c>
      <c r="BS338" s="138">
        <v>48.45</v>
      </c>
      <c r="BT338" s="157">
        <v>41837</v>
      </c>
      <c r="BU338" s="138">
        <v>38.799999999999997</v>
      </c>
      <c r="BV338" s="157">
        <v>41837</v>
      </c>
      <c r="BW338" s="138">
        <v>50.1</v>
      </c>
      <c r="BX338" s="157">
        <v>41837</v>
      </c>
      <c r="CC338" s="138">
        <v>5.0999999999999996</v>
      </c>
      <c r="CD338" s="157">
        <v>41837</v>
      </c>
      <c r="CI338" s="138">
        <v>3</v>
      </c>
    </row>
    <row r="339" spans="1:91">
      <c r="A339" s="159" t="s">
        <v>7616</v>
      </c>
      <c r="B339" s="112" t="s">
        <v>269</v>
      </c>
      <c r="C339" s="112">
        <v>2</v>
      </c>
      <c r="D339" s="112">
        <v>182</v>
      </c>
      <c r="E339" s="113">
        <v>14</v>
      </c>
      <c r="F339" s="113">
        <v>10</v>
      </c>
      <c r="M339" s="185">
        <v>0.47</v>
      </c>
      <c r="N339" s="157">
        <v>41837</v>
      </c>
      <c r="R339" s="185"/>
      <c r="S339" s="137">
        <v>1.34</v>
      </c>
      <c r="T339" s="157">
        <v>41837</v>
      </c>
      <c r="U339" s="142">
        <v>18</v>
      </c>
      <c r="Y339" s="142">
        <f t="shared" si="5"/>
        <v>1.0731600000000001</v>
      </c>
      <c r="Z339" s="157">
        <v>41837</v>
      </c>
      <c r="AE339" s="137">
        <v>2.71</v>
      </c>
      <c r="AF339" s="157">
        <v>41837</v>
      </c>
      <c r="AG339" s="185">
        <v>4.9800000000000004</v>
      </c>
      <c r="AH339" s="157">
        <v>41837</v>
      </c>
      <c r="AM339" s="137">
        <v>80</v>
      </c>
      <c r="BM339" s="138">
        <v>61.99</v>
      </c>
      <c r="BN339" s="157">
        <v>41837</v>
      </c>
      <c r="BS339" s="138">
        <v>49.31</v>
      </c>
      <c r="BT339" s="157">
        <v>41837</v>
      </c>
      <c r="BU339" s="138">
        <v>39.6</v>
      </c>
      <c r="BV339" s="157">
        <v>41837</v>
      </c>
      <c r="BW339" s="138">
        <v>32.9</v>
      </c>
      <c r="BX339" s="157">
        <v>41837</v>
      </c>
      <c r="CC339" s="138">
        <v>4.9000000000000004</v>
      </c>
      <c r="CD339" s="157">
        <v>41837</v>
      </c>
      <c r="CI339" s="138">
        <v>1</v>
      </c>
    </row>
    <row r="340" spans="1:91">
      <c r="A340" s="159" t="s">
        <v>7699</v>
      </c>
      <c r="B340" s="112" t="s">
        <v>269</v>
      </c>
      <c r="C340" s="112">
        <v>2</v>
      </c>
      <c r="D340" s="112">
        <v>44</v>
      </c>
      <c r="E340" s="113">
        <v>15</v>
      </c>
      <c r="F340" s="113">
        <v>10</v>
      </c>
      <c r="M340" s="185">
        <v>4.5199999999999996</v>
      </c>
      <c r="N340" s="157">
        <v>41837</v>
      </c>
      <c r="R340" s="185"/>
      <c r="S340" s="137">
        <v>11.99</v>
      </c>
      <c r="T340" s="157">
        <v>41837</v>
      </c>
      <c r="U340" s="142">
        <v>18</v>
      </c>
      <c r="Y340" s="142">
        <f t="shared" si="5"/>
        <v>10.497760000000001</v>
      </c>
      <c r="Z340" s="157">
        <v>41837</v>
      </c>
      <c r="AE340" s="137">
        <v>25.48</v>
      </c>
      <c r="AF340" s="157">
        <v>41837</v>
      </c>
      <c r="AG340" s="185">
        <v>4.67</v>
      </c>
      <c r="AH340" s="157">
        <v>41837</v>
      </c>
      <c r="AM340" s="137">
        <v>90</v>
      </c>
      <c r="BM340" s="138">
        <v>58.13</v>
      </c>
      <c r="BN340" s="157">
        <v>41837</v>
      </c>
      <c r="BS340" s="138">
        <v>47.04</v>
      </c>
      <c r="BT340" s="157">
        <v>41837</v>
      </c>
      <c r="BU340" s="138">
        <v>41.2</v>
      </c>
      <c r="BV340" s="157">
        <v>41837</v>
      </c>
      <c r="BW340" s="138">
        <v>21.2</v>
      </c>
      <c r="BX340" s="157">
        <v>41837</v>
      </c>
      <c r="CC340" s="138">
        <v>6.9</v>
      </c>
      <c r="CD340" s="157">
        <v>41837</v>
      </c>
      <c r="CI340" s="138">
        <v>5</v>
      </c>
    </row>
    <row r="341" spans="1:91">
      <c r="A341" s="189" t="s">
        <v>7641</v>
      </c>
      <c r="B341" s="190" t="s">
        <v>269</v>
      </c>
      <c r="C341" s="190">
        <v>2</v>
      </c>
      <c r="D341" s="190">
        <v>2</v>
      </c>
      <c r="E341" s="191">
        <v>16</v>
      </c>
      <c r="F341" s="191">
        <v>10</v>
      </c>
      <c r="G341" s="191"/>
      <c r="H341" s="191"/>
      <c r="I341" s="201"/>
      <c r="J341" s="190"/>
      <c r="K341" s="192"/>
      <c r="L341" s="193"/>
      <c r="M341" s="194">
        <v>4.45</v>
      </c>
      <c r="N341" s="193">
        <v>41837</v>
      </c>
      <c r="P341" s="193"/>
      <c r="Q341" s="192"/>
      <c r="R341" s="194"/>
      <c r="S341" s="192">
        <v>12.12</v>
      </c>
      <c r="T341" s="193">
        <v>41837</v>
      </c>
      <c r="U341" s="192">
        <v>18</v>
      </c>
      <c r="V341" s="193"/>
      <c r="W341" s="192"/>
      <c r="X341" s="193"/>
      <c r="Y341" s="192">
        <f t="shared" si="5"/>
        <v>10.5364</v>
      </c>
      <c r="Z341" s="193">
        <v>41837</v>
      </c>
      <c r="AA341" s="192"/>
      <c r="AB341" s="193"/>
      <c r="AC341" s="195"/>
      <c r="AD341" s="193"/>
      <c r="AE341" s="192">
        <v>24.85</v>
      </c>
      <c r="AF341" s="193">
        <v>41837</v>
      </c>
      <c r="AG341" s="194">
        <v>4.8</v>
      </c>
      <c r="AH341" s="193">
        <v>41837</v>
      </c>
      <c r="AI341" s="193"/>
      <c r="AJ341" s="193"/>
      <c r="AK341" s="192"/>
      <c r="AL341" s="193"/>
      <c r="AM341" s="192">
        <v>92</v>
      </c>
      <c r="AN341" s="193"/>
      <c r="AO341" s="195"/>
      <c r="AP341" s="195"/>
      <c r="AQ341" s="195"/>
      <c r="AR341" s="195"/>
      <c r="AS341" s="195"/>
      <c r="AT341" s="195"/>
      <c r="AU341" s="195"/>
      <c r="AV341" s="195"/>
      <c r="AW341" s="195"/>
      <c r="AX341" s="195"/>
      <c r="AY341" s="195"/>
      <c r="AZ341" s="195"/>
      <c r="BA341" s="195"/>
      <c r="BB341" s="195"/>
      <c r="BC341" s="195"/>
      <c r="BD341" s="195"/>
      <c r="BE341" s="196"/>
      <c r="BF341" s="196"/>
      <c r="BG341" s="196"/>
      <c r="BH341" s="196"/>
      <c r="BI341" s="196"/>
      <c r="BJ341" s="196"/>
      <c r="BK341" s="196"/>
      <c r="BL341" s="196"/>
      <c r="BM341" s="196">
        <v>62.39</v>
      </c>
      <c r="BN341" s="193">
        <v>41837</v>
      </c>
      <c r="BO341" s="196"/>
      <c r="BP341" s="196"/>
      <c r="BQ341" s="196"/>
      <c r="BR341" s="196"/>
      <c r="BS341" s="196">
        <v>48.79</v>
      </c>
      <c r="BT341" s="193">
        <v>41837</v>
      </c>
      <c r="BU341" s="196">
        <v>42.4</v>
      </c>
      <c r="BV341" s="193">
        <v>41837</v>
      </c>
      <c r="BW341" s="196">
        <v>43.5</v>
      </c>
      <c r="BX341" s="193">
        <v>41837</v>
      </c>
      <c r="BY341" s="196"/>
      <c r="BZ341" s="196"/>
      <c r="CA341" s="196"/>
      <c r="CB341" s="196"/>
      <c r="CC341" s="196">
        <v>7.8</v>
      </c>
      <c r="CD341" s="193">
        <v>41837</v>
      </c>
      <c r="CE341" s="196"/>
      <c r="CF341" s="196"/>
      <c r="CG341" s="196"/>
      <c r="CH341" s="196"/>
      <c r="CI341" s="196">
        <v>5</v>
      </c>
      <c r="CJ341" s="196"/>
      <c r="CK341" s="196"/>
      <c r="CL341" s="196"/>
      <c r="CM341" s="196"/>
    </row>
    <row r="342" spans="1:91">
      <c r="A342" s="159" t="s">
        <v>7766</v>
      </c>
      <c r="B342" s="112" t="s">
        <v>269</v>
      </c>
      <c r="C342" s="112">
        <v>2</v>
      </c>
      <c r="D342" s="112">
        <v>199</v>
      </c>
      <c r="E342" s="113">
        <v>17</v>
      </c>
      <c r="F342" s="113">
        <v>10</v>
      </c>
      <c r="M342" s="185">
        <v>7.8</v>
      </c>
      <c r="N342" s="157">
        <v>41837</v>
      </c>
      <c r="R342" s="185"/>
      <c r="S342" s="137">
        <v>21.89</v>
      </c>
      <c r="T342" s="157">
        <v>41837</v>
      </c>
      <c r="U342" s="142">
        <v>18</v>
      </c>
      <c r="Y342" s="142">
        <f t="shared" si="5"/>
        <v>16.73733</v>
      </c>
      <c r="Z342" s="157">
        <v>41837</v>
      </c>
      <c r="AE342" s="137">
        <v>43.93</v>
      </c>
      <c r="AF342" s="157">
        <v>41837</v>
      </c>
      <c r="AG342" s="185">
        <v>5.28</v>
      </c>
      <c r="AH342" s="157">
        <v>41837</v>
      </c>
      <c r="AM342" s="137">
        <v>94</v>
      </c>
      <c r="BM342" s="138">
        <v>65.959999999999994</v>
      </c>
      <c r="BN342" s="157">
        <v>41837</v>
      </c>
      <c r="BS342" s="138">
        <v>49.82</v>
      </c>
      <c r="BT342" s="157">
        <v>41837</v>
      </c>
      <c r="BU342" s="138">
        <v>38.1</v>
      </c>
      <c r="BV342" s="157">
        <v>41837</v>
      </c>
      <c r="BW342" s="138">
        <v>16.5</v>
      </c>
      <c r="BX342" s="157">
        <v>41837</v>
      </c>
      <c r="CC342" s="138">
        <v>7</v>
      </c>
      <c r="CD342" s="157">
        <v>41837</v>
      </c>
      <c r="CI342" s="138">
        <v>7</v>
      </c>
    </row>
    <row r="343" spans="1:91">
      <c r="A343" s="159" t="s">
        <v>7651</v>
      </c>
      <c r="B343" s="112" t="s">
        <v>269</v>
      </c>
      <c r="C343" s="112">
        <v>2</v>
      </c>
      <c r="D343" s="112">
        <v>133</v>
      </c>
      <c r="E343" s="113">
        <v>18</v>
      </c>
      <c r="F343" s="113">
        <v>10</v>
      </c>
      <c r="M343" s="185">
        <v>0.34</v>
      </c>
      <c r="N343" s="157">
        <v>41837</v>
      </c>
      <c r="R343" s="185"/>
      <c r="S343" s="137">
        <v>0.97</v>
      </c>
      <c r="T343" s="157">
        <v>41837</v>
      </c>
      <c r="U343" s="142">
        <v>18</v>
      </c>
      <c r="Y343" s="142">
        <f t="shared" si="5"/>
        <v>0.76635999999999993</v>
      </c>
      <c r="Z343" s="157">
        <v>41837</v>
      </c>
      <c r="AE343" s="137">
        <v>1.96</v>
      </c>
      <c r="AF343" s="157">
        <v>41837</v>
      </c>
      <c r="AG343" s="185">
        <v>5.32</v>
      </c>
      <c r="AH343" s="157">
        <v>41837</v>
      </c>
      <c r="AM343" s="137">
        <v>92</v>
      </c>
      <c r="BM343" s="138">
        <v>64.39</v>
      </c>
      <c r="BN343" s="157">
        <v>41837</v>
      </c>
      <c r="BS343" s="138">
        <v>49.67</v>
      </c>
      <c r="BT343" s="157">
        <v>41837</v>
      </c>
      <c r="BU343" s="138">
        <v>39.1</v>
      </c>
      <c r="BV343" s="157">
        <v>41837</v>
      </c>
      <c r="BW343" s="138">
        <v>16.7</v>
      </c>
      <c r="BX343" s="157">
        <v>41837</v>
      </c>
      <c r="CC343" s="138">
        <v>4.7</v>
      </c>
      <c r="CD343" s="157">
        <v>41837</v>
      </c>
      <c r="CI343" s="138">
        <v>1</v>
      </c>
    </row>
    <row r="344" spans="1:91">
      <c r="A344" s="189" t="s">
        <v>7810</v>
      </c>
      <c r="B344" s="190" t="s">
        <v>269</v>
      </c>
      <c r="C344" s="190">
        <v>2</v>
      </c>
      <c r="D344" s="190">
        <v>139</v>
      </c>
      <c r="E344" s="191">
        <v>19</v>
      </c>
      <c r="F344" s="191">
        <v>10</v>
      </c>
      <c r="G344" s="191"/>
      <c r="H344" s="191"/>
      <c r="I344" s="190"/>
      <c r="J344" s="190"/>
      <c r="K344" s="195"/>
      <c r="L344" s="193"/>
      <c r="M344" s="194">
        <v>7.24</v>
      </c>
      <c r="N344" s="193">
        <v>41837</v>
      </c>
      <c r="P344" s="193"/>
      <c r="Q344" s="195"/>
      <c r="R344" s="194"/>
      <c r="S344" s="195">
        <v>19.87</v>
      </c>
      <c r="T344" s="193">
        <v>41837</v>
      </c>
      <c r="U344" s="192">
        <v>18</v>
      </c>
      <c r="V344" s="193"/>
      <c r="W344" s="195"/>
      <c r="X344" s="193"/>
      <c r="Y344" s="192">
        <f t="shared" si="5"/>
        <v>15.696450000000002</v>
      </c>
      <c r="Z344" s="193">
        <v>41837</v>
      </c>
      <c r="AA344" s="195"/>
      <c r="AB344" s="193"/>
      <c r="AC344" s="195"/>
      <c r="AD344" s="193"/>
      <c r="AE344" s="195">
        <v>40.770000000000003</v>
      </c>
      <c r="AF344" s="193">
        <v>41837</v>
      </c>
      <c r="AG344" s="194">
        <v>4.53</v>
      </c>
      <c r="AH344" s="193">
        <v>41837</v>
      </c>
      <c r="AI344" s="193"/>
      <c r="AJ344" s="193"/>
      <c r="AK344" s="195"/>
      <c r="AL344" s="193"/>
      <c r="AM344" s="195">
        <v>92</v>
      </c>
      <c r="AN344" s="193"/>
      <c r="AO344" s="195"/>
      <c r="AP344" s="195"/>
      <c r="AQ344" s="195"/>
      <c r="AR344" s="195"/>
      <c r="AS344" s="195"/>
      <c r="AT344" s="195"/>
      <c r="AU344" s="195"/>
      <c r="AV344" s="195"/>
      <c r="AW344" s="195"/>
      <c r="AX344" s="195"/>
      <c r="AY344" s="195"/>
      <c r="AZ344" s="195"/>
      <c r="BA344" s="195"/>
      <c r="BB344" s="195"/>
      <c r="BC344" s="195"/>
      <c r="BD344" s="195"/>
      <c r="BE344" s="196"/>
      <c r="BF344" s="196"/>
      <c r="BG344" s="196"/>
      <c r="BH344" s="196"/>
      <c r="BI344" s="196"/>
      <c r="BJ344" s="196"/>
      <c r="BK344" s="196"/>
      <c r="BL344" s="196"/>
      <c r="BM344" s="196">
        <v>60.78</v>
      </c>
      <c r="BN344" s="193">
        <v>41837</v>
      </c>
      <c r="BO344" s="196"/>
      <c r="BP344" s="196"/>
      <c r="BQ344" s="196"/>
      <c r="BR344" s="196"/>
      <c r="BS344" s="196">
        <v>48.73</v>
      </c>
      <c r="BT344" s="193">
        <v>41837</v>
      </c>
      <c r="BU344" s="196">
        <v>38.5</v>
      </c>
      <c r="BV344" s="193">
        <v>41837</v>
      </c>
      <c r="BW344" s="196">
        <v>17.399999999999999</v>
      </c>
      <c r="BX344" s="193">
        <v>41837</v>
      </c>
      <c r="BY344" s="196"/>
      <c r="BZ344" s="196"/>
      <c r="CA344" s="196"/>
      <c r="CB344" s="196"/>
      <c r="CC344" s="196">
        <v>7</v>
      </c>
      <c r="CD344" s="193">
        <v>41837</v>
      </c>
      <c r="CE344" s="196"/>
      <c r="CF344" s="196"/>
      <c r="CG344" s="196"/>
      <c r="CH344" s="196"/>
      <c r="CI344" s="196">
        <v>9</v>
      </c>
      <c r="CJ344" s="196"/>
      <c r="CK344" s="196"/>
      <c r="CL344" s="196"/>
      <c r="CM344" s="196"/>
    </row>
    <row r="345" spans="1:91">
      <c r="A345" s="189" t="s">
        <v>7677</v>
      </c>
      <c r="B345" s="190" t="s">
        <v>269</v>
      </c>
      <c r="C345" s="190">
        <v>2</v>
      </c>
      <c r="D345" s="190">
        <v>137</v>
      </c>
      <c r="E345" s="191">
        <v>20</v>
      </c>
      <c r="F345" s="191">
        <v>10</v>
      </c>
      <c r="G345" s="191"/>
      <c r="H345" s="191"/>
      <c r="I345" s="190"/>
      <c r="J345" s="190"/>
      <c r="K345" s="195"/>
      <c r="L345" s="193"/>
      <c r="M345" s="194">
        <v>5.43</v>
      </c>
      <c r="N345" s="193">
        <v>41837</v>
      </c>
      <c r="P345" s="193"/>
      <c r="Q345" s="195"/>
      <c r="R345" s="194"/>
      <c r="S345" s="195">
        <v>14.66</v>
      </c>
      <c r="T345" s="193">
        <v>41837</v>
      </c>
      <c r="U345" s="192">
        <v>18</v>
      </c>
      <c r="V345" s="193"/>
      <c r="W345" s="195"/>
      <c r="X345" s="193"/>
      <c r="Y345" s="192">
        <f t="shared" si="5"/>
        <v>12.140260000000001</v>
      </c>
      <c r="Z345" s="193">
        <v>41837</v>
      </c>
      <c r="AA345" s="195"/>
      <c r="AB345" s="193"/>
      <c r="AC345" s="195"/>
      <c r="AD345" s="193"/>
      <c r="AE345" s="195">
        <v>30.58</v>
      </c>
      <c r="AF345" s="193">
        <v>41837</v>
      </c>
      <c r="AG345" s="194">
        <v>4.74</v>
      </c>
      <c r="AH345" s="193">
        <v>41837</v>
      </c>
      <c r="AI345" s="193"/>
      <c r="AJ345" s="193"/>
      <c r="AK345" s="195"/>
      <c r="AL345" s="193"/>
      <c r="AM345" s="195">
        <v>92</v>
      </c>
      <c r="AN345" s="193"/>
      <c r="AO345" s="195"/>
      <c r="AP345" s="195"/>
      <c r="AQ345" s="195"/>
      <c r="AR345" s="195"/>
      <c r="AS345" s="195"/>
      <c r="AT345" s="195"/>
      <c r="AU345" s="195"/>
      <c r="AV345" s="195"/>
      <c r="AW345" s="195"/>
      <c r="AX345" s="195"/>
      <c r="AY345" s="195"/>
      <c r="AZ345" s="195"/>
      <c r="BA345" s="195"/>
      <c r="BB345" s="195"/>
      <c r="BC345" s="195"/>
      <c r="BD345" s="195"/>
      <c r="BE345" s="196"/>
      <c r="BF345" s="196"/>
      <c r="BG345" s="196"/>
      <c r="BH345" s="196"/>
      <c r="BI345" s="196"/>
      <c r="BJ345" s="196"/>
      <c r="BK345" s="196"/>
      <c r="BL345" s="196"/>
      <c r="BM345" s="196">
        <v>59.89</v>
      </c>
      <c r="BN345" s="193">
        <v>41837</v>
      </c>
      <c r="BO345" s="196"/>
      <c r="BP345" s="196"/>
      <c r="BQ345" s="196"/>
      <c r="BR345" s="196"/>
      <c r="BS345" s="196">
        <v>47.94</v>
      </c>
      <c r="BT345" s="193">
        <v>41837</v>
      </c>
      <c r="BU345" s="196">
        <v>39.700000000000003</v>
      </c>
      <c r="BV345" s="193">
        <v>41837</v>
      </c>
      <c r="BW345" s="196">
        <v>14.3</v>
      </c>
      <c r="BX345" s="193">
        <v>41837</v>
      </c>
      <c r="BY345" s="196"/>
      <c r="BZ345" s="196"/>
      <c r="CA345" s="196"/>
      <c r="CB345" s="196"/>
      <c r="CC345" s="196">
        <v>7</v>
      </c>
      <c r="CD345" s="193">
        <v>41837</v>
      </c>
      <c r="CE345" s="196"/>
      <c r="CF345" s="196"/>
      <c r="CG345" s="196"/>
      <c r="CH345" s="196"/>
      <c r="CI345" s="196">
        <v>5</v>
      </c>
      <c r="CJ345" s="196"/>
      <c r="CK345" s="196"/>
      <c r="CL345" s="196"/>
      <c r="CM345" s="196"/>
    </row>
    <row r="346" spans="1:91">
      <c r="A346" s="159" t="s">
        <v>7660</v>
      </c>
      <c r="B346" s="112" t="s">
        <v>269</v>
      </c>
      <c r="C346" s="112">
        <v>2</v>
      </c>
      <c r="D346" s="112">
        <v>105</v>
      </c>
      <c r="E346" s="113">
        <v>21</v>
      </c>
      <c r="F346" s="113">
        <v>10</v>
      </c>
      <c r="M346" s="185">
        <v>4.68</v>
      </c>
      <c r="N346" s="157">
        <v>41837</v>
      </c>
      <c r="R346" s="185"/>
      <c r="S346" s="137">
        <v>12.32</v>
      </c>
      <c r="T346" s="157">
        <v>41837</v>
      </c>
      <c r="U346" s="142">
        <v>18</v>
      </c>
      <c r="Y346" s="142">
        <f t="shared" si="5"/>
        <v>9.9188799999999997</v>
      </c>
      <c r="Z346" s="157">
        <v>41837</v>
      </c>
      <c r="AE346" s="137">
        <v>26.38</v>
      </c>
      <c r="AF346" s="157">
        <v>41837</v>
      </c>
      <c r="AG346" s="185">
        <v>5.19</v>
      </c>
      <c r="AH346" s="157">
        <v>41837</v>
      </c>
      <c r="AM346" s="137">
        <v>92</v>
      </c>
      <c r="BM346" s="138">
        <v>59.5</v>
      </c>
      <c r="BN346" s="157">
        <v>41837</v>
      </c>
      <c r="BS346" s="138">
        <v>46.71</v>
      </c>
      <c r="BT346" s="157">
        <v>41837</v>
      </c>
      <c r="BU346" s="138">
        <v>37.6</v>
      </c>
      <c r="BV346" s="157">
        <v>41837</v>
      </c>
      <c r="BW346" s="138">
        <v>53.6</v>
      </c>
      <c r="BX346" s="157">
        <v>41837</v>
      </c>
      <c r="CC346" s="138">
        <v>6.9</v>
      </c>
      <c r="CD346" s="157">
        <v>41837</v>
      </c>
      <c r="CI346" s="138">
        <v>1</v>
      </c>
    </row>
    <row r="347" spans="1:91">
      <c r="A347" s="159" t="s">
        <v>7633</v>
      </c>
      <c r="B347" s="112" t="s">
        <v>269</v>
      </c>
      <c r="C347" s="112">
        <v>2</v>
      </c>
      <c r="D347" s="112">
        <v>90</v>
      </c>
      <c r="E347" s="113">
        <v>22</v>
      </c>
      <c r="F347" s="113">
        <v>10</v>
      </c>
      <c r="M347" s="185">
        <v>5.72</v>
      </c>
      <c r="N347" s="157">
        <v>41837</v>
      </c>
      <c r="R347" s="185"/>
      <c r="S347" s="137">
        <v>15.34</v>
      </c>
      <c r="T347" s="157">
        <v>41837</v>
      </c>
      <c r="U347" s="142">
        <v>18</v>
      </c>
      <c r="Y347" s="142">
        <f t="shared" si="5"/>
        <v>13.166450000000003</v>
      </c>
      <c r="Z347" s="157">
        <v>41837</v>
      </c>
      <c r="AE347" s="137">
        <v>32.35</v>
      </c>
      <c r="AF347" s="157">
        <v>41837</v>
      </c>
      <c r="AG347" s="185">
        <v>4.66</v>
      </c>
      <c r="AH347" s="157">
        <v>41837</v>
      </c>
      <c r="AM347" s="137">
        <v>94</v>
      </c>
      <c r="BM347" s="138">
        <v>62.39</v>
      </c>
      <c r="BN347" s="157">
        <v>41837</v>
      </c>
      <c r="BS347" s="138">
        <v>47.43</v>
      </c>
      <c r="BT347" s="157">
        <v>41837</v>
      </c>
      <c r="BU347" s="138">
        <v>40.700000000000003</v>
      </c>
      <c r="BV347" s="157">
        <v>41837</v>
      </c>
      <c r="BW347" s="138">
        <v>57.3</v>
      </c>
      <c r="BX347" s="157">
        <v>41837</v>
      </c>
      <c r="CC347" s="138">
        <v>6.6</v>
      </c>
      <c r="CD347" s="157">
        <v>41837</v>
      </c>
      <c r="CI347" s="138">
        <v>5</v>
      </c>
    </row>
    <row r="348" spans="1:91">
      <c r="A348" s="159" t="s">
        <v>7645</v>
      </c>
      <c r="B348" s="112" t="s">
        <v>269</v>
      </c>
      <c r="C348" s="112">
        <v>2</v>
      </c>
      <c r="D348" s="112">
        <v>183</v>
      </c>
      <c r="E348" s="113">
        <v>23</v>
      </c>
      <c r="F348" s="113">
        <v>10</v>
      </c>
      <c r="M348" s="185">
        <v>2.1800000000000002</v>
      </c>
      <c r="N348" s="157">
        <v>41837</v>
      </c>
      <c r="R348" s="185"/>
      <c r="S348" s="137">
        <v>5.7</v>
      </c>
      <c r="T348" s="157">
        <v>41837</v>
      </c>
      <c r="U348" s="142">
        <v>18</v>
      </c>
      <c r="Y348" s="142">
        <f t="shared" si="5"/>
        <v>5.1087600000000002</v>
      </c>
      <c r="Z348" s="157">
        <v>41837</v>
      </c>
      <c r="AE348" s="137">
        <v>12.34</v>
      </c>
      <c r="AF348" s="157">
        <v>41837</v>
      </c>
      <c r="AG348" s="185">
        <v>3.6</v>
      </c>
      <c r="AH348" s="157">
        <v>41837</v>
      </c>
      <c r="AM348" s="137">
        <v>90</v>
      </c>
      <c r="BM348" s="138">
        <v>60.68</v>
      </c>
      <c r="BN348" s="157">
        <v>41837</v>
      </c>
      <c r="BS348" s="138">
        <v>46.17</v>
      </c>
      <c r="BT348" s="157">
        <v>41837</v>
      </c>
      <c r="BU348" s="138">
        <v>41.4</v>
      </c>
      <c r="BV348" s="157">
        <v>41837</v>
      </c>
      <c r="BW348" s="138">
        <v>48.8</v>
      </c>
      <c r="BX348" s="157">
        <v>41837</v>
      </c>
      <c r="CC348" s="138">
        <v>6.5</v>
      </c>
      <c r="CD348" s="157">
        <v>41837</v>
      </c>
      <c r="CI348" s="138">
        <v>7</v>
      </c>
    </row>
    <row r="349" spans="1:91">
      <c r="A349" s="159" t="s">
        <v>7751</v>
      </c>
      <c r="B349" s="112" t="s">
        <v>269</v>
      </c>
      <c r="C349" s="112">
        <v>2</v>
      </c>
      <c r="D349" s="112">
        <v>168</v>
      </c>
      <c r="E349" s="113">
        <v>24</v>
      </c>
      <c r="F349" s="113">
        <v>10</v>
      </c>
      <c r="M349" s="185">
        <v>3.35</v>
      </c>
      <c r="N349" s="157">
        <v>41837</v>
      </c>
      <c r="R349" s="185"/>
      <c r="S349" s="137">
        <v>8.42</v>
      </c>
      <c r="T349" s="157">
        <v>41837</v>
      </c>
      <c r="U349" s="142">
        <v>18</v>
      </c>
      <c r="Y349" s="142">
        <f t="shared" si="5"/>
        <v>7.6932899999999993</v>
      </c>
      <c r="Z349" s="157">
        <v>41837</v>
      </c>
      <c r="AE349" s="137">
        <v>18.809999999999999</v>
      </c>
      <c r="AF349" s="157">
        <v>41837</v>
      </c>
      <c r="AG349" s="185">
        <v>4.6399999999999997</v>
      </c>
      <c r="AH349" s="157">
        <v>41837</v>
      </c>
      <c r="AM349" s="137">
        <v>90</v>
      </c>
      <c r="BM349" s="138">
        <v>63.28</v>
      </c>
      <c r="BN349" s="157">
        <v>41837</v>
      </c>
      <c r="BS349" s="138">
        <v>44.74</v>
      </c>
      <c r="BT349" s="157">
        <v>41837</v>
      </c>
      <c r="BU349" s="138">
        <v>40.9</v>
      </c>
      <c r="BV349" s="157">
        <v>41837</v>
      </c>
      <c r="BW349" s="138">
        <v>63.4</v>
      </c>
      <c r="BX349" s="157">
        <v>41837</v>
      </c>
      <c r="CC349" s="138">
        <v>7.3</v>
      </c>
      <c r="CD349" s="157">
        <v>41837</v>
      </c>
      <c r="CI349" s="138">
        <v>1</v>
      </c>
    </row>
    <row r="350" spans="1:91">
      <c r="A350" s="159" t="s">
        <v>7791</v>
      </c>
      <c r="B350" s="112" t="s">
        <v>269</v>
      </c>
      <c r="C350" s="112">
        <v>2</v>
      </c>
      <c r="D350" s="112">
        <v>82</v>
      </c>
      <c r="E350" s="113">
        <v>25</v>
      </c>
      <c r="F350" s="113">
        <v>10</v>
      </c>
      <c r="M350" s="185">
        <v>6.51</v>
      </c>
      <c r="N350" s="157">
        <v>41837</v>
      </c>
      <c r="R350" s="185"/>
      <c r="S350" s="137">
        <v>17.690000000000001</v>
      </c>
      <c r="T350" s="157">
        <v>41837</v>
      </c>
      <c r="U350" s="142">
        <v>18</v>
      </c>
      <c r="Y350" s="142">
        <f t="shared" si="5"/>
        <v>15.067259999999999</v>
      </c>
      <c r="Z350" s="157">
        <v>41837</v>
      </c>
      <c r="AE350" s="137">
        <v>36.659999999999997</v>
      </c>
      <c r="AF350" s="157">
        <v>41837</v>
      </c>
      <c r="AG350" s="185">
        <v>5.79</v>
      </c>
      <c r="AH350" s="157">
        <v>41837</v>
      </c>
      <c r="AM350" s="137">
        <v>87</v>
      </c>
      <c r="BM350" s="138">
        <v>61.17</v>
      </c>
      <c r="BN350" s="157">
        <v>41837</v>
      </c>
      <c r="BS350" s="138">
        <v>48.25</v>
      </c>
      <c r="BT350" s="157">
        <v>41837</v>
      </c>
      <c r="BU350" s="138">
        <v>41.1</v>
      </c>
      <c r="BV350" s="157">
        <v>41837</v>
      </c>
      <c r="BW350" s="138">
        <v>15.2</v>
      </c>
      <c r="BX350" s="157">
        <v>41837</v>
      </c>
      <c r="CC350" s="138">
        <v>7</v>
      </c>
      <c r="CD350" s="157">
        <v>41837</v>
      </c>
      <c r="CI350" s="138">
        <v>9</v>
      </c>
    </row>
    <row r="351" spans="1:91">
      <c r="A351" s="159" t="s">
        <v>7630</v>
      </c>
      <c r="B351" s="112" t="s">
        <v>269</v>
      </c>
      <c r="C351" s="112">
        <v>2</v>
      </c>
      <c r="D351" s="112">
        <v>147</v>
      </c>
      <c r="E351" s="113">
        <v>26</v>
      </c>
      <c r="F351" s="113">
        <v>10</v>
      </c>
      <c r="M351" s="185">
        <v>4.78</v>
      </c>
      <c r="N351" s="157">
        <v>41837</v>
      </c>
      <c r="R351" s="185"/>
      <c r="S351" s="137">
        <v>12.74</v>
      </c>
      <c r="T351" s="157">
        <v>41837</v>
      </c>
      <c r="U351" s="142">
        <v>18</v>
      </c>
      <c r="Y351" s="142">
        <f t="shared" si="5"/>
        <v>10.924159999999999</v>
      </c>
      <c r="Z351" s="157">
        <v>41837</v>
      </c>
      <c r="AE351" s="137">
        <v>27.04</v>
      </c>
      <c r="AF351" s="157">
        <v>41837</v>
      </c>
      <c r="AG351" s="185">
        <v>5.85</v>
      </c>
      <c r="AH351" s="157">
        <v>41837</v>
      </c>
      <c r="AM351" s="137">
        <v>85</v>
      </c>
      <c r="BM351" s="138">
        <v>63.59</v>
      </c>
      <c r="BN351" s="157">
        <v>41837</v>
      </c>
      <c r="BS351" s="138">
        <v>47.11</v>
      </c>
      <c r="BT351" s="157">
        <v>41837</v>
      </c>
      <c r="BU351" s="138">
        <v>40.4</v>
      </c>
      <c r="BV351" s="157">
        <v>41837</v>
      </c>
      <c r="BW351" s="138">
        <v>53.4</v>
      </c>
      <c r="BX351" s="157">
        <v>41837</v>
      </c>
      <c r="CC351" s="138">
        <v>6.6</v>
      </c>
      <c r="CD351" s="157">
        <v>41837</v>
      </c>
      <c r="CI351" s="138">
        <v>3</v>
      </c>
    </row>
    <row r="352" spans="1:91">
      <c r="A352" s="159" t="s">
        <v>7658</v>
      </c>
      <c r="B352" s="112" t="s">
        <v>269</v>
      </c>
      <c r="C352" s="112">
        <v>2</v>
      </c>
      <c r="D352" s="112">
        <v>178</v>
      </c>
      <c r="E352" s="113">
        <v>27</v>
      </c>
      <c r="F352" s="113">
        <v>10</v>
      </c>
      <c r="M352" s="185">
        <v>4.53</v>
      </c>
      <c r="N352" s="157">
        <v>41837</v>
      </c>
      <c r="R352" s="185"/>
      <c r="S352" s="137">
        <v>11.58</v>
      </c>
      <c r="T352" s="157">
        <v>41837</v>
      </c>
      <c r="U352" s="142">
        <v>18</v>
      </c>
      <c r="Y352" s="142">
        <f t="shared" si="5"/>
        <v>10.145519999999999</v>
      </c>
      <c r="Z352" s="157">
        <v>41837</v>
      </c>
      <c r="AE352" s="137">
        <v>25.62</v>
      </c>
      <c r="AF352" s="157">
        <v>41837</v>
      </c>
      <c r="AG352" s="185">
        <v>5.3</v>
      </c>
      <c r="AH352" s="157">
        <v>41837</v>
      </c>
      <c r="AM352" s="137">
        <v>85</v>
      </c>
      <c r="BM352" s="138">
        <v>60.69</v>
      </c>
      <c r="BN352" s="157">
        <v>41837</v>
      </c>
      <c r="BS352" s="138">
        <v>45.18</v>
      </c>
      <c r="BT352" s="157">
        <v>41837</v>
      </c>
      <c r="BU352" s="138">
        <v>39.6</v>
      </c>
      <c r="BV352" s="157">
        <v>41837</v>
      </c>
      <c r="BW352" s="138">
        <v>57.5</v>
      </c>
      <c r="BX352" s="157">
        <v>41837</v>
      </c>
      <c r="CC352" s="138">
        <v>6.6</v>
      </c>
      <c r="CD352" s="157">
        <v>41837</v>
      </c>
      <c r="CI352" s="138">
        <v>3</v>
      </c>
    </row>
    <row r="353" spans="1:91">
      <c r="A353" s="159" t="s">
        <v>7700</v>
      </c>
      <c r="B353" s="112" t="s">
        <v>269</v>
      </c>
      <c r="C353" s="112">
        <v>2</v>
      </c>
      <c r="D353" s="112">
        <v>163</v>
      </c>
      <c r="E353" s="113">
        <v>28</v>
      </c>
      <c r="F353" s="113">
        <v>10</v>
      </c>
      <c r="M353" s="185">
        <v>6.49</v>
      </c>
      <c r="N353" s="157">
        <v>41837</v>
      </c>
      <c r="R353" s="185"/>
      <c r="S353" s="137">
        <v>16.71</v>
      </c>
      <c r="T353" s="157">
        <v>41837</v>
      </c>
      <c r="U353" s="142">
        <v>18</v>
      </c>
      <c r="Y353" s="142">
        <f t="shared" si="5"/>
        <v>14.489640000000001</v>
      </c>
      <c r="Z353" s="157">
        <v>41837</v>
      </c>
      <c r="AE353" s="137">
        <v>36.590000000000003</v>
      </c>
      <c r="AF353" s="157">
        <v>41837</v>
      </c>
      <c r="AG353" s="185">
        <v>5.16</v>
      </c>
      <c r="AH353" s="157">
        <v>41837</v>
      </c>
      <c r="AM353" s="137">
        <v>94</v>
      </c>
      <c r="BM353" s="138">
        <v>63.14</v>
      </c>
      <c r="BN353" s="157">
        <v>41837</v>
      </c>
      <c r="BS353" s="138">
        <v>45.67</v>
      </c>
      <c r="BT353" s="157">
        <v>41837</v>
      </c>
      <c r="BU353" s="138">
        <v>39.6</v>
      </c>
      <c r="BV353" s="157">
        <v>41837</v>
      </c>
      <c r="BW353" s="138">
        <v>19.600000000000001</v>
      </c>
      <c r="BX353" s="157">
        <v>41837</v>
      </c>
      <c r="CC353" s="138">
        <v>6.9</v>
      </c>
      <c r="CD353" s="157">
        <v>41837</v>
      </c>
      <c r="CI353" s="138">
        <v>7</v>
      </c>
    </row>
    <row r="354" spans="1:91">
      <c r="A354" s="189" t="s">
        <v>7759</v>
      </c>
      <c r="B354" s="190" t="s">
        <v>269</v>
      </c>
      <c r="C354" s="190">
        <v>2</v>
      </c>
      <c r="D354" s="190">
        <v>6</v>
      </c>
      <c r="E354" s="191">
        <v>29</v>
      </c>
      <c r="F354" s="191">
        <v>10</v>
      </c>
      <c r="G354" s="191"/>
      <c r="H354" s="191"/>
      <c r="I354" s="201"/>
      <c r="J354" s="190"/>
      <c r="K354" s="192"/>
      <c r="L354" s="193"/>
      <c r="M354" s="194">
        <v>3.71</v>
      </c>
      <c r="N354" s="193">
        <v>41837</v>
      </c>
      <c r="P354" s="193"/>
      <c r="Q354" s="192"/>
      <c r="R354" s="194"/>
      <c r="S354" s="192">
        <v>10.02</v>
      </c>
      <c r="T354" s="193">
        <v>41837</v>
      </c>
      <c r="U354" s="192">
        <v>18</v>
      </c>
      <c r="V354" s="193"/>
      <c r="W354" s="192"/>
      <c r="X354" s="193"/>
      <c r="Y354" s="192">
        <f t="shared" si="5"/>
        <v>8.2359200000000001</v>
      </c>
      <c r="Z354" s="193">
        <v>41837</v>
      </c>
      <c r="AA354" s="192"/>
      <c r="AB354" s="193"/>
      <c r="AC354" s="195"/>
      <c r="AD354" s="193"/>
      <c r="AE354" s="192">
        <v>21.01</v>
      </c>
      <c r="AF354" s="193">
        <v>41837</v>
      </c>
      <c r="AG354" s="194">
        <v>4.79</v>
      </c>
      <c r="AH354" s="193">
        <v>41837</v>
      </c>
      <c r="AI354" s="193"/>
      <c r="AJ354" s="193"/>
      <c r="AK354" s="192"/>
      <c r="AL354" s="193"/>
      <c r="AM354" s="192">
        <v>92</v>
      </c>
      <c r="AN354" s="193"/>
      <c r="AO354" s="195"/>
      <c r="AP354" s="195"/>
      <c r="AQ354" s="195"/>
      <c r="AR354" s="195"/>
      <c r="AS354" s="195"/>
      <c r="AT354" s="195"/>
      <c r="AU354" s="195"/>
      <c r="AV354" s="195"/>
      <c r="AW354" s="195"/>
      <c r="AX354" s="195"/>
      <c r="AY354" s="195"/>
      <c r="AZ354" s="195"/>
      <c r="BA354" s="195"/>
      <c r="BB354" s="195"/>
      <c r="BC354" s="195"/>
      <c r="BD354" s="195"/>
      <c r="BE354" s="196"/>
      <c r="BF354" s="196"/>
      <c r="BG354" s="196"/>
      <c r="BH354" s="196"/>
      <c r="BI354" s="196"/>
      <c r="BJ354" s="196"/>
      <c r="BK354" s="196"/>
      <c r="BL354" s="196"/>
      <c r="BM354" s="196">
        <v>57.65</v>
      </c>
      <c r="BN354" s="193">
        <v>41837</v>
      </c>
      <c r="BO354" s="196"/>
      <c r="BP354" s="196"/>
      <c r="BQ354" s="196"/>
      <c r="BR354" s="196"/>
      <c r="BS354" s="196">
        <v>47.69</v>
      </c>
      <c r="BT354" s="193">
        <v>41837</v>
      </c>
      <c r="BU354" s="196">
        <v>39.200000000000003</v>
      </c>
      <c r="BV354" s="193">
        <v>41837</v>
      </c>
      <c r="BW354" s="196">
        <v>14.2</v>
      </c>
      <c r="BX354" s="193">
        <v>41837</v>
      </c>
      <c r="BY354" s="196"/>
      <c r="BZ354" s="196"/>
      <c r="CA354" s="196"/>
      <c r="CB354" s="196"/>
      <c r="CC354" s="196">
        <v>6.5</v>
      </c>
      <c r="CD354" s="193">
        <v>41837</v>
      </c>
      <c r="CE354" s="196"/>
      <c r="CF354" s="196"/>
      <c r="CG354" s="196"/>
      <c r="CH354" s="196"/>
      <c r="CI354" s="196">
        <v>5</v>
      </c>
      <c r="CJ354" s="196"/>
      <c r="CK354" s="196"/>
      <c r="CL354" s="196"/>
      <c r="CM354" s="196"/>
    </row>
    <row r="355" spans="1:91">
      <c r="A355" s="159" t="s">
        <v>7618</v>
      </c>
      <c r="B355" s="112" t="s">
        <v>269</v>
      </c>
      <c r="C355" s="112">
        <v>2</v>
      </c>
      <c r="D355" s="112">
        <v>122</v>
      </c>
      <c r="E355" s="113">
        <v>30</v>
      </c>
      <c r="F355" s="113">
        <v>10</v>
      </c>
      <c r="M355" s="185">
        <v>2.09</v>
      </c>
      <c r="N355" s="157">
        <v>41837</v>
      </c>
      <c r="R355" s="185"/>
      <c r="S355" s="137">
        <v>5.39</v>
      </c>
      <c r="T355" s="157">
        <v>41837</v>
      </c>
      <c r="U355" s="142">
        <v>18</v>
      </c>
      <c r="Y355" s="142">
        <f t="shared" si="5"/>
        <v>4.8584999999999994</v>
      </c>
      <c r="Z355" s="157">
        <v>41837</v>
      </c>
      <c r="AE355" s="137">
        <v>11.85</v>
      </c>
      <c r="AF355" s="157">
        <v>41837</v>
      </c>
      <c r="AG355" s="185">
        <v>4.63</v>
      </c>
      <c r="AH355" s="157">
        <v>41837</v>
      </c>
      <c r="AM355" s="137">
        <v>90</v>
      </c>
      <c r="BM355" s="138">
        <v>62.33</v>
      </c>
      <c r="BN355" s="157">
        <v>41837</v>
      </c>
      <c r="BS355" s="138">
        <v>45.51</v>
      </c>
      <c r="BT355" s="157">
        <v>41837</v>
      </c>
      <c r="BU355" s="138">
        <v>41</v>
      </c>
      <c r="BV355" s="157">
        <v>41837</v>
      </c>
      <c r="BW355" s="138">
        <v>55.3</v>
      </c>
      <c r="BX355" s="157">
        <v>41837</v>
      </c>
      <c r="CC355" s="138">
        <v>6.4</v>
      </c>
      <c r="CD355" s="157">
        <v>41837</v>
      </c>
      <c r="CI355" s="138">
        <v>1</v>
      </c>
    </row>
    <row r="356" spans="1:91">
      <c r="A356" s="159" t="s">
        <v>7768</v>
      </c>
      <c r="B356" s="112" t="s">
        <v>269</v>
      </c>
      <c r="C356" s="112">
        <v>2</v>
      </c>
      <c r="D356" s="112">
        <v>140</v>
      </c>
      <c r="E356" s="113">
        <v>31</v>
      </c>
      <c r="F356" s="113">
        <v>10</v>
      </c>
      <c r="M356" s="185">
        <v>6.29</v>
      </c>
      <c r="N356" s="157">
        <v>41837</v>
      </c>
      <c r="R356" s="185"/>
      <c r="S356" s="137">
        <v>17.440000000000001</v>
      </c>
      <c r="T356" s="157">
        <v>41837</v>
      </c>
      <c r="U356" s="142">
        <v>18</v>
      </c>
      <c r="Y356" s="142">
        <f t="shared" si="5"/>
        <v>14.44548</v>
      </c>
      <c r="Z356" s="157">
        <v>41837</v>
      </c>
      <c r="AE356" s="137">
        <v>35.58</v>
      </c>
      <c r="AF356" s="157">
        <v>41837</v>
      </c>
      <c r="AG356" s="185">
        <v>5.91</v>
      </c>
      <c r="AH356" s="157">
        <v>41837</v>
      </c>
      <c r="AM356" s="137">
        <v>85</v>
      </c>
      <c r="BM356" s="138">
        <v>62.42</v>
      </c>
      <c r="BN356" s="157">
        <v>41837</v>
      </c>
      <c r="BS356" s="138">
        <v>49.03</v>
      </c>
      <c r="BT356" s="157">
        <v>41837</v>
      </c>
      <c r="BU356" s="138">
        <v>40.6</v>
      </c>
      <c r="BV356" s="157">
        <v>41837</v>
      </c>
      <c r="BW356" s="138">
        <v>12.4</v>
      </c>
      <c r="BX356" s="157">
        <v>41837</v>
      </c>
      <c r="CC356" s="138">
        <v>6.6</v>
      </c>
      <c r="CD356" s="157">
        <v>41837</v>
      </c>
      <c r="CI356" s="138">
        <v>9</v>
      </c>
    </row>
    <row r="357" spans="1:91">
      <c r="A357" s="159" t="s">
        <v>7727</v>
      </c>
      <c r="B357" s="112" t="s">
        <v>269</v>
      </c>
      <c r="C357" s="112">
        <v>2</v>
      </c>
      <c r="D357" s="112">
        <v>40</v>
      </c>
      <c r="E357" s="113">
        <v>32</v>
      </c>
      <c r="F357" s="113">
        <v>10</v>
      </c>
      <c r="M357" s="185">
        <v>6.02</v>
      </c>
      <c r="N357" s="157">
        <v>41837</v>
      </c>
      <c r="R357" s="185"/>
      <c r="S357" s="137">
        <v>16.77</v>
      </c>
      <c r="T357" s="157">
        <v>41837</v>
      </c>
      <c r="U357" s="142">
        <v>18</v>
      </c>
      <c r="Y357" s="142">
        <f t="shared" si="5"/>
        <v>13.727919999999999</v>
      </c>
      <c r="Z357" s="157">
        <v>41837</v>
      </c>
      <c r="AE357" s="137">
        <v>33.979999999999997</v>
      </c>
      <c r="AF357" s="157">
        <v>41837</v>
      </c>
      <c r="AG357" s="185">
        <v>5.59</v>
      </c>
      <c r="AH357" s="157">
        <v>41837</v>
      </c>
      <c r="AM357" s="137">
        <v>92</v>
      </c>
      <c r="BM357" s="138">
        <v>60.89</v>
      </c>
      <c r="BN357" s="157">
        <v>41837</v>
      </c>
      <c r="BS357" s="138">
        <v>49.35</v>
      </c>
      <c r="BT357" s="157">
        <v>41837</v>
      </c>
      <c r="BU357" s="138">
        <v>40.4</v>
      </c>
      <c r="BV357" s="157">
        <v>41837</v>
      </c>
      <c r="BW357" s="138">
        <v>9.6999999999999993</v>
      </c>
      <c r="BX357" s="157">
        <v>41837</v>
      </c>
      <c r="CC357" s="138">
        <v>6.8</v>
      </c>
      <c r="CD357" s="157">
        <v>41837</v>
      </c>
      <c r="CI357" s="138">
        <v>9</v>
      </c>
    </row>
    <row r="358" spans="1:91">
      <c r="A358" s="159" t="s">
        <v>7684</v>
      </c>
      <c r="B358" s="112" t="s">
        <v>269</v>
      </c>
      <c r="C358" s="112">
        <v>2</v>
      </c>
      <c r="D358" s="112">
        <v>61</v>
      </c>
      <c r="E358" s="113">
        <v>33</v>
      </c>
      <c r="F358" s="113">
        <v>10</v>
      </c>
      <c r="M358" s="185">
        <v>6.05</v>
      </c>
      <c r="N358" s="157">
        <v>41837</v>
      </c>
      <c r="R358" s="185"/>
      <c r="S358" s="137">
        <v>16.329999999999998</v>
      </c>
      <c r="T358" s="157">
        <v>41837</v>
      </c>
      <c r="U358" s="142">
        <v>18</v>
      </c>
      <c r="Y358" s="142">
        <f t="shared" si="5"/>
        <v>14.13396</v>
      </c>
      <c r="Z358" s="157">
        <v>41837</v>
      </c>
      <c r="AE358" s="137">
        <v>34.14</v>
      </c>
      <c r="AF358" s="157">
        <v>41837</v>
      </c>
      <c r="AG358" s="185">
        <v>5.65</v>
      </c>
      <c r="AH358" s="157">
        <v>41837</v>
      </c>
      <c r="AM358" s="137">
        <v>92</v>
      </c>
      <c r="BM358" s="138">
        <v>69.88</v>
      </c>
      <c r="BN358" s="157">
        <v>41837</v>
      </c>
      <c r="BS358" s="138">
        <v>47.84</v>
      </c>
      <c r="BT358" s="157">
        <v>41837</v>
      </c>
      <c r="BU358" s="138">
        <v>41.4</v>
      </c>
      <c r="BV358" s="157">
        <v>41837</v>
      </c>
      <c r="BW358" s="138">
        <v>20.8</v>
      </c>
      <c r="BX358" s="157">
        <v>41837</v>
      </c>
      <c r="CC358" s="138">
        <v>6.8</v>
      </c>
      <c r="CD358" s="157">
        <v>41837</v>
      </c>
      <c r="CI358" s="138">
        <v>5</v>
      </c>
    </row>
    <row r="359" spans="1:91">
      <c r="A359" s="159" t="s">
        <v>7632</v>
      </c>
      <c r="B359" s="112" t="s">
        <v>269</v>
      </c>
      <c r="C359" s="112">
        <v>2</v>
      </c>
      <c r="D359" s="112">
        <v>154</v>
      </c>
      <c r="E359" s="113">
        <v>34</v>
      </c>
      <c r="F359" s="113">
        <v>10</v>
      </c>
      <c r="M359" s="185">
        <v>4.42</v>
      </c>
      <c r="N359" s="157">
        <v>41837</v>
      </c>
      <c r="R359" s="185"/>
      <c r="S359" s="137">
        <v>11.57</v>
      </c>
      <c r="T359" s="157">
        <v>41837</v>
      </c>
      <c r="U359" s="142">
        <v>18</v>
      </c>
      <c r="Y359" s="142">
        <f t="shared" si="5"/>
        <v>10.307880000000001</v>
      </c>
      <c r="Z359" s="157">
        <v>41837</v>
      </c>
      <c r="AE359" s="137">
        <v>25.08</v>
      </c>
      <c r="AF359" s="157">
        <v>41837</v>
      </c>
      <c r="AG359" s="185">
        <v>5.12</v>
      </c>
      <c r="AH359" s="157">
        <v>41837</v>
      </c>
      <c r="AM359" s="137">
        <v>90</v>
      </c>
      <c r="BM359" s="138">
        <v>61.98</v>
      </c>
      <c r="BN359" s="157">
        <v>41837</v>
      </c>
      <c r="BS359" s="138">
        <v>46.12</v>
      </c>
      <c r="BT359" s="157">
        <v>41837</v>
      </c>
      <c r="BU359" s="138">
        <v>41.1</v>
      </c>
      <c r="BV359" s="157">
        <v>41837</v>
      </c>
      <c r="BW359" s="138">
        <v>50.3</v>
      </c>
      <c r="BX359" s="157">
        <v>41837</v>
      </c>
      <c r="CC359" s="138">
        <v>6.3</v>
      </c>
      <c r="CD359" s="157">
        <v>41837</v>
      </c>
      <c r="CI359" s="138">
        <v>7</v>
      </c>
    </row>
    <row r="360" spans="1:91">
      <c r="A360" s="159" t="s">
        <v>7613</v>
      </c>
      <c r="B360" s="112" t="s">
        <v>269</v>
      </c>
      <c r="C360" s="112">
        <v>2</v>
      </c>
      <c r="D360" s="112">
        <v>209</v>
      </c>
      <c r="E360" s="113">
        <v>35</v>
      </c>
      <c r="F360" s="113">
        <v>10</v>
      </c>
      <c r="M360" s="185">
        <v>1.9</v>
      </c>
      <c r="N360" s="157">
        <v>41837</v>
      </c>
      <c r="R360" s="185"/>
      <c r="S360" s="137">
        <v>5.0599999999999996</v>
      </c>
      <c r="T360" s="157">
        <v>41837</v>
      </c>
      <c r="U360" s="142">
        <v>18</v>
      </c>
      <c r="Y360" s="142">
        <f t="shared" si="5"/>
        <v>4.4145599999999998</v>
      </c>
      <c r="Z360" s="157">
        <v>41837</v>
      </c>
      <c r="AE360" s="137">
        <v>10.82</v>
      </c>
      <c r="AF360" s="157">
        <v>41837</v>
      </c>
      <c r="AG360" s="185">
        <v>4.78</v>
      </c>
      <c r="AH360" s="157">
        <v>41837</v>
      </c>
      <c r="AM360" s="137">
        <v>83</v>
      </c>
      <c r="BM360" s="138">
        <v>64.42</v>
      </c>
      <c r="BN360" s="157">
        <v>41837</v>
      </c>
      <c r="BS360" s="138">
        <v>46.74</v>
      </c>
      <c r="BT360" s="157">
        <v>41837</v>
      </c>
      <c r="BU360" s="138">
        <v>40.799999999999997</v>
      </c>
      <c r="BV360" s="157">
        <v>41837</v>
      </c>
      <c r="BW360" s="138">
        <v>42.1</v>
      </c>
      <c r="BX360" s="157">
        <v>41837</v>
      </c>
      <c r="CC360" s="138">
        <v>6</v>
      </c>
      <c r="CD360" s="157">
        <v>41837</v>
      </c>
      <c r="CI360" s="138">
        <v>1</v>
      </c>
    </row>
    <row r="361" spans="1:91">
      <c r="A361" s="159" t="s">
        <v>7617</v>
      </c>
      <c r="B361" s="112" t="s">
        <v>269</v>
      </c>
      <c r="C361" s="112">
        <v>2</v>
      </c>
      <c r="D361" s="112">
        <v>126</v>
      </c>
      <c r="E361" s="113">
        <v>36</v>
      </c>
      <c r="F361" s="113">
        <v>10</v>
      </c>
      <c r="M361" s="185">
        <v>3.36</v>
      </c>
      <c r="N361" s="157">
        <v>41837</v>
      </c>
      <c r="R361" s="185"/>
      <c r="S361" s="137">
        <v>8.82</v>
      </c>
      <c r="T361" s="157">
        <v>41837</v>
      </c>
      <c r="U361" s="142">
        <v>18</v>
      </c>
      <c r="Y361" s="142">
        <f t="shared" si="5"/>
        <v>8.0264400000000009</v>
      </c>
      <c r="Z361" s="157">
        <v>41837</v>
      </c>
      <c r="AE361" s="137">
        <v>19.02</v>
      </c>
      <c r="AF361" s="157">
        <v>41837</v>
      </c>
      <c r="AG361" s="185">
        <v>5.74</v>
      </c>
      <c r="AH361" s="157">
        <v>41837</v>
      </c>
      <c r="AM361" s="137">
        <v>80</v>
      </c>
      <c r="BM361" s="138">
        <v>64.39</v>
      </c>
      <c r="BN361" s="157">
        <v>41837</v>
      </c>
      <c r="BS361" s="138">
        <v>46.37</v>
      </c>
      <c r="BT361" s="157">
        <v>41837</v>
      </c>
      <c r="BU361" s="138">
        <v>42.2</v>
      </c>
      <c r="BV361" s="157">
        <v>41837</v>
      </c>
      <c r="BW361" s="138">
        <v>61.7</v>
      </c>
      <c r="BX361" s="157">
        <v>41837</v>
      </c>
      <c r="CC361" s="138">
        <v>6.5</v>
      </c>
      <c r="CD361" s="157">
        <v>41837</v>
      </c>
      <c r="CI361" s="138">
        <v>3</v>
      </c>
    </row>
    <row r="362" spans="1:91">
      <c r="A362" s="159" t="s">
        <v>7787</v>
      </c>
      <c r="B362" s="112" t="s">
        <v>269</v>
      </c>
      <c r="C362" s="112">
        <v>2</v>
      </c>
      <c r="D362" s="112">
        <v>35</v>
      </c>
      <c r="E362" s="113">
        <v>1</v>
      </c>
      <c r="F362" s="113">
        <v>11</v>
      </c>
      <c r="M362" s="185">
        <v>6.37</v>
      </c>
      <c r="N362" s="157">
        <v>41837</v>
      </c>
      <c r="R362" s="185"/>
      <c r="S362" s="137">
        <v>17.04</v>
      </c>
      <c r="T362" s="157">
        <v>41837</v>
      </c>
      <c r="U362" s="142">
        <v>18</v>
      </c>
      <c r="Y362" s="142">
        <f t="shared" si="5"/>
        <v>13.28618</v>
      </c>
      <c r="Z362" s="157">
        <v>41837</v>
      </c>
      <c r="AE362" s="137">
        <v>33.979999999999997</v>
      </c>
      <c r="AF362" s="157">
        <v>41837</v>
      </c>
      <c r="AG362" s="185">
        <v>5.69</v>
      </c>
      <c r="AH362" s="157">
        <v>41837</v>
      </c>
      <c r="AM362" s="137">
        <v>90</v>
      </c>
      <c r="BM362" s="138">
        <v>59.26</v>
      </c>
      <c r="BN362" s="157">
        <v>41837</v>
      </c>
      <c r="BS362" s="138">
        <v>50.15</v>
      </c>
      <c r="BT362" s="157">
        <v>41837</v>
      </c>
      <c r="BU362" s="138">
        <v>39.1</v>
      </c>
      <c r="BV362" s="157">
        <v>41837</v>
      </c>
      <c r="BW362" s="138">
        <v>13.7</v>
      </c>
      <c r="BX362" s="157">
        <v>41837</v>
      </c>
      <c r="CC362" s="138">
        <v>11.9</v>
      </c>
      <c r="CD362" s="157">
        <v>41837</v>
      </c>
      <c r="CI362" s="138">
        <v>7</v>
      </c>
    </row>
    <row r="363" spans="1:91">
      <c r="A363" s="159" t="s">
        <v>7635</v>
      </c>
      <c r="B363" s="112" t="s">
        <v>269</v>
      </c>
      <c r="C363" s="112">
        <v>2</v>
      </c>
      <c r="D363" s="112">
        <v>212</v>
      </c>
      <c r="E363" s="113">
        <v>2</v>
      </c>
      <c r="F363" s="113">
        <v>11</v>
      </c>
      <c r="M363" s="185">
        <v>1.62</v>
      </c>
      <c r="N363" s="157">
        <v>41837</v>
      </c>
      <c r="R363" s="185"/>
      <c r="S363" s="137">
        <v>4.34</v>
      </c>
      <c r="T363" s="157">
        <v>41837</v>
      </c>
      <c r="U363" s="142">
        <v>18</v>
      </c>
      <c r="Y363" s="142">
        <f t="shared" si="5"/>
        <v>3.7423500000000001</v>
      </c>
      <c r="Z363" s="157">
        <v>41837</v>
      </c>
      <c r="AE363" s="137">
        <v>9.15</v>
      </c>
      <c r="AF363" s="157">
        <v>41837</v>
      </c>
      <c r="AG363" s="185">
        <v>4.8099999999999996</v>
      </c>
      <c r="AH363" s="157">
        <v>41837</v>
      </c>
      <c r="AM363" s="137">
        <v>90</v>
      </c>
      <c r="BM363" s="138">
        <v>58.15</v>
      </c>
      <c r="BN363" s="157">
        <v>41837</v>
      </c>
      <c r="BS363" s="138">
        <v>47.43</v>
      </c>
      <c r="BT363" s="157">
        <v>41837</v>
      </c>
      <c r="BU363" s="138">
        <v>40.9</v>
      </c>
      <c r="BV363" s="157">
        <v>41837</v>
      </c>
      <c r="BW363" s="138">
        <v>40.1</v>
      </c>
      <c r="BX363" s="157">
        <v>41837</v>
      </c>
      <c r="CC363" s="138">
        <v>6.7</v>
      </c>
      <c r="CD363" s="157">
        <v>41837</v>
      </c>
      <c r="CI363" s="138">
        <v>1</v>
      </c>
    </row>
    <row r="364" spans="1:91">
      <c r="A364" s="159" t="s">
        <v>7809</v>
      </c>
      <c r="B364" s="112" t="s">
        <v>269</v>
      </c>
      <c r="C364" s="112">
        <v>2</v>
      </c>
      <c r="D364" s="112">
        <v>68</v>
      </c>
      <c r="E364" s="113">
        <v>3</v>
      </c>
      <c r="F364" s="113">
        <v>11</v>
      </c>
      <c r="M364" s="185">
        <v>6.79</v>
      </c>
      <c r="N364" s="157">
        <v>41837</v>
      </c>
      <c r="R364" s="185"/>
      <c r="S364" s="137">
        <v>18.91</v>
      </c>
      <c r="T364" s="157">
        <v>41837</v>
      </c>
      <c r="U364" s="142">
        <v>18</v>
      </c>
      <c r="Y364" s="142">
        <f t="shared" si="5"/>
        <v>14.396889999999999</v>
      </c>
      <c r="Z364" s="157">
        <v>41837</v>
      </c>
      <c r="AE364" s="137">
        <v>37.01</v>
      </c>
      <c r="AF364" s="157">
        <v>41837</v>
      </c>
      <c r="AG364" s="185">
        <v>4.5999999999999996</v>
      </c>
      <c r="AH364" s="157">
        <v>41837</v>
      </c>
      <c r="AM364" s="137">
        <v>90</v>
      </c>
      <c r="BM364" s="138">
        <v>59.49</v>
      </c>
      <c r="BN364" s="157">
        <v>41837</v>
      </c>
      <c r="BS364" s="138">
        <v>51.1</v>
      </c>
      <c r="BT364" s="157">
        <v>41837</v>
      </c>
      <c r="BU364" s="138">
        <v>38.9</v>
      </c>
      <c r="BV364" s="157">
        <v>41837</v>
      </c>
      <c r="BW364" s="138">
        <v>19.100000000000001</v>
      </c>
      <c r="BX364" s="157">
        <v>41837</v>
      </c>
      <c r="CC364" s="138">
        <v>10</v>
      </c>
      <c r="CD364" s="157">
        <v>41837</v>
      </c>
      <c r="CI364" s="138">
        <v>5</v>
      </c>
    </row>
    <row r="365" spans="1:91">
      <c r="A365" s="159" t="s">
        <v>7793</v>
      </c>
      <c r="B365" s="112" t="s">
        <v>269</v>
      </c>
      <c r="C365" s="112">
        <v>2</v>
      </c>
      <c r="D365" s="112">
        <v>8</v>
      </c>
      <c r="E365" s="113">
        <v>4</v>
      </c>
      <c r="F365" s="113">
        <v>11</v>
      </c>
      <c r="I365" s="200"/>
      <c r="K365" s="142"/>
      <c r="M365" s="185">
        <v>7.33</v>
      </c>
      <c r="N365" s="157">
        <v>41837</v>
      </c>
      <c r="Q365" s="142"/>
      <c r="R365" s="185"/>
      <c r="S365" s="142">
        <v>19.62</v>
      </c>
      <c r="T365" s="157">
        <v>41837</v>
      </c>
      <c r="U365" s="142">
        <v>18</v>
      </c>
      <c r="W365" s="142"/>
      <c r="Y365" s="142">
        <f t="shared" si="5"/>
        <v>15.380319999999999</v>
      </c>
      <c r="Z365" s="157">
        <v>41837</v>
      </c>
      <c r="AA365" s="142"/>
      <c r="AE365" s="142">
        <v>39.64</v>
      </c>
      <c r="AF365" s="157">
        <v>41837</v>
      </c>
      <c r="AG365" s="185">
        <v>5.43</v>
      </c>
      <c r="AH365" s="157">
        <v>41837</v>
      </c>
      <c r="AK365" s="142"/>
      <c r="AM365" s="142">
        <v>90</v>
      </c>
      <c r="BM365" s="138">
        <v>61.42</v>
      </c>
      <c r="BN365" s="157">
        <v>41837</v>
      </c>
      <c r="BS365" s="138">
        <v>49.49</v>
      </c>
      <c r="BT365" s="157">
        <v>41837</v>
      </c>
      <c r="BU365" s="138">
        <v>38.799999999999997</v>
      </c>
      <c r="BV365" s="157">
        <v>41837</v>
      </c>
      <c r="BW365" s="138">
        <v>16.600000000000001</v>
      </c>
      <c r="BX365" s="157">
        <v>41837</v>
      </c>
      <c r="CC365" s="138">
        <v>10.7</v>
      </c>
      <c r="CD365" s="157">
        <v>41837</v>
      </c>
      <c r="CI365" s="138">
        <v>7</v>
      </c>
    </row>
    <row r="366" spans="1:91">
      <c r="A366" s="159" t="s">
        <v>7856</v>
      </c>
      <c r="B366" s="112" t="s">
        <v>269</v>
      </c>
      <c r="C366" s="112">
        <v>2</v>
      </c>
      <c r="D366" s="112">
        <v>188</v>
      </c>
      <c r="E366" s="113">
        <v>5</v>
      </c>
      <c r="F366" s="113">
        <v>11</v>
      </c>
      <c r="M366" s="185">
        <v>5.0199999999999996</v>
      </c>
      <c r="N366" s="157">
        <v>41837</v>
      </c>
      <c r="R366" s="185"/>
      <c r="S366" s="137">
        <v>14.31</v>
      </c>
      <c r="T366" s="157">
        <v>41837</v>
      </c>
      <c r="U366" s="142">
        <v>18</v>
      </c>
      <c r="Y366" s="142">
        <f t="shared" si="5"/>
        <v>10.678039999999999</v>
      </c>
      <c r="Z366" s="157">
        <v>41837</v>
      </c>
      <c r="AE366" s="137">
        <v>27.88</v>
      </c>
      <c r="AF366" s="157">
        <v>41837</v>
      </c>
      <c r="AG366" s="185">
        <v>5.13</v>
      </c>
      <c r="AH366" s="157">
        <v>41837</v>
      </c>
      <c r="AM366" s="137">
        <v>83</v>
      </c>
      <c r="BM366" s="138">
        <v>61.86</v>
      </c>
      <c r="BN366" s="157">
        <v>41837</v>
      </c>
      <c r="BS366" s="138">
        <v>51.32</v>
      </c>
      <c r="BT366" s="157">
        <v>41837</v>
      </c>
      <c r="BU366" s="138">
        <v>38.299999999999997</v>
      </c>
      <c r="BV366" s="157">
        <v>41837</v>
      </c>
      <c r="BW366" s="138">
        <v>18</v>
      </c>
      <c r="BX366" s="157">
        <v>41837</v>
      </c>
      <c r="CC366" s="138">
        <v>8.3000000000000007</v>
      </c>
      <c r="CD366" s="157">
        <v>41837</v>
      </c>
      <c r="CI366" s="138">
        <v>9</v>
      </c>
    </row>
    <row r="367" spans="1:91">
      <c r="A367" s="159" t="s">
        <v>7856</v>
      </c>
      <c r="B367" s="112" t="s">
        <v>269</v>
      </c>
      <c r="C367" s="112">
        <v>2</v>
      </c>
      <c r="D367" s="112">
        <v>95</v>
      </c>
      <c r="E367" s="113">
        <v>6</v>
      </c>
      <c r="F367" s="113">
        <v>11</v>
      </c>
      <c r="M367" s="185">
        <v>6.18</v>
      </c>
      <c r="N367" s="157">
        <v>41837</v>
      </c>
      <c r="R367" s="185"/>
      <c r="S367" s="137">
        <v>17.34</v>
      </c>
      <c r="T367" s="157">
        <v>41837</v>
      </c>
      <c r="U367" s="142">
        <v>18</v>
      </c>
      <c r="Y367" s="142">
        <f t="shared" si="5"/>
        <v>13.152260000000002</v>
      </c>
      <c r="Z367" s="157">
        <v>41837</v>
      </c>
      <c r="AE367" s="137">
        <v>34.43</v>
      </c>
      <c r="AF367" s="157">
        <v>41837</v>
      </c>
      <c r="AG367" s="185">
        <v>5.31</v>
      </c>
      <c r="AH367" s="157">
        <v>41837</v>
      </c>
      <c r="AM367" s="137">
        <v>83</v>
      </c>
      <c r="BM367" s="138">
        <v>60.63</v>
      </c>
      <c r="BN367" s="157">
        <v>41837</v>
      </c>
      <c r="BS367" s="138">
        <v>50.35</v>
      </c>
      <c r="BT367" s="157">
        <v>41837</v>
      </c>
      <c r="BU367" s="138">
        <v>38.200000000000003</v>
      </c>
      <c r="BV367" s="157">
        <v>41837</v>
      </c>
      <c r="BW367" s="138">
        <v>19.7</v>
      </c>
      <c r="BX367" s="157">
        <v>41837</v>
      </c>
      <c r="CC367" s="138">
        <v>8</v>
      </c>
      <c r="CD367" s="157">
        <v>41837</v>
      </c>
      <c r="CI367" s="138">
        <v>7</v>
      </c>
    </row>
    <row r="368" spans="1:91">
      <c r="A368" s="159" t="s">
        <v>7737</v>
      </c>
      <c r="B368" s="112" t="s">
        <v>269</v>
      </c>
      <c r="C368" s="112">
        <v>2</v>
      </c>
      <c r="D368" s="112">
        <v>194</v>
      </c>
      <c r="E368" s="113">
        <v>7</v>
      </c>
      <c r="F368" s="113">
        <v>11</v>
      </c>
      <c r="M368" s="185">
        <v>1.35</v>
      </c>
      <c r="N368" s="157">
        <v>41837</v>
      </c>
      <c r="R368" s="185"/>
      <c r="S368" s="137">
        <v>3.61</v>
      </c>
      <c r="T368" s="157">
        <v>41837</v>
      </c>
      <c r="U368" s="142">
        <v>18</v>
      </c>
      <c r="Y368" s="142">
        <f t="shared" si="5"/>
        <v>2.9849999999999999</v>
      </c>
      <c r="Z368" s="157">
        <v>41837</v>
      </c>
      <c r="AE368" s="137">
        <v>7.5</v>
      </c>
      <c r="AF368" s="157">
        <v>41837</v>
      </c>
      <c r="AG368" s="185">
        <v>4.59</v>
      </c>
      <c r="AH368" s="157">
        <v>41837</v>
      </c>
      <c r="AM368" s="137">
        <v>83</v>
      </c>
      <c r="BM368" s="138">
        <v>62.27</v>
      </c>
      <c r="BN368" s="157">
        <v>41837</v>
      </c>
      <c r="BS368" s="138">
        <v>48.15</v>
      </c>
      <c r="BT368" s="157">
        <v>41837</v>
      </c>
      <c r="BU368" s="138">
        <v>39.799999999999997</v>
      </c>
      <c r="BV368" s="157">
        <v>41837</v>
      </c>
      <c r="BW368" s="138">
        <v>35.799999999999997</v>
      </c>
      <c r="BX368" s="157">
        <v>41837</v>
      </c>
      <c r="CC368" s="138">
        <v>8.1999999999999993</v>
      </c>
      <c r="CD368" s="157">
        <v>41837</v>
      </c>
      <c r="CI368" s="138">
        <v>1</v>
      </c>
    </row>
    <row r="369" spans="1:91">
      <c r="A369" s="159" t="s">
        <v>7704</v>
      </c>
      <c r="B369" s="112" t="s">
        <v>269</v>
      </c>
      <c r="C369" s="112">
        <v>2</v>
      </c>
      <c r="D369" s="112">
        <v>60</v>
      </c>
      <c r="E369" s="113">
        <v>8</v>
      </c>
      <c r="F369" s="113">
        <v>11</v>
      </c>
      <c r="M369" s="185">
        <v>5.7</v>
      </c>
      <c r="N369" s="157">
        <v>41837</v>
      </c>
      <c r="R369" s="185"/>
      <c r="S369" s="137">
        <v>14.56</v>
      </c>
      <c r="T369" s="157">
        <v>41837</v>
      </c>
      <c r="U369" s="142">
        <v>18</v>
      </c>
      <c r="Y369" s="142">
        <f t="shared" si="5"/>
        <v>12.570540000000001</v>
      </c>
      <c r="Z369" s="157">
        <v>41837</v>
      </c>
      <c r="AE369" s="137">
        <v>31.27</v>
      </c>
      <c r="AF369" s="157">
        <v>41837</v>
      </c>
      <c r="AG369" s="185">
        <v>4.53</v>
      </c>
      <c r="AH369" s="157">
        <v>41837</v>
      </c>
      <c r="AM369" s="137">
        <v>94</v>
      </c>
      <c r="BM369" s="138">
        <v>60.53</v>
      </c>
      <c r="BN369" s="157">
        <v>41837</v>
      </c>
      <c r="BS369" s="138">
        <v>46.55</v>
      </c>
      <c r="BT369" s="157">
        <v>41837</v>
      </c>
      <c r="BU369" s="138">
        <v>40.200000000000003</v>
      </c>
      <c r="BV369" s="157">
        <v>41837</v>
      </c>
      <c r="BW369" s="138">
        <v>32.6</v>
      </c>
      <c r="BX369" s="157">
        <v>41837</v>
      </c>
      <c r="CC369" s="138">
        <v>9.4</v>
      </c>
      <c r="CD369" s="157">
        <v>41837</v>
      </c>
      <c r="CI369" s="138">
        <v>3</v>
      </c>
    </row>
    <row r="370" spans="1:91">
      <c r="A370" s="159" t="s">
        <v>7718</v>
      </c>
      <c r="B370" s="112" t="s">
        <v>269</v>
      </c>
      <c r="C370" s="112">
        <v>2</v>
      </c>
      <c r="D370" s="112">
        <v>146</v>
      </c>
      <c r="E370" s="113">
        <v>9</v>
      </c>
      <c r="F370" s="113">
        <v>11</v>
      </c>
      <c r="M370" s="185">
        <v>5.4</v>
      </c>
      <c r="N370" s="157">
        <v>41837</v>
      </c>
      <c r="R370" s="185"/>
      <c r="S370" s="137">
        <v>15.18</v>
      </c>
      <c r="T370" s="157">
        <v>41837</v>
      </c>
      <c r="U370" s="142">
        <v>18</v>
      </c>
      <c r="Y370" s="142">
        <f t="shared" si="5"/>
        <v>12.235919999999998</v>
      </c>
      <c r="Z370" s="157">
        <v>41837</v>
      </c>
      <c r="AE370" s="137">
        <v>29.99</v>
      </c>
      <c r="AF370" s="157">
        <v>41837</v>
      </c>
      <c r="AG370" s="185">
        <v>5.03</v>
      </c>
      <c r="AH370" s="157">
        <v>41837</v>
      </c>
      <c r="AM370" s="137">
        <v>90</v>
      </c>
      <c r="BM370" s="138">
        <v>58.8</v>
      </c>
      <c r="BN370" s="157">
        <v>41837</v>
      </c>
      <c r="BS370" s="138">
        <v>50.62</v>
      </c>
      <c r="BT370" s="157">
        <v>41837</v>
      </c>
      <c r="BU370" s="138">
        <v>40.799999999999997</v>
      </c>
      <c r="BV370" s="157">
        <v>41837</v>
      </c>
      <c r="BW370" s="138">
        <v>13.2</v>
      </c>
      <c r="BX370" s="157">
        <v>41837</v>
      </c>
      <c r="CC370" s="138">
        <v>8.3000000000000007</v>
      </c>
      <c r="CD370" s="157">
        <v>41837</v>
      </c>
      <c r="CI370" s="138">
        <v>7</v>
      </c>
    </row>
    <row r="371" spans="1:91">
      <c r="A371" s="159" t="s">
        <v>7780</v>
      </c>
      <c r="B371" s="112" t="s">
        <v>269</v>
      </c>
      <c r="C371" s="112">
        <v>2</v>
      </c>
      <c r="D371" s="112">
        <v>32</v>
      </c>
      <c r="E371" s="113">
        <v>10</v>
      </c>
      <c r="F371" s="113">
        <v>11</v>
      </c>
      <c r="M371" s="185">
        <v>6.3</v>
      </c>
      <c r="N371" s="157">
        <v>41837</v>
      </c>
      <c r="R371" s="185"/>
      <c r="S371" s="137">
        <v>18.079999999999998</v>
      </c>
      <c r="T371" s="157">
        <v>41837</v>
      </c>
      <c r="U371" s="142">
        <v>18</v>
      </c>
      <c r="Y371" s="142">
        <f t="shared" si="5"/>
        <v>13.353199999999999</v>
      </c>
      <c r="Z371" s="157">
        <v>41837</v>
      </c>
      <c r="AE371" s="137">
        <v>35.14</v>
      </c>
      <c r="AF371" s="157">
        <v>41837</v>
      </c>
      <c r="AG371" s="185">
        <v>5.57</v>
      </c>
      <c r="AH371" s="157">
        <v>41837</v>
      </c>
      <c r="AM371" s="137">
        <v>92</v>
      </c>
      <c r="BM371" s="138">
        <v>58.91</v>
      </c>
      <c r="BN371" s="157">
        <v>41837</v>
      </c>
      <c r="BS371" s="138">
        <v>51.46</v>
      </c>
      <c r="BT371" s="157">
        <v>41837</v>
      </c>
      <c r="BU371" s="138">
        <v>38</v>
      </c>
      <c r="BV371" s="157">
        <v>41837</v>
      </c>
      <c r="BW371" s="138">
        <v>13.3</v>
      </c>
      <c r="BX371" s="157">
        <v>41837</v>
      </c>
      <c r="CC371" s="138">
        <v>7.9</v>
      </c>
      <c r="CD371" s="157">
        <v>41837</v>
      </c>
      <c r="CI371" s="138">
        <v>5</v>
      </c>
    </row>
    <row r="372" spans="1:91">
      <c r="A372" s="159" t="s">
        <v>7707</v>
      </c>
      <c r="B372" s="112" t="s">
        <v>269</v>
      </c>
      <c r="C372" s="112">
        <v>2</v>
      </c>
      <c r="D372" s="112">
        <v>147</v>
      </c>
      <c r="E372" s="113">
        <v>11</v>
      </c>
      <c r="F372" s="113">
        <v>11</v>
      </c>
      <c r="M372" s="185">
        <v>3.9</v>
      </c>
      <c r="N372" s="157">
        <v>41837</v>
      </c>
      <c r="R372" s="185"/>
      <c r="S372" s="137">
        <v>10.17</v>
      </c>
      <c r="T372" s="157">
        <v>41837</v>
      </c>
      <c r="U372" s="142">
        <v>18</v>
      </c>
      <c r="Y372" s="142">
        <f t="shared" si="5"/>
        <v>8.9871999999999996</v>
      </c>
      <c r="Z372" s="157">
        <v>41837</v>
      </c>
      <c r="AE372" s="137">
        <v>21.92</v>
      </c>
      <c r="AF372" s="157">
        <v>41837</v>
      </c>
      <c r="AG372" s="185">
        <v>4.5199999999999996</v>
      </c>
      <c r="AH372" s="157">
        <v>41837</v>
      </c>
      <c r="AM372" s="137">
        <v>96</v>
      </c>
      <c r="BM372" s="138">
        <v>59.63</v>
      </c>
      <c r="BN372" s="157">
        <v>41837</v>
      </c>
      <c r="BS372" s="138">
        <v>46.41</v>
      </c>
      <c r="BT372" s="157">
        <v>41837</v>
      </c>
      <c r="BU372" s="138">
        <v>41</v>
      </c>
      <c r="BV372" s="157">
        <v>41837</v>
      </c>
      <c r="BW372" s="138">
        <v>20.100000000000001</v>
      </c>
      <c r="BX372" s="157">
        <v>41837</v>
      </c>
      <c r="CC372" s="138">
        <v>7.2</v>
      </c>
      <c r="CD372" s="157">
        <v>41837</v>
      </c>
      <c r="CI372" s="138">
        <v>1</v>
      </c>
    </row>
    <row r="373" spans="1:91">
      <c r="A373" s="159" t="s">
        <v>7752</v>
      </c>
      <c r="B373" s="112" t="s">
        <v>269</v>
      </c>
      <c r="C373" s="112">
        <v>2</v>
      </c>
      <c r="D373" s="112">
        <v>119</v>
      </c>
      <c r="E373" s="113">
        <v>12</v>
      </c>
      <c r="F373" s="113">
        <v>11</v>
      </c>
      <c r="M373" s="185">
        <v>3.89</v>
      </c>
      <c r="N373" s="157">
        <v>41837</v>
      </c>
      <c r="R373" s="185"/>
      <c r="S373" s="137">
        <v>10.41</v>
      </c>
      <c r="T373" s="157">
        <v>41837</v>
      </c>
      <c r="U373" s="142">
        <v>18</v>
      </c>
      <c r="Y373" s="142">
        <f t="shared" si="5"/>
        <v>9.4047599999999996</v>
      </c>
      <c r="Z373" s="157">
        <v>41837</v>
      </c>
      <c r="AE373" s="137">
        <v>21.72</v>
      </c>
      <c r="AF373" s="157">
        <v>41837</v>
      </c>
      <c r="AG373" s="185">
        <v>5.45</v>
      </c>
      <c r="AH373" s="157">
        <v>41837</v>
      </c>
      <c r="AM373" s="137">
        <v>83</v>
      </c>
      <c r="BM373" s="138">
        <v>60.3</v>
      </c>
      <c r="BN373" s="157">
        <v>41837</v>
      </c>
      <c r="BS373" s="138">
        <v>47.91</v>
      </c>
      <c r="BT373" s="157">
        <v>41837</v>
      </c>
      <c r="BU373" s="138">
        <v>43.3</v>
      </c>
      <c r="BV373" s="157">
        <v>41837</v>
      </c>
      <c r="BW373" s="138">
        <v>65.099999999999994</v>
      </c>
      <c r="BX373" s="157">
        <v>41837</v>
      </c>
      <c r="CC373" s="138">
        <v>7.8</v>
      </c>
      <c r="CD373" s="157">
        <v>41837</v>
      </c>
      <c r="CI373" s="138">
        <v>3</v>
      </c>
    </row>
    <row r="374" spans="1:91">
      <c r="A374" s="159" t="s">
        <v>7735</v>
      </c>
      <c r="B374" s="112" t="s">
        <v>269</v>
      </c>
      <c r="C374" s="112">
        <v>2</v>
      </c>
      <c r="D374" s="112">
        <v>41</v>
      </c>
      <c r="E374" s="113">
        <v>13</v>
      </c>
      <c r="F374" s="113">
        <v>11</v>
      </c>
      <c r="M374" s="185">
        <v>4.74</v>
      </c>
      <c r="N374" s="157">
        <v>41837</v>
      </c>
      <c r="R374" s="185"/>
      <c r="S374" s="137">
        <v>13.02</v>
      </c>
      <c r="T374" s="157">
        <v>41837</v>
      </c>
      <c r="U374" s="142">
        <v>18</v>
      </c>
      <c r="Y374" s="142">
        <f t="shared" si="5"/>
        <v>10.55226</v>
      </c>
      <c r="Z374" s="157">
        <v>41837</v>
      </c>
      <c r="AE374" s="137">
        <v>26.58</v>
      </c>
      <c r="AF374" s="157">
        <v>41837</v>
      </c>
      <c r="AG374" s="185">
        <v>5.53</v>
      </c>
      <c r="AH374" s="157">
        <v>41837</v>
      </c>
      <c r="AM374" s="137">
        <v>90</v>
      </c>
      <c r="BM374" s="138">
        <v>59.75</v>
      </c>
      <c r="BN374" s="157">
        <v>41837</v>
      </c>
      <c r="BS374" s="138">
        <v>49</v>
      </c>
      <c r="BT374" s="157">
        <v>41837</v>
      </c>
      <c r="BU374" s="138">
        <v>39.700000000000003</v>
      </c>
      <c r="BV374" s="157">
        <v>41837</v>
      </c>
      <c r="BW374" s="138">
        <v>20.100000000000001</v>
      </c>
      <c r="BX374" s="157">
        <v>41837</v>
      </c>
      <c r="CC374" s="138">
        <v>7.4</v>
      </c>
      <c r="CD374" s="157">
        <v>41837</v>
      </c>
      <c r="CI374" s="138">
        <v>3</v>
      </c>
    </row>
    <row r="375" spans="1:91">
      <c r="A375" s="159" t="s">
        <v>7856</v>
      </c>
      <c r="B375" s="112" t="s">
        <v>269</v>
      </c>
      <c r="C375" s="112">
        <v>2</v>
      </c>
      <c r="D375" s="112">
        <v>21</v>
      </c>
      <c r="E375" s="113">
        <v>14</v>
      </c>
      <c r="F375" s="113">
        <v>11</v>
      </c>
      <c r="I375" s="200"/>
      <c r="K375" s="142"/>
      <c r="M375" s="185">
        <v>6.75</v>
      </c>
      <c r="N375" s="157">
        <v>41837</v>
      </c>
      <c r="Q375" s="142"/>
      <c r="R375" s="185"/>
      <c r="S375" s="142">
        <v>19.170000000000002</v>
      </c>
      <c r="T375" s="157">
        <v>41837</v>
      </c>
      <c r="U375" s="142">
        <v>18</v>
      </c>
      <c r="W375" s="142"/>
      <c r="Y375" s="142">
        <f t="shared" si="5"/>
        <v>14.595839999999999</v>
      </c>
      <c r="Z375" s="157">
        <v>41837</v>
      </c>
      <c r="AA375" s="142"/>
      <c r="AE375" s="142">
        <v>38.01</v>
      </c>
      <c r="AF375" s="157">
        <v>41837</v>
      </c>
      <c r="AG375" s="185">
        <v>4.97</v>
      </c>
      <c r="AH375" s="157">
        <v>41837</v>
      </c>
      <c r="AK375" s="142"/>
      <c r="AM375" s="142">
        <v>87</v>
      </c>
      <c r="BM375" s="138">
        <v>62.16</v>
      </c>
      <c r="BN375" s="157">
        <v>41837</v>
      </c>
      <c r="BS375" s="138">
        <v>50.43</v>
      </c>
      <c r="BT375" s="157">
        <v>41837</v>
      </c>
      <c r="BU375" s="138">
        <v>38.4</v>
      </c>
      <c r="BV375" s="157">
        <v>41837</v>
      </c>
      <c r="BW375" s="138">
        <v>18.5</v>
      </c>
      <c r="BX375" s="157">
        <v>41837</v>
      </c>
      <c r="CC375" s="138">
        <v>7</v>
      </c>
      <c r="CD375" s="157">
        <v>41837</v>
      </c>
      <c r="CI375" s="138">
        <v>9</v>
      </c>
    </row>
    <row r="376" spans="1:91">
      <c r="A376" s="159" t="s">
        <v>7792</v>
      </c>
      <c r="B376" s="112" t="s">
        <v>269</v>
      </c>
      <c r="C376" s="112">
        <v>2</v>
      </c>
      <c r="D376" s="112">
        <v>151</v>
      </c>
      <c r="E376" s="113">
        <v>15</v>
      </c>
      <c r="F376" s="113">
        <v>11</v>
      </c>
      <c r="M376" s="185">
        <v>4.57</v>
      </c>
      <c r="N376" s="157">
        <v>41837</v>
      </c>
      <c r="R376" s="185"/>
      <c r="S376" s="137">
        <v>13.12</v>
      </c>
      <c r="T376" s="157">
        <v>41837</v>
      </c>
      <c r="U376" s="142">
        <v>18</v>
      </c>
      <c r="Y376" s="142">
        <f t="shared" si="5"/>
        <v>10.4247</v>
      </c>
      <c r="Z376" s="157">
        <v>41837</v>
      </c>
      <c r="AE376" s="137">
        <v>25.74</v>
      </c>
      <c r="AF376" s="157">
        <v>41837</v>
      </c>
      <c r="AG376" s="185">
        <v>4.54</v>
      </c>
      <c r="AH376" s="157">
        <v>41837</v>
      </c>
      <c r="AM376" s="137">
        <v>92</v>
      </c>
      <c r="BM376" s="138">
        <v>59.63</v>
      </c>
      <c r="BN376" s="157">
        <v>41837</v>
      </c>
      <c r="BS376" s="138">
        <v>50.98</v>
      </c>
      <c r="BT376" s="157">
        <v>41837</v>
      </c>
      <c r="BU376" s="138">
        <v>40.5</v>
      </c>
      <c r="BV376" s="157">
        <v>41837</v>
      </c>
      <c r="BW376" s="138">
        <v>15.3</v>
      </c>
      <c r="BX376" s="157">
        <v>41837</v>
      </c>
      <c r="CC376" s="138">
        <v>7</v>
      </c>
      <c r="CD376" s="157">
        <v>41837</v>
      </c>
      <c r="CI376" s="138">
        <v>7</v>
      </c>
    </row>
    <row r="377" spans="1:91">
      <c r="A377" s="159" t="s">
        <v>7756</v>
      </c>
      <c r="B377" s="112" t="s">
        <v>269</v>
      </c>
      <c r="C377" s="112">
        <v>2</v>
      </c>
      <c r="D377" s="112">
        <v>177</v>
      </c>
      <c r="E377" s="113">
        <v>16</v>
      </c>
      <c r="F377" s="113">
        <v>11</v>
      </c>
      <c r="M377" s="185">
        <v>2.48</v>
      </c>
      <c r="N377" s="157">
        <v>41837</v>
      </c>
      <c r="R377" s="185"/>
      <c r="S377" s="137">
        <v>6.67</v>
      </c>
      <c r="T377" s="157">
        <v>41837</v>
      </c>
      <c r="U377" s="142">
        <v>18</v>
      </c>
      <c r="Y377" s="142">
        <f t="shared" si="5"/>
        <v>5.8841999999999999</v>
      </c>
      <c r="Z377" s="157">
        <v>41837</v>
      </c>
      <c r="AE377" s="137">
        <v>14.01</v>
      </c>
      <c r="AF377" s="157">
        <v>41837</v>
      </c>
      <c r="AG377" s="185">
        <v>5.03</v>
      </c>
      <c r="AH377" s="157">
        <v>41837</v>
      </c>
      <c r="AM377" s="137">
        <v>90</v>
      </c>
      <c r="BM377" s="138">
        <v>61.04</v>
      </c>
      <c r="BN377" s="157">
        <v>41837</v>
      </c>
      <c r="BS377" s="138">
        <v>47.58</v>
      </c>
      <c r="BT377" s="157">
        <v>41837</v>
      </c>
      <c r="BU377" s="138">
        <v>42</v>
      </c>
      <c r="BV377" s="157">
        <v>41837</v>
      </c>
      <c r="BW377" s="138">
        <v>45.9</v>
      </c>
      <c r="BX377" s="157">
        <v>41837</v>
      </c>
      <c r="CC377" s="138">
        <v>6.7</v>
      </c>
      <c r="CD377" s="157">
        <v>41837</v>
      </c>
      <c r="CI377" s="138">
        <v>3</v>
      </c>
    </row>
    <row r="378" spans="1:91">
      <c r="A378" s="159" t="s">
        <v>7801</v>
      </c>
      <c r="B378" s="112" t="s">
        <v>269</v>
      </c>
      <c r="C378" s="112">
        <v>2</v>
      </c>
      <c r="D378" s="112">
        <v>80</v>
      </c>
      <c r="E378" s="113">
        <v>17</v>
      </c>
      <c r="F378" s="113">
        <v>11</v>
      </c>
      <c r="M378" s="185">
        <v>4.9800000000000004</v>
      </c>
      <c r="N378" s="157">
        <v>41837</v>
      </c>
      <c r="R378" s="185"/>
      <c r="S378" s="137">
        <v>13.73</v>
      </c>
      <c r="T378" s="157">
        <v>41837</v>
      </c>
      <c r="U378" s="142">
        <v>18</v>
      </c>
      <c r="Y378" s="142">
        <f t="shared" si="5"/>
        <v>10.776149999999999</v>
      </c>
      <c r="Z378" s="157">
        <v>41837</v>
      </c>
      <c r="AE378" s="137">
        <v>27.99</v>
      </c>
      <c r="AF378" s="157">
        <v>41837</v>
      </c>
      <c r="AG378" s="185">
        <v>5.26</v>
      </c>
      <c r="AH378" s="157">
        <v>41837</v>
      </c>
      <c r="AM378" s="137">
        <v>90</v>
      </c>
      <c r="BM378" s="138">
        <v>62.04</v>
      </c>
      <c r="BN378" s="157">
        <v>41837</v>
      </c>
      <c r="BS378" s="138">
        <v>49.04</v>
      </c>
      <c r="BT378" s="157">
        <v>41837</v>
      </c>
      <c r="BU378" s="138">
        <v>38.5</v>
      </c>
      <c r="BV378" s="157">
        <v>41837</v>
      </c>
      <c r="BW378" s="138">
        <v>13.3</v>
      </c>
      <c r="BX378" s="157">
        <v>41837</v>
      </c>
      <c r="CC378" s="138">
        <v>7.2</v>
      </c>
      <c r="CD378" s="157">
        <v>41837</v>
      </c>
      <c r="CI378" s="138">
        <v>7</v>
      </c>
    </row>
    <row r="379" spans="1:91">
      <c r="A379" s="159" t="s">
        <v>7675</v>
      </c>
      <c r="B379" s="112" t="s">
        <v>269</v>
      </c>
      <c r="C379" s="112">
        <v>2</v>
      </c>
      <c r="D379" s="112">
        <v>102</v>
      </c>
      <c r="E379" s="113">
        <v>18</v>
      </c>
      <c r="F379" s="113">
        <v>11</v>
      </c>
      <c r="M379" s="185">
        <v>6.56</v>
      </c>
      <c r="N379" s="157">
        <v>41837</v>
      </c>
      <c r="R379" s="185"/>
      <c r="S379" s="137">
        <v>18.43</v>
      </c>
      <c r="T379" s="157">
        <v>41837</v>
      </c>
      <c r="U379" s="142">
        <v>18</v>
      </c>
      <c r="Y379" s="142">
        <f t="shared" si="5"/>
        <v>14.564580000000001</v>
      </c>
      <c r="Z379" s="157">
        <v>41837</v>
      </c>
      <c r="AE379" s="137">
        <v>37.06</v>
      </c>
      <c r="AF379" s="157">
        <v>41837</v>
      </c>
      <c r="AG379" s="185">
        <v>5.73</v>
      </c>
      <c r="AH379" s="157">
        <v>41837</v>
      </c>
      <c r="AM379" s="137">
        <v>87</v>
      </c>
      <c r="BM379" s="138">
        <v>63.75</v>
      </c>
      <c r="BN379" s="157">
        <v>41837</v>
      </c>
      <c r="BS379" s="138">
        <v>49.73</v>
      </c>
      <c r="BT379" s="157">
        <v>41837</v>
      </c>
      <c r="BU379" s="138">
        <v>39.299999999999997</v>
      </c>
      <c r="BV379" s="157">
        <v>41837</v>
      </c>
      <c r="BW379" s="138">
        <v>14.1</v>
      </c>
      <c r="BX379" s="157">
        <v>41837</v>
      </c>
      <c r="CC379" s="138">
        <v>6.7</v>
      </c>
      <c r="CD379" s="157">
        <v>41837</v>
      </c>
      <c r="CI379" s="138">
        <v>9</v>
      </c>
    </row>
    <row r="380" spans="1:91">
      <c r="A380" s="159" t="s">
        <v>7659</v>
      </c>
      <c r="B380" s="112" t="s">
        <v>269</v>
      </c>
      <c r="C380" s="112">
        <v>2</v>
      </c>
      <c r="D380" s="112">
        <v>123</v>
      </c>
      <c r="E380" s="113">
        <v>19</v>
      </c>
      <c r="F380" s="113">
        <v>11</v>
      </c>
      <c r="M380" s="185">
        <v>4.6900000000000004</v>
      </c>
      <c r="N380" s="157">
        <v>41837</v>
      </c>
      <c r="R380" s="185"/>
      <c r="S380" s="137">
        <v>12.18</v>
      </c>
      <c r="T380" s="157">
        <v>41837</v>
      </c>
      <c r="U380" s="142">
        <v>18</v>
      </c>
      <c r="Y380" s="142">
        <f t="shared" si="5"/>
        <v>11.395</v>
      </c>
      <c r="Z380" s="157">
        <v>41837</v>
      </c>
      <c r="AE380" s="137">
        <v>26.5</v>
      </c>
      <c r="AF380" s="157">
        <v>41837</v>
      </c>
      <c r="AG380" s="185">
        <v>5.41</v>
      </c>
      <c r="AH380" s="157">
        <v>41837</v>
      </c>
      <c r="AM380" s="137">
        <v>90</v>
      </c>
      <c r="BM380" s="138">
        <v>53.56</v>
      </c>
      <c r="BN380" s="157">
        <v>41837</v>
      </c>
      <c r="BS380" s="138">
        <v>45.96</v>
      </c>
      <c r="BT380" s="157">
        <v>41837</v>
      </c>
      <c r="BU380" s="138">
        <v>43</v>
      </c>
      <c r="BV380" s="157">
        <v>41837</v>
      </c>
      <c r="BW380" s="138">
        <v>23.9</v>
      </c>
      <c r="BX380" s="157">
        <v>41837</v>
      </c>
      <c r="CC380" s="138">
        <v>6.7</v>
      </c>
      <c r="CD380" s="157">
        <v>41837</v>
      </c>
      <c r="CI380" s="138">
        <v>7</v>
      </c>
    </row>
    <row r="381" spans="1:91">
      <c r="A381" s="189" t="s">
        <v>7724</v>
      </c>
      <c r="B381" s="190" t="s">
        <v>269</v>
      </c>
      <c r="C381" s="190">
        <v>2</v>
      </c>
      <c r="D381" s="190">
        <v>7</v>
      </c>
      <c r="E381" s="191">
        <v>20</v>
      </c>
      <c r="F381" s="191">
        <v>11</v>
      </c>
      <c r="G381" s="191"/>
      <c r="H381" s="191"/>
      <c r="I381" s="201"/>
      <c r="J381" s="190"/>
      <c r="K381" s="192"/>
      <c r="L381" s="193"/>
      <c r="M381" s="194">
        <v>5.96</v>
      </c>
      <c r="N381" s="193">
        <v>41837</v>
      </c>
      <c r="P381" s="193"/>
      <c r="Q381" s="192"/>
      <c r="R381" s="194"/>
      <c r="S381" s="192">
        <v>15.97</v>
      </c>
      <c r="T381" s="193">
        <v>41837</v>
      </c>
      <c r="U381" s="192">
        <v>18</v>
      </c>
      <c r="V381" s="193"/>
      <c r="W381" s="192"/>
      <c r="X381" s="193"/>
      <c r="Y381" s="192">
        <f t="shared" si="5"/>
        <v>12.759690000000001</v>
      </c>
      <c r="Z381" s="193">
        <v>41837</v>
      </c>
      <c r="AA381" s="192"/>
      <c r="AB381" s="193"/>
      <c r="AC381" s="195"/>
      <c r="AD381" s="193"/>
      <c r="AE381" s="192">
        <v>33.49</v>
      </c>
      <c r="AF381" s="193">
        <v>41837</v>
      </c>
      <c r="AG381" s="194">
        <v>5.48</v>
      </c>
      <c r="AH381" s="193">
        <v>41837</v>
      </c>
      <c r="AI381" s="193"/>
      <c r="AJ381" s="193"/>
      <c r="AK381" s="192"/>
      <c r="AL381" s="193"/>
      <c r="AM381" s="192">
        <v>90</v>
      </c>
      <c r="AN381" s="193"/>
      <c r="AO381" s="195"/>
      <c r="AP381" s="195"/>
      <c r="AQ381" s="195"/>
      <c r="AR381" s="195"/>
      <c r="AS381" s="195"/>
      <c r="AT381" s="195"/>
      <c r="AU381" s="195"/>
      <c r="AV381" s="195"/>
      <c r="AW381" s="195"/>
      <c r="AX381" s="195"/>
      <c r="AY381" s="195"/>
      <c r="AZ381" s="195"/>
      <c r="BA381" s="195"/>
      <c r="BB381" s="195"/>
      <c r="BC381" s="195"/>
      <c r="BD381" s="195"/>
      <c r="BE381" s="196"/>
      <c r="BF381" s="196"/>
      <c r="BG381" s="196"/>
      <c r="BH381" s="196"/>
      <c r="BI381" s="196"/>
      <c r="BJ381" s="196"/>
      <c r="BK381" s="196"/>
      <c r="BL381" s="196"/>
      <c r="BM381" s="196">
        <v>61.9</v>
      </c>
      <c r="BN381" s="193">
        <v>41837</v>
      </c>
      <c r="BO381" s="196"/>
      <c r="BP381" s="196"/>
      <c r="BQ381" s="196"/>
      <c r="BR381" s="196"/>
      <c r="BS381" s="196">
        <v>47.68</v>
      </c>
      <c r="BT381" s="193">
        <v>41837</v>
      </c>
      <c r="BU381" s="196">
        <v>38.1</v>
      </c>
      <c r="BV381" s="193">
        <v>41837</v>
      </c>
      <c r="BW381" s="196">
        <v>16.600000000000001</v>
      </c>
      <c r="BX381" s="193">
        <v>41837</v>
      </c>
      <c r="BY381" s="196"/>
      <c r="BZ381" s="196"/>
      <c r="CA381" s="196"/>
      <c r="CB381" s="196"/>
      <c r="CC381" s="196">
        <v>7.2</v>
      </c>
      <c r="CD381" s="193">
        <v>41837</v>
      </c>
      <c r="CE381" s="196"/>
      <c r="CF381" s="196"/>
      <c r="CG381" s="196"/>
      <c r="CH381" s="196"/>
      <c r="CI381" s="196">
        <v>7</v>
      </c>
      <c r="CJ381" s="196"/>
      <c r="CK381" s="196"/>
      <c r="CL381" s="196"/>
      <c r="CM381" s="196"/>
    </row>
    <row r="382" spans="1:91">
      <c r="A382" s="159" t="s">
        <v>7623</v>
      </c>
      <c r="B382" s="112" t="s">
        <v>269</v>
      </c>
      <c r="C382" s="112">
        <v>2</v>
      </c>
      <c r="D382" s="112">
        <v>100</v>
      </c>
      <c r="E382" s="113">
        <v>21</v>
      </c>
      <c r="F382" s="113">
        <v>11</v>
      </c>
      <c r="M382" s="185">
        <v>0.53</v>
      </c>
      <c r="N382" s="157">
        <v>41837</v>
      </c>
      <c r="R382" s="185"/>
      <c r="S382" s="137">
        <v>1.46</v>
      </c>
      <c r="T382" s="157">
        <v>41837</v>
      </c>
      <c r="U382" s="142">
        <v>18</v>
      </c>
      <c r="Y382" s="142">
        <f t="shared" si="5"/>
        <v>1.2310699999999999</v>
      </c>
      <c r="Z382" s="157">
        <v>41837</v>
      </c>
      <c r="AE382" s="137">
        <v>3.07</v>
      </c>
      <c r="AF382" s="157">
        <v>41837</v>
      </c>
      <c r="AG382" s="185">
        <v>4.26</v>
      </c>
      <c r="AH382" s="157">
        <v>41837</v>
      </c>
      <c r="AM382" s="137">
        <v>83</v>
      </c>
      <c r="BM382" s="138">
        <v>60.72</v>
      </c>
      <c r="BN382" s="157">
        <v>41837</v>
      </c>
      <c r="BS382" s="138">
        <v>47.59</v>
      </c>
      <c r="BT382" s="157">
        <v>41837</v>
      </c>
      <c r="BU382" s="138">
        <v>40.1</v>
      </c>
      <c r="BV382" s="157">
        <v>41837</v>
      </c>
      <c r="BW382" s="138">
        <v>60.7</v>
      </c>
      <c r="BX382" s="157">
        <v>41837</v>
      </c>
      <c r="CC382" s="138">
        <v>4.5</v>
      </c>
      <c r="CD382" s="157">
        <v>41837</v>
      </c>
      <c r="CI382" s="138">
        <v>1</v>
      </c>
    </row>
    <row r="383" spans="1:91">
      <c r="A383" s="159" t="s">
        <v>7639</v>
      </c>
      <c r="B383" s="112" t="s">
        <v>269</v>
      </c>
      <c r="C383" s="112">
        <v>2</v>
      </c>
      <c r="D383" s="112">
        <v>196</v>
      </c>
      <c r="E383" s="113">
        <v>22</v>
      </c>
      <c r="F383" s="113">
        <v>11</v>
      </c>
      <c r="M383" s="185">
        <v>1.8</v>
      </c>
      <c r="N383" s="157">
        <v>41837</v>
      </c>
      <c r="R383" s="185"/>
      <c r="S383" s="137">
        <v>4.75</v>
      </c>
      <c r="T383" s="157">
        <v>41837</v>
      </c>
      <c r="U383" s="142">
        <v>18</v>
      </c>
      <c r="Y383" s="142">
        <f t="shared" si="5"/>
        <v>4.1452600000000004</v>
      </c>
      <c r="Z383" s="157">
        <v>41837</v>
      </c>
      <c r="AE383" s="137">
        <v>10.210000000000001</v>
      </c>
      <c r="AF383" s="157">
        <v>41837</v>
      </c>
      <c r="AG383" s="185">
        <v>4.07</v>
      </c>
      <c r="AH383" s="157">
        <v>41837</v>
      </c>
      <c r="AM383" s="137">
        <v>80</v>
      </c>
      <c r="BM383" s="138">
        <v>64.44</v>
      </c>
      <c r="BN383" s="157">
        <v>41837</v>
      </c>
      <c r="BS383" s="138">
        <v>46.56</v>
      </c>
      <c r="BT383" s="157">
        <v>41837</v>
      </c>
      <c r="BU383" s="138">
        <v>40.6</v>
      </c>
      <c r="BV383" s="157">
        <v>41837</v>
      </c>
      <c r="BW383" s="138">
        <v>59.6</v>
      </c>
      <c r="BX383" s="157">
        <v>41837</v>
      </c>
      <c r="CC383" s="138">
        <v>6.3</v>
      </c>
      <c r="CD383" s="157">
        <v>41837</v>
      </c>
      <c r="CI383" s="138">
        <v>1</v>
      </c>
    </row>
    <row r="384" spans="1:91">
      <c r="A384" s="159" t="s">
        <v>7773</v>
      </c>
      <c r="B384" s="112" t="s">
        <v>269</v>
      </c>
      <c r="C384" s="112">
        <v>2</v>
      </c>
      <c r="D384" s="112">
        <v>172</v>
      </c>
      <c r="E384" s="113">
        <v>23</v>
      </c>
      <c r="F384" s="113">
        <v>11</v>
      </c>
      <c r="M384" s="185">
        <v>5.34</v>
      </c>
      <c r="N384" s="157">
        <v>41837</v>
      </c>
      <c r="R384" s="185"/>
      <c r="S384" s="137">
        <v>14.68</v>
      </c>
      <c r="T384" s="157">
        <v>41837</v>
      </c>
      <c r="U384" s="142">
        <v>18</v>
      </c>
      <c r="Y384" s="142">
        <f t="shared" si="5"/>
        <v>11.608319999999999</v>
      </c>
      <c r="Z384" s="157">
        <v>41837</v>
      </c>
      <c r="AE384" s="137">
        <v>30.23</v>
      </c>
      <c r="AF384" s="157">
        <v>41837</v>
      </c>
      <c r="AG384" s="185">
        <v>4.59</v>
      </c>
      <c r="AH384" s="157">
        <v>41837</v>
      </c>
      <c r="AM384" s="137">
        <v>90</v>
      </c>
      <c r="BM384" s="138">
        <v>66.930000000000007</v>
      </c>
      <c r="BN384" s="157">
        <v>41837</v>
      </c>
      <c r="BS384" s="138">
        <v>48.55</v>
      </c>
      <c r="BT384" s="157">
        <v>41837</v>
      </c>
      <c r="BU384" s="138">
        <v>38.4</v>
      </c>
      <c r="BV384" s="157">
        <v>41837</v>
      </c>
      <c r="BW384" s="138">
        <v>12.5</v>
      </c>
      <c r="BX384" s="157">
        <v>41837</v>
      </c>
      <c r="CC384" s="138">
        <v>6.5</v>
      </c>
      <c r="CD384" s="157">
        <v>41837</v>
      </c>
      <c r="CI384" s="138">
        <v>7</v>
      </c>
    </row>
    <row r="385" spans="1:91">
      <c r="A385" s="159" t="s">
        <v>7753</v>
      </c>
      <c r="B385" s="112" t="s">
        <v>269</v>
      </c>
      <c r="C385" s="112">
        <v>2</v>
      </c>
      <c r="D385" s="112">
        <v>86</v>
      </c>
      <c r="E385" s="113">
        <v>24</v>
      </c>
      <c r="F385" s="113">
        <v>11</v>
      </c>
      <c r="M385" s="185">
        <v>2.39</v>
      </c>
      <c r="N385" s="157">
        <v>41837</v>
      </c>
      <c r="R385" s="185"/>
      <c r="S385" s="137">
        <v>6.57</v>
      </c>
      <c r="T385" s="157">
        <v>41837</v>
      </c>
      <c r="U385" s="142">
        <v>18</v>
      </c>
      <c r="Y385" s="142">
        <f t="shared" si="5"/>
        <v>5.8172400000000009</v>
      </c>
      <c r="Z385" s="157">
        <v>41837</v>
      </c>
      <c r="AE385" s="137">
        <v>13.56</v>
      </c>
      <c r="AF385" s="157">
        <v>41837</v>
      </c>
      <c r="AG385" s="185">
        <v>5.1100000000000003</v>
      </c>
      <c r="AH385" s="157">
        <v>41837</v>
      </c>
      <c r="AM385" s="137">
        <v>94</v>
      </c>
      <c r="BM385" s="138">
        <v>63.71</v>
      </c>
      <c r="BN385" s="157">
        <v>41837</v>
      </c>
      <c r="BS385" s="138">
        <v>48.45</v>
      </c>
      <c r="BT385" s="157">
        <v>41837</v>
      </c>
      <c r="BU385" s="138">
        <v>42.9</v>
      </c>
      <c r="BV385" s="157">
        <v>41837</v>
      </c>
      <c r="BW385" s="138">
        <v>45.4</v>
      </c>
      <c r="BX385" s="157">
        <v>41837</v>
      </c>
      <c r="CC385" s="138">
        <v>6.3</v>
      </c>
      <c r="CD385" s="157">
        <v>41837</v>
      </c>
      <c r="CI385" s="138">
        <v>3</v>
      </c>
    </row>
    <row r="386" spans="1:91">
      <c r="A386" s="159" t="s">
        <v>7741</v>
      </c>
      <c r="B386" s="112" t="s">
        <v>269</v>
      </c>
      <c r="C386" s="112">
        <v>2</v>
      </c>
      <c r="D386" s="112">
        <v>210</v>
      </c>
      <c r="E386" s="113">
        <v>25</v>
      </c>
      <c r="F386" s="113">
        <v>11</v>
      </c>
      <c r="M386" s="185">
        <v>4.1900000000000004</v>
      </c>
      <c r="N386" s="157">
        <v>41837</v>
      </c>
      <c r="R386" s="185"/>
      <c r="S386" s="137">
        <v>11.55</v>
      </c>
      <c r="T386" s="157">
        <v>41837</v>
      </c>
      <c r="U386" s="142">
        <v>18</v>
      </c>
      <c r="Y386" s="142">
        <f t="shared" ref="Y386:Y449" si="6">(AE386*BU386)/100</f>
        <v>10.305399999999999</v>
      </c>
      <c r="Z386" s="157">
        <v>41837</v>
      </c>
      <c r="AE386" s="137">
        <v>23.8</v>
      </c>
      <c r="AF386" s="157">
        <v>41837</v>
      </c>
      <c r="AG386" s="185">
        <v>5.34</v>
      </c>
      <c r="AH386" s="157">
        <v>41837</v>
      </c>
      <c r="AM386" s="137">
        <v>92</v>
      </c>
      <c r="BM386" s="138">
        <v>64.28</v>
      </c>
      <c r="BN386" s="157">
        <v>41837</v>
      </c>
      <c r="BS386" s="138">
        <v>48.54</v>
      </c>
      <c r="BT386" s="157">
        <v>41837</v>
      </c>
      <c r="BU386" s="138">
        <v>43.3</v>
      </c>
      <c r="BV386" s="157">
        <v>41837</v>
      </c>
      <c r="BW386" s="138">
        <v>64.900000000000006</v>
      </c>
      <c r="BX386" s="157">
        <v>41837</v>
      </c>
      <c r="CC386" s="138">
        <v>6.2</v>
      </c>
      <c r="CD386" s="157">
        <v>41837</v>
      </c>
      <c r="CI386" s="138">
        <v>3</v>
      </c>
    </row>
    <row r="387" spans="1:91">
      <c r="A387" s="159" t="s">
        <v>7661</v>
      </c>
      <c r="B387" s="112" t="s">
        <v>269</v>
      </c>
      <c r="C387" s="112">
        <v>2</v>
      </c>
      <c r="D387" s="112">
        <v>110</v>
      </c>
      <c r="E387" s="113">
        <v>26</v>
      </c>
      <c r="F387" s="113">
        <v>11</v>
      </c>
      <c r="M387" s="185">
        <v>1.23</v>
      </c>
      <c r="N387" s="157">
        <v>41837</v>
      </c>
      <c r="R387" s="185"/>
      <c r="S387" s="137">
        <v>3.32</v>
      </c>
      <c r="T387" s="157">
        <v>41837</v>
      </c>
      <c r="U387" s="142">
        <v>18</v>
      </c>
      <c r="Y387" s="142">
        <f t="shared" si="6"/>
        <v>2.9442000000000004</v>
      </c>
      <c r="Z387" s="157">
        <v>41837</v>
      </c>
      <c r="AE387" s="137">
        <v>7.01</v>
      </c>
      <c r="AF387" s="157">
        <v>41837</v>
      </c>
      <c r="AG387" s="185">
        <v>5.29</v>
      </c>
      <c r="AH387" s="157">
        <v>41837</v>
      </c>
      <c r="AM387" s="137">
        <v>92</v>
      </c>
      <c r="BM387" s="138">
        <v>58.42</v>
      </c>
      <c r="BN387" s="157">
        <v>41837</v>
      </c>
      <c r="BS387" s="138">
        <v>47.29</v>
      </c>
      <c r="BT387" s="157">
        <v>41837</v>
      </c>
      <c r="BU387" s="138">
        <v>42</v>
      </c>
      <c r="BV387" s="157">
        <v>41837</v>
      </c>
      <c r="BW387" s="138">
        <v>67.599999999999994</v>
      </c>
      <c r="BX387" s="157">
        <v>41837</v>
      </c>
      <c r="CC387" s="138">
        <v>5.9</v>
      </c>
      <c r="CD387" s="157">
        <v>41837</v>
      </c>
      <c r="CI387" s="138">
        <v>1</v>
      </c>
    </row>
    <row r="388" spans="1:91">
      <c r="A388" s="159" t="s">
        <v>7722</v>
      </c>
      <c r="B388" s="112" t="s">
        <v>269</v>
      </c>
      <c r="C388" s="112">
        <v>2</v>
      </c>
      <c r="D388" s="112">
        <v>82</v>
      </c>
      <c r="E388" s="113">
        <v>27</v>
      </c>
      <c r="F388" s="113">
        <v>11</v>
      </c>
      <c r="M388" s="185">
        <v>3.84</v>
      </c>
      <c r="N388" s="157">
        <v>41837</v>
      </c>
      <c r="R388" s="185"/>
      <c r="S388" s="137">
        <v>10.5</v>
      </c>
      <c r="T388" s="157">
        <v>41837</v>
      </c>
      <c r="U388" s="142">
        <v>18</v>
      </c>
      <c r="Y388" s="142">
        <f t="shared" si="6"/>
        <v>8.5655599999999996</v>
      </c>
      <c r="Z388" s="157">
        <v>41837</v>
      </c>
      <c r="AE388" s="137">
        <v>21.74</v>
      </c>
      <c r="AF388" s="157">
        <v>41837</v>
      </c>
      <c r="AG388" s="185">
        <v>4.41</v>
      </c>
      <c r="AH388" s="157">
        <v>41837</v>
      </c>
      <c r="AM388" s="137">
        <v>90</v>
      </c>
      <c r="BM388" s="138">
        <v>59.43</v>
      </c>
      <c r="BN388" s="157">
        <v>41837</v>
      </c>
      <c r="BS388" s="138">
        <v>48.28</v>
      </c>
      <c r="BT388" s="157">
        <v>41837</v>
      </c>
      <c r="BU388" s="138">
        <v>39.4</v>
      </c>
      <c r="BV388" s="157">
        <v>41837</v>
      </c>
      <c r="BW388" s="138">
        <v>13.9</v>
      </c>
      <c r="BX388" s="157">
        <v>41837</v>
      </c>
      <c r="CC388" s="138">
        <v>6.5</v>
      </c>
      <c r="CD388" s="157">
        <v>41837</v>
      </c>
      <c r="CI388" s="138">
        <v>3</v>
      </c>
    </row>
    <row r="389" spans="1:91">
      <c r="A389" s="159" t="s">
        <v>7798</v>
      </c>
      <c r="B389" s="112" t="s">
        <v>269</v>
      </c>
      <c r="C389" s="112">
        <v>2</v>
      </c>
      <c r="D389" s="112">
        <v>78</v>
      </c>
      <c r="E389" s="113">
        <v>28</v>
      </c>
      <c r="F389" s="113">
        <v>11</v>
      </c>
      <c r="M389" s="185">
        <v>5.67</v>
      </c>
      <c r="N389" s="157">
        <v>41837</v>
      </c>
      <c r="R389" s="185"/>
      <c r="S389" s="137">
        <v>16.03</v>
      </c>
      <c r="T389" s="157">
        <v>41837</v>
      </c>
      <c r="U389" s="142">
        <v>18</v>
      </c>
      <c r="Y389" s="142">
        <f t="shared" si="6"/>
        <v>12.892140000000001</v>
      </c>
      <c r="Z389" s="157">
        <v>41837</v>
      </c>
      <c r="AE389" s="137">
        <v>32.07</v>
      </c>
      <c r="AF389" s="157">
        <v>41837</v>
      </c>
      <c r="AG389" s="185">
        <v>4.9800000000000004</v>
      </c>
      <c r="AH389" s="157">
        <v>41837</v>
      </c>
      <c r="AM389" s="137">
        <v>94</v>
      </c>
      <c r="BM389" s="138">
        <v>61.47</v>
      </c>
      <c r="BN389" s="157">
        <v>41837</v>
      </c>
      <c r="BS389" s="138">
        <v>49.97</v>
      </c>
      <c r="BT389" s="157">
        <v>41837</v>
      </c>
      <c r="BU389" s="138">
        <v>40.200000000000003</v>
      </c>
      <c r="BV389" s="157">
        <v>41837</v>
      </c>
      <c r="BW389" s="138">
        <v>22.7</v>
      </c>
      <c r="BX389" s="157">
        <v>41837</v>
      </c>
      <c r="CC389" s="138">
        <v>6.6</v>
      </c>
      <c r="CD389" s="157">
        <v>41837</v>
      </c>
      <c r="CI389" s="138">
        <v>7</v>
      </c>
    </row>
    <row r="390" spans="1:91">
      <c r="A390" s="159" t="s">
        <v>7650</v>
      </c>
      <c r="B390" s="112" t="s">
        <v>269</v>
      </c>
      <c r="C390" s="112">
        <v>2</v>
      </c>
      <c r="D390" s="112">
        <v>109</v>
      </c>
      <c r="E390" s="113">
        <v>29</v>
      </c>
      <c r="F390" s="113">
        <v>11</v>
      </c>
      <c r="M390" s="185">
        <v>3.9</v>
      </c>
      <c r="N390" s="157">
        <v>41837</v>
      </c>
      <c r="R390" s="185"/>
      <c r="S390" s="137">
        <v>9.66</v>
      </c>
      <c r="T390" s="157">
        <v>41837</v>
      </c>
      <c r="U390" s="142">
        <v>18</v>
      </c>
      <c r="Y390" s="142">
        <f t="shared" si="6"/>
        <v>9.0732999999999997</v>
      </c>
      <c r="Z390" s="157">
        <v>41837</v>
      </c>
      <c r="AE390" s="137">
        <v>22.13</v>
      </c>
      <c r="AF390" s="157">
        <v>41837</v>
      </c>
      <c r="AG390" s="185">
        <v>5.62</v>
      </c>
      <c r="AH390" s="157">
        <v>41837</v>
      </c>
      <c r="AM390" s="137">
        <v>90</v>
      </c>
      <c r="BM390" s="138">
        <v>55.51</v>
      </c>
      <c r="BN390" s="157">
        <v>41837</v>
      </c>
      <c r="BS390" s="138">
        <v>43.65</v>
      </c>
      <c r="BT390" s="157">
        <v>41837</v>
      </c>
      <c r="BU390" s="138">
        <v>41</v>
      </c>
      <c r="BV390" s="157">
        <v>41837</v>
      </c>
      <c r="BW390" s="138">
        <v>20</v>
      </c>
      <c r="BX390" s="157">
        <v>41837</v>
      </c>
      <c r="CC390" s="138">
        <v>6.3</v>
      </c>
      <c r="CD390" s="157">
        <v>41837</v>
      </c>
      <c r="CI390" s="138">
        <v>5</v>
      </c>
    </row>
    <row r="391" spans="1:91">
      <c r="A391" s="189" t="s">
        <v>7802</v>
      </c>
      <c r="B391" s="190" t="s">
        <v>269</v>
      </c>
      <c r="C391" s="190">
        <v>2</v>
      </c>
      <c r="D391" s="190">
        <v>14</v>
      </c>
      <c r="E391" s="191">
        <v>30</v>
      </c>
      <c r="F391" s="191">
        <v>11</v>
      </c>
      <c r="G391" s="191"/>
      <c r="H391" s="191"/>
      <c r="I391" s="201"/>
      <c r="J391" s="190"/>
      <c r="K391" s="192"/>
      <c r="L391" s="193"/>
      <c r="M391" s="194">
        <v>6.26</v>
      </c>
      <c r="N391" s="193">
        <v>41837</v>
      </c>
      <c r="P391" s="193"/>
      <c r="Q391" s="192"/>
      <c r="R391" s="194"/>
      <c r="S391" s="192">
        <v>17.600000000000001</v>
      </c>
      <c r="T391" s="193">
        <v>41837</v>
      </c>
      <c r="U391" s="192">
        <v>18</v>
      </c>
      <c r="V391" s="193"/>
      <c r="W391" s="192"/>
      <c r="X391" s="193"/>
      <c r="Y391" s="192">
        <f t="shared" si="6"/>
        <v>14.21144</v>
      </c>
      <c r="Z391" s="193">
        <v>41837</v>
      </c>
      <c r="AA391" s="192"/>
      <c r="AB391" s="193"/>
      <c r="AC391" s="195"/>
      <c r="AD391" s="193"/>
      <c r="AE391" s="192">
        <v>35.44</v>
      </c>
      <c r="AF391" s="193">
        <v>41837</v>
      </c>
      <c r="AG391" s="194">
        <v>5.35</v>
      </c>
      <c r="AH391" s="193">
        <v>41837</v>
      </c>
      <c r="AI391" s="193"/>
      <c r="AJ391" s="193"/>
      <c r="AK391" s="192"/>
      <c r="AL391" s="193"/>
      <c r="AM391" s="192">
        <v>90</v>
      </c>
      <c r="AN391" s="193"/>
      <c r="AO391" s="195"/>
      <c r="AP391" s="195"/>
      <c r="AQ391" s="195"/>
      <c r="AR391" s="195"/>
      <c r="AS391" s="195"/>
      <c r="AT391" s="195"/>
      <c r="AU391" s="195"/>
      <c r="AV391" s="195"/>
      <c r="AW391" s="195"/>
      <c r="AX391" s="195"/>
      <c r="AY391" s="195"/>
      <c r="AZ391" s="195"/>
      <c r="BA391" s="195"/>
      <c r="BB391" s="195"/>
      <c r="BC391" s="195"/>
      <c r="BD391" s="195"/>
      <c r="BE391" s="196"/>
      <c r="BF391" s="196"/>
      <c r="BG391" s="196"/>
      <c r="BH391" s="196"/>
      <c r="BI391" s="196"/>
      <c r="BJ391" s="196"/>
      <c r="BK391" s="196"/>
      <c r="BL391" s="196"/>
      <c r="BM391" s="196">
        <v>59.37</v>
      </c>
      <c r="BN391" s="193">
        <v>41837</v>
      </c>
      <c r="BO391" s="196"/>
      <c r="BP391" s="196"/>
      <c r="BQ391" s="196"/>
      <c r="BR391" s="196"/>
      <c r="BS391" s="196">
        <v>49.66</v>
      </c>
      <c r="BT391" s="193">
        <v>41837</v>
      </c>
      <c r="BU391" s="196">
        <v>40.1</v>
      </c>
      <c r="BV391" s="193">
        <v>41837</v>
      </c>
      <c r="BW391" s="196">
        <v>19.399999999999999</v>
      </c>
      <c r="BX391" s="193">
        <v>41837</v>
      </c>
      <c r="BY391" s="196"/>
      <c r="BZ391" s="196"/>
      <c r="CA391" s="196"/>
      <c r="CB391" s="196"/>
      <c r="CC391" s="196">
        <v>6.5</v>
      </c>
      <c r="CD391" s="193">
        <v>41837</v>
      </c>
      <c r="CE391" s="196"/>
      <c r="CF391" s="196"/>
      <c r="CG391" s="196"/>
      <c r="CH391" s="196"/>
      <c r="CI391" s="196">
        <v>9</v>
      </c>
      <c r="CJ391" s="196"/>
      <c r="CK391" s="196"/>
      <c r="CL391" s="196"/>
      <c r="CM391" s="196"/>
    </row>
    <row r="392" spans="1:91">
      <c r="A392" s="159" t="s">
        <v>7689</v>
      </c>
      <c r="B392" s="112" t="s">
        <v>269</v>
      </c>
      <c r="C392" s="112">
        <v>2</v>
      </c>
      <c r="D392" s="112">
        <v>116</v>
      </c>
      <c r="E392" s="113">
        <v>31</v>
      </c>
      <c r="F392" s="113">
        <v>11</v>
      </c>
      <c r="M392" s="185">
        <v>4.75</v>
      </c>
      <c r="N392" s="157">
        <v>41837</v>
      </c>
      <c r="R392" s="185"/>
      <c r="S392" s="137">
        <v>13.23</v>
      </c>
      <c r="T392" s="157">
        <v>41837</v>
      </c>
      <c r="U392" s="142">
        <v>18</v>
      </c>
      <c r="Y392" s="142">
        <f t="shared" si="6"/>
        <v>11.11796</v>
      </c>
      <c r="Z392" s="157">
        <v>41837</v>
      </c>
      <c r="AE392" s="137">
        <v>26.92</v>
      </c>
      <c r="AF392" s="157">
        <v>41837</v>
      </c>
      <c r="AG392" s="185">
        <v>5.04</v>
      </c>
      <c r="AH392" s="157">
        <v>41837</v>
      </c>
      <c r="AM392" s="137">
        <v>90</v>
      </c>
      <c r="BM392" s="138">
        <v>61.94</v>
      </c>
      <c r="BN392" s="157">
        <v>41837</v>
      </c>
      <c r="BS392" s="138">
        <v>49.14</v>
      </c>
      <c r="BT392" s="157">
        <v>41837</v>
      </c>
      <c r="BU392" s="138">
        <v>41.3</v>
      </c>
      <c r="BV392" s="157">
        <v>41837</v>
      </c>
      <c r="BW392" s="138">
        <v>24.7</v>
      </c>
      <c r="BX392" s="157">
        <v>41837</v>
      </c>
      <c r="CC392" s="138">
        <v>6.4</v>
      </c>
      <c r="CD392" s="157">
        <v>41837</v>
      </c>
      <c r="CI392" s="138">
        <v>7</v>
      </c>
    </row>
    <row r="393" spans="1:91">
      <c r="A393" s="159" t="s">
        <v>7626</v>
      </c>
      <c r="B393" s="112" t="s">
        <v>269</v>
      </c>
      <c r="C393" s="112">
        <v>2</v>
      </c>
      <c r="D393" s="112">
        <v>140</v>
      </c>
      <c r="E393" s="113">
        <v>32</v>
      </c>
      <c r="F393" s="113">
        <v>11</v>
      </c>
      <c r="M393" s="185">
        <v>4.8099999999999996</v>
      </c>
      <c r="N393" s="157">
        <v>41837</v>
      </c>
      <c r="R393" s="185"/>
      <c r="S393" s="137">
        <v>12.88</v>
      </c>
      <c r="T393" s="157">
        <v>41837</v>
      </c>
      <c r="U393" s="142">
        <v>18</v>
      </c>
      <c r="Y393" s="142">
        <f t="shared" si="6"/>
        <v>10.8256</v>
      </c>
      <c r="Z393" s="157">
        <v>41837</v>
      </c>
      <c r="AE393" s="137">
        <v>27.2</v>
      </c>
      <c r="AF393" s="157">
        <v>41837</v>
      </c>
      <c r="AG393" s="185">
        <v>5.19</v>
      </c>
      <c r="AH393" s="157">
        <v>41837</v>
      </c>
      <c r="AM393" s="137">
        <v>94</v>
      </c>
      <c r="BM393" s="138">
        <v>62.86</v>
      </c>
      <c r="BN393" s="157">
        <v>41837</v>
      </c>
      <c r="BS393" s="138">
        <v>47.36</v>
      </c>
      <c r="BT393" s="157">
        <v>41837</v>
      </c>
      <c r="BU393" s="138">
        <v>39.799999999999997</v>
      </c>
      <c r="BV393" s="157">
        <v>41837</v>
      </c>
      <c r="BW393" s="138">
        <v>49.4</v>
      </c>
      <c r="BX393" s="157">
        <v>41837</v>
      </c>
      <c r="CC393" s="138">
        <v>6.6</v>
      </c>
      <c r="CD393" s="157">
        <v>41837</v>
      </c>
      <c r="CI393" s="138">
        <v>5</v>
      </c>
    </row>
    <row r="394" spans="1:91">
      <c r="A394" s="159" t="s">
        <v>7695</v>
      </c>
      <c r="B394" s="112" t="s">
        <v>269</v>
      </c>
      <c r="C394" s="112">
        <v>2</v>
      </c>
      <c r="D394" s="112">
        <v>62</v>
      </c>
      <c r="E394" s="113">
        <v>33</v>
      </c>
      <c r="F394" s="113">
        <v>11</v>
      </c>
      <c r="M394" s="185">
        <v>5.19</v>
      </c>
      <c r="N394" s="157">
        <v>41837</v>
      </c>
      <c r="R394" s="185"/>
      <c r="S394" s="137">
        <v>13.65</v>
      </c>
      <c r="T394" s="157">
        <v>41837</v>
      </c>
      <c r="U394" s="142">
        <v>18</v>
      </c>
      <c r="Y394" s="142">
        <f t="shared" si="6"/>
        <v>11.75732</v>
      </c>
      <c r="Z394" s="157">
        <v>41837</v>
      </c>
      <c r="AE394" s="137">
        <v>29.32</v>
      </c>
      <c r="AF394" s="157">
        <v>41837</v>
      </c>
      <c r="AG394" s="185">
        <v>4.26</v>
      </c>
      <c r="AH394" s="157">
        <v>41837</v>
      </c>
      <c r="AM394" s="137">
        <v>94</v>
      </c>
      <c r="BM394" s="138">
        <v>58.86</v>
      </c>
      <c r="BN394" s="157">
        <v>41837</v>
      </c>
      <c r="BS394" s="138">
        <v>46.55</v>
      </c>
      <c r="BT394" s="157">
        <v>41837</v>
      </c>
      <c r="BU394" s="138">
        <v>40.1</v>
      </c>
      <c r="BV394" s="157">
        <v>41837</v>
      </c>
      <c r="BW394" s="138">
        <v>22</v>
      </c>
      <c r="BX394" s="157">
        <v>41837</v>
      </c>
      <c r="CC394" s="138">
        <v>6.7</v>
      </c>
      <c r="CD394" s="157">
        <v>41837</v>
      </c>
      <c r="CI394" s="138">
        <v>7</v>
      </c>
    </row>
    <row r="395" spans="1:91">
      <c r="A395" s="159" t="s">
        <v>7667</v>
      </c>
      <c r="B395" s="112" t="s">
        <v>269</v>
      </c>
      <c r="C395" s="112">
        <v>2</v>
      </c>
      <c r="D395" s="112">
        <v>157</v>
      </c>
      <c r="E395" s="113">
        <v>34</v>
      </c>
      <c r="F395" s="113">
        <v>11</v>
      </c>
      <c r="M395" s="185">
        <v>2.94</v>
      </c>
      <c r="N395" s="157">
        <v>41837</v>
      </c>
      <c r="R395" s="185"/>
      <c r="S395" s="137">
        <v>7.7</v>
      </c>
      <c r="T395" s="157">
        <v>41837</v>
      </c>
      <c r="U395" s="142">
        <v>18</v>
      </c>
      <c r="Y395" s="142">
        <f t="shared" si="6"/>
        <v>6.3550800000000001</v>
      </c>
      <c r="Z395" s="157">
        <v>41837</v>
      </c>
      <c r="AE395" s="137">
        <v>16.68</v>
      </c>
      <c r="AF395" s="157">
        <v>41837</v>
      </c>
      <c r="AG395" s="185">
        <v>3.82</v>
      </c>
      <c r="AH395" s="157">
        <v>41837</v>
      </c>
      <c r="AM395" s="137">
        <v>96</v>
      </c>
      <c r="BM395" s="138">
        <v>59.31</v>
      </c>
      <c r="BN395" s="157">
        <v>41837</v>
      </c>
      <c r="BS395" s="138">
        <v>46.15</v>
      </c>
      <c r="BT395" s="157">
        <v>41837</v>
      </c>
      <c r="BU395" s="138">
        <v>38.1</v>
      </c>
      <c r="BV395" s="157">
        <v>41837</v>
      </c>
      <c r="BW395" s="138">
        <v>20.399999999999999</v>
      </c>
      <c r="BX395" s="157">
        <v>41837</v>
      </c>
      <c r="CC395" s="138">
        <v>6.3</v>
      </c>
      <c r="CD395" s="157">
        <v>41837</v>
      </c>
      <c r="CI395" s="138">
        <v>1</v>
      </c>
    </row>
    <row r="396" spans="1:91">
      <c r="A396" s="159" t="s">
        <v>7719</v>
      </c>
      <c r="B396" s="112" t="s">
        <v>269</v>
      </c>
      <c r="C396" s="112">
        <v>2</v>
      </c>
      <c r="D396" s="112">
        <v>192</v>
      </c>
      <c r="E396" s="113">
        <v>35</v>
      </c>
      <c r="F396" s="113">
        <v>11</v>
      </c>
      <c r="M396" s="185">
        <v>3.07</v>
      </c>
      <c r="N396" s="157">
        <v>41837</v>
      </c>
      <c r="R396" s="185"/>
      <c r="S396" s="137">
        <v>8.4700000000000006</v>
      </c>
      <c r="T396" s="157">
        <v>41837</v>
      </c>
      <c r="U396" s="142">
        <v>18</v>
      </c>
      <c r="Y396" s="142">
        <f t="shared" si="6"/>
        <v>7.1155200000000001</v>
      </c>
      <c r="Z396" s="157">
        <v>41837</v>
      </c>
      <c r="AE396" s="137">
        <v>17.440000000000001</v>
      </c>
      <c r="AF396" s="157">
        <v>41837</v>
      </c>
      <c r="AG396" s="185">
        <v>4.97</v>
      </c>
      <c r="AH396" s="157">
        <v>41837</v>
      </c>
      <c r="AM396" s="137">
        <v>85</v>
      </c>
      <c r="BM396" s="138">
        <v>59.8</v>
      </c>
      <c r="BN396" s="157">
        <v>41837</v>
      </c>
      <c r="BS396" s="138">
        <v>48.58</v>
      </c>
      <c r="BT396" s="157">
        <v>41837</v>
      </c>
      <c r="BU396" s="138">
        <v>40.799999999999997</v>
      </c>
      <c r="BV396" s="157">
        <v>41837</v>
      </c>
      <c r="BW396" s="138">
        <v>24.4</v>
      </c>
      <c r="BX396" s="157">
        <v>41837</v>
      </c>
      <c r="CC396" s="138">
        <v>6.2</v>
      </c>
      <c r="CD396" s="157">
        <v>41837</v>
      </c>
      <c r="CI396" s="138">
        <v>1</v>
      </c>
    </row>
    <row r="397" spans="1:91">
      <c r="A397" s="159" t="s">
        <v>7647</v>
      </c>
      <c r="B397" s="112" t="s">
        <v>269</v>
      </c>
      <c r="C397" s="112">
        <v>2</v>
      </c>
      <c r="D397" s="112">
        <v>163</v>
      </c>
      <c r="E397" s="113">
        <v>36</v>
      </c>
      <c r="F397" s="113">
        <v>11</v>
      </c>
      <c r="M397" s="185">
        <v>3.58</v>
      </c>
      <c r="N397" s="157">
        <v>41837</v>
      </c>
      <c r="R397" s="185"/>
      <c r="S397" s="137">
        <v>9.3699999999999992</v>
      </c>
      <c r="T397" s="157">
        <v>41837</v>
      </c>
      <c r="U397" s="142">
        <v>18</v>
      </c>
      <c r="Y397" s="142">
        <f t="shared" si="6"/>
        <v>8.5050000000000008</v>
      </c>
      <c r="Z397" s="157">
        <v>41837</v>
      </c>
      <c r="AE397" s="137">
        <v>20.25</v>
      </c>
      <c r="AF397" s="157">
        <v>41837</v>
      </c>
      <c r="AG397" s="185">
        <v>5.2119999999999997</v>
      </c>
      <c r="AH397" s="157">
        <v>41837</v>
      </c>
      <c r="AM397" s="137">
        <v>85</v>
      </c>
      <c r="BM397" s="138">
        <v>57.51</v>
      </c>
      <c r="BN397" s="157">
        <v>41837</v>
      </c>
      <c r="BS397" s="138">
        <v>46.26</v>
      </c>
      <c r="BT397" s="157">
        <v>41837</v>
      </c>
      <c r="BU397" s="138">
        <v>42</v>
      </c>
      <c r="BV397" s="157">
        <v>41837</v>
      </c>
      <c r="BW397" s="138">
        <v>63.1</v>
      </c>
      <c r="BX397" s="157">
        <v>41837</v>
      </c>
      <c r="CC397" s="138">
        <v>6.6</v>
      </c>
      <c r="CD397" s="157">
        <v>41837</v>
      </c>
      <c r="CI397" s="138">
        <v>1</v>
      </c>
    </row>
    <row r="398" spans="1:91">
      <c r="A398" s="159" t="s">
        <v>7729</v>
      </c>
      <c r="B398" s="112" t="s">
        <v>269</v>
      </c>
      <c r="C398" s="112">
        <v>2</v>
      </c>
      <c r="D398" s="112">
        <v>179</v>
      </c>
      <c r="E398" s="113">
        <v>1</v>
      </c>
      <c r="F398" s="113">
        <v>12</v>
      </c>
      <c r="M398" s="185">
        <v>5.47</v>
      </c>
      <c r="N398" s="157">
        <v>41837</v>
      </c>
      <c r="R398" s="185"/>
      <c r="S398" s="137">
        <v>14.43</v>
      </c>
      <c r="T398" s="157">
        <v>41837</v>
      </c>
      <c r="U398" s="142">
        <v>18</v>
      </c>
      <c r="Y398" s="142">
        <f t="shared" si="6"/>
        <v>11.892529999999999</v>
      </c>
      <c r="Z398" s="157">
        <v>41837</v>
      </c>
      <c r="AE398" s="137">
        <v>29.51</v>
      </c>
      <c r="AF398" s="157">
        <v>41837</v>
      </c>
      <c r="AG398" s="185">
        <v>5.0999999999999996</v>
      </c>
      <c r="AH398" s="157">
        <v>41837</v>
      </c>
      <c r="AM398" s="137">
        <v>92</v>
      </c>
      <c r="BM398" s="138">
        <v>58.82</v>
      </c>
      <c r="BN398" s="157">
        <v>41837</v>
      </c>
      <c r="BS398" s="138">
        <v>48.89</v>
      </c>
      <c r="BT398" s="157">
        <v>41837</v>
      </c>
      <c r="BU398" s="138">
        <v>40.299999999999997</v>
      </c>
      <c r="BV398" s="157">
        <v>41837</v>
      </c>
      <c r="BW398" s="138">
        <v>16.399999999999999</v>
      </c>
      <c r="BX398" s="157">
        <v>41837</v>
      </c>
      <c r="CC398" s="138">
        <v>10.9</v>
      </c>
      <c r="CD398" s="157">
        <v>41837</v>
      </c>
      <c r="CI398" s="138">
        <v>3</v>
      </c>
    </row>
    <row r="399" spans="1:91">
      <c r="A399" s="159" t="s">
        <v>7691</v>
      </c>
      <c r="B399" s="112" t="s">
        <v>269</v>
      </c>
      <c r="C399" s="112">
        <v>2</v>
      </c>
      <c r="D399" s="112">
        <v>71</v>
      </c>
      <c r="E399" s="113">
        <v>2</v>
      </c>
      <c r="F399" s="113">
        <v>12</v>
      </c>
      <c r="M399" s="185">
        <v>6.29</v>
      </c>
      <c r="N399" s="157">
        <v>41837</v>
      </c>
      <c r="R399" s="185"/>
      <c r="S399" s="137">
        <v>16.45</v>
      </c>
      <c r="T399" s="157">
        <v>41837</v>
      </c>
      <c r="U399" s="142">
        <v>18</v>
      </c>
      <c r="Y399" s="142">
        <f t="shared" si="6"/>
        <v>13.712</v>
      </c>
      <c r="Z399" s="157">
        <v>41837</v>
      </c>
      <c r="AE399" s="137">
        <v>34.28</v>
      </c>
      <c r="AF399" s="157">
        <v>41837</v>
      </c>
      <c r="AG399" s="185">
        <v>5.25</v>
      </c>
      <c r="AH399" s="157">
        <v>41837</v>
      </c>
      <c r="AM399" s="137">
        <v>87</v>
      </c>
      <c r="BM399" s="138">
        <v>61.18</v>
      </c>
      <c r="BN399" s="157">
        <v>41837</v>
      </c>
      <c r="BS399" s="138">
        <v>48</v>
      </c>
      <c r="BT399" s="157">
        <v>41837</v>
      </c>
      <c r="BU399" s="138">
        <v>40</v>
      </c>
      <c r="BV399" s="157">
        <v>41837</v>
      </c>
      <c r="BW399" s="138">
        <v>16.8</v>
      </c>
      <c r="BX399" s="157">
        <v>41837</v>
      </c>
      <c r="CC399" s="138">
        <v>10</v>
      </c>
      <c r="CD399" s="157">
        <v>41837</v>
      </c>
      <c r="CI399" s="138">
        <v>9</v>
      </c>
    </row>
    <row r="400" spans="1:91">
      <c r="A400" s="159" t="s">
        <v>7620</v>
      </c>
      <c r="B400" s="112" t="s">
        <v>269</v>
      </c>
      <c r="C400" s="112">
        <v>2</v>
      </c>
      <c r="D400" s="112">
        <v>150</v>
      </c>
      <c r="E400" s="113">
        <v>3</v>
      </c>
      <c r="F400" s="113">
        <v>12</v>
      </c>
      <c r="M400" s="185">
        <v>1.1100000000000001</v>
      </c>
      <c r="N400" s="157">
        <v>41837</v>
      </c>
      <c r="R400" s="185"/>
      <c r="S400" s="137">
        <v>2.86</v>
      </c>
      <c r="T400" s="157">
        <v>41837</v>
      </c>
      <c r="U400" s="142">
        <v>18</v>
      </c>
      <c r="Y400" s="142">
        <f t="shared" si="6"/>
        <v>2.5832399999999995</v>
      </c>
      <c r="Z400" s="157">
        <v>41837</v>
      </c>
      <c r="AE400" s="137">
        <v>6.18</v>
      </c>
      <c r="AF400" s="157">
        <v>41837</v>
      </c>
      <c r="AG400" s="185">
        <v>4.76</v>
      </c>
      <c r="AH400" s="157">
        <v>41837</v>
      </c>
      <c r="AM400" s="137">
        <v>90</v>
      </c>
      <c r="BM400" s="138">
        <v>61.49</v>
      </c>
      <c r="BN400" s="157">
        <v>41837</v>
      </c>
      <c r="BS400" s="138">
        <v>46.31</v>
      </c>
      <c r="BT400" s="157">
        <v>41837</v>
      </c>
      <c r="BU400" s="138">
        <v>41.8</v>
      </c>
      <c r="BV400" s="157">
        <v>41837</v>
      </c>
      <c r="BW400" s="138">
        <v>50.1</v>
      </c>
      <c r="BX400" s="157">
        <v>41837</v>
      </c>
      <c r="CC400" s="138">
        <v>8</v>
      </c>
      <c r="CD400" s="157">
        <v>41837</v>
      </c>
      <c r="CI400" s="138">
        <v>3</v>
      </c>
    </row>
    <row r="401" spans="1:91">
      <c r="A401" s="159" t="s">
        <v>7622</v>
      </c>
      <c r="B401" s="112" t="s">
        <v>269</v>
      </c>
      <c r="C401" s="112">
        <v>2</v>
      </c>
      <c r="D401" s="112">
        <v>118</v>
      </c>
      <c r="E401" s="113">
        <v>4</v>
      </c>
      <c r="F401" s="113">
        <v>12</v>
      </c>
      <c r="M401" s="185">
        <v>2.97</v>
      </c>
      <c r="N401" s="157">
        <v>41837</v>
      </c>
      <c r="R401" s="185"/>
      <c r="S401" s="137">
        <v>7.78</v>
      </c>
      <c r="T401" s="157">
        <v>41837</v>
      </c>
      <c r="U401" s="142">
        <v>18</v>
      </c>
      <c r="Y401" s="142">
        <f t="shared" si="6"/>
        <v>7.0535699999999997</v>
      </c>
      <c r="Z401" s="157">
        <v>41837</v>
      </c>
      <c r="AE401" s="137">
        <v>16.29</v>
      </c>
      <c r="AF401" s="157">
        <v>41837</v>
      </c>
      <c r="AG401" s="185">
        <v>5.08</v>
      </c>
      <c r="AH401" s="157">
        <v>41837</v>
      </c>
      <c r="AM401" s="137">
        <v>90</v>
      </c>
      <c r="BM401" s="138">
        <v>62.14</v>
      </c>
      <c r="BN401" s="157">
        <v>41837</v>
      </c>
      <c r="BS401" s="138">
        <v>47.78</v>
      </c>
      <c r="BT401" s="157">
        <v>41837</v>
      </c>
      <c r="BU401" s="138">
        <v>43.3</v>
      </c>
      <c r="BV401" s="157">
        <v>41837</v>
      </c>
      <c r="BW401" s="138">
        <v>67.099999999999994</v>
      </c>
      <c r="BX401" s="157">
        <v>41837</v>
      </c>
      <c r="CC401" s="138">
        <v>9.4</v>
      </c>
      <c r="CD401" s="157">
        <v>41837</v>
      </c>
      <c r="CI401" s="138">
        <v>5</v>
      </c>
    </row>
    <row r="402" spans="1:91">
      <c r="A402" s="159" t="s">
        <v>7612</v>
      </c>
      <c r="B402" s="112" t="s">
        <v>269</v>
      </c>
      <c r="C402" s="112">
        <v>2</v>
      </c>
      <c r="D402" s="112">
        <v>87</v>
      </c>
      <c r="E402" s="113">
        <v>5</v>
      </c>
      <c r="F402" s="113">
        <v>12</v>
      </c>
      <c r="M402" s="185">
        <v>3.31</v>
      </c>
      <c r="N402" s="157">
        <v>41837</v>
      </c>
      <c r="R402" s="185"/>
      <c r="S402" s="137">
        <v>8.59</v>
      </c>
      <c r="T402" s="157">
        <v>41837</v>
      </c>
      <c r="U402" s="142">
        <v>18</v>
      </c>
      <c r="Y402" s="142">
        <f t="shared" si="6"/>
        <v>7.4519799999999998</v>
      </c>
      <c r="Z402" s="157">
        <v>41837</v>
      </c>
      <c r="AE402" s="137">
        <v>18.22</v>
      </c>
      <c r="AF402" s="157">
        <v>41837</v>
      </c>
      <c r="AG402" s="185">
        <v>5.3</v>
      </c>
      <c r="AH402" s="157">
        <v>41837</v>
      </c>
      <c r="AM402" s="137">
        <v>94</v>
      </c>
      <c r="BM402" s="138">
        <v>62.64</v>
      </c>
      <c r="BN402" s="157">
        <v>41837</v>
      </c>
      <c r="BS402" s="138">
        <v>47.17</v>
      </c>
      <c r="BT402" s="157">
        <v>41837</v>
      </c>
      <c r="BU402" s="138">
        <v>40.9</v>
      </c>
      <c r="BV402" s="157">
        <v>41837</v>
      </c>
      <c r="BW402" s="138">
        <v>68.599999999999994</v>
      </c>
      <c r="BX402" s="157">
        <v>41837</v>
      </c>
      <c r="CC402" s="138">
        <v>9.1</v>
      </c>
      <c r="CD402" s="157">
        <v>41837</v>
      </c>
      <c r="CI402" s="138">
        <v>5</v>
      </c>
    </row>
    <row r="403" spans="1:91">
      <c r="A403" s="159" t="s">
        <v>7665</v>
      </c>
      <c r="B403" s="112" t="s">
        <v>269</v>
      </c>
      <c r="C403" s="112">
        <v>2</v>
      </c>
      <c r="D403" s="112">
        <v>22</v>
      </c>
      <c r="E403" s="113">
        <v>6</v>
      </c>
      <c r="F403" s="113">
        <v>12</v>
      </c>
      <c r="I403" s="200"/>
      <c r="K403" s="142"/>
      <c r="M403" s="185">
        <v>5.67</v>
      </c>
      <c r="N403" s="157">
        <v>41837</v>
      </c>
      <c r="Q403" s="142"/>
      <c r="R403" s="185"/>
      <c r="S403" s="142">
        <v>15.3</v>
      </c>
      <c r="T403" s="157">
        <v>41837</v>
      </c>
      <c r="U403" s="142">
        <v>18</v>
      </c>
      <c r="W403" s="142"/>
      <c r="Y403" s="142">
        <f t="shared" si="6"/>
        <v>12.422749999999999</v>
      </c>
      <c r="Z403" s="157">
        <v>41837</v>
      </c>
      <c r="AA403" s="142"/>
      <c r="AE403" s="142">
        <v>31.45</v>
      </c>
      <c r="AF403" s="157">
        <v>41837</v>
      </c>
      <c r="AG403" s="185">
        <v>5</v>
      </c>
      <c r="AH403" s="157">
        <v>41837</v>
      </c>
      <c r="AK403" s="142"/>
      <c r="AM403" s="142">
        <v>96</v>
      </c>
      <c r="BM403" s="138">
        <v>60.49</v>
      </c>
      <c r="BN403" s="157">
        <v>41837</v>
      </c>
      <c r="BS403" s="138">
        <v>48.65</v>
      </c>
      <c r="BT403" s="157">
        <v>41837</v>
      </c>
      <c r="BU403" s="138">
        <v>39.5</v>
      </c>
      <c r="BV403" s="157">
        <v>41837</v>
      </c>
      <c r="BW403" s="138">
        <v>15</v>
      </c>
      <c r="BX403" s="157">
        <v>41837</v>
      </c>
      <c r="CC403" s="138">
        <v>8.4</v>
      </c>
      <c r="CD403" s="157">
        <v>41837</v>
      </c>
      <c r="CI403" s="138">
        <v>5</v>
      </c>
    </row>
    <row r="404" spans="1:91">
      <c r="A404" s="159" t="s">
        <v>7771</v>
      </c>
      <c r="B404" s="112" t="s">
        <v>269</v>
      </c>
      <c r="C404" s="112">
        <v>2</v>
      </c>
      <c r="D404" s="112">
        <v>106</v>
      </c>
      <c r="E404" s="113">
        <v>7</v>
      </c>
      <c r="F404" s="113">
        <v>12</v>
      </c>
      <c r="M404" s="185">
        <v>6.13</v>
      </c>
      <c r="N404" s="157">
        <v>41837</v>
      </c>
      <c r="R404" s="185"/>
      <c r="S404" s="137">
        <v>17.670000000000002</v>
      </c>
      <c r="T404" s="157">
        <v>41837</v>
      </c>
      <c r="U404" s="142">
        <v>18</v>
      </c>
      <c r="Y404" s="142">
        <f t="shared" si="6"/>
        <v>13.292879999999998</v>
      </c>
      <c r="Z404" s="157">
        <v>41837</v>
      </c>
      <c r="AE404" s="137">
        <v>34.26</v>
      </c>
      <c r="AF404" s="157">
        <v>41837</v>
      </c>
      <c r="AG404" s="185">
        <v>5.15</v>
      </c>
      <c r="AH404" s="157">
        <v>41837</v>
      </c>
      <c r="AM404" s="137">
        <v>96</v>
      </c>
      <c r="BM404" s="138">
        <v>62.18</v>
      </c>
      <c r="BN404" s="157">
        <v>41837</v>
      </c>
      <c r="BS404" s="138">
        <v>51.57</v>
      </c>
      <c r="BT404" s="157">
        <v>41837</v>
      </c>
      <c r="BU404" s="138">
        <v>38.799999999999997</v>
      </c>
      <c r="BV404" s="157">
        <v>41837</v>
      </c>
      <c r="BW404" s="138">
        <v>17.899999999999999</v>
      </c>
      <c r="BX404" s="157">
        <v>41837</v>
      </c>
      <c r="CC404" s="138">
        <v>7.7</v>
      </c>
      <c r="CD404" s="157">
        <v>41837</v>
      </c>
      <c r="CI404" s="138">
        <v>7</v>
      </c>
    </row>
    <row r="405" spans="1:91">
      <c r="A405" s="159" t="s">
        <v>7747</v>
      </c>
      <c r="B405" s="112" t="s">
        <v>269</v>
      </c>
      <c r="C405" s="112">
        <v>2</v>
      </c>
      <c r="D405" s="112">
        <v>98</v>
      </c>
      <c r="E405" s="113">
        <v>8</v>
      </c>
      <c r="F405" s="113">
        <v>12</v>
      </c>
      <c r="M405" s="185">
        <v>4.1100000000000003</v>
      </c>
      <c r="N405" s="157">
        <v>41837</v>
      </c>
      <c r="R405" s="185"/>
      <c r="S405" s="137">
        <v>10.63</v>
      </c>
      <c r="T405" s="157">
        <v>41837</v>
      </c>
      <c r="U405" s="142">
        <v>18</v>
      </c>
      <c r="Y405" s="142">
        <f t="shared" si="6"/>
        <v>9.4619999999999997</v>
      </c>
      <c r="Z405" s="157">
        <v>41837</v>
      </c>
      <c r="AE405" s="137">
        <v>22.8</v>
      </c>
      <c r="AF405" s="157">
        <v>41837</v>
      </c>
      <c r="AG405" s="185">
        <v>4.88</v>
      </c>
      <c r="AH405" s="157">
        <v>41837</v>
      </c>
      <c r="AM405" s="137">
        <v>90</v>
      </c>
      <c r="BM405" s="138">
        <v>61.25</v>
      </c>
      <c r="BN405" s="157">
        <v>41837</v>
      </c>
      <c r="BS405" s="138">
        <v>46.62</v>
      </c>
      <c r="BT405" s="157">
        <v>41837</v>
      </c>
      <c r="BU405" s="138">
        <v>41.5</v>
      </c>
      <c r="BV405" s="157">
        <v>41837</v>
      </c>
      <c r="BW405" s="138">
        <v>85.5</v>
      </c>
      <c r="BX405" s="157">
        <v>41837</v>
      </c>
      <c r="CC405" s="138">
        <v>8.4</v>
      </c>
      <c r="CD405" s="157">
        <v>41837</v>
      </c>
      <c r="CI405" s="138">
        <v>3</v>
      </c>
    </row>
    <row r="406" spans="1:91">
      <c r="A406" s="159" t="s">
        <v>7683</v>
      </c>
      <c r="B406" s="112" t="s">
        <v>269</v>
      </c>
      <c r="C406" s="112">
        <v>2</v>
      </c>
      <c r="D406" s="112">
        <v>216</v>
      </c>
      <c r="E406" s="113">
        <v>9</v>
      </c>
      <c r="F406" s="113">
        <v>12</v>
      </c>
      <c r="M406" s="185">
        <v>4.97</v>
      </c>
      <c r="N406" s="157">
        <v>41837</v>
      </c>
      <c r="R406" s="185"/>
      <c r="S406" s="137">
        <v>12.74</v>
      </c>
      <c r="T406" s="157">
        <v>41837</v>
      </c>
      <c r="U406" s="142">
        <v>18</v>
      </c>
      <c r="Y406" s="142">
        <f t="shared" si="6"/>
        <v>11.52426</v>
      </c>
      <c r="Z406" s="157">
        <v>41837</v>
      </c>
      <c r="AE406" s="137">
        <v>27.57</v>
      </c>
      <c r="AF406" s="157">
        <v>41837</v>
      </c>
      <c r="AG406" s="185">
        <v>5.09</v>
      </c>
      <c r="AH406" s="157">
        <v>41837</v>
      </c>
      <c r="AM406" s="137">
        <v>92</v>
      </c>
      <c r="BM406" s="138">
        <v>60.66</v>
      </c>
      <c r="BN406" s="157">
        <v>41837</v>
      </c>
      <c r="BS406" s="138">
        <v>46.22</v>
      </c>
      <c r="BT406" s="157">
        <v>41837</v>
      </c>
      <c r="BU406" s="138">
        <v>41.8</v>
      </c>
      <c r="BV406" s="157">
        <v>41837</v>
      </c>
      <c r="BW406" s="138">
        <v>16.2</v>
      </c>
      <c r="BX406" s="157">
        <v>41837</v>
      </c>
      <c r="CC406" s="138">
        <v>8.4</v>
      </c>
      <c r="CD406" s="157">
        <v>41837</v>
      </c>
      <c r="CI406" s="138">
        <v>9</v>
      </c>
    </row>
    <row r="407" spans="1:91">
      <c r="A407" s="159" t="s">
        <v>7634</v>
      </c>
      <c r="B407" s="112" t="s">
        <v>269</v>
      </c>
      <c r="C407" s="112">
        <v>2</v>
      </c>
      <c r="D407" s="112">
        <v>104</v>
      </c>
      <c r="E407" s="113">
        <v>10</v>
      </c>
      <c r="F407" s="113">
        <v>12</v>
      </c>
      <c r="M407" s="185">
        <v>3.01</v>
      </c>
      <c r="N407" s="157">
        <v>41837</v>
      </c>
      <c r="R407" s="185"/>
      <c r="S407" s="137">
        <v>7.92</v>
      </c>
      <c r="T407" s="157">
        <v>41837</v>
      </c>
      <c r="U407" s="142">
        <v>18</v>
      </c>
      <c r="Y407" s="142">
        <f t="shared" si="6"/>
        <v>6.9678499999999994</v>
      </c>
      <c r="Z407" s="157">
        <v>41837</v>
      </c>
      <c r="AE407" s="137">
        <v>16.79</v>
      </c>
      <c r="AF407" s="157">
        <v>41837</v>
      </c>
      <c r="AG407" s="185">
        <v>5.0199999999999996</v>
      </c>
      <c r="AH407" s="157">
        <v>41837</v>
      </c>
      <c r="AM407" s="137">
        <v>76</v>
      </c>
      <c r="BM407" s="138">
        <v>60.59</v>
      </c>
      <c r="BN407" s="157">
        <v>41837</v>
      </c>
      <c r="BS407" s="138">
        <v>47.15</v>
      </c>
      <c r="BT407" s="157">
        <v>41837</v>
      </c>
      <c r="BU407" s="138">
        <v>41.5</v>
      </c>
      <c r="BV407" s="157">
        <v>41837</v>
      </c>
      <c r="BW407" s="138">
        <v>46.2</v>
      </c>
      <c r="BX407" s="157">
        <v>41837</v>
      </c>
      <c r="CC407" s="138">
        <v>7.9</v>
      </c>
      <c r="CD407" s="157">
        <v>41837</v>
      </c>
      <c r="CI407" s="138">
        <v>3</v>
      </c>
    </row>
    <row r="408" spans="1:91">
      <c r="A408" s="159" t="s">
        <v>7696</v>
      </c>
      <c r="B408" s="112" t="s">
        <v>269</v>
      </c>
      <c r="C408" s="112">
        <v>2</v>
      </c>
      <c r="D408" s="112">
        <v>65</v>
      </c>
      <c r="E408" s="113">
        <v>11</v>
      </c>
      <c r="F408" s="113">
        <v>12</v>
      </c>
      <c r="M408" s="185">
        <v>5.18</v>
      </c>
      <c r="N408" s="157">
        <v>41837</v>
      </c>
      <c r="R408" s="185"/>
      <c r="S408" s="137">
        <v>14.16</v>
      </c>
      <c r="T408" s="157">
        <v>41837</v>
      </c>
      <c r="U408" s="142">
        <v>18</v>
      </c>
      <c r="Y408" s="142">
        <f t="shared" si="6"/>
        <v>11.666040000000001</v>
      </c>
      <c r="Z408" s="157">
        <v>41837</v>
      </c>
      <c r="AE408" s="137">
        <v>29.02</v>
      </c>
      <c r="AF408" s="157">
        <v>41837</v>
      </c>
      <c r="AG408" s="185">
        <v>3.98</v>
      </c>
      <c r="AH408" s="157">
        <v>41837</v>
      </c>
      <c r="AM408" s="137">
        <v>90</v>
      </c>
      <c r="BM408" s="138">
        <v>60.7</v>
      </c>
      <c r="BN408" s="157">
        <v>41837</v>
      </c>
      <c r="BS408" s="138">
        <v>48.79</v>
      </c>
      <c r="BT408" s="157">
        <v>41837</v>
      </c>
      <c r="BU408" s="138">
        <v>40.200000000000003</v>
      </c>
      <c r="BV408" s="157">
        <v>41837</v>
      </c>
      <c r="BW408" s="138">
        <v>18.7</v>
      </c>
      <c r="BX408" s="157">
        <v>41837</v>
      </c>
      <c r="CC408" s="138">
        <v>7.5</v>
      </c>
      <c r="CD408" s="157">
        <v>41837</v>
      </c>
      <c r="CI408" s="138">
        <v>5</v>
      </c>
    </row>
    <row r="409" spans="1:91">
      <c r="A409" s="159" t="s">
        <v>7775</v>
      </c>
      <c r="B409" s="112" t="s">
        <v>269</v>
      </c>
      <c r="C409" s="112">
        <v>2</v>
      </c>
      <c r="D409" s="112">
        <v>176</v>
      </c>
      <c r="E409" s="113">
        <v>12</v>
      </c>
      <c r="F409" s="113">
        <v>12</v>
      </c>
      <c r="M409" s="185">
        <v>6.03</v>
      </c>
      <c r="N409" s="157">
        <v>41837</v>
      </c>
      <c r="R409" s="185"/>
      <c r="S409" s="137">
        <v>16.100000000000001</v>
      </c>
      <c r="T409" s="157">
        <v>41837</v>
      </c>
      <c r="U409" s="142">
        <v>18</v>
      </c>
      <c r="Y409" s="142">
        <f t="shared" si="6"/>
        <v>13.558240000000001</v>
      </c>
      <c r="Z409" s="157">
        <v>41837</v>
      </c>
      <c r="AE409" s="137">
        <v>33.56</v>
      </c>
      <c r="AF409" s="157">
        <v>41837</v>
      </c>
      <c r="AG409" s="185">
        <v>5.96</v>
      </c>
      <c r="AH409" s="157">
        <v>41837</v>
      </c>
      <c r="AM409" s="137">
        <v>90</v>
      </c>
      <c r="BM409" s="138">
        <v>56.74</v>
      </c>
      <c r="BN409" s="157">
        <v>41837</v>
      </c>
      <c r="BS409" s="138">
        <v>47.96</v>
      </c>
      <c r="BT409" s="157">
        <v>41837</v>
      </c>
      <c r="BU409" s="138">
        <v>40.4</v>
      </c>
      <c r="BV409" s="157">
        <v>41837</v>
      </c>
      <c r="BW409" s="138">
        <v>16.399999999999999</v>
      </c>
      <c r="BX409" s="157">
        <v>41837</v>
      </c>
      <c r="CC409" s="138">
        <v>8.1</v>
      </c>
      <c r="CD409" s="157">
        <v>41837</v>
      </c>
      <c r="CI409" s="138">
        <v>7</v>
      </c>
    </row>
    <row r="410" spans="1:91">
      <c r="A410" s="159" t="s">
        <v>7750</v>
      </c>
      <c r="B410" s="112" t="s">
        <v>269</v>
      </c>
      <c r="C410" s="112">
        <v>2</v>
      </c>
      <c r="D410" s="112">
        <v>200</v>
      </c>
      <c r="E410" s="113">
        <v>13</v>
      </c>
      <c r="F410" s="113">
        <v>12</v>
      </c>
      <c r="M410" s="185">
        <v>1.57</v>
      </c>
      <c r="N410" s="157">
        <v>41837</v>
      </c>
      <c r="R410" s="185"/>
      <c r="S410" s="137">
        <v>4.2699999999999996</v>
      </c>
      <c r="T410" s="157">
        <v>41837</v>
      </c>
      <c r="U410" s="142">
        <v>18</v>
      </c>
      <c r="Y410" s="142">
        <f t="shared" si="6"/>
        <v>3.6166499999999995</v>
      </c>
      <c r="Z410" s="157">
        <v>41837</v>
      </c>
      <c r="AE410" s="137">
        <v>8.93</v>
      </c>
      <c r="AF410" s="157">
        <v>41837</v>
      </c>
      <c r="AG410" s="185">
        <v>4.57</v>
      </c>
      <c r="AH410" s="157">
        <v>41837</v>
      </c>
      <c r="AM410" s="137">
        <v>87</v>
      </c>
      <c r="BM410" s="138">
        <v>60.81</v>
      </c>
      <c r="BN410" s="157">
        <v>41837</v>
      </c>
      <c r="BS410" s="138">
        <v>47.8</v>
      </c>
      <c r="BT410" s="157">
        <v>41837</v>
      </c>
      <c r="BU410" s="138">
        <v>40.5</v>
      </c>
      <c r="BV410" s="157">
        <v>41837</v>
      </c>
      <c r="BW410" s="138">
        <v>56.4</v>
      </c>
      <c r="BX410" s="157">
        <v>41837</v>
      </c>
      <c r="CC410" s="138">
        <v>6.1</v>
      </c>
      <c r="CD410" s="157">
        <v>41837</v>
      </c>
      <c r="CI410" s="138">
        <v>1</v>
      </c>
    </row>
    <row r="411" spans="1:91">
      <c r="A411" s="159" t="s">
        <v>7701</v>
      </c>
      <c r="B411" s="112" t="s">
        <v>269</v>
      </c>
      <c r="C411" s="112">
        <v>2</v>
      </c>
      <c r="D411" s="112">
        <v>54</v>
      </c>
      <c r="E411" s="113">
        <v>14</v>
      </c>
      <c r="F411" s="113">
        <v>12</v>
      </c>
      <c r="M411" s="185">
        <v>4.93</v>
      </c>
      <c r="N411" s="157">
        <v>41837</v>
      </c>
      <c r="R411" s="185"/>
      <c r="S411" s="137">
        <v>13.72</v>
      </c>
      <c r="T411" s="157">
        <v>41837</v>
      </c>
      <c r="U411" s="142">
        <v>18</v>
      </c>
      <c r="Y411" s="142">
        <f t="shared" si="6"/>
        <v>11.28274</v>
      </c>
      <c r="Z411" s="157">
        <v>41837</v>
      </c>
      <c r="AE411" s="137">
        <v>27.79</v>
      </c>
      <c r="AF411" s="157">
        <v>41837</v>
      </c>
      <c r="AG411" s="185">
        <v>4.7</v>
      </c>
      <c r="AH411" s="157">
        <v>41837</v>
      </c>
      <c r="AM411" s="137">
        <v>96</v>
      </c>
      <c r="BM411" s="138">
        <v>60.15</v>
      </c>
      <c r="BN411" s="157">
        <v>41837</v>
      </c>
      <c r="BS411" s="138">
        <v>49.37</v>
      </c>
      <c r="BT411" s="157">
        <v>41837</v>
      </c>
      <c r="BU411" s="138">
        <v>40.6</v>
      </c>
      <c r="BV411" s="157">
        <v>41837</v>
      </c>
      <c r="BW411" s="138">
        <v>12.4</v>
      </c>
      <c r="BX411" s="157">
        <v>41837</v>
      </c>
      <c r="CC411" s="138">
        <v>6.9</v>
      </c>
      <c r="CD411" s="157">
        <v>41837</v>
      </c>
      <c r="CI411" s="138">
        <v>9</v>
      </c>
    </row>
    <row r="412" spans="1:91">
      <c r="A412" s="189" t="s">
        <v>7777</v>
      </c>
      <c r="B412" s="190" t="s">
        <v>269</v>
      </c>
      <c r="C412" s="190">
        <v>2</v>
      </c>
      <c r="D412" s="190">
        <v>30</v>
      </c>
      <c r="E412" s="191">
        <v>15</v>
      </c>
      <c r="F412" s="191">
        <v>12</v>
      </c>
      <c r="G412" s="191"/>
      <c r="H412" s="191"/>
      <c r="I412" s="190"/>
      <c r="J412" s="190"/>
      <c r="K412" s="195"/>
      <c r="L412" s="193"/>
      <c r="M412" s="194">
        <v>6.02</v>
      </c>
      <c r="N412" s="193">
        <v>41837</v>
      </c>
      <c r="P412" s="193"/>
      <c r="Q412" s="195"/>
      <c r="R412" s="194"/>
      <c r="S412" s="195"/>
      <c r="T412" s="193">
        <v>41837</v>
      </c>
      <c r="U412" s="192">
        <v>18</v>
      </c>
      <c r="V412" s="193"/>
      <c r="W412" s="195"/>
      <c r="X412" s="193"/>
      <c r="Y412" s="192">
        <f t="shared" si="6"/>
        <v>0</v>
      </c>
      <c r="Z412" s="193">
        <v>41837</v>
      </c>
      <c r="AA412" s="195"/>
      <c r="AB412" s="193"/>
      <c r="AC412" s="195"/>
      <c r="AD412" s="193"/>
      <c r="AE412" s="195">
        <v>33.94</v>
      </c>
      <c r="AF412" s="193">
        <v>41837</v>
      </c>
      <c r="AG412" s="194"/>
      <c r="AH412" s="193">
        <v>41837</v>
      </c>
      <c r="AI412" s="193"/>
      <c r="AJ412" s="193"/>
      <c r="AK412" s="195"/>
      <c r="AL412" s="193"/>
      <c r="AM412" s="195">
        <v>83</v>
      </c>
      <c r="AN412" s="193"/>
      <c r="AO412" s="195"/>
      <c r="AP412" s="195"/>
      <c r="AQ412" s="195"/>
      <c r="AR412" s="195"/>
      <c r="AS412" s="195"/>
      <c r="AT412" s="195"/>
      <c r="AU412" s="195"/>
      <c r="AV412" s="195"/>
      <c r="AW412" s="195"/>
      <c r="AX412" s="195"/>
      <c r="AY412" s="195"/>
      <c r="AZ412" s="195"/>
      <c r="BA412" s="195"/>
      <c r="BB412" s="195"/>
      <c r="BC412" s="195"/>
      <c r="BD412" s="195"/>
      <c r="BE412" s="196"/>
      <c r="BF412" s="196"/>
      <c r="BG412" s="196"/>
      <c r="BH412" s="196"/>
      <c r="BI412" s="196"/>
      <c r="BJ412" s="196"/>
      <c r="BK412" s="196"/>
      <c r="BL412" s="196"/>
      <c r="BM412" s="196"/>
      <c r="BN412" s="193">
        <v>41837</v>
      </c>
      <c r="BO412" s="196"/>
      <c r="BP412" s="196"/>
      <c r="BQ412" s="196"/>
      <c r="BR412" s="196"/>
      <c r="BS412" s="196"/>
      <c r="BT412" s="193">
        <v>41837</v>
      </c>
      <c r="BU412" s="196"/>
      <c r="BV412" s="193">
        <v>41837</v>
      </c>
      <c r="BW412" s="196"/>
      <c r="BX412" s="193">
        <v>41837</v>
      </c>
      <c r="BY412" s="196"/>
      <c r="BZ412" s="196"/>
      <c r="CA412" s="196"/>
      <c r="CB412" s="196"/>
      <c r="CC412" s="196">
        <v>6.9</v>
      </c>
      <c r="CD412" s="193">
        <v>41837</v>
      </c>
      <c r="CE412" s="196"/>
      <c r="CF412" s="196"/>
      <c r="CG412" s="196"/>
      <c r="CH412" s="196"/>
      <c r="CI412" s="196">
        <v>7</v>
      </c>
      <c r="CJ412" s="196"/>
      <c r="CK412" s="196"/>
      <c r="CL412" s="196"/>
      <c r="CM412" s="196"/>
    </row>
    <row r="413" spans="1:91">
      <c r="A413" s="159" t="s">
        <v>7728</v>
      </c>
      <c r="B413" s="112" t="s">
        <v>269</v>
      </c>
      <c r="C413" s="112">
        <v>2</v>
      </c>
      <c r="D413" s="112">
        <v>89</v>
      </c>
      <c r="E413" s="113">
        <v>16</v>
      </c>
      <c r="F413" s="113">
        <v>12</v>
      </c>
      <c r="M413" s="185">
        <v>6.81</v>
      </c>
      <c r="N413" s="157">
        <v>41837</v>
      </c>
      <c r="R413" s="185"/>
      <c r="T413" s="157">
        <v>41837</v>
      </c>
      <c r="U413" s="142">
        <v>18</v>
      </c>
      <c r="Y413" s="142">
        <f t="shared" si="6"/>
        <v>0</v>
      </c>
      <c r="Z413" s="157">
        <v>41837</v>
      </c>
      <c r="AE413" s="137">
        <v>38.270000000000003</v>
      </c>
      <c r="AF413" s="157">
        <v>41837</v>
      </c>
      <c r="AG413" s="185"/>
      <c r="AH413" s="157">
        <v>41837</v>
      </c>
      <c r="AM413" s="137">
        <v>92</v>
      </c>
      <c r="BN413" s="157">
        <v>41837</v>
      </c>
      <c r="BT413" s="157">
        <v>41837</v>
      </c>
      <c r="BV413" s="157">
        <v>41837</v>
      </c>
      <c r="BX413" s="157">
        <v>41837</v>
      </c>
      <c r="CC413" s="138">
        <v>7.2</v>
      </c>
      <c r="CD413" s="157">
        <v>41837</v>
      </c>
      <c r="CI413" s="138">
        <v>7</v>
      </c>
    </row>
    <row r="414" spans="1:91">
      <c r="A414" s="159" t="s">
        <v>7772</v>
      </c>
      <c r="B414" s="112" t="s">
        <v>269</v>
      </c>
      <c r="C414" s="112">
        <v>2</v>
      </c>
      <c r="D414" s="112">
        <v>34</v>
      </c>
      <c r="E414" s="113">
        <v>17</v>
      </c>
      <c r="F414" s="113">
        <v>12</v>
      </c>
      <c r="M414" s="185">
        <v>6.37</v>
      </c>
      <c r="N414" s="157">
        <v>41837</v>
      </c>
      <c r="R414" s="185"/>
      <c r="S414" s="137">
        <v>17.43</v>
      </c>
      <c r="T414" s="157">
        <v>41837</v>
      </c>
      <c r="U414" s="142">
        <v>18</v>
      </c>
      <c r="Y414" s="142">
        <f t="shared" si="6"/>
        <v>15.15179</v>
      </c>
      <c r="Z414" s="157">
        <v>41837</v>
      </c>
      <c r="AE414" s="137">
        <v>35.99</v>
      </c>
      <c r="AF414" s="157">
        <v>41837</v>
      </c>
      <c r="AG414" s="185">
        <v>5.18</v>
      </c>
      <c r="AH414" s="157">
        <v>41837</v>
      </c>
      <c r="AM414" s="137">
        <v>87</v>
      </c>
      <c r="BM414" s="138">
        <v>59.22</v>
      </c>
      <c r="BN414" s="157">
        <v>41837</v>
      </c>
      <c r="BS414" s="138">
        <v>48.44</v>
      </c>
      <c r="BT414" s="157">
        <v>41837</v>
      </c>
      <c r="BU414" s="138">
        <v>42.1</v>
      </c>
      <c r="BV414" s="157">
        <v>41837</v>
      </c>
      <c r="BW414" s="138">
        <v>12.6</v>
      </c>
      <c r="BX414" s="157">
        <v>41837</v>
      </c>
      <c r="CC414" s="138">
        <v>6.7</v>
      </c>
      <c r="CD414" s="157">
        <v>41837</v>
      </c>
      <c r="CI414" s="138">
        <v>7</v>
      </c>
    </row>
    <row r="415" spans="1:91">
      <c r="A415" s="159" t="s">
        <v>7762</v>
      </c>
      <c r="B415" s="112" t="s">
        <v>269</v>
      </c>
      <c r="C415" s="112">
        <v>2</v>
      </c>
      <c r="D415" s="112">
        <v>215</v>
      </c>
      <c r="E415" s="113">
        <v>18</v>
      </c>
      <c r="F415" s="113">
        <v>12</v>
      </c>
      <c r="M415" s="185">
        <v>0.95</v>
      </c>
      <c r="N415" s="157">
        <v>41837</v>
      </c>
      <c r="R415" s="185"/>
      <c r="S415" s="137">
        <v>2.4900000000000002</v>
      </c>
      <c r="T415" s="157">
        <v>41837</v>
      </c>
      <c r="U415" s="142">
        <v>18</v>
      </c>
      <c r="Y415" s="142">
        <f t="shared" si="6"/>
        <v>2.1882899999999998</v>
      </c>
      <c r="Z415" s="157">
        <v>41837</v>
      </c>
      <c r="AE415" s="137">
        <v>5.43</v>
      </c>
      <c r="AF415" s="157">
        <v>41837</v>
      </c>
      <c r="AG415" s="185">
        <v>4.78</v>
      </c>
      <c r="AH415" s="157">
        <v>41837</v>
      </c>
      <c r="AM415" s="137">
        <v>96</v>
      </c>
      <c r="BM415" s="138">
        <v>59.15</v>
      </c>
      <c r="BN415" s="157">
        <v>41837</v>
      </c>
      <c r="BS415" s="138">
        <v>45.88</v>
      </c>
      <c r="BT415" s="157">
        <v>41837</v>
      </c>
      <c r="BU415" s="138">
        <v>40.299999999999997</v>
      </c>
      <c r="BV415" s="157">
        <v>41837</v>
      </c>
      <c r="BW415" s="138">
        <v>37.799999999999997</v>
      </c>
      <c r="BX415" s="157">
        <v>41837</v>
      </c>
      <c r="CC415" s="138">
        <v>5.6</v>
      </c>
      <c r="CD415" s="157">
        <v>41837</v>
      </c>
      <c r="CI415" s="138">
        <v>1</v>
      </c>
    </row>
    <row r="416" spans="1:91">
      <c r="A416" s="159" t="s">
        <v>7761</v>
      </c>
      <c r="B416" s="112" t="s">
        <v>269</v>
      </c>
      <c r="C416" s="112">
        <v>2</v>
      </c>
      <c r="D416" s="112">
        <v>185</v>
      </c>
      <c r="E416" s="113">
        <v>19</v>
      </c>
      <c r="F416" s="113">
        <v>12</v>
      </c>
      <c r="M416" s="185">
        <v>2.44</v>
      </c>
      <c r="N416" s="157">
        <v>41837</v>
      </c>
      <c r="R416" s="185"/>
      <c r="S416" s="137">
        <v>6.3</v>
      </c>
      <c r="T416" s="157">
        <v>41837</v>
      </c>
      <c r="U416" s="142">
        <v>18</v>
      </c>
      <c r="Y416" s="142">
        <f t="shared" si="6"/>
        <v>5.3840700000000004</v>
      </c>
      <c r="Z416" s="157">
        <v>41837</v>
      </c>
      <c r="AE416" s="137">
        <v>13.77</v>
      </c>
      <c r="AF416" s="157">
        <v>41837</v>
      </c>
      <c r="AG416" s="185">
        <v>4.4800000000000004</v>
      </c>
      <c r="AH416" s="157">
        <v>41837</v>
      </c>
      <c r="AM416" s="137">
        <v>90</v>
      </c>
      <c r="BM416" s="138">
        <v>60.25</v>
      </c>
      <c r="BN416" s="157">
        <v>41837</v>
      </c>
      <c r="BS416" s="138">
        <v>45.74</v>
      </c>
      <c r="BT416" s="157">
        <v>41837</v>
      </c>
      <c r="BU416" s="138">
        <v>39.1</v>
      </c>
      <c r="BV416" s="157">
        <v>41837</v>
      </c>
      <c r="BW416" s="138">
        <v>58</v>
      </c>
      <c r="BX416" s="157">
        <v>41837</v>
      </c>
      <c r="CC416" s="138">
        <v>6.8</v>
      </c>
      <c r="CD416" s="157">
        <v>41837</v>
      </c>
      <c r="CI416" s="138">
        <v>1</v>
      </c>
    </row>
    <row r="417" spans="1:91">
      <c r="A417" s="159" t="s">
        <v>7770</v>
      </c>
      <c r="B417" s="112" t="s">
        <v>269</v>
      </c>
      <c r="C417" s="112">
        <v>2</v>
      </c>
      <c r="D417" s="112">
        <v>190</v>
      </c>
      <c r="E417" s="113">
        <v>20</v>
      </c>
      <c r="F417" s="113">
        <v>12</v>
      </c>
      <c r="M417" s="185">
        <v>6.93</v>
      </c>
      <c r="N417" s="157">
        <v>41837</v>
      </c>
      <c r="R417" s="185"/>
      <c r="S417" s="137">
        <v>19.25</v>
      </c>
      <c r="T417" s="157">
        <v>41837</v>
      </c>
      <c r="U417" s="142">
        <v>18</v>
      </c>
      <c r="Y417" s="142">
        <f t="shared" si="6"/>
        <v>15.74521</v>
      </c>
      <c r="Z417" s="157">
        <v>41837</v>
      </c>
      <c r="AE417" s="137">
        <v>39.07</v>
      </c>
      <c r="AF417" s="157">
        <v>41837</v>
      </c>
      <c r="AG417" s="185">
        <v>5.18</v>
      </c>
      <c r="AH417" s="157">
        <v>41837</v>
      </c>
      <c r="AM417" s="137">
        <v>90</v>
      </c>
      <c r="BM417" s="138">
        <v>58.34</v>
      </c>
      <c r="BN417" s="157">
        <v>41837</v>
      </c>
      <c r="BS417" s="138">
        <v>49.26</v>
      </c>
      <c r="BT417" s="157">
        <v>41837</v>
      </c>
      <c r="BU417" s="138">
        <v>40.299999999999997</v>
      </c>
      <c r="BV417" s="157">
        <v>41837</v>
      </c>
      <c r="BW417" s="138">
        <v>16.100000000000001</v>
      </c>
      <c r="BX417" s="157">
        <v>41837</v>
      </c>
      <c r="CC417" s="138">
        <v>6.9</v>
      </c>
      <c r="CD417" s="157">
        <v>41837</v>
      </c>
      <c r="CI417" s="138">
        <v>7</v>
      </c>
    </row>
    <row r="418" spans="1:91">
      <c r="A418" s="159" t="s">
        <v>7779</v>
      </c>
      <c r="B418" s="112" t="s">
        <v>269</v>
      </c>
      <c r="C418" s="112">
        <v>2</v>
      </c>
      <c r="D418" s="112">
        <v>84</v>
      </c>
      <c r="E418" s="113">
        <v>21</v>
      </c>
      <c r="F418" s="113">
        <v>12</v>
      </c>
      <c r="M418" s="185">
        <v>6.43</v>
      </c>
      <c r="N418" s="157">
        <v>41837</v>
      </c>
      <c r="R418" s="185"/>
      <c r="S418" s="137">
        <v>17.43</v>
      </c>
      <c r="T418" s="157">
        <v>41837</v>
      </c>
      <c r="U418" s="142">
        <v>18</v>
      </c>
      <c r="Y418" s="142">
        <f t="shared" si="6"/>
        <v>14.608750000000001</v>
      </c>
      <c r="Z418" s="157">
        <v>41837</v>
      </c>
      <c r="AE418" s="137">
        <v>36.25</v>
      </c>
      <c r="AF418" s="157">
        <v>41837</v>
      </c>
      <c r="AG418" s="185">
        <v>5.09</v>
      </c>
      <c r="AH418" s="157">
        <v>41837</v>
      </c>
      <c r="AM418" s="137">
        <v>92</v>
      </c>
      <c r="BM418" s="138">
        <v>59.23</v>
      </c>
      <c r="BN418" s="157">
        <v>41837</v>
      </c>
      <c r="BS418" s="138">
        <v>48.09</v>
      </c>
      <c r="BT418" s="157">
        <v>41837</v>
      </c>
      <c r="BU418" s="138">
        <v>40.299999999999997</v>
      </c>
      <c r="BV418" s="157">
        <v>41837</v>
      </c>
      <c r="BW418" s="138">
        <v>16.5</v>
      </c>
      <c r="BX418" s="157">
        <v>41837</v>
      </c>
      <c r="CC418" s="138">
        <v>6.9</v>
      </c>
      <c r="CD418" s="157">
        <v>41837</v>
      </c>
      <c r="CI418" s="138">
        <v>7</v>
      </c>
    </row>
    <row r="419" spans="1:91">
      <c r="A419" s="189" t="s">
        <v>7662</v>
      </c>
      <c r="B419" s="190" t="s">
        <v>269</v>
      </c>
      <c r="C419" s="190">
        <v>2</v>
      </c>
      <c r="D419" s="190">
        <v>42</v>
      </c>
      <c r="E419" s="191">
        <v>22</v>
      </c>
      <c r="F419" s="191">
        <v>12</v>
      </c>
      <c r="G419" s="191"/>
      <c r="H419" s="191"/>
      <c r="I419" s="190"/>
      <c r="J419" s="190"/>
      <c r="K419" s="195"/>
      <c r="L419" s="193"/>
      <c r="M419" s="194">
        <v>5.49</v>
      </c>
      <c r="N419" s="193">
        <v>41837</v>
      </c>
      <c r="P419" s="193"/>
      <c r="Q419" s="195"/>
      <c r="R419" s="194"/>
      <c r="S419" s="195">
        <v>15.97</v>
      </c>
      <c r="T419" s="193">
        <v>41837</v>
      </c>
      <c r="U419" s="192">
        <v>18</v>
      </c>
      <c r="V419" s="193"/>
      <c r="W419" s="195"/>
      <c r="X419" s="193"/>
      <c r="Y419" s="192">
        <f t="shared" si="6"/>
        <v>12.823650000000001</v>
      </c>
      <c r="Z419" s="193">
        <v>41837</v>
      </c>
      <c r="AA419" s="195"/>
      <c r="AB419" s="193"/>
      <c r="AC419" s="195"/>
      <c r="AD419" s="193"/>
      <c r="AE419" s="195">
        <v>31.05</v>
      </c>
      <c r="AF419" s="193">
        <v>41837</v>
      </c>
      <c r="AG419" s="194">
        <v>6.16</v>
      </c>
      <c r="AH419" s="193">
        <v>41837</v>
      </c>
      <c r="AI419" s="193"/>
      <c r="AJ419" s="193"/>
      <c r="AK419" s="195"/>
      <c r="AL419" s="193"/>
      <c r="AM419" s="195">
        <v>92</v>
      </c>
      <c r="AN419" s="193"/>
      <c r="AO419" s="195"/>
      <c r="AP419" s="195"/>
      <c r="AQ419" s="195"/>
      <c r="AR419" s="195"/>
      <c r="AS419" s="195"/>
      <c r="AT419" s="195"/>
      <c r="AU419" s="195"/>
      <c r="AV419" s="195"/>
      <c r="AW419" s="195"/>
      <c r="AX419" s="195"/>
      <c r="AY419" s="195"/>
      <c r="AZ419" s="195"/>
      <c r="BA419" s="195"/>
      <c r="BB419" s="195"/>
      <c r="BC419" s="195"/>
      <c r="BD419" s="195"/>
      <c r="BE419" s="196"/>
      <c r="BF419" s="196"/>
      <c r="BG419" s="196"/>
      <c r="BH419" s="196"/>
      <c r="BI419" s="196"/>
      <c r="BJ419" s="196"/>
      <c r="BK419" s="196"/>
      <c r="BL419" s="196"/>
      <c r="BM419" s="196">
        <v>63.89</v>
      </c>
      <c r="BN419" s="193">
        <v>41837</v>
      </c>
      <c r="BO419" s="196"/>
      <c r="BP419" s="196"/>
      <c r="BQ419" s="196"/>
      <c r="BR419" s="196"/>
      <c r="BS419" s="196">
        <v>51.42</v>
      </c>
      <c r="BT419" s="193">
        <v>41837</v>
      </c>
      <c r="BU419" s="196">
        <v>41.3</v>
      </c>
      <c r="BV419" s="193">
        <v>41837</v>
      </c>
      <c r="BW419" s="196">
        <v>18.2</v>
      </c>
      <c r="BX419" s="193">
        <v>41837</v>
      </c>
      <c r="BY419" s="196"/>
      <c r="BZ419" s="196"/>
      <c r="CA419" s="196"/>
      <c r="CB419" s="196"/>
      <c r="CC419" s="196">
        <v>6.6</v>
      </c>
      <c r="CD419" s="193">
        <v>41837</v>
      </c>
      <c r="CE419" s="196"/>
      <c r="CF419" s="196"/>
      <c r="CG419" s="196"/>
      <c r="CH419" s="196"/>
      <c r="CI419" s="196">
        <v>9</v>
      </c>
      <c r="CJ419" s="196"/>
      <c r="CK419" s="196"/>
      <c r="CL419" s="196"/>
      <c r="CM419" s="196"/>
    </row>
    <row r="420" spans="1:91">
      <c r="A420" s="159" t="s">
        <v>7767</v>
      </c>
      <c r="B420" s="112" t="s">
        <v>269</v>
      </c>
      <c r="C420" s="112">
        <v>2</v>
      </c>
      <c r="D420" s="112">
        <v>66</v>
      </c>
      <c r="E420" s="113">
        <v>23</v>
      </c>
      <c r="F420" s="113">
        <v>12</v>
      </c>
      <c r="M420" s="185">
        <v>6.81</v>
      </c>
      <c r="N420" s="157">
        <v>41837</v>
      </c>
      <c r="R420" s="185"/>
      <c r="S420" s="137">
        <v>18.829999999999998</v>
      </c>
      <c r="T420" s="157">
        <v>41837</v>
      </c>
      <c r="U420" s="142">
        <v>18</v>
      </c>
      <c r="Y420" s="142">
        <f t="shared" si="6"/>
        <v>15.910019999999999</v>
      </c>
      <c r="Z420" s="157">
        <v>41837</v>
      </c>
      <c r="AE420" s="137">
        <v>38.43</v>
      </c>
      <c r="AF420" s="157">
        <v>41837</v>
      </c>
      <c r="AG420" s="185">
        <v>4.88</v>
      </c>
      <c r="AH420" s="157">
        <v>41837</v>
      </c>
      <c r="AM420" s="137">
        <v>83</v>
      </c>
      <c r="BM420" s="138">
        <v>61.63</v>
      </c>
      <c r="BN420" s="157">
        <v>41837</v>
      </c>
      <c r="BS420" s="138">
        <v>48.99</v>
      </c>
      <c r="BT420" s="157">
        <v>41837</v>
      </c>
      <c r="BU420" s="138">
        <v>41.4</v>
      </c>
      <c r="BV420" s="157">
        <v>41837</v>
      </c>
      <c r="BW420" s="138">
        <v>9.3000000000000007</v>
      </c>
      <c r="BX420" s="157">
        <v>41837</v>
      </c>
      <c r="CC420" s="138">
        <v>6.8</v>
      </c>
      <c r="CD420" s="157">
        <v>41837</v>
      </c>
      <c r="CI420" s="138">
        <v>9</v>
      </c>
    </row>
    <row r="421" spans="1:91">
      <c r="A421" s="189" t="s">
        <v>7736</v>
      </c>
      <c r="B421" s="190" t="s">
        <v>269</v>
      </c>
      <c r="C421" s="190">
        <v>2</v>
      </c>
      <c r="D421" s="190">
        <v>153</v>
      </c>
      <c r="E421" s="191">
        <v>24</v>
      </c>
      <c r="F421" s="191">
        <v>12</v>
      </c>
      <c r="G421" s="191"/>
      <c r="H421" s="191"/>
      <c r="I421" s="190"/>
      <c r="J421" s="190"/>
      <c r="K421" s="195"/>
      <c r="L421" s="193"/>
      <c r="M421" s="194">
        <v>5.8</v>
      </c>
      <c r="N421" s="193">
        <v>41837</v>
      </c>
      <c r="P421" s="193"/>
      <c r="Q421" s="195"/>
      <c r="R421" s="194"/>
      <c r="S421" s="195">
        <v>15.34</v>
      </c>
      <c r="T421" s="193">
        <v>41837</v>
      </c>
      <c r="U421" s="192">
        <v>18</v>
      </c>
      <c r="V421" s="193"/>
      <c r="W421" s="195"/>
      <c r="X421" s="193"/>
      <c r="Y421" s="192">
        <f t="shared" si="6"/>
        <v>12.88885</v>
      </c>
      <c r="Z421" s="193">
        <v>41837</v>
      </c>
      <c r="AA421" s="195"/>
      <c r="AB421" s="193"/>
      <c r="AC421" s="195"/>
      <c r="AD421" s="193"/>
      <c r="AE421" s="195">
        <v>32.630000000000003</v>
      </c>
      <c r="AF421" s="193">
        <v>41837</v>
      </c>
      <c r="AG421" s="194">
        <v>4.34</v>
      </c>
      <c r="AH421" s="193">
        <v>41837</v>
      </c>
      <c r="AI421" s="193"/>
      <c r="AJ421" s="193"/>
      <c r="AK421" s="195"/>
      <c r="AL421" s="193"/>
      <c r="AM421" s="195">
        <v>87</v>
      </c>
      <c r="AN421" s="193"/>
      <c r="AO421" s="195"/>
      <c r="AP421" s="195"/>
      <c r="AQ421" s="195"/>
      <c r="AR421" s="195"/>
      <c r="AS421" s="195"/>
      <c r="AT421" s="195"/>
      <c r="AU421" s="195"/>
      <c r="AV421" s="195"/>
      <c r="AW421" s="195"/>
      <c r="AX421" s="195"/>
      <c r="AY421" s="195"/>
      <c r="AZ421" s="195"/>
      <c r="BA421" s="195"/>
      <c r="BB421" s="195"/>
      <c r="BC421" s="195"/>
      <c r="BD421" s="195"/>
      <c r="BE421" s="196"/>
      <c r="BF421" s="196"/>
      <c r="BG421" s="196"/>
      <c r="BH421" s="196"/>
      <c r="BI421" s="196"/>
      <c r="BJ421" s="196"/>
      <c r="BK421" s="196"/>
      <c r="BL421" s="196"/>
      <c r="BM421" s="196">
        <v>58.56</v>
      </c>
      <c r="BN421" s="193">
        <v>41837</v>
      </c>
      <c r="BO421" s="196"/>
      <c r="BP421" s="196"/>
      <c r="BQ421" s="196"/>
      <c r="BR421" s="196"/>
      <c r="BS421" s="196">
        <v>47</v>
      </c>
      <c r="BT421" s="193">
        <v>41837</v>
      </c>
      <c r="BU421" s="196">
        <v>39.5</v>
      </c>
      <c r="BV421" s="193">
        <v>41837</v>
      </c>
      <c r="BW421" s="196">
        <v>16.7</v>
      </c>
      <c r="BX421" s="193">
        <v>41837</v>
      </c>
      <c r="BY421" s="196"/>
      <c r="BZ421" s="196"/>
      <c r="CA421" s="196"/>
      <c r="CB421" s="196"/>
      <c r="CC421" s="196">
        <v>7.1</v>
      </c>
      <c r="CD421" s="193">
        <v>41837</v>
      </c>
      <c r="CE421" s="196"/>
      <c r="CF421" s="196"/>
      <c r="CG421" s="196"/>
      <c r="CH421" s="196"/>
      <c r="CI421" s="196">
        <v>3</v>
      </c>
      <c r="CJ421" s="196"/>
      <c r="CK421" s="196"/>
      <c r="CL421" s="196"/>
      <c r="CM421" s="196"/>
    </row>
    <row r="422" spans="1:91">
      <c r="A422" s="159" t="s">
        <v>7726</v>
      </c>
      <c r="B422" s="112" t="s">
        <v>269</v>
      </c>
      <c r="C422" s="112">
        <v>2</v>
      </c>
      <c r="D422" s="112">
        <v>192</v>
      </c>
      <c r="E422" s="113">
        <v>25</v>
      </c>
      <c r="F422" s="113">
        <v>12</v>
      </c>
      <c r="M422" s="185">
        <v>1.96</v>
      </c>
      <c r="N422" s="157">
        <v>41837</v>
      </c>
      <c r="R422" s="185"/>
      <c r="S422" s="137">
        <v>5.36</v>
      </c>
      <c r="T422" s="157">
        <v>41837</v>
      </c>
      <c r="U422" s="142">
        <v>18</v>
      </c>
      <c r="Y422" s="142">
        <f t="shared" si="6"/>
        <v>4.2739200000000004</v>
      </c>
      <c r="Z422" s="157">
        <v>41837</v>
      </c>
      <c r="AE422" s="137">
        <v>11.13</v>
      </c>
      <c r="AF422" s="157">
        <v>41837</v>
      </c>
      <c r="AG422" s="185">
        <v>4.9000000000000004</v>
      </c>
      <c r="AH422" s="157">
        <v>41837</v>
      </c>
      <c r="AM422" s="137">
        <v>90</v>
      </c>
      <c r="BM422" s="138">
        <v>59.75</v>
      </c>
      <c r="BN422" s="157">
        <v>41837</v>
      </c>
      <c r="BS422" s="138">
        <v>48.2</v>
      </c>
      <c r="BT422" s="157">
        <v>41837</v>
      </c>
      <c r="BU422" s="138">
        <v>38.4</v>
      </c>
      <c r="BV422" s="157">
        <v>41837</v>
      </c>
      <c r="BW422" s="138">
        <v>22.6</v>
      </c>
      <c r="BX422" s="157">
        <v>41837</v>
      </c>
      <c r="CC422" s="138">
        <v>6.2</v>
      </c>
      <c r="CD422" s="157">
        <v>41837</v>
      </c>
      <c r="CI422" s="138">
        <v>1</v>
      </c>
    </row>
    <row r="423" spans="1:91">
      <c r="A423" s="159" t="s">
        <v>7679</v>
      </c>
      <c r="B423" s="112" t="s">
        <v>269</v>
      </c>
      <c r="C423" s="112">
        <v>2</v>
      </c>
      <c r="D423" s="112">
        <v>66</v>
      </c>
      <c r="E423" s="113">
        <v>26</v>
      </c>
      <c r="F423" s="113">
        <v>12</v>
      </c>
      <c r="M423" s="185">
        <v>6.98</v>
      </c>
      <c r="N423" s="157">
        <v>41837</v>
      </c>
      <c r="R423" s="185"/>
      <c r="S423" s="137">
        <v>18.79</v>
      </c>
      <c r="T423" s="157">
        <v>41837</v>
      </c>
      <c r="U423" s="142">
        <v>18</v>
      </c>
      <c r="Y423" s="142">
        <f t="shared" si="6"/>
        <v>15.713039999999999</v>
      </c>
      <c r="Z423" s="157">
        <v>41837</v>
      </c>
      <c r="AE423" s="137">
        <v>39.479999999999997</v>
      </c>
      <c r="AF423" s="157">
        <v>41837</v>
      </c>
      <c r="AG423" s="185">
        <v>4.8499999999999996</v>
      </c>
      <c r="AH423" s="157">
        <v>41837</v>
      </c>
      <c r="AM423" s="137">
        <v>92</v>
      </c>
      <c r="BM423" s="138">
        <v>60.11</v>
      </c>
      <c r="BN423" s="157">
        <v>41837</v>
      </c>
      <c r="BS423" s="138">
        <v>47.6</v>
      </c>
      <c r="BT423" s="157">
        <v>41837</v>
      </c>
      <c r="BU423" s="138">
        <v>39.799999999999997</v>
      </c>
      <c r="BV423" s="157">
        <v>41837</v>
      </c>
      <c r="BW423" s="138">
        <v>20</v>
      </c>
      <c r="BX423" s="157">
        <v>41837</v>
      </c>
      <c r="CC423" s="138">
        <v>6.6</v>
      </c>
      <c r="CD423" s="157">
        <v>41837</v>
      </c>
      <c r="CI423" s="138">
        <v>7</v>
      </c>
    </row>
    <row r="424" spans="1:91">
      <c r="A424" s="159" t="s">
        <v>7805</v>
      </c>
      <c r="B424" s="112" t="s">
        <v>269</v>
      </c>
      <c r="C424" s="112">
        <v>2</v>
      </c>
      <c r="D424" s="112">
        <v>115</v>
      </c>
      <c r="E424" s="113">
        <v>27</v>
      </c>
      <c r="F424" s="113">
        <v>12</v>
      </c>
      <c r="M424" s="185">
        <v>5.53</v>
      </c>
      <c r="N424" s="157">
        <v>41837</v>
      </c>
      <c r="R424" s="185"/>
      <c r="S424" s="137">
        <v>15.39</v>
      </c>
      <c r="T424" s="157">
        <v>41837</v>
      </c>
      <c r="U424" s="142">
        <v>18</v>
      </c>
      <c r="Y424" s="142">
        <f t="shared" si="6"/>
        <v>12.105360000000001</v>
      </c>
      <c r="Z424" s="157">
        <v>41837</v>
      </c>
      <c r="AE424" s="137">
        <v>31.28</v>
      </c>
      <c r="AF424" s="157">
        <v>41837</v>
      </c>
      <c r="AG424" s="185">
        <v>5.16</v>
      </c>
      <c r="AH424" s="157">
        <v>41837</v>
      </c>
      <c r="AM424" s="137">
        <v>83</v>
      </c>
      <c r="BM424" s="138">
        <v>62.42</v>
      </c>
      <c r="BN424" s="157">
        <v>41837</v>
      </c>
      <c r="BS424" s="138">
        <v>49.21</v>
      </c>
      <c r="BT424" s="157">
        <v>41837</v>
      </c>
      <c r="BU424" s="138">
        <v>38.700000000000003</v>
      </c>
      <c r="BV424" s="157">
        <v>41837</v>
      </c>
      <c r="BW424" s="138">
        <v>14.7</v>
      </c>
      <c r="BX424" s="157">
        <v>41837</v>
      </c>
      <c r="CC424" s="138">
        <v>6.6</v>
      </c>
      <c r="CD424" s="157">
        <v>41837</v>
      </c>
      <c r="CI424" s="138">
        <v>5</v>
      </c>
    </row>
    <row r="425" spans="1:91">
      <c r="A425" s="159" t="s">
        <v>7643</v>
      </c>
      <c r="B425" s="112" t="s">
        <v>269</v>
      </c>
      <c r="C425" s="112">
        <v>2</v>
      </c>
      <c r="D425" s="112">
        <v>108</v>
      </c>
      <c r="E425" s="113">
        <v>28</v>
      </c>
      <c r="F425" s="113">
        <v>12</v>
      </c>
      <c r="M425" s="185">
        <v>4.9800000000000004</v>
      </c>
      <c r="N425" s="157">
        <v>41837</v>
      </c>
      <c r="R425" s="185"/>
      <c r="S425" s="137">
        <v>13.02</v>
      </c>
      <c r="T425" s="157">
        <v>41837</v>
      </c>
      <c r="U425" s="142">
        <v>18</v>
      </c>
      <c r="Y425" s="142">
        <f t="shared" si="6"/>
        <v>10.822349999999998</v>
      </c>
      <c r="Z425" s="157">
        <v>41837</v>
      </c>
      <c r="AE425" s="137">
        <v>28.11</v>
      </c>
      <c r="AF425" s="157">
        <v>41837</v>
      </c>
      <c r="AG425" s="185">
        <v>5.28</v>
      </c>
      <c r="AH425" s="157">
        <v>41837</v>
      </c>
      <c r="AM425" s="137">
        <v>92</v>
      </c>
      <c r="BM425" s="138">
        <v>57.83</v>
      </c>
      <c r="BN425" s="157">
        <v>41837</v>
      </c>
      <c r="BS425" s="138">
        <v>46.33</v>
      </c>
      <c r="BT425" s="157">
        <v>41837</v>
      </c>
      <c r="BU425" s="138">
        <v>38.5</v>
      </c>
      <c r="BV425" s="157">
        <v>41837</v>
      </c>
      <c r="BW425" s="138">
        <v>62.1</v>
      </c>
      <c r="BX425" s="157">
        <v>41837</v>
      </c>
      <c r="CC425" s="138">
        <v>6.8</v>
      </c>
      <c r="CD425" s="157">
        <v>41837</v>
      </c>
      <c r="CI425" s="138">
        <v>7</v>
      </c>
    </row>
    <row r="426" spans="1:91">
      <c r="A426" s="159" t="s">
        <v>7711</v>
      </c>
      <c r="B426" s="112" t="s">
        <v>269</v>
      </c>
      <c r="C426" s="112">
        <v>2</v>
      </c>
      <c r="D426" s="112">
        <v>37</v>
      </c>
      <c r="E426" s="113">
        <v>29</v>
      </c>
      <c r="F426" s="113">
        <v>12</v>
      </c>
      <c r="M426" s="185">
        <v>4.18</v>
      </c>
      <c r="N426" s="157">
        <v>41837</v>
      </c>
      <c r="R426" s="185"/>
      <c r="S426" s="137">
        <v>11.04</v>
      </c>
      <c r="T426" s="157">
        <v>41837</v>
      </c>
      <c r="U426" s="142">
        <v>18</v>
      </c>
      <c r="Y426" s="142">
        <f t="shared" si="6"/>
        <v>9.8495400000000011</v>
      </c>
      <c r="Z426" s="157">
        <v>41837</v>
      </c>
      <c r="AE426" s="137">
        <v>23.62</v>
      </c>
      <c r="AF426" s="157">
        <v>41837</v>
      </c>
      <c r="AG426" s="185">
        <v>4.8499999999999996</v>
      </c>
      <c r="AH426" s="157">
        <v>41837</v>
      </c>
      <c r="AM426" s="137">
        <v>90</v>
      </c>
      <c r="BM426" s="138">
        <v>60.73</v>
      </c>
      <c r="BN426" s="157">
        <v>41837</v>
      </c>
      <c r="BS426" s="138">
        <v>46.74</v>
      </c>
      <c r="BT426" s="157">
        <v>41837</v>
      </c>
      <c r="BU426" s="138">
        <v>41.7</v>
      </c>
      <c r="BV426" s="157">
        <v>41837</v>
      </c>
      <c r="BW426" s="138">
        <v>10.4</v>
      </c>
      <c r="BX426" s="157">
        <v>41837</v>
      </c>
      <c r="CC426" s="138">
        <v>6.7</v>
      </c>
      <c r="CD426" s="157">
        <v>41837</v>
      </c>
      <c r="CI426" s="138">
        <v>7</v>
      </c>
    </row>
    <row r="427" spans="1:91">
      <c r="A427" s="159" t="s">
        <v>7680</v>
      </c>
      <c r="B427" s="112" t="s">
        <v>269</v>
      </c>
      <c r="C427" s="112">
        <v>2</v>
      </c>
      <c r="D427" s="112">
        <v>23</v>
      </c>
      <c r="E427" s="113">
        <v>30</v>
      </c>
      <c r="F427" s="113">
        <v>12</v>
      </c>
      <c r="I427" s="200"/>
      <c r="K427" s="142"/>
      <c r="M427" s="185">
        <v>4.1500000000000004</v>
      </c>
      <c r="N427" s="157">
        <v>41837</v>
      </c>
      <c r="Q427" s="142"/>
      <c r="R427" s="185"/>
      <c r="S427" s="142">
        <v>11.59</v>
      </c>
      <c r="T427" s="157">
        <v>41837</v>
      </c>
      <c r="U427" s="142">
        <v>18</v>
      </c>
      <c r="W427" s="142"/>
      <c r="Y427" s="142">
        <f t="shared" si="6"/>
        <v>8.6010000000000009</v>
      </c>
      <c r="Z427" s="157">
        <v>41837</v>
      </c>
      <c r="AA427" s="142"/>
      <c r="AE427" s="142">
        <v>23.5</v>
      </c>
      <c r="AF427" s="157">
        <v>41837</v>
      </c>
      <c r="AG427" s="185">
        <v>4.16</v>
      </c>
      <c r="AH427" s="157">
        <v>41837</v>
      </c>
      <c r="AK427" s="142"/>
      <c r="AM427" s="142">
        <v>85</v>
      </c>
      <c r="BM427" s="138">
        <v>58.49</v>
      </c>
      <c r="BN427" s="157">
        <v>41837</v>
      </c>
      <c r="BS427" s="138">
        <v>49.32</v>
      </c>
      <c r="BT427" s="157">
        <v>41837</v>
      </c>
      <c r="BU427" s="138">
        <v>36.6</v>
      </c>
      <c r="BV427" s="157">
        <v>41837</v>
      </c>
      <c r="BW427" s="138">
        <v>19.399999999999999</v>
      </c>
      <c r="BX427" s="157">
        <v>41837</v>
      </c>
      <c r="CC427" s="138">
        <v>6.5</v>
      </c>
      <c r="CD427" s="157">
        <v>41837</v>
      </c>
      <c r="CI427" s="138">
        <v>5</v>
      </c>
    </row>
    <row r="428" spans="1:91">
      <c r="A428" s="159" t="s">
        <v>7742</v>
      </c>
      <c r="B428" s="112" t="s">
        <v>269</v>
      </c>
      <c r="C428" s="112">
        <v>2</v>
      </c>
      <c r="D428" s="112">
        <v>105</v>
      </c>
      <c r="E428" s="113">
        <v>31</v>
      </c>
      <c r="F428" s="113">
        <v>12</v>
      </c>
      <c r="M428" s="185">
        <v>3.87</v>
      </c>
      <c r="N428" s="157">
        <v>41837</v>
      </c>
      <c r="R428" s="185"/>
      <c r="S428" s="137">
        <v>10.28</v>
      </c>
      <c r="T428" s="157">
        <v>41837</v>
      </c>
      <c r="U428" s="142">
        <v>18</v>
      </c>
      <c r="Y428" s="142">
        <f t="shared" si="6"/>
        <v>8.5502199999999995</v>
      </c>
      <c r="Z428" s="157">
        <v>41837</v>
      </c>
      <c r="AE428" s="137">
        <v>21.98</v>
      </c>
      <c r="AF428" s="157">
        <v>41837</v>
      </c>
      <c r="AG428" s="185">
        <v>4.8499999999999996</v>
      </c>
      <c r="AH428" s="157">
        <v>41837</v>
      </c>
      <c r="AM428" s="137">
        <v>96</v>
      </c>
      <c r="BM428" s="138">
        <v>61.58</v>
      </c>
      <c r="BN428" s="157">
        <v>41837</v>
      </c>
      <c r="BS428" s="138">
        <v>46.75</v>
      </c>
      <c r="BT428" s="157">
        <v>41837</v>
      </c>
      <c r="BU428" s="138">
        <v>38.9</v>
      </c>
      <c r="BV428" s="157">
        <v>41837</v>
      </c>
      <c r="BW428" s="138">
        <v>52.7</v>
      </c>
      <c r="BX428" s="157">
        <v>41837</v>
      </c>
      <c r="CC428" s="138">
        <v>6.2</v>
      </c>
      <c r="CD428" s="157">
        <v>41837</v>
      </c>
      <c r="CI428" s="138">
        <v>1</v>
      </c>
    </row>
    <row r="429" spans="1:91">
      <c r="A429" s="159" t="s">
        <v>7674</v>
      </c>
      <c r="B429" s="112" t="s">
        <v>269</v>
      </c>
      <c r="C429" s="112">
        <v>2</v>
      </c>
      <c r="D429" s="112">
        <v>149</v>
      </c>
      <c r="E429" s="113">
        <v>32</v>
      </c>
      <c r="F429" s="113">
        <v>12</v>
      </c>
      <c r="M429" s="185">
        <v>5.51</v>
      </c>
      <c r="N429" s="157">
        <v>41837</v>
      </c>
      <c r="R429" s="185"/>
      <c r="S429" s="137">
        <v>14.87</v>
      </c>
      <c r="T429" s="157">
        <v>41837</v>
      </c>
      <c r="U429" s="142">
        <v>18</v>
      </c>
      <c r="Y429" s="142">
        <f t="shared" si="6"/>
        <v>12.327480000000001</v>
      </c>
      <c r="Z429" s="157">
        <v>41837</v>
      </c>
      <c r="AE429" s="137">
        <v>31.13</v>
      </c>
      <c r="AF429" s="157">
        <v>41837</v>
      </c>
      <c r="AG429" s="185">
        <v>5.3</v>
      </c>
      <c r="AH429" s="157">
        <v>41837</v>
      </c>
      <c r="AM429" s="137">
        <v>94</v>
      </c>
      <c r="BM429" s="138">
        <v>59.94</v>
      </c>
      <c r="BN429" s="157">
        <v>41837</v>
      </c>
      <c r="BS429" s="138">
        <v>47.78</v>
      </c>
      <c r="BT429" s="157">
        <v>41837</v>
      </c>
      <c r="BU429" s="138">
        <v>39.6</v>
      </c>
      <c r="BV429" s="157">
        <v>41837</v>
      </c>
      <c r="BW429" s="138">
        <v>15.2</v>
      </c>
      <c r="BX429" s="157">
        <v>41837</v>
      </c>
      <c r="CC429" s="138">
        <v>6.7</v>
      </c>
      <c r="CD429" s="157">
        <v>41837</v>
      </c>
      <c r="CI429" s="138">
        <v>7</v>
      </c>
    </row>
    <row r="430" spans="1:91">
      <c r="A430" s="159" t="s">
        <v>7717</v>
      </c>
      <c r="B430" s="112" t="s">
        <v>269</v>
      </c>
      <c r="C430" s="112">
        <v>2</v>
      </c>
      <c r="D430" s="112">
        <v>171</v>
      </c>
      <c r="E430" s="113">
        <v>33</v>
      </c>
      <c r="F430" s="113">
        <v>12</v>
      </c>
      <c r="M430" s="185">
        <v>3.16</v>
      </c>
      <c r="N430" s="157">
        <v>41837</v>
      </c>
      <c r="R430" s="185"/>
      <c r="S430" s="137">
        <v>8.2799999999999994</v>
      </c>
      <c r="T430" s="157">
        <v>41837</v>
      </c>
      <c r="U430" s="142">
        <v>18</v>
      </c>
      <c r="Y430" s="142">
        <f t="shared" si="6"/>
        <v>6.8008500000000005</v>
      </c>
      <c r="Z430" s="157">
        <v>41837</v>
      </c>
      <c r="AE430" s="137">
        <v>17.850000000000001</v>
      </c>
      <c r="AF430" s="157">
        <v>41837</v>
      </c>
      <c r="AG430" s="185">
        <v>4.66</v>
      </c>
      <c r="AH430" s="157">
        <v>41837</v>
      </c>
      <c r="AM430" s="137">
        <v>96</v>
      </c>
      <c r="BM430" s="138">
        <v>61.1</v>
      </c>
      <c r="BN430" s="157">
        <v>41837</v>
      </c>
      <c r="BS430" s="138">
        <v>46.37</v>
      </c>
      <c r="BT430" s="157">
        <v>41837</v>
      </c>
      <c r="BU430" s="138">
        <v>38.1</v>
      </c>
      <c r="BV430" s="157">
        <v>41837</v>
      </c>
      <c r="BW430" s="138">
        <v>13.6</v>
      </c>
      <c r="BX430" s="157">
        <v>41837</v>
      </c>
      <c r="CC430" s="138">
        <v>6.7</v>
      </c>
      <c r="CD430" s="157">
        <v>41837</v>
      </c>
      <c r="CI430" s="138">
        <v>3</v>
      </c>
    </row>
    <row r="431" spans="1:91">
      <c r="A431" s="159" t="s">
        <v>7795</v>
      </c>
      <c r="B431" s="112" t="s">
        <v>269</v>
      </c>
      <c r="C431" s="112">
        <v>2</v>
      </c>
      <c r="D431" s="112">
        <v>53</v>
      </c>
      <c r="E431" s="113">
        <v>34</v>
      </c>
      <c r="F431" s="113">
        <v>12</v>
      </c>
      <c r="M431" s="185">
        <v>6.82</v>
      </c>
      <c r="N431" s="157">
        <v>41837</v>
      </c>
      <c r="R431" s="185"/>
      <c r="S431" s="137">
        <v>19.13</v>
      </c>
      <c r="T431" s="157">
        <v>41837</v>
      </c>
      <c r="U431" s="142">
        <v>18</v>
      </c>
      <c r="Y431" s="142">
        <f t="shared" si="6"/>
        <v>14.425180000000001</v>
      </c>
      <c r="Z431" s="157">
        <v>41837</v>
      </c>
      <c r="AE431" s="137">
        <v>38.57</v>
      </c>
      <c r="AF431" s="157">
        <v>41837</v>
      </c>
      <c r="AG431" s="185">
        <v>5.59</v>
      </c>
      <c r="AH431" s="157">
        <v>41837</v>
      </c>
      <c r="AM431" s="137">
        <v>90</v>
      </c>
      <c r="BM431" s="138">
        <v>60.99</v>
      </c>
      <c r="BN431" s="157">
        <v>41837</v>
      </c>
      <c r="BS431" s="138">
        <v>49.6</v>
      </c>
      <c r="BT431" s="157">
        <v>41837</v>
      </c>
      <c r="BU431" s="138">
        <v>37.4</v>
      </c>
      <c r="BV431" s="157">
        <v>41837</v>
      </c>
      <c r="BW431" s="138">
        <v>11.1</v>
      </c>
      <c r="BX431" s="157">
        <v>41837</v>
      </c>
      <c r="CC431" s="138">
        <v>6.6</v>
      </c>
      <c r="CD431" s="157">
        <v>41837</v>
      </c>
      <c r="CI431" s="138">
        <v>7</v>
      </c>
    </row>
    <row r="432" spans="1:91">
      <c r="A432" s="159" t="s">
        <v>7662</v>
      </c>
      <c r="B432" s="112" t="s">
        <v>269</v>
      </c>
      <c r="C432" s="112">
        <v>2</v>
      </c>
      <c r="D432" s="112">
        <v>144</v>
      </c>
      <c r="E432" s="113">
        <v>35</v>
      </c>
      <c r="F432" s="113">
        <v>12</v>
      </c>
      <c r="M432" s="185">
        <v>6.29</v>
      </c>
      <c r="N432" s="157">
        <v>41837</v>
      </c>
      <c r="R432" s="185"/>
      <c r="S432" s="137">
        <v>18.18</v>
      </c>
      <c r="T432" s="157">
        <v>41837</v>
      </c>
      <c r="U432" s="142">
        <v>18</v>
      </c>
      <c r="Y432" s="142">
        <f t="shared" si="6"/>
        <v>14.561519999999998</v>
      </c>
      <c r="Z432" s="157">
        <v>41837</v>
      </c>
      <c r="AE432" s="137">
        <v>35.69</v>
      </c>
      <c r="AF432" s="157">
        <v>41837</v>
      </c>
      <c r="AG432" s="185">
        <v>5.75</v>
      </c>
      <c r="AH432" s="157">
        <v>41837</v>
      </c>
      <c r="AM432" s="137">
        <v>90</v>
      </c>
      <c r="BM432" s="138">
        <v>61.89</v>
      </c>
      <c r="BN432" s="157">
        <v>41837</v>
      </c>
      <c r="BS432" s="138">
        <v>50.95</v>
      </c>
      <c r="BT432" s="157">
        <v>41837</v>
      </c>
      <c r="BU432" s="138">
        <v>40.799999999999997</v>
      </c>
      <c r="BV432" s="157">
        <v>41837</v>
      </c>
      <c r="BW432" s="138">
        <v>17.5</v>
      </c>
      <c r="BX432" s="157">
        <v>41837</v>
      </c>
      <c r="CC432" s="138">
        <v>6.3</v>
      </c>
      <c r="CD432" s="157">
        <v>41837</v>
      </c>
      <c r="CI432" s="138">
        <v>7</v>
      </c>
    </row>
    <row r="433" spans="1:91">
      <c r="A433" s="189" t="s">
        <v>7730</v>
      </c>
      <c r="B433" s="190" t="s">
        <v>269</v>
      </c>
      <c r="C433" s="190">
        <v>2</v>
      </c>
      <c r="D433" s="190">
        <v>1</v>
      </c>
      <c r="E433" s="191">
        <v>36</v>
      </c>
      <c r="F433" s="191">
        <v>12</v>
      </c>
      <c r="G433" s="191"/>
      <c r="H433" s="191"/>
      <c r="I433" s="201"/>
      <c r="J433" s="190"/>
      <c r="K433" s="192"/>
      <c r="L433" s="193"/>
      <c r="M433" s="194">
        <v>7.7</v>
      </c>
      <c r="N433" s="193">
        <v>41837</v>
      </c>
      <c r="P433" s="193"/>
      <c r="Q433" s="192"/>
      <c r="R433" s="194"/>
      <c r="S433" s="192">
        <v>21.83</v>
      </c>
      <c r="T433" s="193">
        <v>41837</v>
      </c>
      <c r="U433" s="192">
        <v>18</v>
      </c>
      <c r="V433" s="193"/>
      <c r="W433" s="192"/>
      <c r="X433" s="193"/>
      <c r="Y433" s="192">
        <f t="shared" si="6"/>
        <v>16.786000000000001</v>
      </c>
      <c r="Z433" s="193">
        <v>41837</v>
      </c>
      <c r="AA433" s="192"/>
      <c r="AB433" s="193"/>
      <c r="AC433" s="195"/>
      <c r="AD433" s="193"/>
      <c r="AE433" s="192">
        <v>43.6</v>
      </c>
      <c r="AF433" s="193">
        <v>41837</v>
      </c>
      <c r="AG433" s="194">
        <v>4.57</v>
      </c>
      <c r="AH433" s="193">
        <v>41837</v>
      </c>
      <c r="AI433" s="193"/>
      <c r="AJ433" s="193"/>
      <c r="AK433" s="192"/>
      <c r="AL433" s="193"/>
      <c r="AM433" s="192">
        <v>85</v>
      </c>
      <c r="AN433" s="193"/>
      <c r="AO433" s="195"/>
      <c r="AP433" s="195"/>
      <c r="AQ433" s="195"/>
      <c r="AR433" s="195"/>
      <c r="AS433" s="195"/>
      <c r="AT433" s="195"/>
      <c r="AU433" s="195"/>
      <c r="AV433" s="195"/>
      <c r="AW433" s="195"/>
      <c r="AX433" s="195"/>
      <c r="AY433" s="195"/>
      <c r="AZ433" s="195"/>
      <c r="BA433" s="195"/>
      <c r="BB433" s="195"/>
      <c r="BC433" s="195"/>
      <c r="BD433" s="195"/>
      <c r="BE433" s="196"/>
      <c r="BF433" s="196"/>
      <c r="BG433" s="196"/>
      <c r="BH433" s="196"/>
      <c r="BI433" s="196"/>
      <c r="BJ433" s="196"/>
      <c r="BK433" s="196"/>
      <c r="BL433" s="196"/>
      <c r="BM433" s="196">
        <v>59.74</v>
      </c>
      <c r="BN433" s="193">
        <v>41837</v>
      </c>
      <c r="BO433" s="196"/>
      <c r="BP433" s="196"/>
      <c r="BQ433" s="196"/>
      <c r="BR433" s="196"/>
      <c r="BS433" s="196">
        <v>50.08</v>
      </c>
      <c r="BT433" s="193">
        <v>41837</v>
      </c>
      <c r="BU433" s="196">
        <v>38.5</v>
      </c>
      <c r="BV433" s="193">
        <v>41837</v>
      </c>
      <c r="BW433" s="196">
        <v>19.399999999999999</v>
      </c>
      <c r="BX433" s="193">
        <v>41837</v>
      </c>
      <c r="BY433" s="196"/>
      <c r="BZ433" s="196"/>
      <c r="CA433" s="196"/>
      <c r="CB433" s="196"/>
      <c r="CC433" s="196">
        <v>6.5</v>
      </c>
      <c r="CD433" s="193">
        <v>41837</v>
      </c>
      <c r="CE433" s="196"/>
      <c r="CF433" s="196"/>
      <c r="CG433" s="196"/>
      <c r="CH433" s="196"/>
      <c r="CI433" s="196">
        <v>7</v>
      </c>
      <c r="CJ433" s="196"/>
      <c r="CK433" s="196"/>
      <c r="CL433" s="196"/>
      <c r="CM433" s="196"/>
    </row>
    <row r="434" spans="1:91">
      <c r="A434" s="159" t="s">
        <v>7770</v>
      </c>
      <c r="B434" s="112" t="s">
        <v>269</v>
      </c>
      <c r="C434" s="112">
        <v>3</v>
      </c>
      <c r="D434" s="112">
        <v>64</v>
      </c>
      <c r="E434" s="113">
        <v>1</v>
      </c>
      <c r="F434" s="113">
        <v>13</v>
      </c>
      <c r="M434" s="185">
        <v>6.77</v>
      </c>
      <c r="N434" s="157">
        <v>41837</v>
      </c>
      <c r="R434" s="185"/>
      <c r="S434" s="137">
        <v>18.329999999999998</v>
      </c>
      <c r="T434" s="157">
        <v>41837</v>
      </c>
      <c r="U434" s="142">
        <v>18</v>
      </c>
      <c r="Y434" s="142">
        <f t="shared" si="6"/>
        <v>14.034960000000002</v>
      </c>
      <c r="Z434" s="157">
        <v>41837</v>
      </c>
      <c r="AE434" s="137">
        <v>36.36</v>
      </c>
      <c r="AF434" s="157">
        <v>41837</v>
      </c>
      <c r="AG434" s="185">
        <v>4.57</v>
      </c>
      <c r="AH434" s="157">
        <v>41837</v>
      </c>
      <c r="AM434" s="137">
        <v>90</v>
      </c>
      <c r="BM434" s="138">
        <v>58.03</v>
      </c>
      <c r="BN434" s="157">
        <v>41837</v>
      </c>
      <c r="BS434" s="138">
        <v>50.42</v>
      </c>
      <c r="BT434" s="157">
        <v>41837</v>
      </c>
      <c r="BU434" s="138">
        <v>38.6</v>
      </c>
      <c r="BV434" s="157">
        <v>41837</v>
      </c>
      <c r="BW434" s="138">
        <v>12</v>
      </c>
      <c r="BX434" s="157">
        <v>41837</v>
      </c>
      <c r="CC434" s="138">
        <v>11.3</v>
      </c>
      <c r="CD434" s="157">
        <v>41837</v>
      </c>
    </row>
    <row r="435" spans="1:91">
      <c r="A435" s="159" t="s">
        <v>7813</v>
      </c>
      <c r="B435" s="112" t="s">
        <v>269</v>
      </c>
      <c r="C435" s="112">
        <v>3</v>
      </c>
      <c r="D435" s="112">
        <v>134</v>
      </c>
      <c r="E435" s="113">
        <v>2</v>
      </c>
      <c r="F435" s="113">
        <v>13</v>
      </c>
      <c r="M435" s="185">
        <v>4.79</v>
      </c>
      <c r="N435" s="157">
        <v>41837</v>
      </c>
      <c r="R435" s="185"/>
      <c r="S435" s="137">
        <v>12.83</v>
      </c>
      <c r="T435" s="157">
        <v>41837</v>
      </c>
      <c r="U435" s="142">
        <v>18</v>
      </c>
      <c r="Y435" s="142">
        <f t="shared" si="6"/>
        <v>9.7838399999999996</v>
      </c>
      <c r="Z435" s="157">
        <v>41837</v>
      </c>
      <c r="AE435" s="137">
        <v>26.16</v>
      </c>
      <c r="AF435" s="157">
        <v>41837</v>
      </c>
      <c r="AG435" s="185">
        <v>4.58</v>
      </c>
      <c r="AH435" s="157">
        <v>41837</v>
      </c>
      <c r="AM435" s="137">
        <v>94</v>
      </c>
      <c r="BM435" s="138">
        <v>59.74</v>
      </c>
      <c r="BN435" s="157">
        <v>41837</v>
      </c>
      <c r="BS435" s="138">
        <v>49.04</v>
      </c>
      <c r="BT435" s="157">
        <v>41837</v>
      </c>
      <c r="BU435" s="138">
        <v>37.4</v>
      </c>
      <c r="BV435" s="157">
        <v>41837</v>
      </c>
      <c r="BW435" s="138">
        <v>14.8</v>
      </c>
      <c r="BX435" s="157">
        <v>41837</v>
      </c>
      <c r="CC435" s="138">
        <v>9.8000000000000007</v>
      </c>
      <c r="CD435" s="157">
        <v>41837</v>
      </c>
    </row>
    <row r="436" spans="1:91">
      <c r="A436" s="159" t="s">
        <v>7769</v>
      </c>
      <c r="B436" s="112" t="s">
        <v>269</v>
      </c>
      <c r="C436" s="112">
        <v>3</v>
      </c>
      <c r="D436" s="112">
        <v>140</v>
      </c>
      <c r="E436" s="113">
        <v>3</v>
      </c>
      <c r="F436" s="113">
        <v>13</v>
      </c>
      <c r="M436" s="185">
        <v>6.34</v>
      </c>
      <c r="N436" s="157">
        <v>41837</v>
      </c>
      <c r="R436" s="185"/>
      <c r="S436" s="137">
        <v>17.149999999999999</v>
      </c>
      <c r="T436" s="157">
        <v>41837</v>
      </c>
      <c r="U436" s="142">
        <v>18</v>
      </c>
      <c r="Y436" s="142">
        <f t="shared" si="6"/>
        <v>13.281840000000003</v>
      </c>
      <c r="Z436" s="157">
        <v>41837</v>
      </c>
      <c r="AE436" s="137">
        <v>34.32</v>
      </c>
      <c r="AF436" s="157">
        <v>41837</v>
      </c>
      <c r="AG436" s="185">
        <v>5.25</v>
      </c>
      <c r="AH436" s="157">
        <v>41837</v>
      </c>
      <c r="AM436" s="137">
        <v>87</v>
      </c>
      <c r="BM436" s="138">
        <v>62.27</v>
      </c>
      <c r="BN436" s="157">
        <v>41837</v>
      </c>
      <c r="BS436" s="138">
        <v>49.98</v>
      </c>
      <c r="BT436" s="157">
        <v>41837</v>
      </c>
      <c r="BU436" s="138">
        <v>38.700000000000003</v>
      </c>
      <c r="BV436" s="157">
        <v>41837</v>
      </c>
      <c r="BW436" s="138">
        <v>16.899999999999999</v>
      </c>
      <c r="BX436" s="157">
        <v>41837</v>
      </c>
      <c r="CC436" s="138">
        <v>10.6</v>
      </c>
      <c r="CD436" s="157">
        <v>41837</v>
      </c>
    </row>
    <row r="437" spans="1:91">
      <c r="A437" s="189" t="s">
        <v>7611</v>
      </c>
      <c r="B437" s="190" t="s">
        <v>269</v>
      </c>
      <c r="C437" s="190">
        <v>3</v>
      </c>
      <c r="D437" s="190">
        <v>11</v>
      </c>
      <c r="E437" s="191">
        <v>4</v>
      </c>
      <c r="F437" s="191">
        <v>13</v>
      </c>
      <c r="G437" s="191"/>
      <c r="H437" s="191"/>
      <c r="I437" s="201"/>
      <c r="J437" s="190"/>
      <c r="K437" s="192"/>
      <c r="L437" s="193"/>
      <c r="M437" s="194">
        <v>2.0699999999999998</v>
      </c>
      <c r="N437" s="193">
        <v>41837</v>
      </c>
      <c r="P437" s="193"/>
      <c r="Q437" s="192"/>
      <c r="R437" s="194"/>
      <c r="S437" s="192">
        <v>5.34</v>
      </c>
      <c r="T437" s="193">
        <v>41837</v>
      </c>
      <c r="U437" s="192">
        <v>18</v>
      </c>
      <c r="V437" s="193"/>
      <c r="W437" s="192"/>
      <c r="X437" s="193"/>
      <c r="Y437" s="192">
        <f t="shared" si="6"/>
        <v>4.2470400000000001</v>
      </c>
      <c r="Z437" s="193">
        <v>41837</v>
      </c>
      <c r="AA437" s="192"/>
      <c r="AB437" s="193"/>
      <c r="AC437" s="195"/>
      <c r="AD437" s="193"/>
      <c r="AE437" s="192">
        <v>11.06</v>
      </c>
      <c r="AF437" s="193">
        <v>41837</v>
      </c>
      <c r="AG437" s="194">
        <v>4.3499999999999996</v>
      </c>
      <c r="AH437" s="193">
        <v>41837</v>
      </c>
      <c r="AI437" s="193"/>
      <c r="AJ437" s="193"/>
      <c r="AK437" s="192"/>
      <c r="AL437" s="193"/>
      <c r="AM437" s="192">
        <v>90</v>
      </c>
      <c r="AN437" s="193"/>
      <c r="AO437" s="195"/>
      <c r="AP437" s="195"/>
      <c r="AQ437" s="195"/>
      <c r="AR437" s="195"/>
      <c r="AS437" s="195"/>
      <c r="AT437" s="195"/>
      <c r="AU437" s="195"/>
      <c r="AV437" s="195"/>
      <c r="AW437" s="195"/>
      <c r="AX437" s="195"/>
      <c r="AY437" s="195"/>
      <c r="AZ437" s="195"/>
      <c r="BA437" s="195"/>
      <c r="BB437" s="195"/>
      <c r="BC437" s="195"/>
      <c r="BD437" s="195"/>
      <c r="BE437" s="196"/>
      <c r="BF437" s="196"/>
      <c r="BG437" s="196"/>
      <c r="BH437" s="196"/>
      <c r="BI437" s="196"/>
      <c r="BJ437" s="196"/>
      <c r="BK437" s="196"/>
      <c r="BL437" s="196"/>
      <c r="BM437" s="196">
        <v>59.97</v>
      </c>
      <c r="BN437" s="193">
        <v>41837</v>
      </c>
      <c r="BO437" s="196"/>
      <c r="BP437" s="196"/>
      <c r="BQ437" s="196"/>
      <c r="BR437" s="196"/>
      <c r="BS437" s="196">
        <v>48.24</v>
      </c>
      <c r="BT437" s="193">
        <v>41837</v>
      </c>
      <c r="BU437" s="196">
        <v>38.4</v>
      </c>
      <c r="BV437" s="193">
        <v>41837</v>
      </c>
      <c r="BW437" s="196">
        <v>36.6</v>
      </c>
      <c r="BX437" s="193">
        <v>41837</v>
      </c>
      <c r="BY437" s="196"/>
      <c r="BZ437" s="196"/>
      <c r="CA437" s="196"/>
      <c r="CB437" s="196"/>
      <c r="CC437" s="196">
        <v>11.8</v>
      </c>
      <c r="CD437" s="193">
        <v>41837</v>
      </c>
      <c r="CE437" s="196"/>
      <c r="CF437" s="196"/>
      <c r="CG437" s="196"/>
      <c r="CH437" s="196"/>
      <c r="CI437" s="196"/>
      <c r="CJ437" s="196"/>
      <c r="CK437" s="196"/>
      <c r="CL437" s="196"/>
      <c r="CM437" s="196"/>
    </row>
    <row r="438" spans="1:91">
      <c r="A438" s="159" t="s">
        <v>7669</v>
      </c>
      <c r="B438" s="112" t="s">
        <v>269</v>
      </c>
      <c r="C438" s="112">
        <v>3</v>
      </c>
      <c r="D438" s="112">
        <v>94</v>
      </c>
      <c r="E438" s="113">
        <v>5</v>
      </c>
      <c r="F438" s="113">
        <v>13</v>
      </c>
      <c r="M438" s="185">
        <v>5.88</v>
      </c>
      <c r="N438" s="157">
        <v>41837</v>
      </c>
      <c r="R438" s="185"/>
      <c r="S438" s="137">
        <v>16.04</v>
      </c>
      <c r="T438" s="157">
        <v>41837</v>
      </c>
      <c r="U438" s="142">
        <v>18</v>
      </c>
      <c r="Y438" s="142">
        <f t="shared" si="6"/>
        <v>11.95745</v>
      </c>
      <c r="Z438" s="157">
        <v>41837</v>
      </c>
      <c r="AE438" s="137">
        <v>31.55</v>
      </c>
      <c r="AF438" s="157">
        <v>41837</v>
      </c>
      <c r="AG438" s="185">
        <v>4.25</v>
      </c>
      <c r="AH438" s="157">
        <v>41837</v>
      </c>
      <c r="AM438" s="137">
        <v>90</v>
      </c>
      <c r="BM438" s="138">
        <v>59.27</v>
      </c>
      <c r="BN438" s="157">
        <v>41837</v>
      </c>
      <c r="BS438" s="138">
        <v>50.84</v>
      </c>
      <c r="BT438" s="157">
        <v>41837</v>
      </c>
      <c r="BU438" s="138">
        <v>37.9</v>
      </c>
      <c r="BV438" s="157">
        <v>41837</v>
      </c>
      <c r="BW438" s="138">
        <v>13.5</v>
      </c>
      <c r="BX438" s="157">
        <v>41837</v>
      </c>
      <c r="CC438" s="138">
        <v>11.4</v>
      </c>
      <c r="CD438" s="157">
        <v>41837</v>
      </c>
    </row>
    <row r="439" spans="1:91">
      <c r="A439" s="159" t="s">
        <v>7718</v>
      </c>
      <c r="B439" s="112" t="s">
        <v>269</v>
      </c>
      <c r="C439" s="112">
        <v>3</v>
      </c>
      <c r="D439" s="112">
        <v>183</v>
      </c>
      <c r="E439" s="113">
        <v>6</v>
      </c>
      <c r="F439" s="113">
        <v>13</v>
      </c>
      <c r="M439" s="185">
        <v>5.94</v>
      </c>
      <c r="N439" s="157">
        <v>41837</v>
      </c>
      <c r="R439" s="185"/>
      <c r="S439" s="137">
        <v>16.46</v>
      </c>
      <c r="T439" s="157">
        <v>41837</v>
      </c>
      <c r="U439" s="142">
        <v>18</v>
      </c>
      <c r="Y439" s="142">
        <f t="shared" si="6"/>
        <v>12.349439999999998</v>
      </c>
      <c r="Z439" s="157">
        <v>41837</v>
      </c>
      <c r="AE439" s="137">
        <v>32.159999999999997</v>
      </c>
      <c r="AF439" s="157">
        <v>41837</v>
      </c>
      <c r="AG439" s="185">
        <v>4.5599999999999996</v>
      </c>
      <c r="AH439" s="157">
        <v>41837</v>
      </c>
      <c r="AM439" s="137">
        <v>87</v>
      </c>
      <c r="BM439" s="138">
        <v>60.04</v>
      </c>
      <c r="BN439" s="157">
        <v>41837</v>
      </c>
      <c r="BS439" s="138">
        <v>51.18</v>
      </c>
      <c r="BT439" s="157">
        <v>41837</v>
      </c>
      <c r="BU439" s="138">
        <v>38.4</v>
      </c>
      <c r="BV439" s="157">
        <v>41837</v>
      </c>
      <c r="BW439" s="138">
        <v>14.1</v>
      </c>
      <c r="BX439" s="157">
        <v>41837</v>
      </c>
      <c r="CC439" s="138">
        <v>10.6</v>
      </c>
      <c r="CD439" s="157">
        <v>41837</v>
      </c>
    </row>
    <row r="440" spans="1:91">
      <c r="A440" s="159" t="s">
        <v>7647</v>
      </c>
      <c r="B440" s="112" t="s">
        <v>269</v>
      </c>
      <c r="C440" s="112">
        <v>3</v>
      </c>
      <c r="D440" s="112">
        <v>156</v>
      </c>
      <c r="E440" s="113">
        <v>7</v>
      </c>
      <c r="F440" s="113">
        <v>13</v>
      </c>
      <c r="M440" s="185">
        <v>3.41</v>
      </c>
      <c r="N440" s="157">
        <v>41837</v>
      </c>
      <c r="R440" s="185"/>
      <c r="S440" s="137">
        <v>8.6999999999999993</v>
      </c>
      <c r="T440" s="157">
        <v>41837</v>
      </c>
      <c r="U440" s="142">
        <v>18</v>
      </c>
      <c r="Y440" s="142">
        <f t="shared" si="6"/>
        <v>7.5294600000000003</v>
      </c>
      <c r="Z440" s="157">
        <v>41837</v>
      </c>
      <c r="AE440" s="137">
        <v>18.73</v>
      </c>
      <c r="AF440" s="157">
        <v>41837</v>
      </c>
      <c r="AG440" s="185">
        <v>5.3</v>
      </c>
      <c r="AH440" s="157">
        <v>41837</v>
      </c>
      <c r="AM440" s="137">
        <v>85</v>
      </c>
      <c r="BM440" s="138">
        <v>56.38</v>
      </c>
      <c r="BN440" s="157">
        <v>41837</v>
      </c>
      <c r="BS440" s="138">
        <v>46.45</v>
      </c>
      <c r="BT440" s="157">
        <v>41837</v>
      </c>
      <c r="BU440" s="138">
        <v>40.200000000000003</v>
      </c>
      <c r="BV440" s="157">
        <v>41837</v>
      </c>
      <c r="BW440" s="138">
        <v>58.9</v>
      </c>
      <c r="BX440" s="157">
        <v>41837</v>
      </c>
      <c r="CC440" s="138">
        <v>9.3000000000000007</v>
      </c>
      <c r="CD440" s="157">
        <v>41837</v>
      </c>
    </row>
    <row r="441" spans="1:91">
      <c r="A441" s="159" t="s">
        <v>7746</v>
      </c>
      <c r="B441" s="112" t="s">
        <v>269</v>
      </c>
      <c r="C441" s="112">
        <v>3</v>
      </c>
      <c r="D441" s="112">
        <v>198</v>
      </c>
      <c r="E441" s="113">
        <v>8</v>
      </c>
      <c r="F441" s="113">
        <v>13</v>
      </c>
      <c r="M441" s="185">
        <v>2.83</v>
      </c>
      <c r="N441" s="157">
        <v>41837</v>
      </c>
      <c r="R441" s="185"/>
      <c r="S441" s="137">
        <v>7.32</v>
      </c>
      <c r="T441" s="157">
        <v>41837</v>
      </c>
      <c r="U441" s="142">
        <v>18</v>
      </c>
      <c r="Y441" s="142">
        <f t="shared" si="6"/>
        <v>6.5561400000000001</v>
      </c>
      <c r="Z441" s="157">
        <v>41837</v>
      </c>
      <c r="AE441" s="137">
        <v>15.39</v>
      </c>
      <c r="AF441" s="157">
        <v>41837</v>
      </c>
      <c r="AG441" s="185">
        <v>5.88</v>
      </c>
      <c r="AH441" s="157">
        <v>41837</v>
      </c>
      <c r="AM441" s="137">
        <v>87</v>
      </c>
      <c r="BM441" s="138">
        <v>60.14</v>
      </c>
      <c r="BN441" s="157">
        <v>41837</v>
      </c>
      <c r="BS441" s="138">
        <v>47.57</v>
      </c>
      <c r="BT441" s="157">
        <v>41837</v>
      </c>
      <c r="BU441" s="138">
        <v>42.6</v>
      </c>
      <c r="BV441" s="157">
        <v>41837</v>
      </c>
      <c r="BW441" s="138">
        <v>70.400000000000006</v>
      </c>
      <c r="BX441" s="157">
        <v>41837</v>
      </c>
      <c r="CC441" s="138">
        <v>10.199999999999999</v>
      </c>
      <c r="CD441" s="157">
        <v>41837</v>
      </c>
    </row>
    <row r="442" spans="1:91">
      <c r="A442" s="159" t="s">
        <v>7655</v>
      </c>
      <c r="B442" s="112" t="s">
        <v>269</v>
      </c>
      <c r="C442" s="112">
        <v>3</v>
      </c>
      <c r="D442" s="112">
        <v>136</v>
      </c>
      <c r="E442" s="113">
        <v>9</v>
      </c>
      <c r="F442" s="113">
        <v>13</v>
      </c>
      <c r="M442" s="185">
        <v>0.68</v>
      </c>
      <c r="N442" s="157">
        <v>41837</v>
      </c>
      <c r="R442" s="185"/>
      <c r="S442" s="137">
        <v>1.79</v>
      </c>
      <c r="T442" s="157">
        <v>41837</v>
      </c>
      <c r="U442" s="142">
        <v>18</v>
      </c>
      <c r="Y442" s="142">
        <f t="shared" si="6"/>
        <v>1.60737</v>
      </c>
      <c r="Z442" s="157">
        <v>41837</v>
      </c>
      <c r="AE442" s="137">
        <v>3.93</v>
      </c>
      <c r="AF442" s="157">
        <v>41837</v>
      </c>
      <c r="AG442" s="185">
        <v>4.45</v>
      </c>
      <c r="AH442" s="157">
        <v>41837</v>
      </c>
      <c r="AM442" s="137">
        <v>92</v>
      </c>
      <c r="BM442" s="138">
        <v>57</v>
      </c>
      <c r="BN442" s="157">
        <v>41837</v>
      </c>
      <c r="BS442" s="138">
        <v>45.62</v>
      </c>
      <c r="BT442" s="157">
        <v>41837</v>
      </c>
      <c r="BU442" s="138">
        <v>40.9</v>
      </c>
      <c r="BV442" s="157">
        <v>41837</v>
      </c>
      <c r="BW442" s="138">
        <v>48.2</v>
      </c>
      <c r="BX442" s="157">
        <v>41837</v>
      </c>
      <c r="CC442" s="138">
        <v>4.5</v>
      </c>
      <c r="CD442" s="157">
        <v>41837</v>
      </c>
    </row>
    <row r="443" spans="1:91">
      <c r="A443" s="159" t="s">
        <v>7660</v>
      </c>
      <c r="B443" s="112" t="s">
        <v>269</v>
      </c>
      <c r="C443" s="112">
        <v>3</v>
      </c>
      <c r="D443" s="112">
        <v>201</v>
      </c>
      <c r="E443" s="113">
        <v>10</v>
      </c>
      <c r="F443" s="113">
        <v>13</v>
      </c>
      <c r="M443" s="185">
        <v>4.21</v>
      </c>
      <c r="N443" s="157">
        <v>41837</v>
      </c>
      <c r="R443" s="185"/>
      <c r="S443" s="137">
        <v>10.98</v>
      </c>
      <c r="T443" s="157">
        <v>41837</v>
      </c>
      <c r="U443" s="142">
        <v>18</v>
      </c>
      <c r="Y443" s="142">
        <f t="shared" si="6"/>
        <v>9.0090000000000003</v>
      </c>
      <c r="Z443" s="157">
        <v>41837</v>
      </c>
      <c r="AE443" s="137">
        <v>23.1</v>
      </c>
      <c r="AF443" s="157">
        <v>41837</v>
      </c>
      <c r="AG443" s="185">
        <v>4.6100000000000003</v>
      </c>
      <c r="AH443" s="157">
        <v>41837</v>
      </c>
      <c r="AM443" s="137">
        <v>92</v>
      </c>
      <c r="BM443" s="138">
        <v>58.24</v>
      </c>
      <c r="BN443" s="157">
        <v>41837</v>
      </c>
      <c r="BS443" s="138">
        <v>47.52</v>
      </c>
      <c r="BT443" s="157">
        <v>41837</v>
      </c>
      <c r="BU443" s="138">
        <v>39</v>
      </c>
      <c r="BV443" s="157">
        <v>41837</v>
      </c>
      <c r="BW443" s="138">
        <v>57.9</v>
      </c>
      <c r="BX443" s="157">
        <v>41837</v>
      </c>
      <c r="CC443" s="138">
        <v>9.4</v>
      </c>
      <c r="CD443" s="157">
        <v>41837</v>
      </c>
    </row>
    <row r="444" spans="1:91">
      <c r="A444" s="159" t="s">
        <v>7661</v>
      </c>
      <c r="B444" s="112" t="s">
        <v>269</v>
      </c>
      <c r="C444" s="112">
        <v>3</v>
      </c>
      <c r="D444" s="112">
        <v>50</v>
      </c>
      <c r="E444" s="113">
        <v>11</v>
      </c>
      <c r="F444" s="113">
        <v>13</v>
      </c>
      <c r="M444" s="185">
        <v>2.66</v>
      </c>
      <c r="N444" s="157">
        <v>41837</v>
      </c>
      <c r="R444" s="185"/>
      <c r="S444" s="137">
        <v>6.9</v>
      </c>
      <c r="T444" s="157">
        <v>41837</v>
      </c>
      <c r="U444" s="142">
        <v>18</v>
      </c>
      <c r="Y444" s="142">
        <f t="shared" si="6"/>
        <v>6.1710500000000001</v>
      </c>
      <c r="Z444" s="157">
        <v>41837</v>
      </c>
      <c r="AE444" s="137">
        <v>14.87</v>
      </c>
      <c r="AF444" s="157">
        <v>41837</v>
      </c>
      <c r="AG444" s="185">
        <v>4.3499999999999996</v>
      </c>
      <c r="AH444" s="157">
        <v>41837</v>
      </c>
      <c r="AM444" s="137">
        <v>92</v>
      </c>
      <c r="BM444" s="138">
        <v>60.43</v>
      </c>
      <c r="BN444" s="157">
        <v>41837</v>
      </c>
      <c r="BS444" s="138">
        <v>46.39</v>
      </c>
      <c r="BT444" s="157">
        <v>41837</v>
      </c>
      <c r="BU444" s="138">
        <v>41.5</v>
      </c>
      <c r="BV444" s="157">
        <v>41837</v>
      </c>
      <c r="BW444" s="138">
        <v>60</v>
      </c>
      <c r="BX444" s="157">
        <v>41837</v>
      </c>
      <c r="CC444" s="138">
        <v>7.7</v>
      </c>
      <c r="CD444" s="157">
        <v>41837</v>
      </c>
    </row>
    <row r="445" spans="1:91">
      <c r="A445" s="159" t="s">
        <v>7790</v>
      </c>
      <c r="B445" s="112" t="s">
        <v>269</v>
      </c>
      <c r="C445" s="112">
        <v>3</v>
      </c>
      <c r="D445" s="112">
        <v>152</v>
      </c>
      <c r="E445" s="113">
        <v>12</v>
      </c>
      <c r="F445" s="113">
        <v>13</v>
      </c>
      <c r="M445" s="185">
        <v>6.59</v>
      </c>
      <c r="N445" s="157">
        <v>41837</v>
      </c>
      <c r="R445" s="185"/>
      <c r="S445" s="137">
        <v>17.260000000000002</v>
      </c>
      <c r="T445" s="157">
        <v>41837</v>
      </c>
      <c r="U445" s="142">
        <v>18</v>
      </c>
      <c r="Y445" s="142">
        <f t="shared" si="6"/>
        <v>13.890399999999998</v>
      </c>
      <c r="Z445" s="157">
        <v>41837</v>
      </c>
      <c r="AE445" s="137">
        <v>35.799999999999997</v>
      </c>
      <c r="AF445" s="157">
        <v>41837</v>
      </c>
      <c r="AG445" s="185">
        <v>4.54</v>
      </c>
      <c r="AH445" s="157">
        <v>41837</v>
      </c>
      <c r="AM445" s="137">
        <v>92</v>
      </c>
      <c r="BM445" s="138">
        <v>60.42</v>
      </c>
      <c r="BN445" s="157">
        <v>41837</v>
      </c>
      <c r="BS445" s="138">
        <v>48.22</v>
      </c>
      <c r="BT445" s="157">
        <v>41837</v>
      </c>
      <c r="BU445" s="138">
        <v>38.799999999999997</v>
      </c>
      <c r="BV445" s="157">
        <v>41837</v>
      </c>
      <c r="BW445" s="138">
        <v>16.399999999999999</v>
      </c>
      <c r="BX445" s="157">
        <v>41837</v>
      </c>
      <c r="CC445" s="138">
        <v>10.3</v>
      </c>
      <c r="CD445" s="157">
        <v>41837</v>
      </c>
    </row>
    <row r="446" spans="1:91">
      <c r="A446" s="159" t="s">
        <v>7856</v>
      </c>
      <c r="B446" s="112" t="s">
        <v>269</v>
      </c>
      <c r="C446" s="112">
        <v>3</v>
      </c>
      <c r="D446" s="112">
        <v>164</v>
      </c>
      <c r="E446" s="113">
        <v>13</v>
      </c>
      <c r="F446" s="113">
        <v>13</v>
      </c>
      <c r="M446" s="185">
        <v>6.17</v>
      </c>
      <c r="N446" s="157">
        <v>41837</v>
      </c>
      <c r="R446" s="185"/>
      <c r="S446" s="137">
        <v>16.68</v>
      </c>
      <c r="T446" s="157">
        <v>41837</v>
      </c>
      <c r="U446" s="142">
        <v>18</v>
      </c>
      <c r="Y446" s="142">
        <f t="shared" si="6"/>
        <v>13.50414</v>
      </c>
      <c r="Z446" s="157">
        <v>41837</v>
      </c>
      <c r="AE446" s="137">
        <v>33.93</v>
      </c>
      <c r="AF446" s="157">
        <v>41837</v>
      </c>
      <c r="AG446" s="185">
        <v>4.78</v>
      </c>
      <c r="AH446" s="157">
        <v>41837</v>
      </c>
      <c r="AM446" s="137">
        <v>83</v>
      </c>
      <c r="BM446" s="138">
        <v>60.94</v>
      </c>
      <c r="BN446" s="157">
        <v>41837</v>
      </c>
      <c r="BS446" s="138">
        <v>49.15</v>
      </c>
      <c r="BT446" s="157">
        <v>41837</v>
      </c>
      <c r="BU446" s="138">
        <v>39.799999999999997</v>
      </c>
      <c r="BV446" s="157">
        <v>41837</v>
      </c>
      <c r="BW446" s="138">
        <v>18.2</v>
      </c>
      <c r="BX446" s="157">
        <v>41837</v>
      </c>
      <c r="CC446" s="138">
        <v>9.1999999999999993</v>
      </c>
      <c r="CD446" s="157">
        <v>41837</v>
      </c>
    </row>
    <row r="447" spans="1:91">
      <c r="A447" s="159" t="s">
        <v>7777</v>
      </c>
      <c r="B447" s="112" t="s">
        <v>269</v>
      </c>
      <c r="C447" s="112">
        <v>3</v>
      </c>
      <c r="D447" s="112">
        <v>59</v>
      </c>
      <c r="E447" s="113">
        <v>14</v>
      </c>
      <c r="F447" s="113">
        <v>13</v>
      </c>
      <c r="M447" s="185">
        <v>5.37</v>
      </c>
      <c r="N447" s="157">
        <v>41837</v>
      </c>
      <c r="R447" s="185"/>
      <c r="S447" s="137">
        <v>14.94</v>
      </c>
      <c r="T447" s="157">
        <v>41837</v>
      </c>
      <c r="U447" s="142">
        <v>18</v>
      </c>
      <c r="Y447" s="142">
        <f t="shared" si="6"/>
        <v>11.412479999999999</v>
      </c>
      <c r="Z447" s="157">
        <v>41837</v>
      </c>
      <c r="AE447" s="137">
        <v>29.72</v>
      </c>
      <c r="AF447" s="157">
        <v>41837</v>
      </c>
      <c r="AG447" s="185">
        <v>3.94</v>
      </c>
      <c r="AH447" s="157">
        <v>41837</v>
      </c>
      <c r="AM447" s="137">
        <v>85</v>
      </c>
      <c r="BM447" s="138">
        <v>59.23</v>
      </c>
      <c r="BN447" s="157">
        <v>41837</v>
      </c>
      <c r="BS447" s="138">
        <v>50.27</v>
      </c>
      <c r="BT447" s="157">
        <v>41837</v>
      </c>
      <c r="BU447" s="138">
        <v>38.4</v>
      </c>
      <c r="BV447" s="157">
        <v>41837</v>
      </c>
      <c r="BW447" s="138">
        <v>20.5</v>
      </c>
      <c r="BX447" s="157">
        <v>41837</v>
      </c>
      <c r="CC447" s="138">
        <v>8.6</v>
      </c>
      <c r="CD447" s="157">
        <v>41837</v>
      </c>
    </row>
    <row r="448" spans="1:91">
      <c r="A448" s="159" t="s">
        <v>7691</v>
      </c>
      <c r="B448" s="112" t="s">
        <v>269</v>
      </c>
      <c r="C448" s="112">
        <v>3</v>
      </c>
      <c r="D448" s="112">
        <v>103</v>
      </c>
      <c r="E448" s="113">
        <v>15</v>
      </c>
      <c r="F448" s="113">
        <v>13</v>
      </c>
      <c r="M448" s="185">
        <v>6.24</v>
      </c>
      <c r="N448" s="157">
        <v>41837</v>
      </c>
      <c r="R448" s="185"/>
      <c r="S448" s="137">
        <v>16.52</v>
      </c>
      <c r="T448" s="157">
        <v>41837</v>
      </c>
      <c r="U448" s="142">
        <v>18</v>
      </c>
      <c r="Y448" s="142">
        <f t="shared" si="6"/>
        <v>13.008749999999999</v>
      </c>
      <c r="Z448" s="157">
        <v>41837</v>
      </c>
      <c r="AE448" s="137">
        <v>34.69</v>
      </c>
      <c r="AF448" s="157">
        <v>41837</v>
      </c>
      <c r="AG448" s="185">
        <v>4.4800000000000004</v>
      </c>
      <c r="AH448" s="157">
        <v>41837</v>
      </c>
      <c r="AM448" s="137">
        <v>87</v>
      </c>
      <c r="BM448" s="138">
        <v>61</v>
      </c>
      <c r="BN448" s="157">
        <v>41837</v>
      </c>
      <c r="BS448" s="138">
        <v>47.61</v>
      </c>
      <c r="BT448" s="157">
        <v>41837</v>
      </c>
      <c r="BU448" s="138">
        <v>37.5</v>
      </c>
      <c r="BV448" s="157">
        <v>41837</v>
      </c>
      <c r="BW448" s="138">
        <v>19</v>
      </c>
      <c r="BX448" s="157">
        <v>41837</v>
      </c>
      <c r="CC448" s="138">
        <v>8.1999999999999993</v>
      </c>
      <c r="CD448" s="157">
        <v>41837</v>
      </c>
    </row>
    <row r="449" spans="1:91">
      <c r="A449" s="159" t="s">
        <v>7650</v>
      </c>
      <c r="B449" s="112" t="s">
        <v>269</v>
      </c>
      <c r="C449" s="112">
        <v>3</v>
      </c>
      <c r="D449" s="112">
        <v>110</v>
      </c>
      <c r="E449" s="113">
        <v>16</v>
      </c>
      <c r="F449" s="113">
        <v>13</v>
      </c>
      <c r="M449" s="185">
        <v>3.51</v>
      </c>
      <c r="N449" s="157">
        <v>41837</v>
      </c>
      <c r="R449" s="185"/>
      <c r="S449" s="137">
        <v>8.8000000000000007</v>
      </c>
      <c r="T449" s="157">
        <v>41837</v>
      </c>
      <c r="U449" s="142">
        <v>18</v>
      </c>
      <c r="Y449" s="142">
        <f t="shared" si="6"/>
        <v>7.5463000000000013</v>
      </c>
      <c r="Z449" s="157">
        <v>41837</v>
      </c>
      <c r="AE449" s="137">
        <v>19.3</v>
      </c>
      <c r="AF449" s="157">
        <v>41837</v>
      </c>
      <c r="AG449" s="185">
        <v>5.04</v>
      </c>
      <c r="AH449" s="157">
        <v>41837</v>
      </c>
      <c r="AM449" s="137">
        <v>87</v>
      </c>
      <c r="BM449" s="138">
        <v>57.9</v>
      </c>
      <c r="BN449" s="157">
        <v>41837</v>
      </c>
      <c r="BS449" s="138">
        <v>45.6</v>
      </c>
      <c r="BT449" s="157">
        <v>41837</v>
      </c>
      <c r="BU449" s="138">
        <v>39.1</v>
      </c>
      <c r="BV449" s="157">
        <v>41837</v>
      </c>
      <c r="BW449" s="138">
        <v>26.8</v>
      </c>
      <c r="BX449" s="157">
        <v>41837</v>
      </c>
      <c r="CC449" s="138">
        <v>9.1999999999999993</v>
      </c>
      <c r="CD449" s="157">
        <v>41837</v>
      </c>
    </row>
    <row r="450" spans="1:91">
      <c r="A450" s="159" t="s">
        <v>7788</v>
      </c>
      <c r="B450" s="112" t="s">
        <v>269</v>
      </c>
      <c r="C450" s="112">
        <v>3</v>
      </c>
      <c r="D450" s="112">
        <v>209</v>
      </c>
      <c r="E450" s="113">
        <v>17</v>
      </c>
      <c r="F450" s="113">
        <v>13</v>
      </c>
      <c r="M450" s="185">
        <v>6.54</v>
      </c>
      <c r="N450" s="157">
        <v>41837</v>
      </c>
      <c r="R450" s="185"/>
      <c r="S450" s="137">
        <v>18.39</v>
      </c>
      <c r="T450" s="157">
        <v>41837</v>
      </c>
      <c r="U450" s="142">
        <v>18</v>
      </c>
      <c r="Y450" s="142">
        <f t="shared" ref="Y450:Y513" si="7">(AE450*BU450)/100</f>
        <v>13.728959999999999</v>
      </c>
      <c r="Z450" s="157">
        <v>41837</v>
      </c>
      <c r="AE450" s="137">
        <v>36.32</v>
      </c>
      <c r="AF450" s="157">
        <v>41837</v>
      </c>
      <c r="AG450" s="185">
        <v>4.3899999999999997</v>
      </c>
      <c r="AH450" s="157">
        <v>41837</v>
      </c>
      <c r="AM450" s="137">
        <v>85</v>
      </c>
      <c r="BM450" s="138">
        <v>60.51</v>
      </c>
      <c r="BN450" s="157">
        <v>41837</v>
      </c>
      <c r="BS450" s="138">
        <v>50.64</v>
      </c>
      <c r="BT450" s="157">
        <v>41837</v>
      </c>
      <c r="BU450" s="138">
        <v>37.799999999999997</v>
      </c>
      <c r="BV450" s="157">
        <v>41837</v>
      </c>
      <c r="BW450" s="138">
        <v>16.899999999999999</v>
      </c>
      <c r="BX450" s="157">
        <v>41837</v>
      </c>
      <c r="CC450" s="138">
        <v>8.3000000000000007</v>
      </c>
      <c r="CD450" s="157">
        <v>41837</v>
      </c>
    </row>
    <row r="451" spans="1:91">
      <c r="A451" s="159" t="s">
        <v>7801</v>
      </c>
      <c r="B451" s="112" t="s">
        <v>269</v>
      </c>
      <c r="C451" s="112">
        <v>3</v>
      </c>
      <c r="D451" s="112">
        <v>85</v>
      </c>
      <c r="E451" s="113">
        <v>18</v>
      </c>
      <c r="F451" s="113">
        <v>13</v>
      </c>
      <c r="M451" s="185">
        <v>4.84</v>
      </c>
      <c r="N451" s="157">
        <v>41837</v>
      </c>
      <c r="R451" s="185"/>
      <c r="S451" s="137">
        <v>12.95</v>
      </c>
      <c r="T451" s="157">
        <v>41837</v>
      </c>
      <c r="U451" s="142">
        <v>18</v>
      </c>
      <c r="Y451" s="142">
        <f t="shared" si="7"/>
        <v>9.5261399999999998</v>
      </c>
      <c r="Z451" s="157">
        <v>41837</v>
      </c>
      <c r="AE451" s="137">
        <v>26.91</v>
      </c>
      <c r="AF451" s="157">
        <v>41837</v>
      </c>
      <c r="AG451" s="185">
        <v>4.42</v>
      </c>
      <c r="AH451" s="157">
        <v>41837</v>
      </c>
      <c r="AM451" s="137">
        <v>90</v>
      </c>
      <c r="BM451" s="138">
        <v>60.52</v>
      </c>
      <c r="BN451" s="157">
        <v>41837</v>
      </c>
      <c r="BS451" s="138">
        <v>48.13</v>
      </c>
      <c r="BT451" s="157">
        <v>41837</v>
      </c>
      <c r="BU451" s="138">
        <v>35.4</v>
      </c>
      <c r="BV451" s="157">
        <v>41837</v>
      </c>
      <c r="BW451" s="138">
        <v>14.9</v>
      </c>
      <c r="BX451" s="157">
        <v>41837</v>
      </c>
      <c r="CC451" s="138">
        <v>8.1999999999999993</v>
      </c>
      <c r="CD451" s="157">
        <v>41837</v>
      </c>
    </row>
    <row r="452" spans="1:91">
      <c r="A452" s="159" t="s">
        <v>7773</v>
      </c>
      <c r="B452" s="112" t="s">
        <v>269</v>
      </c>
      <c r="C452" s="112">
        <v>3</v>
      </c>
      <c r="D452" s="112">
        <v>35</v>
      </c>
      <c r="E452" s="113">
        <v>19</v>
      </c>
      <c r="F452" s="113">
        <v>13</v>
      </c>
      <c r="M452" s="185">
        <v>5.94</v>
      </c>
      <c r="N452" s="157">
        <v>41837</v>
      </c>
      <c r="R452" s="185"/>
      <c r="S452" s="137">
        <v>16.059999999999999</v>
      </c>
      <c r="T452" s="157">
        <v>41837</v>
      </c>
      <c r="U452" s="142">
        <v>18</v>
      </c>
      <c r="Y452" s="142">
        <f t="shared" si="7"/>
        <v>12.184400000000004</v>
      </c>
      <c r="Z452" s="157">
        <v>41837</v>
      </c>
      <c r="AE452" s="137">
        <v>33.200000000000003</v>
      </c>
      <c r="AF452" s="157">
        <v>41837</v>
      </c>
      <c r="AG452" s="185">
        <v>4.26</v>
      </c>
      <c r="AH452" s="157">
        <v>41837</v>
      </c>
      <c r="AM452" s="137">
        <v>90</v>
      </c>
      <c r="BM452" s="138">
        <v>60.72</v>
      </c>
      <c r="BN452" s="157">
        <v>41837</v>
      </c>
      <c r="BS452" s="138">
        <v>48.38</v>
      </c>
      <c r="BT452" s="157">
        <v>41837</v>
      </c>
      <c r="BU452" s="138">
        <v>36.700000000000003</v>
      </c>
      <c r="BV452" s="157">
        <v>41837</v>
      </c>
      <c r="BW452" s="138">
        <v>13</v>
      </c>
      <c r="BX452" s="157">
        <v>41837</v>
      </c>
      <c r="CC452" s="138">
        <v>7.7</v>
      </c>
      <c r="CD452" s="157">
        <v>41837</v>
      </c>
    </row>
    <row r="453" spans="1:91">
      <c r="A453" s="159" t="s">
        <v>7707</v>
      </c>
      <c r="B453" s="112" t="s">
        <v>269</v>
      </c>
      <c r="C453" s="112">
        <v>3</v>
      </c>
      <c r="D453" s="112">
        <v>19</v>
      </c>
      <c r="E453" s="113">
        <v>20</v>
      </c>
      <c r="F453" s="113">
        <v>13</v>
      </c>
      <c r="I453" s="200"/>
      <c r="K453" s="142"/>
      <c r="M453" s="185">
        <v>4.5</v>
      </c>
      <c r="N453" s="157">
        <v>41837</v>
      </c>
      <c r="Q453" s="142"/>
      <c r="R453" s="185"/>
      <c r="S453" s="142">
        <v>12.25</v>
      </c>
      <c r="T453" s="157">
        <v>41837</v>
      </c>
      <c r="U453" s="142">
        <v>18</v>
      </c>
      <c r="W453" s="142"/>
      <c r="Y453" s="142">
        <f t="shared" si="7"/>
        <v>9.5290399999999984</v>
      </c>
      <c r="Z453" s="157">
        <v>41837</v>
      </c>
      <c r="AA453" s="142"/>
      <c r="AE453" s="142">
        <v>24.88</v>
      </c>
      <c r="AF453" s="157">
        <v>41837</v>
      </c>
      <c r="AG453" s="185">
        <v>4.58</v>
      </c>
      <c r="AH453" s="157">
        <v>41837</v>
      </c>
      <c r="AK453" s="142"/>
      <c r="AM453" s="142">
        <v>92</v>
      </c>
      <c r="BM453" s="138">
        <v>60.9</v>
      </c>
      <c r="BN453" s="157">
        <v>41837</v>
      </c>
      <c r="BS453" s="138">
        <v>49.25</v>
      </c>
      <c r="BT453" s="157">
        <v>41837</v>
      </c>
      <c r="BU453" s="138">
        <v>38.299999999999997</v>
      </c>
      <c r="BV453" s="157">
        <v>41837</v>
      </c>
      <c r="BW453" s="138">
        <v>13.2</v>
      </c>
      <c r="BX453" s="157">
        <v>41837</v>
      </c>
      <c r="CC453" s="138">
        <v>8.6999999999999993</v>
      </c>
      <c r="CD453" s="157">
        <v>41837</v>
      </c>
    </row>
    <row r="454" spans="1:91">
      <c r="A454" s="159" t="s">
        <v>7621</v>
      </c>
      <c r="B454" s="112" t="s">
        <v>269</v>
      </c>
      <c r="C454" s="112">
        <v>3</v>
      </c>
      <c r="D454" s="112">
        <v>156</v>
      </c>
      <c r="E454" s="113">
        <v>21</v>
      </c>
      <c r="F454" s="113">
        <v>13</v>
      </c>
      <c r="M454" s="185">
        <v>5.7</v>
      </c>
      <c r="N454" s="157">
        <v>41837</v>
      </c>
      <c r="R454" s="185"/>
      <c r="S454" s="137">
        <v>16.350000000000001</v>
      </c>
      <c r="T454" s="157">
        <v>41837</v>
      </c>
      <c r="U454" s="142">
        <v>18</v>
      </c>
      <c r="Y454" s="142">
        <f t="shared" si="7"/>
        <v>12.715999999999999</v>
      </c>
      <c r="Z454" s="157">
        <v>41837</v>
      </c>
      <c r="AE454" s="137">
        <v>31.79</v>
      </c>
      <c r="AF454" s="157">
        <v>41837</v>
      </c>
      <c r="AG454" s="185">
        <v>4.47</v>
      </c>
      <c r="AH454" s="157">
        <v>41837</v>
      </c>
      <c r="AM454" s="137">
        <v>96</v>
      </c>
      <c r="BM454" s="138">
        <v>63.49</v>
      </c>
      <c r="BN454" s="157">
        <v>41837</v>
      </c>
      <c r="BS454" s="138">
        <v>51.42</v>
      </c>
      <c r="BT454" s="157">
        <v>41837</v>
      </c>
      <c r="BU454" s="138">
        <v>40</v>
      </c>
      <c r="BV454" s="157">
        <v>41837</v>
      </c>
      <c r="BW454" s="138">
        <v>56.3</v>
      </c>
      <c r="BX454" s="157">
        <v>41837</v>
      </c>
      <c r="CC454" s="138">
        <v>7.9</v>
      </c>
      <c r="CD454" s="157">
        <v>41837</v>
      </c>
    </row>
    <row r="455" spans="1:91">
      <c r="A455" s="159" t="s">
        <v>7674</v>
      </c>
      <c r="B455" s="112" t="s">
        <v>269</v>
      </c>
      <c r="C455" s="112">
        <v>3</v>
      </c>
      <c r="D455" s="112">
        <v>25</v>
      </c>
      <c r="E455" s="113">
        <v>22</v>
      </c>
      <c r="F455" s="113">
        <v>13</v>
      </c>
      <c r="M455" s="185">
        <v>5.19</v>
      </c>
      <c r="N455" s="157">
        <v>41837</v>
      </c>
      <c r="R455" s="185"/>
      <c r="S455" s="137">
        <v>14.2</v>
      </c>
      <c r="T455" s="157">
        <v>41837</v>
      </c>
      <c r="U455" s="142">
        <v>18</v>
      </c>
      <c r="Y455" s="142">
        <f t="shared" si="7"/>
        <v>11.081820000000002</v>
      </c>
      <c r="Z455" s="157">
        <v>41837</v>
      </c>
      <c r="AE455" s="137">
        <v>29.01</v>
      </c>
      <c r="AF455" s="157">
        <v>41837</v>
      </c>
      <c r="AG455" s="185">
        <v>4.46</v>
      </c>
      <c r="AH455" s="157">
        <v>41837</v>
      </c>
      <c r="AM455" s="137">
        <v>96</v>
      </c>
      <c r="BM455" s="138">
        <v>60.4</v>
      </c>
      <c r="BN455" s="157">
        <v>41837</v>
      </c>
      <c r="BS455" s="138">
        <v>48.94</v>
      </c>
      <c r="BT455" s="157">
        <v>41837</v>
      </c>
      <c r="BU455" s="138">
        <v>38.200000000000003</v>
      </c>
      <c r="BV455" s="157">
        <v>41837</v>
      </c>
      <c r="BW455" s="138">
        <v>25.9</v>
      </c>
      <c r="BX455" s="157">
        <v>41837</v>
      </c>
      <c r="CC455" s="138">
        <v>7.7</v>
      </c>
      <c r="CD455" s="157">
        <v>41837</v>
      </c>
    </row>
    <row r="456" spans="1:91">
      <c r="A456" s="159" t="s">
        <v>7744</v>
      </c>
      <c r="B456" s="112" t="s">
        <v>269</v>
      </c>
      <c r="C456" s="112">
        <v>3</v>
      </c>
      <c r="D456" s="112">
        <v>57</v>
      </c>
      <c r="E456" s="113">
        <v>23</v>
      </c>
      <c r="F456" s="113">
        <v>13</v>
      </c>
      <c r="M456" s="185">
        <v>2.2400000000000002</v>
      </c>
      <c r="N456" s="157">
        <v>41837</v>
      </c>
      <c r="R456" s="185"/>
      <c r="S456" s="137">
        <v>5.97</v>
      </c>
      <c r="T456" s="157">
        <v>41837</v>
      </c>
      <c r="U456" s="142">
        <v>18</v>
      </c>
      <c r="Y456" s="142">
        <f t="shared" si="7"/>
        <v>4.8771599999999999</v>
      </c>
      <c r="Z456" s="157">
        <v>41837</v>
      </c>
      <c r="AE456" s="137">
        <v>12.57</v>
      </c>
      <c r="AF456" s="157">
        <v>41837</v>
      </c>
      <c r="AG456" s="185">
        <v>3.97</v>
      </c>
      <c r="AH456" s="157">
        <v>41837</v>
      </c>
      <c r="AM456" s="137">
        <v>92</v>
      </c>
      <c r="BM456" s="138">
        <v>62.12</v>
      </c>
      <c r="BN456" s="157">
        <v>41837</v>
      </c>
      <c r="BS456" s="138">
        <v>47.5</v>
      </c>
      <c r="BT456" s="157">
        <v>41837</v>
      </c>
      <c r="BU456" s="138">
        <v>38.799999999999997</v>
      </c>
      <c r="BV456" s="157">
        <v>41837</v>
      </c>
      <c r="BW456" s="138">
        <v>43</v>
      </c>
      <c r="BX456" s="157">
        <v>41837</v>
      </c>
      <c r="CC456" s="138">
        <v>7.3</v>
      </c>
      <c r="CD456" s="157">
        <v>41837</v>
      </c>
    </row>
    <row r="457" spans="1:91">
      <c r="A457" s="159" t="s">
        <v>7739</v>
      </c>
      <c r="B457" s="112" t="s">
        <v>269</v>
      </c>
      <c r="C457" s="112">
        <v>3</v>
      </c>
      <c r="D457" s="112">
        <v>29</v>
      </c>
      <c r="E457" s="113">
        <v>24</v>
      </c>
      <c r="F457" s="113">
        <v>13</v>
      </c>
      <c r="M457" s="185">
        <v>4.66</v>
      </c>
      <c r="N457" s="157">
        <v>41837</v>
      </c>
      <c r="R457" s="185"/>
      <c r="S457" s="137">
        <v>12.53</v>
      </c>
      <c r="T457" s="157">
        <v>41837</v>
      </c>
      <c r="U457" s="142">
        <v>18</v>
      </c>
      <c r="Y457" s="142">
        <f t="shared" si="7"/>
        <v>9.9379199999999983</v>
      </c>
      <c r="Z457" s="157">
        <v>41837</v>
      </c>
      <c r="AE457" s="137">
        <v>25.88</v>
      </c>
      <c r="AF457" s="157">
        <v>41837</v>
      </c>
      <c r="AG457" s="185">
        <v>4.3099999999999996</v>
      </c>
      <c r="AH457" s="157">
        <v>41837</v>
      </c>
      <c r="AM457" s="137">
        <v>92</v>
      </c>
      <c r="BM457" s="138">
        <v>58.44</v>
      </c>
      <c r="BN457" s="157">
        <v>41837</v>
      </c>
      <c r="BS457" s="138">
        <v>48.43</v>
      </c>
      <c r="BT457" s="157">
        <v>41837</v>
      </c>
      <c r="BU457" s="138">
        <v>38.4</v>
      </c>
      <c r="BV457" s="157">
        <v>41837</v>
      </c>
      <c r="BW457" s="138">
        <v>20.2</v>
      </c>
      <c r="BX457" s="157">
        <v>41837</v>
      </c>
      <c r="CC457" s="138">
        <v>8.3000000000000007</v>
      </c>
      <c r="CD457" s="157">
        <v>41837</v>
      </c>
    </row>
    <row r="458" spans="1:91">
      <c r="A458" s="159" t="s">
        <v>7725</v>
      </c>
      <c r="B458" s="112" t="s">
        <v>269</v>
      </c>
      <c r="C458" s="112">
        <v>3</v>
      </c>
      <c r="D458" s="112">
        <v>205</v>
      </c>
      <c r="E458" s="113">
        <v>25</v>
      </c>
      <c r="F458" s="113">
        <v>13</v>
      </c>
      <c r="M458" s="185">
        <v>4.67</v>
      </c>
      <c r="N458" s="157">
        <v>41837</v>
      </c>
      <c r="R458" s="185"/>
      <c r="S458" s="137">
        <v>13.07</v>
      </c>
      <c r="T458" s="157">
        <v>41837</v>
      </c>
      <c r="U458" s="142">
        <v>18</v>
      </c>
      <c r="Y458" s="142">
        <f t="shared" si="7"/>
        <v>9.7835199999999993</v>
      </c>
      <c r="Z458" s="157">
        <v>41837</v>
      </c>
      <c r="AE458" s="137">
        <v>26.02</v>
      </c>
      <c r="AF458" s="157">
        <v>41837</v>
      </c>
      <c r="AG458" s="185">
        <v>4.7300000000000004</v>
      </c>
      <c r="AH458" s="157">
        <v>41837</v>
      </c>
      <c r="AM458" s="137">
        <v>92</v>
      </c>
      <c r="BM458" s="138">
        <v>61.64</v>
      </c>
      <c r="BN458" s="157">
        <v>41837</v>
      </c>
      <c r="BS458" s="138">
        <v>50.24</v>
      </c>
      <c r="BT458" s="157">
        <v>41837</v>
      </c>
      <c r="BU458" s="138">
        <v>37.6</v>
      </c>
      <c r="BV458" s="157">
        <v>41837</v>
      </c>
      <c r="BW458" s="138">
        <v>20.6</v>
      </c>
      <c r="BX458" s="157">
        <v>41837</v>
      </c>
      <c r="CC458" s="138">
        <v>8</v>
      </c>
      <c r="CD458" s="157">
        <v>41837</v>
      </c>
    </row>
    <row r="459" spans="1:91">
      <c r="A459" s="159" t="s">
        <v>7799</v>
      </c>
      <c r="B459" s="112" t="s">
        <v>269</v>
      </c>
      <c r="C459" s="112">
        <v>3</v>
      </c>
      <c r="D459" s="112">
        <v>62</v>
      </c>
      <c r="E459" s="113">
        <v>26</v>
      </c>
      <c r="F459" s="113">
        <v>13</v>
      </c>
      <c r="M459" s="185">
        <v>5.45</v>
      </c>
      <c r="N459" s="157">
        <v>41837</v>
      </c>
      <c r="R459" s="185"/>
      <c r="S459" s="137">
        <v>15.39</v>
      </c>
      <c r="T459" s="157">
        <v>41837</v>
      </c>
      <c r="U459" s="142">
        <v>18</v>
      </c>
      <c r="Y459" s="142">
        <f t="shared" si="7"/>
        <v>11.87617</v>
      </c>
      <c r="Z459" s="157">
        <v>41837</v>
      </c>
      <c r="AE459" s="137">
        <v>30.53</v>
      </c>
      <c r="AF459" s="157">
        <v>41837</v>
      </c>
      <c r="AG459" s="185">
        <v>4.3099999999999996</v>
      </c>
      <c r="AH459" s="157">
        <v>41837</v>
      </c>
      <c r="AM459" s="137">
        <v>94</v>
      </c>
      <c r="BM459" s="138">
        <v>60.53</v>
      </c>
      <c r="BN459" s="157">
        <v>41837</v>
      </c>
      <c r="BS459" s="138">
        <v>50.42</v>
      </c>
      <c r="BT459" s="157">
        <v>41837</v>
      </c>
      <c r="BU459" s="138">
        <v>38.9</v>
      </c>
      <c r="BV459" s="157">
        <v>41837</v>
      </c>
      <c r="BW459" s="138">
        <v>15.7</v>
      </c>
      <c r="BX459" s="157">
        <v>41837</v>
      </c>
      <c r="CC459" s="138">
        <v>7.5</v>
      </c>
      <c r="CD459" s="157">
        <v>41837</v>
      </c>
    </row>
    <row r="460" spans="1:91">
      <c r="A460" s="159" t="s">
        <v>7791</v>
      </c>
      <c r="B460" s="112" t="s">
        <v>269</v>
      </c>
      <c r="C460" s="112">
        <v>3</v>
      </c>
      <c r="D460" s="112">
        <v>93</v>
      </c>
      <c r="E460" s="113">
        <v>27</v>
      </c>
      <c r="F460" s="113">
        <v>13</v>
      </c>
      <c r="M460" s="185">
        <v>6.21</v>
      </c>
      <c r="N460" s="157">
        <v>41837</v>
      </c>
      <c r="R460" s="185"/>
      <c r="S460" s="137">
        <v>17.13</v>
      </c>
      <c r="T460" s="157">
        <v>41837</v>
      </c>
      <c r="U460" s="142">
        <v>18</v>
      </c>
      <c r="Y460" s="142">
        <f t="shared" si="7"/>
        <v>13.68426</v>
      </c>
      <c r="Z460" s="157">
        <v>41837</v>
      </c>
      <c r="AE460" s="137">
        <v>34.82</v>
      </c>
      <c r="AF460" s="157">
        <v>41837</v>
      </c>
      <c r="AG460" s="185">
        <v>5.37</v>
      </c>
      <c r="AH460" s="157">
        <v>41837</v>
      </c>
      <c r="AM460" s="137">
        <v>90</v>
      </c>
      <c r="BM460" s="138">
        <v>61.26</v>
      </c>
      <c r="BN460" s="157">
        <v>41837</v>
      </c>
      <c r="BS460" s="138">
        <v>49.2</v>
      </c>
      <c r="BT460" s="157">
        <v>41837</v>
      </c>
      <c r="BU460" s="138">
        <v>39.299999999999997</v>
      </c>
      <c r="BV460" s="157">
        <v>41837</v>
      </c>
      <c r="BW460" s="138">
        <v>12.5</v>
      </c>
      <c r="BX460" s="157">
        <v>41837</v>
      </c>
      <c r="CC460" s="138">
        <v>7.4</v>
      </c>
      <c r="CD460" s="157">
        <v>41837</v>
      </c>
    </row>
    <row r="461" spans="1:91">
      <c r="A461" s="159" t="s">
        <v>7644</v>
      </c>
      <c r="B461" s="112" t="s">
        <v>269</v>
      </c>
      <c r="C461" s="112">
        <v>3</v>
      </c>
      <c r="D461" s="112">
        <v>22</v>
      </c>
      <c r="E461" s="113">
        <v>28</v>
      </c>
      <c r="F461" s="113">
        <v>13</v>
      </c>
      <c r="I461" s="200"/>
      <c r="K461" s="142"/>
      <c r="M461" s="185">
        <v>3.49</v>
      </c>
      <c r="N461" s="157">
        <v>41837</v>
      </c>
      <c r="Q461" s="142"/>
      <c r="R461" s="185"/>
      <c r="S461" s="142">
        <v>9.33</v>
      </c>
      <c r="T461" s="157">
        <v>41837</v>
      </c>
      <c r="U461" s="142">
        <v>18</v>
      </c>
      <c r="W461" s="142"/>
      <c r="Y461" s="142">
        <f t="shared" si="7"/>
        <v>8.2065600000000014</v>
      </c>
      <c r="Z461" s="157">
        <v>41837</v>
      </c>
      <c r="AA461" s="142"/>
      <c r="AE461" s="142">
        <v>19.68</v>
      </c>
      <c r="AF461" s="157">
        <v>41837</v>
      </c>
      <c r="AG461" s="185">
        <v>5.46</v>
      </c>
      <c r="AH461" s="157">
        <v>41837</v>
      </c>
      <c r="AK461" s="142"/>
      <c r="AM461" s="142">
        <v>92</v>
      </c>
      <c r="BM461" s="138">
        <v>57.52</v>
      </c>
      <c r="BN461" s="157">
        <v>41837</v>
      </c>
      <c r="BS461" s="138">
        <v>47.43</v>
      </c>
      <c r="BT461" s="157">
        <v>41837</v>
      </c>
      <c r="BU461" s="138">
        <v>41.7</v>
      </c>
      <c r="BV461" s="157">
        <v>41837</v>
      </c>
      <c r="BW461" s="138">
        <v>54.3</v>
      </c>
      <c r="BX461" s="157">
        <v>41837</v>
      </c>
      <c r="CC461" s="138">
        <v>6.9</v>
      </c>
      <c r="CD461" s="157">
        <v>41837</v>
      </c>
    </row>
    <row r="462" spans="1:91">
      <c r="A462" s="159" t="s">
        <v>7751</v>
      </c>
      <c r="B462" s="112" t="s">
        <v>269</v>
      </c>
      <c r="C462" s="112">
        <v>3</v>
      </c>
      <c r="D462" s="112">
        <v>77</v>
      </c>
      <c r="E462" s="113">
        <v>29</v>
      </c>
      <c r="F462" s="113">
        <v>13</v>
      </c>
      <c r="M462" s="185">
        <v>3.21</v>
      </c>
      <c r="N462" s="157">
        <v>41837</v>
      </c>
      <c r="R462" s="185"/>
      <c r="S462" s="137">
        <v>8.48</v>
      </c>
      <c r="T462" s="157">
        <v>41837</v>
      </c>
      <c r="U462" s="142">
        <v>18</v>
      </c>
      <c r="Y462" s="142">
        <f t="shared" si="7"/>
        <v>7.125799999999999</v>
      </c>
      <c r="Z462" s="157">
        <v>41837</v>
      </c>
      <c r="AE462" s="137">
        <v>18.04</v>
      </c>
      <c r="AF462" s="157">
        <v>41837</v>
      </c>
      <c r="AG462" s="185">
        <v>4.87</v>
      </c>
      <c r="AH462" s="157">
        <v>41837</v>
      </c>
      <c r="AM462" s="137">
        <v>92</v>
      </c>
      <c r="BM462" s="138">
        <v>61.87</v>
      </c>
      <c r="BN462" s="157">
        <v>41837</v>
      </c>
      <c r="BS462" s="138">
        <v>47.03</v>
      </c>
      <c r="BT462" s="157">
        <v>41837</v>
      </c>
      <c r="BU462" s="138">
        <v>39.5</v>
      </c>
      <c r="BV462" s="157">
        <v>41837</v>
      </c>
      <c r="BW462" s="138">
        <v>55.6</v>
      </c>
      <c r="BX462" s="157">
        <v>41837</v>
      </c>
      <c r="CC462" s="138">
        <v>7.2</v>
      </c>
      <c r="CD462" s="157">
        <v>41837</v>
      </c>
    </row>
    <row r="463" spans="1:91">
      <c r="A463" s="189" t="s">
        <v>7663</v>
      </c>
      <c r="B463" s="190" t="s">
        <v>269</v>
      </c>
      <c r="C463" s="190">
        <v>3</v>
      </c>
      <c r="D463" s="190">
        <v>135</v>
      </c>
      <c r="E463" s="191">
        <v>30</v>
      </c>
      <c r="F463" s="191">
        <v>13</v>
      </c>
      <c r="G463" s="191"/>
      <c r="H463" s="191"/>
      <c r="I463" s="190"/>
      <c r="J463" s="190"/>
      <c r="K463" s="195"/>
      <c r="L463" s="193"/>
      <c r="M463" s="194">
        <v>5.0599999999999996</v>
      </c>
      <c r="N463" s="193">
        <v>41837</v>
      </c>
      <c r="P463" s="193"/>
      <c r="Q463" s="195"/>
      <c r="R463" s="194"/>
      <c r="S463" s="195">
        <v>14.12</v>
      </c>
      <c r="T463" s="193">
        <v>41837</v>
      </c>
      <c r="U463" s="192">
        <v>18</v>
      </c>
      <c r="V463" s="193"/>
      <c r="W463" s="195"/>
      <c r="X463" s="193"/>
      <c r="Y463" s="192">
        <f t="shared" si="7"/>
        <v>11.143500000000001</v>
      </c>
      <c r="Z463" s="193">
        <v>41837</v>
      </c>
      <c r="AA463" s="195"/>
      <c r="AB463" s="193"/>
      <c r="AC463" s="195"/>
      <c r="AD463" s="193"/>
      <c r="AE463" s="195">
        <v>28.5</v>
      </c>
      <c r="AF463" s="193">
        <v>41837</v>
      </c>
      <c r="AG463" s="194">
        <v>4.54</v>
      </c>
      <c r="AH463" s="193">
        <v>41837</v>
      </c>
      <c r="AI463" s="193"/>
      <c r="AJ463" s="193"/>
      <c r="AK463" s="195"/>
      <c r="AL463" s="193"/>
      <c r="AM463" s="195">
        <v>92</v>
      </c>
      <c r="AN463" s="193"/>
      <c r="AO463" s="195"/>
      <c r="AP463" s="195"/>
      <c r="AQ463" s="195"/>
      <c r="AR463" s="195"/>
      <c r="AS463" s="195"/>
      <c r="AT463" s="195"/>
      <c r="AU463" s="195"/>
      <c r="AV463" s="195"/>
      <c r="AW463" s="195"/>
      <c r="AX463" s="195"/>
      <c r="AY463" s="195"/>
      <c r="AZ463" s="195"/>
      <c r="BA463" s="195"/>
      <c r="BB463" s="195"/>
      <c r="BC463" s="195"/>
      <c r="BD463" s="195"/>
      <c r="BE463" s="196"/>
      <c r="BF463" s="196"/>
      <c r="BG463" s="196"/>
      <c r="BH463" s="196"/>
      <c r="BI463" s="196"/>
      <c r="BJ463" s="196"/>
      <c r="BK463" s="196"/>
      <c r="BL463" s="196"/>
      <c r="BM463" s="196">
        <v>61.3</v>
      </c>
      <c r="BN463" s="193">
        <v>41837</v>
      </c>
      <c r="BO463" s="196"/>
      <c r="BP463" s="196"/>
      <c r="BQ463" s="196"/>
      <c r="BR463" s="196"/>
      <c r="BS463" s="196">
        <v>49.53</v>
      </c>
      <c r="BT463" s="193">
        <v>41837</v>
      </c>
      <c r="BU463" s="196">
        <v>39.1</v>
      </c>
      <c r="BV463" s="193">
        <v>41837</v>
      </c>
      <c r="BW463" s="196">
        <v>42.9</v>
      </c>
      <c r="BX463" s="193">
        <v>41837</v>
      </c>
      <c r="BY463" s="196"/>
      <c r="BZ463" s="196"/>
      <c r="CA463" s="196"/>
      <c r="CB463" s="196"/>
      <c r="CC463" s="196">
        <v>7</v>
      </c>
      <c r="CD463" s="193">
        <v>41837</v>
      </c>
      <c r="CE463" s="196"/>
      <c r="CF463" s="196"/>
      <c r="CG463" s="196"/>
      <c r="CH463" s="196"/>
      <c r="CI463" s="196"/>
      <c r="CJ463" s="196"/>
      <c r="CK463" s="196"/>
      <c r="CL463" s="196"/>
      <c r="CM463" s="196"/>
    </row>
    <row r="464" spans="1:91">
      <c r="A464" s="159" t="s">
        <v>7758</v>
      </c>
      <c r="B464" s="112" t="s">
        <v>269</v>
      </c>
      <c r="C464" s="112">
        <v>3</v>
      </c>
      <c r="D464" s="112">
        <v>69</v>
      </c>
      <c r="E464" s="113">
        <v>31</v>
      </c>
      <c r="F464" s="113">
        <v>13</v>
      </c>
      <c r="M464" s="185">
        <v>5.64</v>
      </c>
      <c r="N464" s="157">
        <v>41837</v>
      </c>
      <c r="R464" s="185"/>
      <c r="S464" s="137">
        <v>15.56</v>
      </c>
      <c r="T464" s="157">
        <v>41837</v>
      </c>
      <c r="U464" s="142">
        <v>18</v>
      </c>
      <c r="Y464" s="142">
        <f t="shared" si="7"/>
        <v>12.513440000000001</v>
      </c>
      <c r="Z464" s="157">
        <v>41837</v>
      </c>
      <c r="AE464" s="137">
        <v>31.76</v>
      </c>
      <c r="AF464" s="157">
        <v>41837</v>
      </c>
      <c r="AG464" s="185">
        <v>4.34</v>
      </c>
      <c r="AH464" s="157">
        <v>41837</v>
      </c>
      <c r="AM464" s="137">
        <v>90</v>
      </c>
      <c r="BM464" s="138">
        <v>60.51</v>
      </c>
      <c r="BN464" s="157">
        <v>41837</v>
      </c>
      <c r="BS464" s="138">
        <v>48.99</v>
      </c>
      <c r="BT464" s="157">
        <v>41837</v>
      </c>
      <c r="BU464" s="138">
        <v>39.4</v>
      </c>
      <c r="BV464" s="157">
        <v>41837</v>
      </c>
      <c r="BW464" s="138">
        <v>20.8</v>
      </c>
      <c r="BX464" s="157">
        <v>41837</v>
      </c>
      <c r="CC464" s="138">
        <v>7</v>
      </c>
      <c r="CD464" s="157">
        <v>41837</v>
      </c>
    </row>
    <row r="465" spans="1:91">
      <c r="A465" s="159" t="s">
        <v>7671</v>
      </c>
      <c r="B465" s="112" t="s">
        <v>269</v>
      </c>
      <c r="C465" s="112">
        <v>3</v>
      </c>
      <c r="D465" s="112">
        <v>27</v>
      </c>
      <c r="E465" s="113">
        <v>32</v>
      </c>
      <c r="F465" s="113">
        <v>13</v>
      </c>
      <c r="M465" s="185">
        <v>4.4800000000000004</v>
      </c>
      <c r="N465" s="157">
        <v>41837</v>
      </c>
      <c r="R465" s="185"/>
      <c r="S465" s="137">
        <v>12.13</v>
      </c>
      <c r="T465" s="157">
        <v>41837</v>
      </c>
      <c r="U465" s="142">
        <v>18</v>
      </c>
      <c r="Y465" s="142">
        <f t="shared" si="7"/>
        <v>9.7446599999999997</v>
      </c>
      <c r="Z465" s="157">
        <v>41837</v>
      </c>
      <c r="AE465" s="137">
        <v>25.18</v>
      </c>
      <c r="AF465" s="157">
        <v>41837</v>
      </c>
      <c r="AG465" s="185">
        <v>4.4400000000000004</v>
      </c>
      <c r="AH465" s="157">
        <v>41837</v>
      </c>
      <c r="AM465" s="137">
        <v>96</v>
      </c>
      <c r="BM465" s="138">
        <v>61.81</v>
      </c>
      <c r="BN465" s="157">
        <v>41837</v>
      </c>
      <c r="BS465" s="138">
        <v>48.17</v>
      </c>
      <c r="BT465" s="157">
        <v>41837</v>
      </c>
      <c r="BU465" s="138">
        <v>38.700000000000003</v>
      </c>
      <c r="BV465" s="157">
        <v>41837</v>
      </c>
      <c r="BW465" s="138">
        <v>28.2</v>
      </c>
      <c r="BX465" s="157">
        <v>41837</v>
      </c>
      <c r="CC465" s="138">
        <v>7.2</v>
      </c>
      <c r="CD465" s="157">
        <v>41837</v>
      </c>
    </row>
    <row r="466" spans="1:91">
      <c r="A466" s="159" t="s">
        <v>7636</v>
      </c>
      <c r="B466" s="112" t="s">
        <v>269</v>
      </c>
      <c r="C466" s="112">
        <v>3</v>
      </c>
      <c r="D466" s="112">
        <v>129</v>
      </c>
      <c r="E466" s="113">
        <v>33</v>
      </c>
      <c r="F466" s="113">
        <v>13</v>
      </c>
      <c r="M466" s="185">
        <v>3.71</v>
      </c>
      <c r="N466" s="157">
        <v>41837</v>
      </c>
      <c r="R466" s="185"/>
      <c r="S466" s="137">
        <v>9.64</v>
      </c>
      <c r="T466" s="157">
        <v>41837</v>
      </c>
      <c r="U466" s="142">
        <v>18</v>
      </c>
      <c r="Y466" s="142">
        <f t="shared" si="7"/>
        <v>7.9496000000000002</v>
      </c>
      <c r="Z466" s="157">
        <v>41837</v>
      </c>
      <c r="AE466" s="137">
        <v>20.92</v>
      </c>
      <c r="AF466" s="157">
        <v>41837</v>
      </c>
      <c r="AG466" s="185">
        <v>4.54</v>
      </c>
      <c r="AH466" s="157">
        <v>41837</v>
      </c>
      <c r="AM466" s="137">
        <v>90</v>
      </c>
      <c r="BM466" s="138">
        <v>60.88</v>
      </c>
      <c r="BN466" s="157">
        <v>41837</v>
      </c>
      <c r="BS466" s="138">
        <v>46.06</v>
      </c>
      <c r="BT466" s="157">
        <v>41837</v>
      </c>
      <c r="BU466" s="138">
        <v>38</v>
      </c>
      <c r="BV466" s="157">
        <v>41837</v>
      </c>
      <c r="BW466" s="138">
        <v>54.3</v>
      </c>
      <c r="BX466" s="157">
        <v>41837</v>
      </c>
      <c r="CC466" s="138">
        <v>6.9</v>
      </c>
      <c r="CD466" s="157">
        <v>41837</v>
      </c>
    </row>
    <row r="467" spans="1:91">
      <c r="A467" s="159" t="s">
        <v>7750</v>
      </c>
      <c r="B467" s="112" t="s">
        <v>269</v>
      </c>
      <c r="C467" s="112">
        <v>3</v>
      </c>
      <c r="D467" s="112">
        <v>68</v>
      </c>
      <c r="E467" s="113">
        <v>34</v>
      </c>
      <c r="F467" s="113">
        <v>13</v>
      </c>
      <c r="M467" s="185">
        <v>2.31</v>
      </c>
      <c r="N467" s="157">
        <v>41837</v>
      </c>
      <c r="R467" s="185"/>
      <c r="S467" s="137">
        <v>6.4</v>
      </c>
      <c r="T467" s="157">
        <v>41837</v>
      </c>
      <c r="U467" s="142">
        <v>18</v>
      </c>
      <c r="Y467" s="142">
        <f t="shared" si="7"/>
        <v>5.0643200000000004</v>
      </c>
      <c r="Z467" s="157">
        <v>41837</v>
      </c>
      <c r="AE467" s="137">
        <v>13.12</v>
      </c>
      <c r="AF467" s="157">
        <v>41837</v>
      </c>
      <c r="AG467" s="185">
        <v>4.3</v>
      </c>
      <c r="AH467" s="157">
        <v>41837</v>
      </c>
      <c r="AM467" s="137">
        <v>85</v>
      </c>
      <c r="BM467" s="138">
        <v>60.15</v>
      </c>
      <c r="BN467" s="157">
        <v>41837</v>
      </c>
      <c r="BS467" s="138">
        <v>48.75</v>
      </c>
      <c r="BT467" s="157">
        <v>41837</v>
      </c>
      <c r="BU467" s="138">
        <v>38.6</v>
      </c>
      <c r="BV467" s="157">
        <v>41837</v>
      </c>
      <c r="BW467" s="138">
        <v>58.3</v>
      </c>
      <c r="BX467" s="157">
        <v>41837</v>
      </c>
      <c r="CC467" s="138">
        <v>6.2</v>
      </c>
      <c r="CD467" s="157">
        <v>41837</v>
      </c>
    </row>
    <row r="468" spans="1:91">
      <c r="A468" s="159" t="s">
        <v>7749</v>
      </c>
      <c r="B468" s="112" t="s">
        <v>269</v>
      </c>
      <c r="C468" s="112">
        <v>3</v>
      </c>
      <c r="D468" s="112">
        <v>115</v>
      </c>
      <c r="E468" s="113">
        <v>35</v>
      </c>
      <c r="F468" s="113">
        <v>13</v>
      </c>
      <c r="M468" s="185">
        <v>2.87</v>
      </c>
      <c r="N468" s="157">
        <v>41837</v>
      </c>
      <c r="R468" s="185"/>
      <c r="S468" s="137">
        <v>7.5</v>
      </c>
      <c r="T468" s="157">
        <v>41837</v>
      </c>
      <c r="U468" s="142">
        <v>18</v>
      </c>
      <c r="Y468" s="142">
        <f t="shared" si="7"/>
        <v>6.8822099999999988</v>
      </c>
      <c r="Z468" s="157">
        <v>41837</v>
      </c>
      <c r="AE468" s="137">
        <v>16.27</v>
      </c>
      <c r="AF468" s="157">
        <v>41837</v>
      </c>
      <c r="AG468" s="185">
        <v>4.21</v>
      </c>
      <c r="AH468" s="157">
        <v>41837</v>
      </c>
      <c r="AM468" s="137">
        <v>96</v>
      </c>
      <c r="BM468" s="138">
        <v>63.3</v>
      </c>
      <c r="BN468" s="157">
        <v>41837</v>
      </c>
      <c r="BS468" s="138">
        <v>46.11</v>
      </c>
      <c r="BT468" s="157">
        <v>41837</v>
      </c>
      <c r="BU468" s="138">
        <v>42.3</v>
      </c>
      <c r="BV468" s="157">
        <v>41837</v>
      </c>
      <c r="BW468" s="138">
        <v>71.8</v>
      </c>
      <c r="BX468" s="157">
        <v>41837</v>
      </c>
      <c r="CC468" s="138">
        <v>6.4</v>
      </c>
      <c r="CD468" s="157">
        <v>41837</v>
      </c>
    </row>
    <row r="469" spans="1:91">
      <c r="A469" s="159" t="s">
        <v>7755</v>
      </c>
      <c r="B469" s="112" t="s">
        <v>269</v>
      </c>
      <c r="C469" s="112">
        <v>3</v>
      </c>
      <c r="D469" s="112">
        <v>161</v>
      </c>
      <c r="E469" s="113">
        <v>36</v>
      </c>
      <c r="F469" s="113">
        <v>13</v>
      </c>
      <c r="M469" s="185">
        <v>2.19</v>
      </c>
      <c r="N469" s="157">
        <v>41837</v>
      </c>
      <c r="R469" s="185"/>
      <c r="S469" s="137">
        <v>5.86</v>
      </c>
      <c r="T469" s="157">
        <v>41837</v>
      </c>
      <c r="U469" s="142">
        <v>18</v>
      </c>
      <c r="Y469" s="142">
        <f t="shared" si="7"/>
        <v>4.9192799999999997</v>
      </c>
      <c r="Z469" s="157">
        <v>41837</v>
      </c>
      <c r="AE469" s="137">
        <v>12.36</v>
      </c>
      <c r="AF469" s="157">
        <v>41837</v>
      </c>
      <c r="AG469" s="185">
        <v>4.7300000000000004</v>
      </c>
      <c r="AH469" s="157">
        <v>41837</v>
      </c>
      <c r="AM469" s="137">
        <v>94</v>
      </c>
      <c r="BM469" s="138">
        <v>60.82</v>
      </c>
      <c r="BN469" s="157">
        <v>41837</v>
      </c>
      <c r="BS469" s="138">
        <v>47.44</v>
      </c>
      <c r="BT469" s="157">
        <v>41837</v>
      </c>
      <c r="BU469" s="138">
        <v>39.799999999999997</v>
      </c>
      <c r="BV469" s="157">
        <v>41837</v>
      </c>
      <c r="BW469" s="138">
        <v>63.2</v>
      </c>
      <c r="BX469" s="157">
        <v>41837</v>
      </c>
      <c r="CC469" s="138">
        <v>6.8</v>
      </c>
      <c r="CD469" s="157">
        <v>41837</v>
      </c>
    </row>
    <row r="470" spans="1:91">
      <c r="A470" s="159" t="s">
        <v>7664</v>
      </c>
      <c r="B470" s="112" t="s">
        <v>269</v>
      </c>
      <c r="C470" s="112">
        <v>3</v>
      </c>
      <c r="D470" s="112">
        <v>98</v>
      </c>
      <c r="E470" s="113">
        <v>1</v>
      </c>
      <c r="F470" s="113">
        <v>14</v>
      </c>
      <c r="M470" s="185">
        <v>7.67</v>
      </c>
      <c r="N470" s="157">
        <v>41837</v>
      </c>
      <c r="R470" s="185"/>
      <c r="S470" s="137">
        <v>19.670000000000002</v>
      </c>
      <c r="T470" s="157">
        <v>41837</v>
      </c>
      <c r="U470" s="142">
        <v>18</v>
      </c>
      <c r="Y470" s="142">
        <f t="shared" si="7"/>
        <v>14.559479999999999</v>
      </c>
      <c r="Z470" s="157">
        <v>41837</v>
      </c>
      <c r="AE470" s="137">
        <v>41.48</v>
      </c>
      <c r="AF470" s="157">
        <v>41837</v>
      </c>
      <c r="AG470" s="185">
        <v>4.25</v>
      </c>
      <c r="AH470" s="157">
        <v>41837</v>
      </c>
      <c r="AM470" s="137">
        <v>92</v>
      </c>
      <c r="BM470" s="138">
        <v>62.51</v>
      </c>
      <c r="BN470" s="157">
        <v>41837</v>
      </c>
      <c r="BS470" s="138">
        <v>47.41</v>
      </c>
      <c r="BT470" s="157">
        <v>41837</v>
      </c>
      <c r="BU470" s="138">
        <v>35.1</v>
      </c>
      <c r="BV470" s="157">
        <v>41837</v>
      </c>
      <c r="BW470" s="138">
        <v>11.8</v>
      </c>
      <c r="BX470" s="157">
        <v>41837</v>
      </c>
      <c r="CC470" s="138">
        <v>10.7</v>
      </c>
      <c r="CD470" s="157">
        <v>41837</v>
      </c>
    </row>
    <row r="471" spans="1:91">
      <c r="A471" s="159" t="s">
        <v>7735</v>
      </c>
      <c r="B471" s="112" t="s">
        <v>269</v>
      </c>
      <c r="C471" s="112">
        <v>3</v>
      </c>
      <c r="D471" s="112">
        <v>191</v>
      </c>
      <c r="E471" s="113">
        <v>2</v>
      </c>
      <c r="F471" s="113">
        <v>14</v>
      </c>
      <c r="M471" s="185">
        <v>4.82</v>
      </c>
      <c r="N471" s="157">
        <v>41837</v>
      </c>
      <c r="R471" s="185"/>
      <c r="S471" s="137">
        <v>12.91</v>
      </c>
      <c r="T471" s="157">
        <v>41837</v>
      </c>
      <c r="U471" s="142">
        <v>18</v>
      </c>
      <c r="Y471" s="142">
        <f t="shared" si="7"/>
        <v>9.8211200000000005</v>
      </c>
      <c r="Z471" s="157">
        <v>41837</v>
      </c>
      <c r="AE471" s="137">
        <v>26.12</v>
      </c>
      <c r="AF471" s="157">
        <v>41837</v>
      </c>
      <c r="AG471" s="185">
        <v>4.6500000000000004</v>
      </c>
      <c r="AH471" s="157">
        <v>41837</v>
      </c>
      <c r="AM471" s="137">
        <v>87</v>
      </c>
      <c r="BM471" s="138">
        <v>60.29</v>
      </c>
      <c r="BN471" s="157">
        <v>41837</v>
      </c>
      <c r="BS471" s="138">
        <v>49.43</v>
      </c>
      <c r="BT471" s="157">
        <v>41837</v>
      </c>
      <c r="BU471" s="138">
        <v>37.6</v>
      </c>
      <c r="BV471" s="157">
        <v>41837</v>
      </c>
      <c r="BW471" s="138">
        <v>15.8</v>
      </c>
      <c r="BX471" s="157">
        <v>41837</v>
      </c>
      <c r="CC471" s="138">
        <v>10.5</v>
      </c>
      <c r="CD471" s="157">
        <v>41837</v>
      </c>
    </row>
    <row r="472" spans="1:91">
      <c r="A472" s="159" t="s">
        <v>8126</v>
      </c>
      <c r="B472" s="112" t="s">
        <v>269</v>
      </c>
      <c r="C472" s="112">
        <v>3</v>
      </c>
      <c r="D472" s="112">
        <v>100</v>
      </c>
      <c r="E472" s="113">
        <v>3</v>
      </c>
      <c r="F472" s="113">
        <v>14</v>
      </c>
      <c r="M472" s="185">
        <v>8.56</v>
      </c>
      <c r="N472" s="157">
        <v>41837</v>
      </c>
      <c r="R472" s="185"/>
      <c r="S472" s="137">
        <v>24.26</v>
      </c>
      <c r="T472" s="157">
        <v>41837</v>
      </c>
      <c r="U472" s="142">
        <v>18</v>
      </c>
      <c r="Y472" s="142">
        <f t="shared" si="7"/>
        <v>16.914100000000001</v>
      </c>
      <c r="Z472" s="157">
        <v>41837</v>
      </c>
      <c r="AE472" s="137">
        <v>46.34</v>
      </c>
      <c r="AF472" s="157">
        <v>41837</v>
      </c>
      <c r="AG472" s="185">
        <v>4.3</v>
      </c>
      <c r="AH472" s="157">
        <v>41837</v>
      </c>
      <c r="AM472" s="137">
        <v>87</v>
      </c>
      <c r="BM472" s="138">
        <v>59.17</v>
      </c>
      <c r="BN472" s="157">
        <v>41837</v>
      </c>
      <c r="BS472" s="138">
        <v>52.35</v>
      </c>
      <c r="BT472" s="157">
        <v>41837</v>
      </c>
      <c r="BU472" s="138">
        <v>36.5</v>
      </c>
      <c r="BV472" s="157">
        <v>41837</v>
      </c>
      <c r="BW472" s="138">
        <v>16.8</v>
      </c>
      <c r="BX472" s="157">
        <v>41837</v>
      </c>
      <c r="CC472" s="138">
        <v>10.6</v>
      </c>
      <c r="CD472" s="157">
        <v>41837</v>
      </c>
    </row>
    <row r="473" spans="1:91">
      <c r="A473" s="159" t="s">
        <v>7738</v>
      </c>
      <c r="B473" s="112" t="s">
        <v>269</v>
      </c>
      <c r="C473" s="112">
        <v>3</v>
      </c>
      <c r="D473" s="112">
        <v>167</v>
      </c>
      <c r="E473" s="113">
        <v>4</v>
      </c>
      <c r="F473" s="113">
        <v>14</v>
      </c>
      <c r="M473" s="185">
        <v>5.43</v>
      </c>
      <c r="N473" s="157">
        <v>41837</v>
      </c>
      <c r="R473" s="185"/>
      <c r="S473" s="137">
        <v>13.87</v>
      </c>
      <c r="T473" s="157">
        <v>41837</v>
      </c>
      <c r="U473" s="142">
        <v>18</v>
      </c>
      <c r="Y473" s="142">
        <f t="shared" si="7"/>
        <v>10.79462</v>
      </c>
      <c r="Z473" s="157">
        <v>41837</v>
      </c>
      <c r="AE473" s="137">
        <v>28.94</v>
      </c>
      <c r="AF473" s="157">
        <v>41837</v>
      </c>
      <c r="AG473" s="185">
        <v>4.21</v>
      </c>
      <c r="AH473" s="157">
        <v>41837</v>
      </c>
      <c r="AM473" s="137">
        <v>92</v>
      </c>
      <c r="BM473" s="138">
        <v>57.87</v>
      </c>
      <c r="BN473" s="157">
        <v>41837</v>
      </c>
      <c r="BS473" s="138">
        <v>47.91</v>
      </c>
      <c r="BT473" s="157">
        <v>41837</v>
      </c>
      <c r="BU473" s="138">
        <v>37.299999999999997</v>
      </c>
      <c r="BV473" s="157">
        <v>41837</v>
      </c>
      <c r="BW473" s="138">
        <v>18.3</v>
      </c>
      <c r="BX473" s="157">
        <v>41837</v>
      </c>
      <c r="CC473" s="138">
        <v>12</v>
      </c>
      <c r="CD473" s="157">
        <v>41837</v>
      </c>
    </row>
    <row r="474" spans="1:91">
      <c r="A474" s="159" t="s">
        <v>7699</v>
      </c>
      <c r="B474" s="112" t="s">
        <v>269</v>
      </c>
      <c r="C474" s="112">
        <v>3</v>
      </c>
      <c r="D474" s="112">
        <v>201</v>
      </c>
      <c r="E474" s="113">
        <v>5</v>
      </c>
      <c r="F474" s="113">
        <v>14</v>
      </c>
      <c r="M474" s="185">
        <v>4.63</v>
      </c>
      <c r="N474" s="157">
        <v>41837</v>
      </c>
      <c r="R474" s="185"/>
      <c r="S474" s="137">
        <v>12.28</v>
      </c>
      <c r="T474" s="157">
        <v>41837</v>
      </c>
      <c r="U474" s="142">
        <v>18</v>
      </c>
      <c r="Y474" s="142">
        <f t="shared" si="7"/>
        <v>9.5980499999999989</v>
      </c>
      <c r="Z474" s="157">
        <v>41837</v>
      </c>
      <c r="AE474" s="137">
        <v>24.93</v>
      </c>
      <c r="AF474" s="157">
        <v>41837</v>
      </c>
      <c r="AG474" s="185">
        <v>4.26</v>
      </c>
      <c r="AH474" s="157">
        <v>41837</v>
      </c>
      <c r="AM474" s="137">
        <v>90</v>
      </c>
      <c r="BM474" s="138">
        <v>57.62</v>
      </c>
      <c r="BN474" s="157">
        <v>41837</v>
      </c>
      <c r="BS474" s="138">
        <v>49.27</v>
      </c>
      <c r="BT474" s="157">
        <v>41837</v>
      </c>
      <c r="BU474" s="138">
        <v>38.5</v>
      </c>
      <c r="BV474" s="157">
        <v>41837</v>
      </c>
      <c r="BW474" s="138">
        <v>18.3</v>
      </c>
      <c r="BX474" s="157">
        <v>41837</v>
      </c>
      <c r="CC474" s="138">
        <v>11.1</v>
      </c>
      <c r="CD474" s="157">
        <v>41837</v>
      </c>
    </row>
    <row r="475" spans="1:91">
      <c r="A475" s="159" t="s">
        <v>7612</v>
      </c>
      <c r="B475" s="112" t="s">
        <v>269</v>
      </c>
      <c r="C475" s="112">
        <v>3</v>
      </c>
      <c r="D475" s="112">
        <v>175</v>
      </c>
      <c r="E475" s="113">
        <v>6</v>
      </c>
      <c r="F475" s="113">
        <v>14</v>
      </c>
      <c r="M475" s="185">
        <v>3</v>
      </c>
      <c r="N475" s="157">
        <v>41837</v>
      </c>
      <c r="R475" s="185"/>
      <c r="S475" s="137">
        <v>7.83</v>
      </c>
      <c r="T475" s="157">
        <v>41837</v>
      </c>
      <c r="U475" s="142">
        <v>18</v>
      </c>
      <c r="Y475" s="142">
        <f t="shared" si="7"/>
        <v>6.4714800000000006</v>
      </c>
      <c r="Z475" s="157">
        <v>41837</v>
      </c>
      <c r="AE475" s="137">
        <v>16.260000000000002</v>
      </c>
      <c r="AF475" s="157">
        <v>41837</v>
      </c>
      <c r="AG475" s="185">
        <v>5.05</v>
      </c>
      <c r="AH475" s="157">
        <v>41837</v>
      </c>
      <c r="AM475" s="137">
        <v>94</v>
      </c>
      <c r="BM475" s="138">
        <v>60.86</v>
      </c>
      <c r="BN475" s="157">
        <v>41837</v>
      </c>
      <c r="BS475" s="138">
        <v>48.16</v>
      </c>
      <c r="BT475" s="157">
        <v>41837</v>
      </c>
      <c r="BU475" s="138">
        <v>39.799999999999997</v>
      </c>
      <c r="BV475" s="157">
        <v>41837</v>
      </c>
      <c r="BW475" s="138">
        <v>51.9</v>
      </c>
      <c r="BX475" s="157">
        <v>41837</v>
      </c>
      <c r="CC475" s="138">
        <v>10.5</v>
      </c>
      <c r="CD475" s="157">
        <v>41837</v>
      </c>
    </row>
    <row r="476" spans="1:91">
      <c r="A476" s="159" t="s">
        <v>7686</v>
      </c>
      <c r="B476" s="112" t="s">
        <v>269</v>
      </c>
      <c r="C476" s="112">
        <v>3</v>
      </c>
      <c r="D476" s="112">
        <v>32</v>
      </c>
      <c r="E476" s="113">
        <v>7</v>
      </c>
      <c r="F476" s="113">
        <v>14</v>
      </c>
      <c r="M476" s="185">
        <v>5.44</v>
      </c>
      <c r="N476" s="157">
        <v>41837</v>
      </c>
      <c r="R476" s="185"/>
      <c r="S476" s="137">
        <v>14.52</v>
      </c>
      <c r="T476" s="157">
        <v>41837</v>
      </c>
      <c r="U476" s="142">
        <v>18</v>
      </c>
      <c r="Y476" s="142">
        <f t="shared" si="7"/>
        <v>11.611040000000001</v>
      </c>
      <c r="Z476" s="157">
        <v>41837</v>
      </c>
      <c r="AE476" s="137">
        <v>29.62</v>
      </c>
      <c r="AF476" s="157">
        <v>41837</v>
      </c>
      <c r="AG476" s="185">
        <v>5.24</v>
      </c>
      <c r="AH476" s="157">
        <v>41837</v>
      </c>
      <c r="AM476" s="137">
        <v>94</v>
      </c>
      <c r="BM476" s="138">
        <v>59.69</v>
      </c>
      <c r="BN476" s="157">
        <v>41837</v>
      </c>
      <c r="BS476" s="138">
        <v>49.02</v>
      </c>
      <c r="BT476" s="157">
        <v>41837</v>
      </c>
      <c r="BU476" s="138">
        <v>39.200000000000003</v>
      </c>
      <c r="BV476" s="157">
        <v>41837</v>
      </c>
      <c r="BW476" s="138">
        <v>26.6</v>
      </c>
      <c r="BX476" s="157">
        <v>41837</v>
      </c>
      <c r="CC476" s="138">
        <v>10.1</v>
      </c>
      <c r="CD476" s="157">
        <v>41837</v>
      </c>
    </row>
    <row r="477" spans="1:91">
      <c r="A477" s="159" t="s">
        <v>7733</v>
      </c>
      <c r="B477" s="112" t="s">
        <v>269</v>
      </c>
      <c r="C477" s="112">
        <v>3</v>
      </c>
      <c r="D477" s="112">
        <v>188</v>
      </c>
      <c r="E477" s="113">
        <v>8</v>
      </c>
      <c r="F477" s="113">
        <v>14</v>
      </c>
      <c r="M477" s="185">
        <v>5.26</v>
      </c>
      <c r="N477" s="157">
        <v>41837</v>
      </c>
      <c r="R477" s="185"/>
      <c r="S477" s="137">
        <v>13.9</v>
      </c>
      <c r="T477" s="157">
        <v>41837</v>
      </c>
      <c r="U477" s="142">
        <v>18</v>
      </c>
      <c r="Y477" s="142">
        <f t="shared" si="7"/>
        <v>10.988160000000001</v>
      </c>
      <c r="Z477" s="157">
        <v>41837</v>
      </c>
      <c r="AE477" s="137">
        <v>28.32</v>
      </c>
      <c r="AF477" s="157">
        <v>41837</v>
      </c>
      <c r="AG477" s="185">
        <v>4.37</v>
      </c>
      <c r="AH477" s="157">
        <v>41837</v>
      </c>
      <c r="AM477" s="137">
        <v>94</v>
      </c>
      <c r="BM477" s="138">
        <v>61.08</v>
      </c>
      <c r="BN477" s="157">
        <v>41837</v>
      </c>
      <c r="BS477" s="138">
        <v>49.09</v>
      </c>
      <c r="BT477" s="157">
        <v>41837</v>
      </c>
      <c r="BU477" s="138">
        <v>38.799999999999997</v>
      </c>
      <c r="BV477" s="157">
        <v>41837</v>
      </c>
      <c r="BW477" s="138">
        <v>12.8</v>
      </c>
      <c r="BX477" s="157">
        <v>41837</v>
      </c>
      <c r="CC477" s="138">
        <v>11.1</v>
      </c>
      <c r="CD477" s="157">
        <v>41837</v>
      </c>
    </row>
    <row r="478" spans="1:91">
      <c r="A478" s="159" t="s">
        <v>7658</v>
      </c>
      <c r="B478" s="112" t="s">
        <v>269</v>
      </c>
      <c r="C478" s="112">
        <v>3</v>
      </c>
      <c r="D478" s="112">
        <v>47</v>
      </c>
      <c r="E478" s="113">
        <v>9</v>
      </c>
      <c r="F478" s="113">
        <v>14</v>
      </c>
      <c r="M478" s="185">
        <v>4.96</v>
      </c>
      <c r="N478" s="157">
        <v>41837</v>
      </c>
      <c r="R478" s="185"/>
      <c r="S478" s="137">
        <v>12.56</v>
      </c>
      <c r="T478" s="157">
        <v>41837</v>
      </c>
      <c r="U478" s="142">
        <v>18</v>
      </c>
      <c r="Y478" s="142">
        <f t="shared" si="7"/>
        <v>10.274850000000001</v>
      </c>
      <c r="Z478" s="157">
        <v>41837</v>
      </c>
      <c r="AE478" s="137">
        <v>26.55</v>
      </c>
      <c r="AF478" s="157">
        <v>41837</v>
      </c>
      <c r="AG478" s="185">
        <v>4.99</v>
      </c>
      <c r="AH478" s="157">
        <v>41837</v>
      </c>
      <c r="AM478" s="137">
        <v>85</v>
      </c>
      <c r="BM478" s="138">
        <v>59.56</v>
      </c>
      <c r="BN478" s="157">
        <v>41837</v>
      </c>
      <c r="BS478" s="138">
        <v>47.32</v>
      </c>
      <c r="BT478" s="157">
        <v>41837</v>
      </c>
      <c r="BU478" s="138">
        <v>38.700000000000003</v>
      </c>
      <c r="BV478" s="157">
        <v>41837</v>
      </c>
      <c r="BW478" s="138">
        <v>52</v>
      </c>
      <c r="BX478" s="157">
        <v>41837</v>
      </c>
      <c r="CC478" s="138">
        <v>11.6</v>
      </c>
      <c r="CD478" s="157">
        <v>41837</v>
      </c>
    </row>
    <row r="479" spans="1:91">
      <c r="A479" s="159" t="s">
        <v>7681</v>
      </c>
      <c r="B479" s="112" t="s">
        <v>269</v>
      </c>
      <c r="C479" s="112">
        <v>3</v>
      </c>
      <c r="D479" s="112">
        <v>92</v>
      </c>
      <c r="E479" s="113">
        <v>10</v>
      </c>
      <c r="F479" s="113">
        <v>14</v>
      </c>
      <c r="M479" s="185">
        <v>5.73</v>
      </c>
      <c r="N479" s="157">
        <v>41837</v>
      </c>
      <c r="R479" s="185"/>
      <c r="S479" s="137">
        <v>15.64</v>
      </c>
      <c r="T479" s="157">
        <v>41837</v>
      </c>
      <c r="U479" s="142">
        <v>18</v>
      </c>
      <c r="Y479" s="142">
        <f t="shared" si="7"/>
        <v>12.462120000000001</v>
      </c>
      <c r="Z479" s="157">
        <v>41837</v>
      </c>
      <c r="AE479" s="137">
        <v>31.47</v>
      </c>
      <c r="AF479" s="157">
        <v>41837</v>
      </c>
      <c r="AG479" s="185">
        <v>4.6100000000000003</v>
      </c>
      <c r="AH479" s="157">
        <v>41837</v>
      </c>
      <c r="AM479" s="137">
        <v>96</v>
      </c>
      <c r="BM479" s="138">
        <v>62.82</v>
      </c>
      <c r="BN479" s="157">
        <v>41837</v>
      </c>
      <c r="BS479" s="138">
        <v>49.69</v>
      </c>
      <c r="BT479" s="157">
        <v>41837</v>
      </c>
      <c r="BU479" s="138">
        <v>39.6</v>
      </c>
      <c r="BV479" s="157">
        <v>41837</v>
      </c>
      <c r="BW479" s="138">
        <v>26.1</v>
      </c>
      <c r="BX479" s="157">
        <v>41837</v>
      </c>
      <c r="CC479" s="138">
        <v>9.3000000000000007</v>
      </c>
      <c r="CD479" s="157">
        <v>41837</v>
      </c>
    </row>
    <row r="480" spans="1:91">
      <c r="A480" s="189" t="s">
        <v>7748</v>
      </c>
      <c r="B480" s="190" t="s">
        <v>269</v>
      </c>
      <c r="C480" s="190">
        <v>3</v>
      </c>
      <c r="D480" s="190">
        <v>48</v>
      </c>
      <c r="E480" s="191">
        <v>11</v>
      </c>
      <c r="F480" s="191">
        <v>14</v>
      </c>
      <c r="G480" s="191"/>
      <c r="H480" s="191"/>
      <c r="I480" s="190"/>
      <c r="J480" s="190"/>
      <c r="K480" s="195"/>
      <c r="L480" s="193"/>
      <c r="M480" s="194">
        <v>2.84</v>
      </c>
      <c r="N480" s="193">
        <v>41837</v>
      </c>
      <c r="P480" s="193"/>
      <c r="Q480" s="195"/>
      <c r="R480" s="194"/>
      <c r="S480" s="195">
        <v>7.35</v>
      </c>
      <c r="T480" s="193">
        <v>41837</v>
      </c>
      <c r="U480" s="192">
        <v>18</v>
      </c>
      <c r="V480" s="193"/>
      <c r="W480" s="195"/>
      <c r="X480" s="193"/>
      <c r="Y480" s="192">
        <f t="shared" si="7"/>
        <v>6.3041999999999998</v>
      </c>
      <c r="Z480" s="193">
        <v>41837</v>
      </c>
      <c r="AA480" s="195"/>
      <c r="AB480" s="193"/>
      <c r="AC480" s="195"/>
      <c r="AD480" s="193"/>
      <c r="AE480" s="195">
        <v>15.8</v>
      </c>
      <c r="AF480" s="193">
        <v>41837</v>
      </c>
      <c r="AG480" s="194">
        <v>3.7</v>
      </c>
      <c r="AH480" s="193">
        <v>41837</v>
      </c>
      <c r="AI480" s="193"/>
      <c r="AJ480" s="193"/>
      <c r="AK480" s="195"/>
      <c r="AL480" s="193"/>
      <c r="AM480" s="195">
        <v>96</v>
      </c>
      <c r="AN480" s="193"/>
      <c r="AO480" s="195"/>
      <c r="AP480" s="195"/>
      <c r="AQ480" s="195"/>
      <c r="AR480" s="195"/>
      <c r="AS480" s="195"/>
      <c r="AT480" s="195"/>
      <c r="AU480" s="195"/>
      <c r="AV480" s="195"/>
      <c r="AW480" s="195"/>
      <c r="AX480" s="195"/>
      <c r="AY480" s="195"/>
      <c r="AZ480" s="195"/>
      <c r="BA480" s="195"/>
      <c r="BB480" s="195"/>
      <c r="BC480" s="195"/>
      <c r="BD480" s="195"/>
      <c r="BE480" s="196"/>
      <c r="BF480" s="196"/>
      <c r="BG480" s="196"/>
      <c r="BH480" s="196"/>
      <c r="BI480" s="196"/>
      <c r="BJ480" s="196"/>
      <c r="BK480" s="196"/>
      <c r="BL480" s="196"/>
      <c r="BM480" s="196">
        <v>60.84</v>
      </c>
      <c r="BN480" s="193">
        <v>41837</v>
      </c>
      <c r="BO480" s="196"/>
      <c r="BP480" s="196"/>
      <c r="BQ480" s="196"/>
      <c r="BR480" s="196"/>
      <c r="BS480" s="196">
        <v>46.51</v>
      </c>
      <c r="BT480" s="193">
        <v>41837</v>
      </c>
      <c r="BU480" s="196">
        <v>39.9</v>
      </c>
      <c r="BV480" s="193">
        <v>41837</v>
      </c>
      <c r="BW480" s="196">
        <v>62.9</v>
      </c>
      <c r="BX480" s="193">
        <v>41837</v>
      </c>
      <c r="BY480" s="196"/>
      <c r="BZ480" s="196"/>
      <c r="CA480" s="196"/>
      <c r="CB480" s="196"/>
      <c r="CC480" s="196">
        <v>8.1</v>
      </c>
      <c r="CD480" s="193">
        <v>41837</v>
      </c>
      <c r="CE480" s="196"/>
      <c r="CF480" s="196"/>
      <c r="CG480" s="196"/>
      <c r="CH480" s="196"/>
      <c r="CI480" s="196"/>
      <c r="CJ480" s="196"/>
      <c r="CK480" s="196"/>
      <c r="CL480" s="196"/>
      <c r="CM480" s="196"/>
    </row>
    <row r="481" spans="1:91">
      <c r="A481" s="159" t="s">
        <v>7624</v>
      </c>
      <c r="B481" s="112" t="s">
        <v>269</v>
      </c>
      <c r="C481" s="112">
        <v>3</v>
      </c>
      <c r="D481" s="112">
        <v>67</v>
      </c>
      <c r="E481" s="113">
        <v>12</v>
      </c>
      <c r="F481" s="113">
        <v>14</v>
      </c>
      <c r="M481" s="185">
        <v>4.25</v>
      </c>
      <c r="N481" s="157">
        <v>41837</v>
      </c>
      <c r="R481" s="185"/>
      <c r="S481" s="137">
        <v>11.13</v>
      </c>
      <c r="T481" s="157">
        <v>41837</v>
      </c>
      <c r="U481" s="142">
        <v>18</v>
      </c>
      <c r="Y481" s="142">
        <f t="shared" si="7"/>
        <v>10.049100000000001</v>
      </c>
      <c r="Z481" s="157">
        <v>41837</v>
      </c>
      <c r="AE481" s="137">
        <v>23.37</v>
      </c>
      <c r="AF481" s="157">
        <v>41837</v>
      </c>
      <c r="AG481" s="185">
        <v>4.16</v>
      </c>
      <c r="AH481" s="157">
        <v>41837</v>
      </c>
      <c r="AM481" s="137">
        <v>90</v>
      </c>
      <c r="BM481" s="138">
        <v>61.32</v>
      </c>
      <c r="BN481" s="157">
        <v>41837</v>
      </c>
      <c r="BS481" s="138">
        <v>47.61</v>
      </c>
      <c r="BT481" s="157">
        <v>41837</v>
      </c>
      <c r="BU481" s="138">
        <v>43</v>
      </c>
      <c r="BV481" s="157">
        <v>41837</v>
      </c>
      <c r="BW481" s="138">
        <v>61.3</v>
      </c>
      <c r="BX481" s="157">
        <v>41837</v>
      </c>
      <c r="CC481" s="138">
        <v>9.1999999999999993</v>
      </c>
      <c r="CD481" s="157">
        <v>41837</v>
      </c>
    </row>
    <row r="482" spans="1:91">
      <c r="A482" s="159" t="s">
        <v>7779</v>
      </c>
      <c r="B482" s="112" t="s">
        <v>269</v>
      </c>
      <c r="C482" s="112">
        <v>3</v>
      </c>
      <c r="D482" s="112">
        <v>76</v>
      </c>
      <c r="E482" s="113">
        <v>13</v>
      </c>
      <c r="F482" s="113">
        <v>14</v>
      </c>
      <c r="M482" s="185">
        <v>5.2</v>
      </c>
      <c r="N482" s="157">
        <v>41837</v>
      </c>
      <c r="R482" s="185"/>
      <c r="S482" s="137">
        <v>14.05</v>
      </c>
      <c r="T482" s="157">
        <v>41837</v>
      </c>
      <c r="U482" s="142">
        <v>18</v>
      </c>
      <c r="Y482" s="142">
        <f t="shared" si="7"/>
        <v>11.350230000000002</v>
      </c>
      <c r="Z482" s="157">
        <v>41837</v>
      </c>
      <c r="AE482" s="137">
        <v>28.59</v>
      </c>
      <c r="AF482" s="157">
        <v>41837</v>
      </c>
      <c r="AG482" s="185">
        <v>4.2300000000000004</v>
      </c>
      <c r="AH482" s="157">
        <v>41837</v>
      </c>
      <c r="AM482" s="137">
        <v>94</v>
      </c>
      <c r="BM482" s="138">
        <v>59.98</v>
      </c>
      <c r="BN482" s="157">
        <v>41837</v>
      </c>
      <c r="BS482" s="138">
        <v>49.13</v>
      </c>
      <c r="BT482" s="157">
        <v>41837</v>
      </c>
      <c r="BU482" s="138">
        <v>39.700000000000003</v>
      </c>
      <c r="BV482" s="157">
        <v>41837</v>
      </c>
      <c r="BW482" s="138">
        <v>20.5</v>
      </c>
      <c r="BX482" s="157">
        <v>41837</v>
      </c>
      <c r="CC482" s="138">
        <v>9.1999999999999993</v>
      </c>
      <c r="CD482" s="157">
        <v>41837</v>
      </c>
    </row>
    <row r="483" spans="1:91">
      <c r="A483" s="159" t="s">
        <v>7654</v>
      </c>
      <c r="B483" s="112" t="s">
        <v>269</v>
      </c>
      <c r="C483" s="112">
        <v>3</v>
      </c>
      <c r="D483" s="112">
        <v>97</v>
      </c>
      <c r="E483" s="113">
        <v>14</v>
      </c>
      <c r="F483" s="113">
        <v>14</v>
      </c>
      <c r="M483" s="185">
        <v>3.51</v>
      </c>
      <c r="N483" s="157">
        <v>41837</v>
      </c>
      <c r="R483" s="185"/>
      <c r="S483" s="137">
        <v>9.24</v>
      </c>
      <c r="T483" s="157">
        <v>41837</v>
      </c>
      <c r="U483" s="142">
        <v>18</v>
      </c>
      <c r="Y483" s="142">
        <f t="shared" si="7"/>
        <v>7.5503700000000018</v>
      </c>
      <c r="Z483" s="157">
        <v>41837</v>
      </c>
      <c r="AE483" s="137">
        <v>19.510000000000002</v>
      </c>
      <c r="AF483" s="157">
        <v>41837</v>
      </c>
      <c r="AG483" s="185">
        <v>4.5999999999999996</v>
      </c>
      <c r="AH483" s="157">
        <v>41837</v>
      </c>
      <c r="AM483" s="137">
        <v>90</v>
      </c>
      <c r="BM483" s="138">
        <v>58.3</v>
      </c>
      <c r="BN483" s="157">
        <v>41837</v>
      </c>
      <c r="BS483" s="138">
        <v>47.36</v>
      </c>
      <c r="BT483" s="157">
        <v>41837</v>
      </c>
      <c r="BU483" s="138">
        <v>38.700000000000003</v>
      </c>
      <c r="BV483" s="157">
        <v>41837</v>
      </c>
      <c r="BW483" s="138">
        <v>47.7</v>
      </c>
      <c r="BX483" s="157">
        <v>41837</v>
      </c>
      <c r="CC483" s="138">
        <v>8.1999999999999993</v>
      </c>
      <c r="CD483" s="157">
        <v>41837</v>
      </c>
    </row>
    <row r="484" spans="1:91">
      <c r="A484" s="159" t="s">
        <v>7756</v>
      </c>
      <c r="B484" s="112" t="s">
        <v>269</v>
      </c>
      <c r="C484" s="112">
        <v>3</v>
      </c>
      <c r="D484" s="112">
        <v>181</v>
      </c>
      <c r="E484" s="113">
        <v>15</v>
      </c>
      <c r="F484" s="113">
        <v>14</v>
      </c>
      <c r="M484" s="185">
        <v>3.84</v>
      </c>
      <c r="N484" s="157">
        <v>41837</v>
      </c>
      <c r="R484" s="185"/>
      <c r="S484" s="137">
        <v>10.25</v>
      </c>
      <c r="T484" s="157">
        <v>41837</v>
      </c>
      <c r="U484" s="142">
        <v>18</v>
      </c>
      <c r="Y484" s="142">
        <f t="shared" si="7"/>
        <v>8.5331200000000003</v>
      </c>
      <c r="Z484" s="157">
        <v>41837</v>
      </c>
      <c r="AE484" s="137">
        <v>21.44</v>
      </c>
      <c r="AF484" s="157">
        <v>41837</v>
      </c>
      <c r="AG484" s="185">
        <v>4.57</v>
      </c>
      <c r="AH484" s="157">
        <v>41837</v>
      </c>
      <c r="AM484" s="137">
        <v>87</v>
      </c>
      <c r="BM484" s="138">
        <v>61.25</v>
      </c>
      <c r="BN484" s="157">
        <v>41837</v>
      </c>
      <c r="BS484" s="138">
        <v>47.81</v>
      </c>
      <c r="BT484" s="157">
        <v>41837</v>
      </c>
      <c r="BU484" s="138">
        <v>39.799999999999997</v>
      </c>
      <c r="BV484" s="157">
        <v>41837</v>
      </c>
      <c r="BW484" s="138">
        <v>44.5</v>
      </c>
      <c r="BX484" s="157">
        <v>41837</v>
      </c>
      <c r="CC484" s="138">
        <v>7.8</v>
      </c>
      <c r="CD484" s="157">
        <v>41837</v>
      </c>
    </row>
    <row r="485" spans="1:91">
      <c r="A485" s="159" t="s">
        <v>7630</v>
      </c>
      <c r="B485" s="112" t="s">
        <v>269</v>
      </c>
      <c r="C485" s="112">
        <v>3</v>
      </c>
      <c r="D485" s="112">
        <v>57</v>
      </c>
      <c r="E485" s="113">
        <v>16</v>
      </c>
      <c r="F485" s="113">
        <v>14</v>
      </c>
      <c r="M485" s="185">
        <v>4.3600000000000003</v>
      </c>
      <c r="N485" s="157">
        <v>41837</v>
      </c>
      <c r="R485" s="185"/>
      <c r="S485" s="137">
        <v>11.21</v>
      </c>
      <c r="T485" s="157">
        <v>41837</v>
      </c>
      <c r="U485" s="142">
        <v>18</v>
      </c>
      <c r="Y485" s="142">
        <f t="shared" si="7"/>
        <v>9.4883199999999981</v>
      </c>
      <c r="Z485" s="157">
        <v>41837</v>
      </c>
      <c r="AE485" s="137">
        <v>23.84</v>
      </c>
      <c r="AF485" s="157">
        <v>41837</v>
      </c>
      <c r="AG485" s="185"/>
      <c r="AH485" s="157">
        <v>41837</v>
      </c>
      <c r="AM485" s="137">
        <v>83</v>
      </c>
      <c r="BM485" s="138">
        <v>63.18</v>
      </c>
      <c r="BN485" s="157">
        <v>41837</v>
      </c>
      <c r="BS485" s="138">
        <v>47.01</v>
      </c>
      <c r="BT485" s="157">
        <v>41837</v>
      </c>
      <c r="BU485" s="138">
        <v>39.799999999999997</v>
      </c>
      <c r="BV485" s="157">
        <v>41837</v>
      </c>
      <c r="BW485" s="138">
        <v>55.8</v>
      </c>
      <c r="BX485" s="157">
        <v>41837</v>
      </c>
      <c r="CC485" s="138">
        <v>9.6999999999999993</v>
      </c>
      <c r="CD485" s="157">
        <v>41837</v>
      </c>
    </row>
    <row r="486" spans="1:91">
      <c r="A486" s="159" t="s">
        <v>7680</v>
      </c>
      <c r="B486" s="112" t="s">
        <v>269</v>
      </c>
      <c r="C486" s="112">
        <v>3</v>
      </c>
      <c r="D486" s="112">
        <v>40</v>
      </c>
      <c r="E486" s="113">
        <v>17</v>
      </c>
      <c r="F486" s="113">
        <v>14</v>
      </c>
      <c r="M486" s="185">
        <v>4.45</v>
      </c>
      <c r="N486" s="157">
        <v>41837</v>
      </c>
      <c r="R486" s="185"/>
      <c r="S486" s="137">
        <v>12.27</v>
      </c>
      <c r="T486" s="157">
        <v>41837</v>
      </c>
      <c r="U486" s="142">
        <v>18</v>
      </c>
      <c r="Y486" s="142">
        <f t="shared" si="7"/>
        <v>9.3176000000000005</v>
      </c>
      <c r="Z486" s="157">
        <v>41837</v>
      </c>
      <c r="AE486" s="137">
        <v>24.52</v>
      </c>
      <c r="AF486" s="157">
        <v>41837</v>
      </c>
      <c r="AG486" s="185">
        <v>4.4800000000000004</v>
      </c>
      <c r="AH486" s="157">
        <v>41837</v>
      </c>
      <c r="AM486" s="137">
        <v>90</v>
      </c>
      <c r="BM486" s="138">
        <v>59.36</v>
      </c>
      <c r="BN486" s="157">
        <v>41837</v>
      </c>
      <c r="BS486" s="138">
        <v>50.05</v>
      </c>
      <c r="BT486" s="157">
        <v>41837</v>
      </c>
      <c r="BU486" s="138">
        <v>38</v>
      </c>
      <c r="BV486" s="157">
        <v>41837</v>
      </c>
      <c r="BW486" s="138">
        <v>16.3</v>
      </c>
      <c r="BX486" s="157">
        <v>41837</v>
      </c>
      <c r="CC486" s="138">
        <v>9</v>
      </c>
      <c r="CD486" s="157">
        <v>41837</v>
      </c>
    </row>
    <row r="487" spans="1:91">
      <c r="A487" s="189" t="s">
        <v>7675</v>
      </c>
      <c r="B487" s="190" t="s">
        <v>269</v>
      </c>
      <c r="C487" s="190">
        <v>3</v>
      </c>
      <c r="D487" s="190">
        <v>153</v>
      </c>
      <c r="E487" s="191">
        <v>18</v>
      </c>
      <c r="F487" s="191">
        <v>14</v>
      </c>
      <c r="G487" s="191"/>
      <c r="H487" s="191"/>
      <c r="I487" s="190"/>
      <c r="J487" s="190"/>
      <c r="K487" s="195"/>
      <c r="L487" s="193"/>
      <c r="M487" s="194">
        <v>5.87</v>
      </c>
      <c r="N487" s="193">
        <v>41837</v>
      </c>
      <c r="P487" s="193"/>
      <c r="Q487" s="195"/>
      <c r="R487" s="194"/>
      <c r="S487" s="195">
        <v>16.260000000000002</v>
      </c>
      <c r="T487" s="193">
        <v>41837</v>
      </c>
      <c r="U487" s="192">
        <v>18</v>
      </c>
      <c r="V487" s="193"/>
      <c r="W487" s="195"/>
      <c r="X487" s="193"/>
      <c r="Y487" s="192">
        <f t="shared" si="7"/>
        <v>13.308900000000001</v>
      </c>
      <c r="Z487" s="193">
        <v>41837</v>
      </c>
      <c r="AA487" s="195"/>
      <c r="AB487" s="193"/>
      <c r="AC487" s="195"/>
      <c r="AD487" s="193"/>
      <c r="AE487" s="195">
        <v>32.700000000000003</v>
      </c>
      <c r="AF487" s="193">
        <v>41837</v>
      </c>
      <c r="AG487" s="194">
        <v>5.0999999999999996</v>
      </c>
      <c r="AH487" s="193">
        <v>41837</v>
      </c>
      <c r="AI487" s="193"/>
      <c r="AJ487" s="193"/>
      <c r="AK487" s="195"/>
      <c r="AL487" s="193"/>
      <c r="AM487" s="195">
        <v>85</v>
      </c>
      <c r="AN487" s="193"/>
      <c r="AO487" s="195"/>
      <c r="AP487" s="195"/>
      <c r="AQ487" s="195"/>
      <c r="AR487" s="195"/>
      <c r="AS487" s="195"/>
      <c r="AT487" s="195"/>
      <c r="AU487" s="195"/>
      <c r="AV487" s="195"/>
      <c r="AW487" s="195"/>
      <c r="AX487" s="195"/>
      <c r="AY487" s="195"/>
      <c r="AZ487" s="195"/>
      <c r="BA487" s="195"/>
      <c r="BB487" s="195"/>
      <c r="BC487" s="195"/>
      <c r="BD487" s="195"/>
      <c r="BE487" s="196"/>
      <c r="BF487" s="196"/>
      <c r="BG487" s="196"/>
      <c r="BH487" s="196"/>
      <c r="BI487" s="196"/>
      <c r="BJ487" s="196"/>
      <c r="BK487" s="196"/>
      <c r="BL487" s="196"/>
      <c r="BM487" s="196">
        <v>61.6</v>
      </c>
      <c r="BN487" s="193">
        <v>41837</v>
      </c>
      <c r="BO487" s="196"/>
      <c r="BP487" s="196"/>
      <c r="BQ487" s="196"/>
      <c r="BR487" s="196"/>
      <c r="BS487" s="196">
        <v>49.71</v>
      </c>
      <c r="BT487" s="193">
        <v>41837</v>
      </c>
      <c r="BU487" s="196">
        <v>40.700000000000003</v>
      </c>
      <c r="BV487" s="193">
        <v>41837</v>
      </c>
      <c r="BW487" s="196">
        <v>15.2</v>
      </c>
      <c r="BX487" s="193">
        <v>41837</v>
      </c>
      <c r="BY487" s="196"/>
      <c r="BZ487" s="196"/>
      <c r="CA487" s="196"/>
      <c r="CB487" s="196"/>
      <c r="CC487" s="196">
        <v>8</v>
      </c>
      <c r="CD487" s="193">
        <v>41837</v>
      </c>
      <c r="CE487" s="196"/>
      <c r="CF487" s="196"/>
      <c r="CG487" s="196"/>
      <c r="CH487" s="196"/>
      <c r="CI487" s="196"/>
      <c r="CJ487" s="196"/>
      <c r="CK487" s="196"/>
      <c r="CL487" s="196"/>
      <c r="CM487" s="196"/>
    </row>
    <row r="488" spans="1:91">
      <c r="A488" s="159" t="s">
        <v>7668</v>
      </c>
      <c r="B488" s="112" t="s">
        <v>269</v>
      </c>
      <c r="C488" s="112">
        <v>3</v>
      </c>
      <c r="D488" s="112">
        <v>202</v>
      </c>
      <c r="E488" s="113">
        <v>19</v>
      </c>
      <c r="F488" s="113">
        <v>14</v>
      </c>
      <c r="M488" s="185">
        <v>5.97</v>
      </c>
      <c r="N488" s="157">
        <v>41837</v>
      </c>
      <c r="R488" s="185"/>
      <c r="S488" s="137">
        <v>16.91</v>
      </c>
      <c r="T488" s="157">
        <v>41837</v>
      </c>
      <c r="U488" s="142">
        <v>18</v>
      </c>
      <c r="Y488" s="142">
        <f t="shared" si="7"/>
        <v>13.04767</v>
      </c>
      <c r="Z488" s="157">
        <v>41837</v>
      </c>
      <c r="AE488" s="137">
        <v>33.369999999999997</v>
      </c>
      <c r="AF488" s="157">
        <v>41837</v>
      </c>
      <c r="AG488" s="185">
        <v>4.6900000000000004</v>
      </c>
      <c r="AH488" s="157">
        <v>41837</v>
      </c>
      <c r="AM488" s="137">
        <v>92</v>
      </c>
      <c r="BM488" s="138">
        <v>64.84</v>
      </c>
      <c r="BN488" s="157">
        <v>41837</v>
      </c>
      <c r="BS488" s="138">
        <v>50.67</v>
      </c>
      <c r="BT488" s="157">
        <v>41837</v>
      </c>
      <c r="BU488" s="138">
        <v>39.1</v>
      </c>
      <c r="BV488" s="157">
        <v>41837</v>
      </c>
      <c r="BW488" s="138">
        <v>15.7</v>
      </c>
      <c r="BX488" s="157">
        <v>41837</v>
      </c>
      <c r="CC488" s="138">
        <v>7.7</v>
      </c>
      <c r="CD488" s="157">
        <v>41837</v>
      </c>
    </row>
    <row r="489" spans="1:91">
      <c r="A489" s="159" t="s">
        <v>7800</v>
      </c>
      <c r="B489" s="112" t="s">
        <v>269</v>
      </c>
      <c r="C489" s="112">
        <v>3</v>
      </c>
      <c r="D489" s="112">
        <v>206</v>
      </c>
      <c r="E489" s="113">
        <v>20</v>
      </c>
      <c r="F489" s="113">
        <v>14</v>
      </c>
      <c r="M489" s="185">
        <v>6.29</v>
      </c>
      <c r="N489" s="157">
        <v>41837</v>
      </c>
      <c r="R489" s="185"/>
      <c r="S489" s="137">
        <v>17.420000000000002</v>
      </c>
      <c r="T489" s="157">
        <v>41837</v>
      </c>
      <c r="U489" s="142">
        <v>18</v>
      </c>
      <c r="Y489" s="142">
        <f t="shared" si="7"/>
        <v>13.84812</v>
      </c>
      <c r="Z489" s="157">
        <v>41837</v>
      </c>
      <c r="AE489" s="137">
        <v>34.97</v>
      </c>
      <c r="AF489" s="157">
        <v>41837</v>
      </c>
      <c r="AG489" s="185">
        <v>4.2300000000000004</v>
      </c>
      <c r="AH489" s="157">
        <v>41837</v>
      </c>
      <c r="AM489" s="137">
        <v>94</v>
      </c>
      <c r="BM489" s="138">
        <v>62.31</v>
      </c>
      <c r="BN489" s="157">
        <v>41837</v>
      </c>
      <c r="BS489" s="138">
        <v>49.8</v>
      </c>
      <c r="BT489" s="157">
        <v>41837</v>
      </c>
      <c r="BU489" s="138">
        <v>39.6</v>
      </c>
      <c r="BV489" s="157">
        <v>41837</v>
      </c>
      <c r="BW489" s="138">
        <v>14.1</v>
      </c>
      <c r="BX489" s="157">
        <v>41837</v>
      </c>
      <c r="CC489" s="138">
        <v>8.1999999999999993</v>
      </c>
      <c r="CD489" s="157">
        <v>41837</v>
      </c>
    </row>
    <row r="490" spans="1:91">
      <c r="A490" s="189" t="s">
        <v>7732</v>
      </c>
      <c r="B490" s="190" t="s">
        <v>269</v>
      </c>
      <c r="C490" s="190">
        <v>3</v>
      </c>
      <c r="D490" s="190">
        <v>46</v>
      </c>
      <c r="E490" s="191">
        <v>21</v>
      </c>
      <c r="F490" s="191">
        <v>14</v>
      </c>
      <c r="G490" s="191"/>
      <c r="H490" s="191"/>
      <c r="I490" s="190"/>
      <c r="J490" s="190"/>
      <c r="K490" s="195"/>
      <c r="L490" s="193"/>
      <c r="M490" s="194">
        <v>6.06</v>
      </c>
      <c r="N490" s="193">
        <v>41837</v>
      </c>
      <c r="P490" s="193"/>
      <c r="Q490" s="195"/>
      <c r="R490" s="194"/>
      <c r="S490" s="195">
        <v>17.04</v>
      </c>
      <c r="T490" s="193">
        <v>41837</v>
      </c>
      <c r="U490" s="192">
        <v>18</v>
      </c>
      <c r="V490" s="193"/>
      <c r="W490" s="195"/>
      <c r="X490" s="193"/>
      <c r="Y490" s="192">
        <f t="shared" si="7"/>
        <v>13.71735</v>
      </c>
      <c r="Z490" s="193">
        <v>41837</v>
      </c>
      <c r="AA490" s="195"/>
      <c r="AB490" s="193"/>
      <c r="AC490" s="195"/>
      <c r="AD490" s="193"/>
      <c r="AE490" s="195">
        <v>33.869999999999997</v>
      </c>
      <c r="AF490" s="193">
        <v>41837</v>
      </c>
      <c r="AG490" s="194">
        <v>4.79</v>
      </c>
      <c r="AH490" s="193">
        <v>41837</v>
      </c>
      <c r="AI490" s="193"/>
      <c r="AJ490" s="193"/>
      <c r="AK490" s="195"/>
      <c r="AL490" s="193"/>
      <c r="AM490" s="195">
        <v>87</v>
      </c>
      <c r="AN490" s="193"/>
      <c r="AO490" s="195"/>
      <c r="AP490" s="195"/>
      <c r="AQ490" s="195"/>
      <c r="AR490" s="195"/>
      <c r="AS490" s="195"/>
      <c r="AT490" s="195"/>
      <c r="AU490" s="195"/>
      <c r="AV490" s="195"/>
      <c r="AW490" s="195"/>
      <c r="AX490" s="195"/>
      <c r="AY490" s="195"/>
      <c r="AZ490" s="195"/>
      <c r="BA490" s="195"/>
      <c r="BB490" s="195"/>
      <c r="BC490" s="195"/>
      <c r="BD490" s="195"/>
      <c r="BE490" s="196"/>
      <c r="BF490" s="196"/>
      <c r="BG490" s="196"/>
      <c r="BH490" s="196"/>
      <c r="BI490" s="196"/>
      <c r="BJ490" s="196"/>
      <c r="BK490" s="196"/>
      <c r="BL490" s="196"/>
      <c r="BM490" s="196">
        <v>59.89</v>
      </c>
      <c r="BN490" s="193">
        <v>41837</v>
      </c>
      <c r="BO490" s="196"/>
      <c r="BP490" s="196"/>
      <c r="BQ490" s="196"/>
      <c r="BR490" s="196"/>
      <c r="BS490" s="196">
        <v>50.32</v>
      </c>
      <c r="BT490" s="193">
        <v>41837</v>
      </c>
      <c r="BU490" s="196">
        <v>40.5</v>
      </c>
      <c r="BV490" s="193">
        <v>41837</v>
      </c>
      <c r="BW490" s="196">
        <v>19.399999999999999</v>
      </c>
      <c r="BX490" s="193">
        <v>41837</v>
      </c>
      <c r="BY490" s="196"/>
      <c r="BZ490" s="196"/>
      <c r="CA490" s="196"/>
      <c r="CB490" s="196"/>
      <c r="CC490" s="196">
        <v>7.7</v>
      </c>
      <c r="CD490" s="193">
        <v>41837</v>
      </c>
      <c r="CE490" s="196"/>
      <c r="CF490" s="196"/>
      <c r="CG490" s="196"/>
      <c r="CH490" s="196"/>
      <c r="CI490" s="196"/>
      <c r="CJ490" s="196"/>
      <c r="CK490" s="196"/>
      <c r="CL490" s="196"/>
      <c r="CM490" s="196"/>
    </row>
    <row r="491" spans="1:91">
      <c r="A491" s="159" t="s">
        <v>7814</v>
      </c>
      <c r="B491" s="112" t="s">
        <v>269</v>
      </c>
      <c r="C491" s="112">
        <v>3</v>
      </c>
      <c r="D491" s="112">
        <v>51</v>
      </c>
      <c r="E491" s="113">
        <v>22</v>
      </c>
      <c r="F491" s="113">
        <v>14</v>
      </c>
      <c r="M491" s="185">
        <v>5.77</v>
      </c>
      <c r="N491" s="157">
        <v>41837</v>
      </c>
      <c r="R491" s="185"/>
      <c r="S491" s="137">
        <v>16.28</v>
      </c>
      <c r="T491" s="157">
        <v>41837</v>
      </c>
      <c r="U491" s="142">
        <v>18</v>
      </c>
      <c r="Y491" s="142">
        <f t="shared" si="7"/>
        <v>12.34624</v>
      </c>
      <c r="Z491" s="157">
        <v>41837</v>
      </c>
      <c r="AE491" s="137">
        <v>32.32</v>
      </c>
      <c r="AF491" s="157">
        <v>41837</v>
      </c>
      <c r="AG491" s="185">
        <v>4.5199999999999996</v>
      </c>
      <c r="AH491" s="157">
        <v>41837</v>
      </c>
      <c r="AM491" s="137">
        <v>92</v>
      </c>
      <c r="BM491" s="138">
        <v>61.53</v>
      </c>
      <c r="BN491" s="157">
        <v>41837</v>
      </c>
      <c r="BS491" s="138">
        <v>50.38</v>
      </c>
      <c r="BT491" s="157">
        <v>41837</v>
      </c>
      <c r="BU491" s="138">
        <v>38.200000000000003</v>
      </c>
      <c r="BV491" s="157">
        <v>41837</v>
      </c>
      <c r="BW491" s="138">
        <v>14.6</v>
      </c>
      <c r="BX491" s="157">
        <v>41837</v>
      </c>
      <c r="CC491" s="138">
        <v>7.5</v>
      </c>
      <c r="CD491" s="157">
        <v>41837</v>
      </c>
    </row>
    <row r="492" spans="1:91">
      <c r="A492" s="189" t="s">
        <v>7811</v>
      </c>
      <c r="B492" s="190" t="s">
        <v>269</v>
      </c>
      <c r="C492" s="190">
        <v>3</v>
      </c>
      <c r="D492" s="190">
        <v>14</v>
      </c>
      <c r="E492" s="191">
        <v>23</v>
      </c>
      <c r="F492" s="191">
        <v>14</v>
      </c>
      <c r="G492" s="191"/>
      <c r="H492" s="191"/>
      <c r="I492" s="201"/>
      <c r="J492" s="190"/>
      <c r="K492" s="192"/>
      <c r="L492" s="193"/>
      <c r="M492" s="194">
        <v>6.4</v>
      </c>
      <c r="N492" s="193">
        <v>41837</v>
      </c>
      <c r="P492" s="193"/>
      <c r="Q492" s="192"/>
      <c r="R492" s="194"/>
      <c r="S492" s="192">
        <v>17.73</v>
      </c>
      <c r="T492" s="193">
        <v>41837</v>
      </c>
      <c r="U492" s="192">
        <v>18</v>
      </c>
      <c r="V492" s="193"/>
      <c r="W492" s="192"/>
      <c r="X492" s="193"/>
      <c r="Y492" s="192">
        <f t="shared" si="7"/>
        <v>12.827069999999999</v>
      </c>
      <c r="Z492" s="193">
        <v>41837</v>
      </c>
      <c r="AA492" s="192"/>
      <c r="AB492" s="193"/>
      <c r="AC492" s="195"/>
      <c r="AD492" s="193"/>
      <c r="AE492" s="192">
        <v>35.729999999999997</v>
      </c>
      <c r="AF492" s="193">
        <v>41837</v>
      </c>
      <c r="AG492" s="194">
        <v>4.07</v>
      </c>
      <c r="AH492" s="193">
        <v>41837</v>
      </c>
      <c r="AI492" s="193"/>
      <c r="AJ492" s="193"/>
      <c r="AK492" s="192"/>
      <c r="AL492" s="193"/>
      <c r="AM492" s="192">
        <v>92</v>
      </c>
      <c r="AN492" s="193"/>
      <c r="AO492" s="195"/>
      <c r="AP492" s="195"/>
      <c r="AQ492" s="195"/>
      <c r="AR492" s="195"/>
      <c r="AS492" s="195"/>
      <c r="AT492" s="195"/>
      <c r="AU492" s="195"/>
      <c r="AV492" s="195"/>
      <c r="AW492" s="195"/>
      <c r="AX492" s="195"/>
      <c r="AY492" s="195"/>
      <c r="AZ492" s="195"/>
      <c r="BA492" s="195"/>
      <c r="BB492" s="195"/>
      <c r="BC492" s="195"/>
      <c r="BD492" s="195"/>
      <c r="BE492" s="196"/>
      <c r="BF492" s="196"/>
      <c r="BG492" s="196"/>
      <c r="BH492" s="196"/>
      <c r="BI492" s="196"/>
      <c r="BJ492" s="196"/>
      <c r="BK492" s="196"/>
      <c r="BL492" s="196"/>
      <c r="BM492" s="196">
        <v>60.62</v>
      </c>
      <c r="BN492" s="193">
        <v>41837</v>
      </c>
      <c r="BO492" s="196"/>
      <c r="BP492" s="196"/>
      <c r="BQ492" s="196"/>
      <c r="BR492" s="196"/>
      <c r="BS492" s="196">
        <v>49.61</v>
      </c>
      <c r="BT492" s="193">
        <v>41837</v>
      </c>
      <c r="BU492" s="196">
        <v>35.9</v>
      </c>
      <c r="BV492" s="193">
        <v>41837</v>
      </c>
      <c r="BW492" s="196">
        <v>14.6</v>
      </c>
      <c r="BX492" s="193">
        <v>41837</v>
      </c>
      <c r="BY492" s="196"/>
      <c r="BZ492" s="196"/>
      <c r="CA492" s="196"/>
      <c r="CB492" s="196"/>
      <c r="CC492" s="196">
        <v>7.8</v>
      </c>
      <c r="CD492" s="193">
        <v>41837</v>
      </c>
      <c r="CE492" s="196"/>
      <c r="CF492" s="196"/>
      <c r="CG492" s="196"/>
      <c r="CH492" s="196"/>
      <c r="CI492" s="196"/>
      <c r="CJ492" s="196"/>
      <c r="CK492" s="196"/>
      <c r="CL492" s="196"/>
      <c r="CM492" s="196"/>
    </row>
    <row r="493" spans="1:91">
      <c r="A493" s="159" t="s">
        <v>7856</v>
      </c>
      <c r="B493" s="112" t="s">
        <v>269</v>
      </c>
      <c r="C493" s="112">
        <v>3</v>
      </c>
      <c r="D493" s="112">
        <v>170</v>
      </c>
      <c r="E493" s="113">
        <v>24</v>
      </c>
      <c r="F493" s="113">
        <v>14</v>
      </c>
      <c r="M493" s="185">
        <v>6.55</v>
      </c>
      <c r="N493" s="157">
        <v>41837</v>
      </c>
      <c r="R493" s="185"/>
      <c r="S493" s="137">
        <v>18.86</v>
      </c>
      <c r="T493" s="157">
        <v>41837</v>
      </c>
      <c r="U493" s="142">
        <v>18</v>
      </c>
      <c r="Y493" s="142">
        <f t="shared" si="7"/>
        <v>13.823460000000001</v>
      </c>
      <c r="Z493" s="157">
        <v>41837</v>
      </c>
      <c r="AE493" s="137">
        <v>36.57</v>
      </c>
      <c r="AF493" s="157">
        <v>41837</v>
      </c>
      <c r="AG493" s="185">
        <v>4.47</v>
      </c>
      <c r="AH493" s="157">
        <v>41837</v>
      </c>
      <c r="AM493" s="137">
        <v>87</v>
      </c>
      <c r="BM493" s="138">
        <v>61.74</v>
      </c>
      <c r="BN493" s="157">
        <v>41837</v>
      </c>
      <c r="BS493" s="138">
        <v>51.58</v>
      </c>
      <c r="BT493" s="157">
        <v>41837</v>
      </c>
      <c r="BU493" s="138">
        <v>37.799999999999997</v>
      </c>
      <c r="BV493" s="157">
        <v>41837</v>
      </c>
      <c r="BW493" s="138">
        <v>17.3</v>
      </c>
      <c r="BX493" s="157">
        <v>41837</v>
      </c>
      <c r="CC493" s="138">
        <v>7.8</v>
      </c>
      <c r="CD493" s="157">
        <v>41837</v>
      </c>
    </row>
    <row r="494" spans="1:91">
      <c r="A494" s="159" t="s">
        <v>7614</v>
      </c>
      <c r="B494" s="112" t="s">
        <v>269</v>
      </c>
      <c r="C494" s="112">
        <v>3</v>
      </c>
      <c r="D494" s="112">
        <v>12</v>
      </c>
      <c r="E494" s="113">
        <v>25</v>
      </c>
      <c r="F494" s="113">
        <v>14</v>
      </c>
      <c r="I494" s="200"/>
      <c r="K494" s="142"/>
      <c r="M494" s="185">
        <v>5.6</v>
      </c>
      <c r="N494" s="157">
        <v>41837</v>
      </c>
      <c r="Q494" s="142"/>
      <c r="R494" s="185"/>
      <c r="S494" s="142">
        <v>15.6</v>
      </c>
      <c r="T494" s="157">
        <v>41837</v>
      </c>
      <c r="U494" s="142">
        <v>18</v>
      </c>
      <c r="W494" s="142"/>
      <c r="Y494" s="142">
        <f t="shared" si="7"/>
        <v>12.773070000000001</v>
      </c>
      <c r="Z494" s="157">
        <v>41837</v>
      </c>
      <c r="AA494" s="142"/>
      <c r="AE494" s="142">
        <v>31.23</v>
      </c>
      <c r="AF494" s="157">
        <v>41837</v>
      </c>
      <c r="AG494" s="185">
        <v>5.42</v>
      </c>
      <c r="AH494" s="157">
        <v>41837</v>
      </c>
      <c r="AK494" s="142"/>
      <c r="AM494" s="142">
        <v>87</v>
      </c>
      <c r="BM494" s="138">
        <v>64.55</v>
      </c>
      <c r="BN494" s="157">
        <v>41837</v>
      </c>
      <c r="BS494" s="138">
        <v>49.95</v>
      </c>
      <c r="BT494" s="157">
        <v>41837</v>
      </c>
      <c r="BU494" s="138">
        <v>40.9</v>
      </c>
      <c r="BV494" s="157">
        <v>41837</v>
      </c>
      <c r="BW494" s="138">
        <v>61.1</v>
      </c>
      <c r="BX494" s="157">
        <v>41837</v>
      </c>
      <c r="CC494" s="138">
        <v>7.9</v>
      </c>
      <c r="CD494" s="157">
        <v>41837</v>
      </c>
    </row>
    <row r="495" spans="1:91">
      <c r="A495" s="159" t="s">
        <v>7740</v>
      </c>
      <c r="B495" s="112" t="s">
        <v>269</v>
      </c>
      <c r="C495" s="112">
        <v>3</v>
      </c>
      <c r="D495" s="112">
        <v>123</v>
      </c>
      <c r="E495" s="113">
        <v>26</v>
      </c>
      <c r="F495" s="113">
        <v>14</v>
      </c>
      <c r="M495" s="185">
        <v>1.82</v>
      </c>
      <c r="N495" s="157">
        <v>41837</v>
      </c>
      <c r="R495" s="185"/>
      <c r="S495" s="137">
        <v>4.9000000000000004</v>
      </c>
      <c r="T495" s="157">
        <v>41837</v>
      </c>
      <c r="U495" s="142">
        <v>18</v>
      </c>
      <c r="Y495" s="142">
        <f t="shared" si="7"/>
        <v>4.0345599999999999</v>
      </c>
      <c r="Z495" s="157">
        <v>41837</v>
      </c>
      <c r="AE495" s="137">
        <v>10.24</v>
      </c>
      <c r="AF495" s="157">
        <v>41837</v>
      </c>
      <c r="AG495" s="185">
        <v>5.12</v>
      </c>
      <c r="AH495" s="157">
        <v>41837</v>
      </c>
      <c r="AM495" s="137">
        <v>72</v>
      </c>
      <c r="BM495" s="138">
        <v>60.31</v>
      </c>
      <c r="BN495" s="157">
        <v>41837</v>
      </c>
      <c r="BS495" s="138">
        <v>47.87</v>
      </c>
      <c r="BT495" s="157">
        <v>41837</v>
      </c>
      <c r="BU495" s="138">
        <v>39.4</v>
      </c>
      <c r="BV495" s="157">
        <v>41837</v>
      </c>
      <c r="BW495" s="138">
        <v>37.9</v>
      </c>
      <c r="BX495" s="157">
        <v>41837</v>
      </c>
      <c r="CC495" s="138">
        <v>7.1</v>
      </c>
      <c r="CD495" s="157">
        <v>41837</v>
      </c>
    </row>
    <row r="496" spans="1:91">
      <c r="A496" s="159" t="s">
        <v>7802</v>
      </c>
      <c r="B496" s="112" t="s">
        <v>269</v>
      </c>
      <c r="C496" s="112">
        <v>3</v>
      </c>
      <c r="D496" s="112">
        <v>61</v>
      </c>
      <c r="E496" s="113">
        <v>27</v>
      </c>
      <c r="F496" s="113">
        <v>14</v>
      </c>
      <c r="M496" s="185">
        <v>5.9</v>
      </c>
      <c r="N496" s="157">
        <v>41837</v>
      </c>
      <c r="R496" s="185"/>
      <c r="S496" s="137">
        <v>16.88</v>
      </c>
      <c r="T496" s="157">
        <v>41837</v>
      </c>
      <c r="U496" s="142">
        <v>18</v>
      </c>
      <c r="Y496" s="142">
        <f t="shared" si="7"/>
        <v>13.247999999999999</v>
      </c>
      <c r="Z496" s="157">
        <v>41837</v>
      </c>
      <c r="AE496" s="137">
        <v>33.119999999999997</v>
      </c>
      <c r="AF496" s="157">
        <v>41837</v>
      </c>
      <c r="AG496" s="185">
        <v>5.31</v>
      </c>
      <c r="AH496" s="157">
        <v>41837</v>
      </c>
      <c r="AM496" s="137">
        <v>92</v>
      </c>
      <c r="BM496" s="138">
        <v>60.79</v>
      </c>
      <c r="BN496" s="157">
        <v>41837</v>
      </c>
      <c r="BS496" s="138">
        <v>50.97</v>
      </c>
      <c r="BT496" s="157">
        <v>41837</v>
      </c>
      <c r="BU496" s="138">
        <v>40</v>
      </c>
      <c r="BV496" s="157">
        <v>41837</v>
      </c>
      <c r="BW496" s="138">
        <v>15.1</v>
      </c>
      <c r="BX496" s="157">
        <v>41837</v>
      </c>
      <c r="CC496" s="138">
        <v>7.3</v>
      </c>
      <c r="CD496" s="157">
        <v>41837</v>
      </c>
    </row>
    <row r="497" spans="1:91">
      <c r="A497" s="159" t="s">
        <v>7649</v>
      </c>
      <c r="B497" s="112" t="s">
        <v>269</v>
      </c>
      <c r="C497" s="112">
        <v>3</v>
      </c>
      <c r="D497" s="112">
        <v>33</v>
      </c>
      <c r="E497" s="113">
        <v>28</v>
      </c>
      <c r="F497" s="113">
        <v>14</v>
      </c>
      <c r="M497" s="185">
        <v>4.5999999999999996</v>
      </c>
      <c r="N497" s="157">
        <v>41837</v>
      </c>
      <c r="R497" s="185"/>
      <c r="S497" s="137">
        <v>11.77</v>
      </c>
      <c r="T497" s="157">
        <v>41837</v>
      </c>
      <c r="U497" s="142">
        <v>18</v>
      </c>
      <c r="Y497" s="142">
        <f t="shared" si="7"/>
        <v>9.9807300000000012</v>
      </c>
      <c r="Z497" s="157">
        <v>41837</v>
      </c>
      <c r="AE497" s="137">
        <v>25.79</v>
      </c>
      <c r="AF497" s="157">
        <v>41837</v>
      </c>
      <c r="AG497" s="185">
        <v>5.2</v>
      </c>
      <c r="AH497" s="157">
        <v>41837</v>
      </c>
      <c r="AM497" s="137">
        <v>90</v>
      </c>
      <c r="BM497" s="138">
        <v>60.15</v>
      </c>
      <c r="BN497" s="157">
        <v>41837</v>
      </c>
      <c r="BS497" s="138">
        <v>45.63</v>
      </c>
      <c r="BT497" s="157">
        <v>41837</v>
      </c>
      <c r="BU497" s="138">
        <v>38.700000000000003</v>
      </c>
      <c r="BV497" s="157">
        <v>41837</v>
      </c>
      <c r="BW497" s="138">
        <v>56.1</v>
      </c>
      <c r="BX497" s="157">
        <v>41837</v>
      </c>
      <c r="CC497" s="138">
        <v>7.4</v>
      </c>
      <c r="CD497" s="157">
        <v>41837</v>
      </c>
    </row>
    <row r="498" spans="1:91">
      <c r="A498" s="159" t="s">
        <v>7688</v>
      </c>
      <c r="B498" s="112" t="s">
        <v>269</v>
      </c>
      <c r="C498" s="112">
        <v>3</v>
      </c>
      <c r="D498" s="112">
        <v>174</v>
      </c>
      <c r="E498" s="113">
        <v>29</v>
      </c>
      <c r="F498" s="113">
        <v>14</v>
      </c>
      <c r="M498" s="185">
        <v>5.72</v>
      </c>
      <c r="N498" s="157">
        <v>41837</v>
      </c>
      <c r="R498" s="185"/>
      <c r="S498" s="137">
        <v>15.65</v>
      </c>
      <c r="T498" s="157">
        <v>41837</v>
      </c>
      <c r="U498" s="142">
        <v>18</v>
      </c>
      <c r="Y498" s="142">
        <f t="shared" si="7"/>
        <v>12.309620000000001</v>
      </c>
      <c r="Z498" s="157">
        <v>41837</v>
      </c>
      <c r="AE498" s="137">
        <v>32.14</v>
      </c>
      <c r="AF498" s="157">
        <v>41837</v>
      </c>
      <c r="AG498" s="185">
        <v>4.26</v>
      </c>
      <c r="AH498" s="157">
        <v>41837</v>
      </c>
      <c r="AM498" s="137">
        <v>85</v>
      </c>
      <c r="BM498" s="138">
        <v>60.67</v>
      </c>
      <c r="BN498" s="157">
        <v>41837</v>
      </c>
      <c r="BS498" s="138">
        <v>48.7</v>
      </c>
      <c r="BT498" s="157">
        <v>41837</v>
      </c>
      <c r="BU498" s="138">
        <v>38.299999999999997</v>
      </c>
      <c r="BV498" s="157">
        <v>41837</v>
      </c>
      <c r="BW498" s="138">
        <v>17.7</v>
      </c>
      <c r="BX498" s="157">
        <v>41837</v>
      </c>
      <c r="CC498" s="138">
        <v>7.2</v>
      </c>
      <c r="CD498" s="157">
        <v>41837</v>
      </c>
    </row>
    <row r="499" spans="1:91">
      <c r="A499" s="189" t="s">
        <v>7667</v>
      </c>
      <c r="B499" s="190" t="s">
        <v>269</v>
      </c>
      <c r="C499" s="190">
        <v>3</v>
      </c>
      <c r="D499" s="190">
        <v>9</v>
      </c>
      <c r="E499" s="191">
        <v>30</v>
      </c>
      <c r="F499" s="191">
        <v>14</v>
      </c>
      <c r="G499" s="191"/>
      <c r="H499" s="191"/>
      <c r="I499" s="201"/>
      <c r="J499" s="190"/>
      <c r="K499" s="192"/>
      <c r="L499" s="193"/>
      <c r="M499" s="194">
        <v>3.91</v>
      </c>
      <c r="N499" s="193">
        <v>41837</v>
      </c>
      <c r="P499" s="193"/>
      <c r="Q499" s="192"/>
      <c r="R499" s="194"/>
      <c r="S499" s="192">
        <v>10.15</v>
      </c>
      <c r="T499" s="193">
        <v>41837</v>
      </c>
      <c r="U499" s="192">
        <v>18</v>
      </c>
      <c r="V499" s="193"/>
      <c r="W499" s="192"/>
      <c r="X499" s="193"/>
      <c r="Y499" s="192">
        <f t="shared" si="7"/>
        <v>8.0336999999999996</v>
      </c>
      <c r="Z499" s="193">
        <v>41837</v>
      </c>
      <c r="AA499" s="192"/>
      <c r="AB499" s="193"/>
      <c r="AC499" s="195"/>
      <c r="AD499" s="193"/>
      <c r="AE499" s="192">
        <v>21.95</v>
      </c>
      <c r="AF499" s="193">
        <v>41837</v>
      </c>
      <c r="AG499" s="194">
        <v>3.64</v>
      </c>
      <c r="AH499" s="193">
        <v>41837</v>
      </c>
      <c r="AI499" s="193"/>
      <c r="AJ499" s="193"/>
      <c r="AK499" s="192"/>
      <c r="AL499" s="193"/>
      <c r="AM499" s="192">
        <v>96</v>
      </c>
      <c r="AN499" s="193"/>
      <c r="AO499" s="195"/>
      <c r="AP499" s="195"/>
      <c r="AQ499" s="195"/>
      <c r="AR499" s="195"/>
      <c r="AS499" s="195"/>
      <c r="AT499" s="195"/>
      <c r="AU499" s="195"/>
      <c r="AV499" s="195"/>
      <c r="AW499" s="195"/>
      <c r="AX499" s="195"/>
      <c r="AY499" s="195"/>
      <c r="AZ499" s="195"/>
      <c r="BA499" s="195"/>
      <c r="BB499" s="195"/>
      <c r="BC499" s="195"/>
      <c r="BD499" s="195"/>
      <c r="BE499" s="196"/>
      <c r="BF499" s="196"/>
      <c r="BG499" s="196"/>
      <c r="BH499" s="196"/>
      <c r="BI499" s="196"/>
      <c r="BJ499" s="196"/>
      <c r="BK499" s="196"/>
      <c r="BL499" s="196"/>
      <c r="BM499" s="196">
        <v>59.57</v>
      </c>
      <c r="BN499" s="193">
        <v>41837</v>
      </c>
      <c r="BO499" s="196"/>
      <c r="BP499" s="196"/>
      <c r="BQ499" s="196"/>
      <c r="BR499" s="196"/>
      <c r="BS499" s="196">
        <v>46.23</v>
      </c>
      <c r="BT499" s="193">
        <v>41837</v>
      </c>
      <c r="BU499" s="196">
        <v>36.6</v>
      </c>
      <c r="BV499" s="193">
        <v>41837</v>
      </c>
      <c r="BW499" s="196">
        <v>20.100000000000001</v>
      </c>
      <c r="BX499" s="193">
        <v>41837</v>
      </c>
      <c r="BY499" s="196"/>
      <c r="BZ499" s="196"/>
      <c r="CA499" s="196"/>
      <c r="CB499" s="196"/>
      <c r="CC499" s="196">
        <v>7.3</v>
      </c>
      <c r="CD499" s="193">
        <v>41837</v>
      </c>
      <c r="CE499" s="196"/>
      <c r="CF499" s="196"/>
      <c r="CG499" s="196"/>
      <c r="CH499" s="196"/>
      <c r="CI499" s="196"/>
      <c r="CJ499" s="196"/>
      <c r="CK499" s="196"/>
      <c r="CL499" s="196"/>
      <c r="CM499" s="196"/>
    </row>
    <row r="500" spans="1:91">
      <c r="A500" s="159" t="s">
        <v>7805</v>
      </c>
      <c r="B500" s="112" t="s">
        <v>269</v>
      </c>
      <c r="C500" s="112">
        <v>3</v>
      </c>
      <c r="D500" s="112">
        <v>189</v>
      </c>
      <c r="E500" s="113">
        <v>31</v>
      </c>
      <c r="F500" s="113">
        <v>14</v>
      </c>
      <c r="M500" s="185">
        <v>5.64</v>
      </c>
      <c r="N500" s="157">
        <v>41837</v>
      </c>
      <c r="R500" s="185"/>
      <c r="S500" s="137">
        <v>15.93</v>
      </c>
      <c r="T500" s="157">
        <v>41837</v>
      </c>
      <c r="U500" s="142">
        <v>18</v>
      </c>
      <c r="Y500" s="142">
        <f t="shared" si="7"/>
        <v>12.057399999999999</v>
      </c>
      <c r="Z500" s="157">
        <v>41837</v>
      </c>
      <c r="AE500" s="137">
        <v>31.73</v>
      </c>
      <c r="AF500" s="157">
        <v>41837</v>
      </c>
      <c r="AG500" s="185">
        <v>4.8</v>
      </c>
      <c r="AH500" s="157">
        <v>41837</v>
      </c>
      <c r="AM500" s="137">
        <v>85</v>
      </c>
      <c r="BM500" s="138">
        <v>62.69</v>
      </c>
      <c r="BN500" s="157">
        <v>41837</v>
      </c>
      <c r="BS500" s="138">
        <v>50.2</v>
      </c>
      <c r="BT500" s="157">
        <v>41837</v>
      </c>
      <c r="BU500" s="138">
        <v>38</v>
      </c>
      <c r="BV500" s="157">
        <v>41837</v>
      </c>
      <c r="BW500" s="138">
        <v>14.6</v>
      </c>
      <c r="BX500" s="157">
        <v>41837</v>
      </c>
      <c r="CC500" s="138">
        <v>7.1</v>
      </c>
      <c r="CD500" s="157">
        <v>41837</v>
      </c>
    </row>
    <row r="501" spans="1:91">
      <c r="A501" s="189" t="s">
        <v>7730</v>
      </c>
      <c r="B501" s="190" t="s">
        <v>269</v>
      </c>
      <c r="C501" s="190">
        <v>3</v>
      </c>
      <c r="D501" s="190">
        <v>11</v>
      </c>
      <c r="E501" s="191">
        <v>32</v>
      </c>
      <c r="F501" s="191">
        <v>14</v>
      </c>
      <c r="G501" s="191"/>
      <c r="H501" s="191"/>
      <c r="I501" s="201"/>
      <c r="J501" s="190"/>
      <c r="K501" s="192"/>
      <c r="L501" s="193"/>
      <c r="M501" s="194">
        <v>6.91</v>
      </c>
      <c r="N501" s="193">
        <v>41837</v>
      </c>
      <c r="P501" s="193"/>
      <c r="Q501" s="192"/>
      <c r="R501" s="194"/>
      <c r="S501" s="192">
        <v>19.34</v>
      </c>
      <c r="T501" s="193">
        <v>41837</v>
      </c>
      <c r="U501" s="192">
        <v>18</v>
      </c>
      <c r="V501" s="193"/>
      <c r="W501" s="192"/>
      <c r="X501" s="193"/>
      <c r="Y501" s="192">
        <f t="shared" si="7"/>
        <v>14.561249999999999</v>
      </c>
      <c r="Z501" s="193">
        <v>41837</v>
      </c>
      <c r="AA501" s="192"/>
      <c r="AB501" s="193"/>
      <c r="AC501" s="195"/>
      <c r="AD501" s="193"/>
      <c r="AE501" s="192">
        <v>38.83</v>
      </c>
      <c r="AF501" s="193">
        <v>41837</v>
      </c>
      <c r="AG501" s="194">
        <v>4.33</v>
      </c>
      <c r="AH501" s="193">
        <v>41837</v>
      </c>
      <c r="AI501" s="193"/>
      <c r="AJ501" s="193"/>
      <c r="AK501" s="192"/>
      <c r="AL501" s="193"/>
      <c r="AM501" s="192">
        <v>87</v>
      </c>
      <c r="AN501" s="193"/>
      <c r="AO501" s="195"/>
      <c r="AP501" s="195"/>
      <c r="AQ501" s="195"/>
      <c r="AR501" s="195"/>
      <c r="AS501" s="195"/>
      <c r="AT501" s="195"/>
      <c r="AU501" s="195"/>
      <c r="AV501" s="195"/>
      <c r="AW501" s="195"/>
      <c r="AX501" s="195"/>
      <c r="AY501" s="195"/>
      <c r="AZ501" s="195"/>
      <c r="BA501" s="195"/>
      <c r="BB501" s="195"/>
      <c r="BC501" s="195"/>
      <c r="BD501" s="195"/>
      <c r="BE501" s="196"/>
      <c r="BF501" s="196"/>
      <c r="BG501" s="196"/>
      <c r="BH501" s="196"/>
      <c r="BI501" s="196"/>
      <c r="BJ501" s="196"/>
      <c r="BK501" s="196"/>
      <c r="BL501" s="196"/>
      <c r="BM501" s="196">
        <v>61.21</v>
      </c>
      <c r="BN501" s="193">
        <v>41837</v>
      </c>
      <c r="BO501" s="196"/>
      <c r="BP501" s="196"/>
      <c r="BQ501" s="196"/>
      <c r="BR501" s="196"/>
      <c r="BS501" s="196">
        <v>49.8</v>
      </c>
      <c r="BT501" s="193">
        <v>41837</v>
      </c>
      <c r="BU501" s="196">
        <v>37.5</v>
      </c>
      <c r="BV501" s="193">
        <v>41837</v>
      </c>
      <c r="BW501" s="196">
        <v>20.9</v>
      </c>
      <c r="BX501" s="193">
        <v>41837</v>
      </c>
      <c r="BY501" s="196"/>
      <c r="BZ501" s="196"/>
      <c r="CA501" s="196"/>
      <c r="CB501" s="196"/>
      <c r="CC501" s="196">
        <v>7.2</v>
      </c>
      <c r="CD501" s="193">
        <v>41837</v>
      </c>
      <c r="CE501" s="196"/>
      <c r="CF501" s="196"/>
      <c r="CG501" s="196"/>
      <c r="CH501" s="196"/>
      <c r="CI501" s="196"/>
      <c r="CJ501" s="196"/>
      <c r="CK501" s="196"/>
      <c r="CL501" s="196"/>
      <c r="CM501" s="196"/>
    </row>
    <row r="502" spans="1:91">
      <c r="A502" s="159" t="s">
        <v>7715</v>
      </c>
      <c r="B502" s="112" t="s">
        <v>269</v>
      </c>
      <c r="C502" s="112">
        <v>3</v>
      </c>
      <c r="D502" s="112">
        <v>43</v>
      </c>
      <c r="E502" s="113">
        <v>33</v>
      </c>
      <c r="F502" s="113">
        <v>14</v>
      </c>
      <c r="M502" s="185">
        <v>3.94</v>
      </c>
      <c r="N502" s="157">
        <v>41837</v>
      </c>
      <c r="R502" s="185"/>
      <c r="S502" s="137">
        <v>10.19</v>
      </c>
      <c r="T502" s="157">
        <v>41837</v>
      </c>
      <c r="U502" s="142">
        <v>18</v>
      </c>
      <c r="Y502" s="142">
        <f t="shared" si="7"/>
        <v>8.2955199999999998</v>
      </c>
      <c r="Z502" s="157">
        <v>41837</v>
      </c>
      <c r="AE502" s="137">
        <v>22.24</v>
      </c>
      <c r="AF502" s="157">
        <v>41837</v>
      </c>
      <c r="AG502" s="185">
        <v>3.83</v>
      </c>
      <c r="AH502" s="157">
        <v>41837</v>
      </c>
      <c r="AM502" s="137">
        <v>90</v>
      </c>
      <c r="BM502" s="138">
        <v>56.6</v>
      </c>
      <c r="BN502" s="157">
        <v>41837</v>
      </c>
      <c r="BS502" s="138">
        <v>45.84</v>
      </c>
      <c r="BT502" s="157">
        <v>41837</v>
      </c>
      <c r="BU502" s="138">
        <v>37.299999999999997</v>
      </c>
      <c r="BV502" s="157">
        <v>41837</v>
      </c>
      <c r="BW502" s="138">
        <v>26</v>
      </c>
      <c r="BX502" s="157">
        <v>41837</v>
      </c>
      <c r="CC502" s="138">
        <v>6.8</v>
      </c>
      <c r="CD502" s="157">
        <v>41837</v>
      </c>
    </row>
    <row r="503" spans="1:91">
      <c r="A503" s="159" t="s">
        <v>7747</v>
      </c>
      <c r="B503" s="112" t="s">
        <v>269</v>
      </c>
      <c r="C503" s="112">
        <v>3</v>
      </c>
      <c r="D503" s="112">
        <v>121</v>
      </c>
      <c r="E503" s="113">
        <v>34</v>
      </c>
      <c r="F503" s="113">
        <v>14</v>
      </c>
      <c r="M503" s="185">
        <v>4.32</v>
      </c>
      <c r="N503" s="157">
        <v>41837</v>
      </c>
      <c r="R503" s="185"/>
      <c r="S503" s="137">
        <v>11.78</v>
      </c>
      <c r="T503" s="157">
        <v>41837</v>
      </c>
      <c r="U503" s="142">
        <v>18</v>
      </c>
      <c r="Y503" s="142">
        <f t="shared" si="7"/>
        <v>9.723139999999999</v>
      </c>
      <c r="Z503" s="157">
        <v>41837</v>
      </c>
      <c r="AE503" s="137">
        <v>24.43</v>
      </c>
      <c r="AF503" s="157">
        <v>41837</v>
      </c>
      <c r="AG503" s="185">
        <v>4.58</v>
      </c>
      <c r="AH503" s="157">
        <v>41837</v>
      </c>
      <c r="AM503" s="137">
        <v>87</v>
      </c>
      <c r="BM503" s="138">
        <v>60.97</v>
      </c>
      <c r="BN503" s="157">
        <v>41837</v>
      </c>
      <c r="BS503" s="138">
        <v>48.22</v>
      </c>
      <c r="BT503" s="157">
        <v>41837</v>
      </c>
      <c r="BU503" s="138">
        <v>39.799999999999997</v>
      </c>
      <c r="BV503" s="157">
        <v>41837</v>
      </c>
      <c r="BW503" s="138">
        <v>76.2</v>
      </c>
      <c r="BX503" s="157">
        <v>41837</v>
      </c>
      <c r="CC503" s="138">
        <v>6.6</v>
      </c>
      <c r="CD503" s="157">
        <v>41837</v>
      </c>
    </row>
    <row r="504" spans="1:91">
      <c r="A504" s="159" t="s">
        <v>7856</v>
      </c>
      <c r="B504" s="112" t="s">
        <v>269</v>
      </c>
      <c r="C504" s="112">
        <v>3</v>
      </c>
      <c r="D504" s="112">
        <v>166</v>
      </c>
      <c r="E504" s="113">
        <v>35</v>
      </c>
      <c r="F504" s="113">
        <v>14</v>
      </c>
      <c r="M504" s="185">
        <v>6.6</v>
      </c>
      <c r="N504" s="157">
        <v>41837</v>
      </c>
      <c r="R504" s="185"/>
      <c r="S504" s="137">
        <v>18.93</v>
      </c>
      <c r="T504" s="157">
        <v>41837</v>
      </c>
      <c r="U504" s="142">
        <v>18</v>
      </c>
      <c r="Y504" s="142">
        <f t="shared" si="7"/>
        <v>14.400270000000001</v>
      </c>
      <c r="Z504" s="157">
        <v>41837</v>
      </c>
      <c r="AE504" s="137">
        <v>37.21</v>
      </c>
      <c r="AF504" s="157">
        <v>41837</v>
      </c>
      <c r="AG504" s="185">
        <v>4.68</v>
      </c>
      <c r="AH504" s="157">
        <v>41837</v>
      </c>
      <c r="AM504" s="137">
        <v>83</v>
      </c>
      <c r="BM504" s="138">
        <v>61.21</v>
      </c>
      <c r="BN504" s="157">
        <v>41837</v>
      </c>
      <c r="BS504" s="138">
        <v>50.86</v>
      </c>
      <c r="BT504" s="157">
        <v>41837</v>
      </c>
      <c r="BU504" s="138">
        <v>38.700000000000003</v>
      </c>
      <c r="BV504" s="157">
        <v>41837</v>
      </c>
      <c r="BW504" s="138">
        <v>19.399999999999999</v>
      </c>
      <c r="BX504" s="157">
        <v>41837</v>
      </c>
      <c r="CC504" s="138">
        <v>6.9</v>
      </c>
      <c r="CD504" s="157">
        <v>41837</v>
      </c>
    </row>
    <row r="505" spans="1:91">
      <c r="A505" s="159" t="s">
        <v>7651</v>
      </c>
      <c r="B505" s="112" t="s">
        <v>269</v>
      </c>
      <c r="C505" s="112">
        <v>3</v>
      </c>
      <c r="D505" s="112">
        <v>73</v>
      </c>
      <c r="E505" s="113">
        <v>36</v>
      </c>
      <c r="F505" s="113">
        <v>14</v>
      </c>
      <c r="M505" s="185">
        <v>0.76</v>
      </c>
      <c r="N505" s="157">
        <v>41837</v>
      </c>
      <c r="R505" s="185"/>
      <c r="S505" s="137">
        <v>2.06</v>
      </c>
      <c r="T505" s="157">
        <v>41837</v>
      </c>
      <c r="U505" s="142">
        <v>18</v>
      </c>
      <c r="Y505" s="142">
        <f t="shared" si="7"/>
        <v>1.7150400000000001</v>
      </c>
      <c r="Z505" s="157">
        <v>41837</v>
      </c>
      <c r="AE505" s="137">
        <v>4.32</v>
      </c>
      <c r="AF505" s="157">
        <v>41837</v>
      </c>
      <c r="AG505" s="185">
        <v>4.72</v>
      </c>
      <c r="AH505" s="157">
        <v>41837</v>
      </c>
      <c r="AM505" s="137">
        <v>96</v>
      </c>
      <c r="BM505" s="138">
        <v>60.1</v>
      </c>
      <c r="BN505" s="157">
        <v>41837</v>
      </c>
      <c r="BS505" s="138">
        <v>47.7</v>
      </c>
      <c r="BT505" s="157">
        <v>41837</v>
      </c>
      <c r="BU505" s="138">
        <v>39.700000000000003</v>
      </c>
      <c r="BV505" s="157">
        <v>41837</v>
      </c>
      <c r="BW505" s="138">
        <v>36.799999999999997</v>
      </c>
      <c r="BX505" s="157">
        <v>41837</v>
      </c>
      <c r="CC505" s="138">
        <v>6.1</v>
      </c>
      <c r="CD505" s="157">
        <v>41837</v>
      </c>
    </row>
    <row r="506" spans="1:91">
      <c r="A506" s="159" t="s">
        <v>7781</v>
      </c>
      <c r="B506" s="112" t="s">
        <v>269</v>
      </c>
      <c r="C506" s="112">
        <v>3</v>
      </c>
      <c r="D506" s="112">
        <v>155</v>
      </c>
      <c r="E506" s="113">
        <v>1</v>
      </c>
      <c r="F506" s="113">
        <v>15</v>
      </c>
      <c r="M506" s="185">
        <v>6.85</v>
      </c>
      <c r="N506" s="157">
        <v>41837</v>
      </c>
      <c r="R506" s="185"/>
      <c r="S506" s="137">
        <v>17.89</v>
      </c>
      <c r="T506" s="157">
        <v>41837</v>
      </c>
      <c r="U506" s="142">
        <v>18</v>
      </c>
      <c r="Y506" s="142">
        <f t="shared" si="7"/>
        <v>13.4505</v>
      </c>
      <c r="Z506" s="157">
        <v>41837</v>
      </c>
      <c r="AE506" s="137">
        <v>36.75</v>
      </c>
      <c r="AF506" s="157">
        <v>41837</v>
      </c>
      <c r="AG506" s="185">
        <v>5.0599999999999996</v>
      </c>
      <c r="AH506" s="157">
        <v>41837</v>
      </c>
      <c r="AM506" s="137">
        <v>96</v>
      </c>
      <c r="BM506" s="138">
        <v>60.3</v>
      </c>
      <c r="BN506" s="157">
        <v>41837</v>
      </c>
      <c r="BS506" s="138">
        <v>48.67</v>
      </c>
      <c r="BT506" s="157">
        <v>41837</v>
      </c>
      <c r="BU506" s="138">
        <v>36.6</v>
      </c>
      <c r="BV506" s="157">
        <v>41837</v>
      </c>
      <c r="BW506" s="138">
        <v>15.9</v>
      </c>
      <c r="BX506" s="157">
        <v>41837</v>
      </c>
      <c r="CC506" s="138">
        <v>11.4</v>
      </c>
      <c r="CD506" s="157">
        <v>41837</v>
      </c>
    </row>
    <row r="507" spans="1:91">
      <c r="A507" s="159" t="s">
        <v>7768</v>
      </c>
      <c r="B507" s="112" t="s">
        <v>269</v>
      </c>
      <c r="C507" s="112">
        <v>3</v>
      </c>
      <c r="D507" s="112">
        <v>32</v>
      </c>
      <c r="E507" s="113">
        <v>2</v>
      </c>
      <c r="F507" s="113">
        <v>15</v>
      </c>
      <c r="M507" s="185">
        <v>6.82</v>
      </c>
      <c r="N507" s="157">
        <v>41837</v>
      </c>
      <c r="R507" s="185"/>
      <c r="S507" s="137">
        <v>18.03</v>
      </c>
      <c r="T507" s="157">
        <v>41837</v>
      </c>
      <c r="U507" s="142">
        <v>18</v>
      </c>
      <c r="Y507" s="142">
        <f t="shared" si="7"/>
        <v>13.785</v>
      </c>
      <c r="Z507" s="157">
        <v>41837</v>
      </c>
      <c r="AE507" s="137">
        <v>36.76</v>
      </c>
      <c r="AF507" s="157">
        <v>41837</v>
      </c>
      <c r="AG507" s="185">
        <v>5.3</v>
      </c>
      <c r="AH507" s="157">
        <v>41837</v>
      </c>
      <c r="AM507" s="137">
        <v>83</v>
      </c>
      <c r="BM507" s="138">
        <v>61.46</v>
      </c>
      <c r="BN507" s="157">
        <v>41837</v>
      </c>
      <c r="BS507" s="138">
        <v>49.06</v>
      </c>
      <c r="BT507" s="157">
        <v>41837</v>
      </c>
      <c r="BU507" s="138">
        <v>37.5</v>
      </c>
      <c r="BV507" s="157">
        <v>41837</v>
      </c>
      <c r="BW507" s="138">
        <v>15.3</v>
      </c>
      <c r="BX507" s="157">
        <v>41837</v>
      </c>
      <c r="CC507" s="138">
        <v>11</v>
      </c>
      <c r="CD507" s="157">
        <v>41837</v>
      </c>
    </row>
    <row r="508" spans="1:91">
      <c r="A508" s="159" t="s">
        <v>7625</v>
      </c>
      <c r="B508" s="112" t="s">
        <v>269</v>
      </c>
      <c r="C508" s="112">
        <v>3</v>
      </c>
      <c r="D508" s="112">
        <v>180</v>
      </c>
      <c r="E508" s="113">
        <v>3</v>
      </c>
      <c r="F508" s="113">
        <v>15</v>
      </c>
      <c r="M508" s="185">
        <v>4.46</v>
      </c>
      <c r="N508" s="157">
        <v>41837</v>
      </c>
      <c r="R508" s="185"/>
      <c r="S508" s="137">
        <v>11.5</v>
      </c>
      <c r="T508" s="157">
        <v>41837</v>
      </c>
      <c r="U508" s="142">
        <v>18</v>
      </c>
      <c r="Y508" s="142">
        <f t="shared" si="7"/>
        <v>9.450470000000001</v>
      </c>
      <c r="Z508" s="157">
        <v>41837</v>
      </c>
      <c r="AE508" s="137">
        <v>24.17</v>
      </c>
      <c r="AF508" s="157">
        <v>41837</v>
      </c>
      <c r="AG508" s="185">
        <v>4.79</v>
      </c>
      <c r="AH508" s="157">
        <v>41837</v>
      </c>
      <c r="AM508" s="137">
        <v>90</v>
      </c>
      <c r="BM508" s="138">
        <v>60.7</v>
      </c>
      <c r="BN508" s="157">
        <v>41837</v>
      </c>
      <c r="BS508" s="138">
        <v>47.56</v>
      </c>
      <c r="BT508" s="157">
        <v>41837</v>
      </c>
      <c r="BU508" s="138">
        <v>39.1</v>
      </c>
      <c r="BV508" s="157">
        <v>41837</v>
      </c>
      <c r="BW508" s="138">
        <v>49.8</v>
      </c>
      <c r="BX508" s="157">
        <v>41837</v>
      </c>
      <c r="CC508" s="138">
        <v>10.5</v>
      </c>
      <c r="CD508" s="157">
        <v>41837</v>
      </c>
    </row>
    <row r="509" spans="1:91">
      <c r="A509" s="159" t="s">
        <v>7640</v>
      </c>
      <c r="B509" s="112" t="s">
        <v>269</v>
      </c>
      <c r="C509" s="112">
        <v>3</v>
      </c>
      <c r="D509" s="112">
        <v>209</v>
      </c>
      <c r="E509" s="113">
        <v>4</v>
      </c>
      <c r="F509" s="113">
        <v>15</v>
      </c>
      <c r="M509" s="185">
        <v>6.24</v>
      </c>
      <c r="N509" s="157">
        <v>41837</v>
      </c>
      <c r="R509" s="185"/>
      <c r="S509" s="137">
        <v>17.59</v>
      </c>
      <c r="T509" s="157">
        <v>41837</v>
      </c>
      <c r="U509" s="142">
        <v>18</v>
      </c>
      <c r="Y509" s="142">
        <f t="shared" si="7"/>
        <v>13.48563</v>
      </c>
      <c r="Z509" s="157">
        <v>41837</v>
      </c>
      <c r="AE509" s="137">
        <v>33.630000000000003</v>
      </c>
      <c r="AF509" s="157">
        <v>41837</v>
      </c>
      <c r="AG509" s="185">
        <v>4.95</v>
      </c>
      <c r="AH509" s="157">
        <v>41837</v>
      </c>
      <c r="AM509" s="137">
        <v>90</v>
      </c>
      <c r="BM509" s="138">
        <v>64.89</v>
      </c>
      <c r="BN509" s="157">
        <v>41837</v>
      </c>
      <c r="BS509" s="138">
        <v>52.31</v>
      </c>
      <c r="BT509" s="157">
        <v>41837</v>
      </c>
      <c r="BU509" s="138">
        <v>40.1</v>
      </c>
      <c r="BV509" s="157">
        <v>41837</v>
      </c>
      <c r="BW509" s="138">
        <v>16.7</v>
      </c>
      <c r="BX509" s="157">
        <v>41837</v>
      </c>
      <c r="CC509" s="138">
        <v>11</v>
      </c>
      <c r="CD509" s="157">
        <v>41837</v>
      </c>
    </row>
    <row r="510" spans="1:91" s="196" customFormat="1">
      <c r="A510" s="189" t="s">
        <v>7628</v>
      </c>
      <c r="B510" s="190" t="s">
        <v>269</v>
      </c>
      <c r="C510" s="190">
        <v>3</v>
      </c>
      <c r="D510" s="190">
        <v>141</v>
      </c>
      <c r="E510" s="191">
        <v>5</v>
      </c>
      <c r="F510" s="191">
        <v>15</v>
      </c>
      <c r="G510" s="191"/>
      <c r="H510" s="191"/>
      <c r="I510" s="190"/>
      <c r="J510" s="190"/>
      <c r="K510" s="195"/>
      <c r="L510" s="193"/>
      <c r="M510" s="194">
        <v>2.6</v>
      </c>
      <c r="N510" s="193">
        <v>41837</v>
      </c>
      <c r="O510" s="137"/>
      <c r="P510" s="193"/>
      <c r="Q510" s="195"/>
      <c r="R510" s="194"/>
      <c r="S510" s="195">
        <v>6.54</v>
      </c>
      <c r="T510" s="193">
        <v>41837</v>
      </c>
      <c r="U510" s="192">
        <v>18</v>
      </c>
      <c r="V510" s="193"/>
      <c r="W510" s="195"/>
      <c r="X510" s="193"/>
      <c r="Y510" s="192">
        <f t="shared" si="7"/>
        <v>5.8994999999999997</v>
      </c>
      <c r="Z510" s="193">
        <v>41837</v>
      </c>
      <c r="AA510" s="195"/>
      <c r="AB510" s="193"/>
      <c r="AC510" s="195"/>
      <c r="AD510" s="193"/>
      <c r="AE510" s="195">
        <v>14.25</v>
      </c>
      <c r="AF510" s="193">
        <v>41837</v>
      </c>
      <c r="AG510" s="194">
        <v>5.32</v>
      </c>
      <c r="AH510" s="193">
        <v>41837</v>
      </c>
      <c r="AI510" s="193"/>
      <c r="AJ510" s="193"/>
      <c r="AK510" s="195"/>
      <c r="AL510" s="193"/>
      <c r="AM510" s="195">
        <v>96</v>
      </c>
      <c r="AN510" s="193"/>
      <c r="AO510" s="195"/>
      <c r="AP510" s="195"/>
      <c r="AQ510" s="195"/>
      <c r="AR510" s="195"/>
      <c r="AS510" s="195"/>
      <c r="AT510" s="195"/>
      <c r="AU510" s="195"/>
      <c r="AV510" s="195"/>
      <c r="AW510" s="195"/>
      <c r="AX510" s="195"/>
      <c r="AY510" s="195"/>
      <c r="AZ510" s="195"/>
      <c r="BA510" s="195"/>
      <c r="BB510" s="195"/>
      <c r="BC510" s="195"/>
      <c r="BD510" s="195"/>
      <c r="BM510" s="196">
        <v>65.5</v>
      </c>
      <c r="BN510" s="193">
        <v>41837</v>
      </c>
      <c r="BS510" s="196">
        <v>45.86</v>
      </c>
      <c r="BT510" s="193">
        <v>41837</v>
      </c>
      <c r="BU510" s="196">
        <v>41.4</v>
      </c>
      <c r="BV510" s="193">
        <v>41837</v>
      </c>
      <c r="BW510" s="196">
        <v>52</v>
      </c>
      <c r="BX510" s="193">
        <v>41837</v>
      </c>
      <c r="CC510" s="196">
        <v>9.5</v>
      </c>
      <c r="CD510" s="193">
        <v>41837</v>
      </c>
    </row>
    <row r="511" spans="1:91" s="196" customFormat="1">
      <c r="A511" s="159" t="s">
        <v>7726</v>
      </c>
      <c r="B511" s="112" t="s">
        <v>269</v>
      </c>
      <c r="C511" s="112">
        <v>3</v>
      </c>
      <c r="D511" s="112">
        <v>33</v>
      </c>
      <c r="E511" s="113">
        <v>6</v>
      </c>
      <c r="F511" s="113">
        <v>15</v>
      </c>
      <c r="G511" s="113"/>
      <c r="H511" s="113"/>
      <c r="I511" s="112"/>
      <c r="J511" s="112"/>
      <c r="K511" s="137"/>
      <c r="L511" s="157"/>
      <c r="M511" s="185">
        <v>3.88</v>
      </c>
      <c r="N511" s="157">
        <v>41837</v>
      </c>
      <c r="O511" s="137"/>
      <c r="P511" s="157"/>
      <c r="Q511" s="137"/>
      <c r="R511" s="185"/>
      <c r="S511" s="137">
        <v>10.29</v>
      </c>
      <c r="T511" s="157">
        <v>41837</v>
      </c>
      <c r="U511" s="142">
        <v>18</v>
      </c>
      <c r="V511" s="157"/>
      <c r="W511" s="137"/>
      <c r="X511" s="157"/>
      <c r="Y511" s="142">
        <f t="shared" si="7"/>
        <v>8.1744000000000003</v>
      </c>
      <c r="Z511" s="157">
        <v>41837</v>
      </c>
      <c r="AA511" s="137"/>
      <c r="AB511" s="157"/>
      <c r="AC511" s="137"/>
      <c r="AD511" s="157"/>
      <c r="AE511" s="137">
        <v>20.96</v>
      </c>
      <c r="AF511" s="157">
        <v>41837</v>
      </c>
      <c r="AG511" s="185">
        <v>5.12</v>
      </c>
      <c r="AH511" s="157">
        <v>41837</v>
      </c>
      <c r="AI511" s="157"/>
      <c r="AJ511" s="157"/>
      <c r="AK511" s="137"/>
      <c r="AL511" s="157"/>
      <c r="AM511" s="137">
        <v>87</v>
      </c>
      <c r="AN511" s="157"/>
      <c r="AO511" s="137"/>
      <c r="AP511" s="137"/>
      <c r="AQ511" s="137"/>
      <c r="AR511" s="137"/>
      <c r="AS511" s="137"/>
      <c r="AT511" s="137"/>
      <c r="AU511" s="137"/>
      <c r="AV511" s="137"/>
      <c r="AW511" s="137"/>
      <c r="AX511" s="137"/>
      <c r="AY511" s="137"/>
      <c r="AZ511" s="137"/>
      <c r="BA511" s="137"/>
      <c r="BB511" s="137"/>
      <c r="BC511" s="137"/>
      <c r="BD511" s="137"/>
      <c r="BE511" s="138"/>
      <c r="BF511" s="138"/>
      <c r="BG511" s="138"/>
      <c r="BH511" s="138"/>
      <c r="BI511" s="138"/>
      <c r="BJ511" s="138"/>
      <c r="BK511" s="138"/>
      <c r="BL511" s="138"/>
      <c r="BM511" s="138">
        <v>59.82</v>
      </c>
      <c r="BN511" s="157">
        <v>41837</v>
      </c>
      <c r="BO511" s="138"/>
      <c r="BP511" s="138"/>
      <c r="BQ511" s="138"/>
      <c r="BR511" s="138"/>
      <c r="BS511" s="138">
        <v>49.08</v>
      </c>
      <c r="BT511" s="157">
        <v>41837</v>
      </c>
      <c r="BU511" s="138">
        <v>39</v>
      </c>
      <c r="BV511" s="157">
        <v>41837</v>
      </c>
      <c r="BW511" s="138">
        <v>21.7</v>
      </c>
      <c r="BX511" s="157">
        <v>41837</v>
      </c>
      <c r="BY511" s="138"/>
      <c r="BZ511" s="138"/>
      <c r="CA511" s="138"/>
      <c r="CB511" s="138"/>
      <c r="CC511" s="138">
        <v>10.8</v>
      </c>
      <c r="CD511" s="157">
        <v>41837</v>
      </c>
      <c r="CE511" s="138"/>
      <c r="CF511" s="138"/>
      <c r="CG511" s="138"/>
      <c r="CH511" s="138"/>
      <c r="CI511" s="138"/>
      <c r="CJ511" s="138"/>
      <c r="CK511" s="138"/>
      <c r="CL511" s="138"/>
      <c r="CM511" s="138"/>
    </row>
    <row r="512" spans="1:91" s="196" customFormat="1">
      <c r="A512" s="159" t="s">
        <v>7796</v>
      </c>
      <c r="B512" s="112" t="s">
        <v>269</v>
      </c>
      <c r="C512" s="112">
        <v>3</v>
      </c>
      <c r="D512" s="112">
        <v>88</v>
      </c>
      <c r="E512" s="113">
        <v>7</v>
      </c>
      <c r="F512" s="113">
        <v>15</v>
      </c>
      <c r="G512" s="113"/>
      <c r="H512" s="113"/>
      <c r="I512" s="112"/>
      <c r="J512" s="112"/>
      <c r="K512" s="137"/>
      <c r="L512" s="157"/>
      <c r="M512" s="185">
        <v>5.85</v>
      </c>
      <c r="N512" s="157">
        <v>41837</v>
      </c>
      <c r="O512" s="137"/>
      <c r="P512" s="157"/>
      <c r="Q512" s="137"/>
      <c r="R512" s="185"/>
      <c r="S512" s="137">
        <v>15.52</v>
      </c>
      <c r="T512" s="157">
        <v>41837</v>
      </c>
      <c r="U512" s="142">
        <v>18</v>
      </c>
      <c r="V512" s="157"/>
      <c r="W512" s="137"/>
      <c r="X512" s="157"/>
      <c r="Y512" s="142">
        <f t="shared" si="7"/>
        <v>12.553099999999999</v>
      </c>
      <c r="Z512" s="157">
        <v>41837</v>
      </c>
      <c r="AA512" s="137"/>
      <c r="AB512" s="157"/>
      <c r="AC512" s="137"/>
      <c r="AD512" s="157"/>
      <c r="AE512" s="137">
        <v>31.78</v>
      </c>
      <c r="AF512" s="157">
        <v>41837</v>
      </c>
      <c r="AG512" s="185">
        <v>4.75</v>
      </c>
      <c r="AH512" s="157">
        <v>41837</v>
      </c>
      <c r="AI512" s="157"/>
      <c r="AJ512" s="157"/>
      <c r="AK512" s="137"/>
      <c r="AL512" s="157"/>
      <c r="AM512" s="137">
        <v>90</v>
      </c>
      <c r="AN512" s="157"/>
      <c r="AO512" s="137"/>
      <c r="AP512" s="137"/>
      <c r="AQ512" s="137"/>
      <c r="AR512" s="137"/>
      <c r="AS512" s="137"/>
      <c r="AT512" s="137"/>
      <c r="AU512" s="137"/>
      <c r="AV512" s="137"/>
      <c r="AW512" s="137"/>
      <c r="AX512" s="137"/>
      <c r="AY512" s="137"/>
      <c r="AZ512" s="137"/>
      <c r="BA512" s="137"/>
      <c r="BB512" s="137"/>
      <c r="BC512" s="137"/>
      <c r="BD512" s="137"/>
      <c r="BE512" s="138"/>
      <c r="BF512" s="138"/>
      <c r="BG512" s="138"/>
      <c r="BH512" s="138"/>
      <c r="BI512" s="138"/>
      <c r="BJ512" s="138"/>
      <c r="BK512" s="138"/>
      <c r="BL512" s="138"/>
      <c r="BM512" s="138">
        <v>63.18</v>
      </c>
      <c r="BN512" s="157">
        <v>41837</v>
      </c>
      <c r="BO512" s="138"/>
      <c r="BP512" s="138"/>
      <c r="BQ512" s="138"/>
      <c r="BR512" s="138"/>
      <c r="BS512" s="138">
        <v>48.84</v>
      </c>
      <c r="BT512" s="157">
        <v>41837</v>
      </c>
      <c r="BU512" s="138">
        <v>39.5</v>
      </c>
      <c r="BV512" s="157">
        <v>41837</v>
      </c>
      <c r="BW512" s="138">
        <v>14.8</v>
      </c>
      <c r="BX512" s="157">
        <v>41837</v>
      </c>
      <c r="BY512" s="138"/>
      <c r="BZ512" s="138"/>
      <c r="CA512" s="138"/>
      <c r="CB512" s="138"/>
      <c r="CC512" s="138">
        <v>10.3</v>
      </c>
      <c r="CD512" s="157">
        <v>41837</v>
      </c>
      <c r="CE512" s="138"/>
      <c r="CF512" s="138"/>
      <c r="CG512" s="138"/>
      <c r="CH512" s="138"/>
      <c r="CI512" s="138"/>
      <c r="CJ512" s="138"/>
      <c r="CK512" s="138"/>
      <c r="CL512" s="138"/>
      <c r="CM512" s="138"/>
    </row>
    <row r="513" spans="1:91" s="196" customFormat="1">
      <c r="A513" s="186" t="s">
        <v>7803</v>
      </c>
      <c r="B513" s="187" t="s">
        <v>269</v>
      </c>
      <c r="C513" s="187">
        <v>3</v>
      </c>
      <c r="D513" s="187">
        <v>10</v>
      </c>
      <c r="E513" s="188">
        <v>8</v>
      </c>
      <c r="F513" s="188">
        <v>15</v>
      </c>
      <c r="G513" s="188"/>
      <c r="H513" s="188"/>
      <c r="I513" s="200"/>
      <c r="J513" s="187"/>
      <c r="K513" s="142"/>
      <c r="L513" s="157"/>
      <c r="M513" s="185">
        <v>7.48</v>
      </c>
      <c r="N513" s="157">
        <v>41837</v>
      </c>
      <c r="O513" s="137"/>
      <c r="P513" s="157"/>
      <c r="Q513" s="142"/>
      <c r="R513" s="185"/>
      <c r="S513" s="142">
        <v>21.05</v>
      </c>
      <c r="T513" s="157">
        <v>41837</v>
      </c>
      <c r="U513" s="142">
        <v>18</v>
      </c>
      <c r="V513" s="157"/>
      <c r="W513" s="142"/>
      <c r="X513" s="157"/>
      <c r="Y513" s="142">
        <f t="shared" si="7"/>
        <v>14.92605</v>
      </c>
      <c r="Z513" s="157">
        <v>41837</v>
      </c>
      <c r="AA513" s="142"/>
      <c r="AB513" s="157"/>
      <c r="AC513" s="137"/>
      <c r="AD513" s="157"/>
      <c r="AE513" s="142">
        <v>40.450000000000003</v>
      </c>
      <c r="AF513" s="157">
        <v>41837</v>
      </c>
      <c r="AG513" s="185">
        <v>4.91</v>
      </c>
      <c r="AH513" s="157">
        <v>41837</v>
      </c>
      <c r="AI513" s="157"/>
      <c r="AJ513" s="157"/>
      <c r="AK513" s="142"/>
      <c r="AL513" s="157"/>
      <c r="AM513" s="142">
        <v>90</v>
      </c>
      <c r="AN513" s="157"/>
      <c r="AO513" s="137"/>
      <c r="AP513" s="137"/>
      <c r="AQ513" s="137"/>
      <c r="AR513" s="137"/>
      <c r="AS513" s="137"/>
      <c r="AT513" s="137"/>
      <c r="AU513" s="137"/>
      <c r="AV513" s="137"/>
      <c r="AW513" s="137"/>
      <c r="AX513" s="137"/>
      <c r="AY513" s="137"/>
      <c r="AZ513" s="137"/>
      <c r="BA513" s="137"/>
      <c r="BB513" s="137"/>
      <c r="BC513" s="137"/>
      <c r="BD513" s="137"/>
      <c r="BE513" s="138"/>
      <c r="BF513" s="138"/>
      <c r="BG513" s="138"/>
      <c r="BH513" s="138"/>
      <c r="BI513" s="138"/>
      <c r="BJ513" s="138"/>
      <c r="BK513" s="138"/>
      <c r="BL513" s="138"/>
      <c r="BM513" s="138">
        <v>60.7</v>
      </c>
      <c r="BN513" s="157">
        <v>41837</v>
      </c>
      <c r="BO513" s="138"/>
      <c r="BP513" s="138"/>
      <c r="BQ513" s="138"/>
      <c r="BR513" s="138"/>
      <c r="BS513" s="138">
        <v>52.05</v>
      </c>
      <c r="BT513" s="157">
        <v>41837</v>
      </c>
      <c r="BU513" s="138">
        <v>36.9</v>
      </c>
      <c r="BV513" s="157">
        <v>41837</v>
      </c>
      <c r="BW513" s="138">
        <v>13.1</v>
      </c>
      <c r="BX513" s="157">
        <v>41837</v>
      </c>
      <c r="BY513" s="138"/>
      <c r="BZ513" s="138"/>
      <c r="CA513" s="138"/>
      <c r="CB513" s="138"/>
      <c r="CC513" s="138">
        <v>10.7</v>
      </c>
      <c r="CD513" s="157">
        <v>41837</v>
      </c>
      <c r="CE513" s="138"/>
      <c r="CF513" s="138"/>
      <c r="CG513" s="138"/>
      <c r="CH513" s="138"/>
      <c r="CI513" s="138"/>
      <c r="CJ513" s="138"/>
      <c r="CK513" s="138"/>
      <c r="CL513" s="138"/>
      <c r="CM513" s="138"/>
    </row>
    <row r="514" spans="1:91">
      <c r="A514" s="159" t="s">
        <v>7705</v>
      </c>
      <c r="B514" s="112" t="s">
        <v>269</v>
      </c>
      <c r="C514" s="112">
        <v>3</v>
      </c>
      <c r="D514" s="112">
        <v>174</v>
      </c>
      <c r="E514" s="113">
        <v>9</v>
      </c>
      <c r="F514" s="113">
        <v>15</v>
      </c>
      <c r="M514" s="185">
        <v>5.79</v>
      </c>
      <c r="N514" s="157">
        <v>41837</v>
      </c>
      <c r="R514" s="185"/>
      <c r="S514" s="137">
        <v>16</v>
      </c>
      <c r="T514" s="157">
        <v>41837</v>
      </c>
      <c r="U514" s="142">
        <v>18</v>
      </c>
      <c r="Y514" s="142">
        <f t="shared" ref="Y514:Y577" si="8">(AE514*BU514)/100</f>
        <v>12.783600000000002</v>
      </c>
      <c r="Z514" s="157">
        <v>41837</v>
      </c>
      <c r="AE514" s="137">
        <v>31.8</v>
      </c>
      <c r="AF514" s="157">
        <v>41837</v>
      </c>
      <c r="AG514" s="185">
        <v>4.58</v>
      </c>
      <c r="AH514" s="157">
        <v>41837</v>
      </c>
      <c r="AM514" s="137">
        <v>90</v>
      </c>
      <c r="BM514" s="138">
        <v>62.47</v>
      </c>
      <c r="BN514" s="157">
        <v>41837</v>
      </c>
      <c r="BS514" s="138">
        <v>50.33</v>
      </c>
      <c r="BT514" s="157">
        <v>41837</v>
      </c>
      <c r="BU514" s="138">
        <v>40.200000000000003</v>
      </c>
      <c r="BV514" s="157">
        <v>41837</v>
      </c>
      <c r="BW514" s="138">
        <v>14</v>
      </c>
      <c r="BX514" s="157">
        <v>41837</v>
      </c>
      <c r="CC514" s="138">
        <v>9.3000000000000007</v>
      </c>
      <c r="CD514" s="157">
        <v>41837</v>
      </c>
    </row>
    <row r="515" spans="1:91">
      <c r="A515" s="159" t="s">
        <v>7752</v>
      </c>
      <c r="B515" s="112" t="s">
        <v>269</v>
      </c>
      <c r="C515" s="112">
        <v>3</v>
      </c>
      <c r="D515" s="112">
        <v>24</v>
      </c>
      <c r="E515" s="113">
        <v>10</v>
      </c>
      <c r="F515" s="113">
        <v>15</v>
      </c>
      <c r="M515" s="185">
        <v>4.1900000000000004</v>
      </c>
      <c r="N515" s="157">
        <v>41837</v>
      </c>
      <c r="R515" s="185"/>
      <c r="S515" s="137">
        <v>11.22</v>
      </c>
      <c r="T515" s="157">
        <v>41837</v>
      </c>
      <c r="U515" s="142">
        <v>18</v>
      </c>
      <c r="Y515" s="142">
        <f t="shared" si="8"/>
        <v>9.6725199999999987</v>
      </c>
      <c r="Z515" s="157">
        <v>41837</v>
      </c>
      <c r="AE515" s="137">
        <v>23.14</v>
      </c>
      <c r="AF515" s="157">
        <v>41837</v>
      </c>
      <c r="AG515" s="185">
        <v>5.22</v>
      </c>
      <c r="AH515" s="157">
        <v>41837</v>
      </c>
      <c r="AM515" s="137">
        <v>90</v>
      </c>
      <c r="BM515" s="138">
        <v>63.52</v>
      </c>
      <c r="BN515" s="157">
        <v>41837</v>
      </c>
      <c r="BS515" s="138">
        <v>48.48</v>
      </c>
      <c r="BT515" s="157">
        <v>41837</v>
      </c>
      <c r="BU515" s="138">
        <v>41.8</v>
      </c>
      <c r="BV515" s="157">
        <v>41837</v>
      </c>
      <c r="BW515" s="138">
        <v>66.3</v>
      </c>
      <c r="BX515" s="157">
        <v>41837</v>
      </c>
      <c r="CC515" s="138">
        <v>8.8000000000000007</v>
      </c>
      <c r="CD515" s="157">
        <v>41837</v>
      </c>
    </row>
    <row r="516" spans="1:91">
      <c r="A516" s="189" t="s">
        <v>7757</v>
      </c>
      <c r="B516" s="190" t="s">
        <v>269</v>
      </c>
      <c r="C516" s="190">
        <v>3</v>
      </c>
      <c r="D516" s="190">
        <v>30</v>
      </c>
      <c r="E516" s="191">
        <v>11</v>
      </c>
      <c r="F516" s="191">
        <v>15</v>
      </c>
      <c r="G516" s="191"/>
      <c r="H516" s="191"/>
      <c r="I516" s="190"/>
      <c r="J516" s="190"/>
      <c r="K516" s="195"/>
      <c r="L516" s="193"/>
      <c r="M516" s="194">
        <v>4.07</v>
      </c>
      <c r="N516" s="193">
        <v>41837</v>
      </c>
      <c r="P516" s="193"/>
      <c r="Q516" s="195"/>
      <c r="R516" s="194"/>
      <c r="S516" s="195">
        <v>10.19</v>
      </c>
      <c r="T516" s="193">
        <v>41837</v>
      </c>
      <c r="U516" s="192">
        <v>18</v>
      </c>
      <c r="V516" s="193"/>
      <c r="W516" s="195"/>
      <c r="X516" s="193"/>
      <c r="Y516" s="192">
        <f t="shared" si="8"/>
        <v>9.1756000000000011</v>
      </c>
      <c r="Z516" s="193">
        <v>41837</v>
      </c>
      <c r="AA516" s="195"/>
      <c r="AB516" s="193"/>
      <c r="AC516" s="195"/>
      <c r="AD516" s="193"/>
      <c r="AE516" s="195">
        <v>22.6</v>
      </c>
      <c r="AF516" s="193">
        <v>41837</v>
      </c>
      <c r="AG516" s="194">
        <v>4.5</v>
      </c>
      <c r="AH516" s="193">
        <v>41837</v>
      </c>
      <c r="AI516" s="193"/>
      <c r="AJ516" s="193"/>
      <c r="AK516" s="195"/>
      <c r="AL516" s="193"/>
      <c r="AM516" s="195">
        <v>96</v>
      </c>
      <c r="AN516" s="193"/>
      <c r="AO516" s="195"/>
      <c r="AP516" s="195"/>
      <c r="AQ516" s="195"/>
      <c r="AR516" s="195"/>
      <c r="AS516" s="195"/>
      <c r="AT516" s="195"/>
      <c r="AU516" s="195"/>
      <c r="AV516" s="195"/>
      <c r="AW516" s="195"/>
      <c r="AX516" s="195"/>
      <c r="AY516" s="195"/>
      <c r="AZ516" s="195"/>
      <c r="BA516" s="195"/>
      <c r="BB516" s="195"/>
      <c r="BC516" s="195"/>
      <c r="BD516" s="195"/>
      <c r="BE516" s="196"/>
      <c r="BF516" s="196"/>
      <c r="BG516" s="196"/>
      <c r="BH516" s="196"/>
      <c r="BI516" s="196"/>
      <c r="BJ516" s="196"/>
      <c r="BK516" s="196"/>
      <c r="BL516" s="196"/>
      <c r="BM516" s="196">
        <v>61.19</v>
      </c>
      <c r="BN516" s="193">
        <v>41837</v>
      </c>
      <c r="BO516" s="196"/>
      <c r="BP516" s="196"/>
      <c r="BQ516" s="196"/>
      <c r="BR516" s="196"/>
      <c r="BS516" s="196">
        <v>45.11</v>
      </c>
      <c r="BT516" s="193">
        <v>41837</v>
      </c>
      <c r="BU516" s="196">
        <v>40.6</v>
      </c>
      <c r="BV516" s="193">
        <v>41837</v>
      </c>
      <c r="BW516" s="196">
        <v>50.2</v>
      </c>
      <c r="BX516" s="193">
        <v>41837</v>
      </c>
      <c r="BY516" s="196"/>
      <c r="BZ516" s="196"/>
      <c r="CA516" s="196"/>
      <c r="CB516" s="196"/>
      <c r="CC516" s="196">
        <v>8.3000000000000007</v>
      </c>
      <c r="CD516" s="193">
        <v>41837</v>
      </c>
      <c r="CE516" s="196"/>
      <c r="CF516" s="196"/>
      <c r="CG516" s="196"/>
      <c r="CH516" s="196"/>
      <c r="CI516" s="196"/>
      <c r="CJ516" s="196"/>
      <c r="CK516" s="196"/>
      <c r="CL516" s="196"/>
      <c r="CM516" s="196"/>
    </row>
    <row r="517" spans="1:91">
      <c r="A517" s="159" t="s">
        <v>7613</v>
      </c>
      <c r="B517" s="112" t="s">
        <v>269</v>
      </c>
      <c r="C517" s="112">
        <v>3</v>
      </c>
      <c r="D517" s="112">
        <v>53</v>
      </c>
      <c r="E517" s="113">
        <v>12</v>
      </c>
      <c r="F517" s="113">
        <v>15</v>
      </c>
      <c r="M517" s="185">
        <v>2.37</v>
      </c>
      <c r="N517" s="157">
        <v>41837</v>
      </c>
      <c r="R517" s="185"/>
      <c r="S517" s="137">
        <v>6.22</v>
      </c>
      <c r="T517" s="157">
        <v>41837</v>
      </c>
      <c r="U517" s="142">
        <v>18</v>
      </c>
      <c r="Y517" s="142">
        <f t="shared" si="8"/>
        <v>5.2541400000000014</v>
      </c>
      <c r="Z517" s="157">
        <v>41837</v>
      </c>
      <c r="AE517" s="137">
        <v>13.07</v>
      </c>
      <c r="AF517" s="157">
        <v>41837</v>
      </c>
      <c r="AG517" s="185">
        <v>4.82</v>
      </c>
      <c r="AH517" s="157">
        <v>41837</v>
      </c>
      <c r="AM517" s="137">
        <v>85</v>
      </c>
      <c r="BM517" s="138">
        <v>62.31</v>
      </c>
      <c r="BN517" s="157">
        <v>41837</v>
      </c>
      <c r="BS517" s="138">
        <v>47.56</v>
      </c>
      <c r="BT517" s="157">
        <v>41837</v>
      </c>
      <c r="BU517" s="138">
        <v>40.200000000000003</v>
      </c>
      <c r="BV517" s="157">
        <v>41837</v>
      </c>
      <c r="BW517" s="138">
        <v>39.1</v>
      </c>
      <c r="BX517" s="157">
        <v>41837</v>
      </c>
      <c r="CC517" s="138">
        <v>8.9</v>
      </c>
      <c r="CD517" s="157">
        <v>41837</v>
      </c>
    </row>
    <row r="518" spans="1:91">
      <c r="A518" s="159" t="s">
        <v>8126</v>
      </c>
      <c r="B518" s="112" t="s">
        <v>269</v>
      </c>
      <c r="C518" s="112">
        <v>3</v>
      </c>
      <c r="D518" s="112">
        <v>65</v>
      </c>
      <c r="E518" s="113">
        <v>13</v>
      </c>
      <c r="F518" s="113">
        <v>15</v>
      </c>
      <c r="M518" s="185">
        <v>8.58</v>
      </c>
      <c r="N518" s="157">
        <v>41837</v>
      </c>
      <c r="R518" s="185"/>
      <c r="S518" s="137">
        <v>23.89</v>
      </c>
      <c r="T518" s="157">
        <v>41837</v>
      </c>
      <c r="U518" s="142">
        <v>18</v>
      </c>
      <c r="Y518" s="142">
        <f t="shared" si="8"/>
        <v>17.805709999999998</v>
      </c>
      <c r="Z518" s="157">
        <v>41837</v>
      </c>
      <c r="AE518" s="137">
        <v>47.23</v>
      </c>
      <c r="AF518" s="157">
        <v>41837</v>
      </c>
      <c r="AG518" s="185">
        <v>4.01</v>
      </c>
      <c r="AH518" s="157">
        <v>41837</v>
      </c>
      <c r="AM518" s="137">
        <v>85</v>
      </c>
      <c r="BM518" s="138">
        <v>59.64</v>
      </c>
      <c r="BN518" s="157">
        <v>41837</v>
      </c>
      <c r="BS518" s="138">
        <v>50.58</v>
      </c>
      <c r="BT518" s="157">
        <v>41837</v>
      </c>
      <c r="BU518" s="138">
        <v>37.700000000000003</v>
      </c>
      <c r="BV518" s="157">
        <v>41837</v>
      </c>
      <c r="BW518" s="138">
        <v>15.6</v>
      </c>
      <c r="BX518" s="157">
        <v>41837</v>
      </c>
      <c r="CC518" s="138">
        <v>9.1</v>
      </c>
      <c r="CD518" s="157">
        <v>41837</v>
      </c>
    </row>
    <row r="519" spans="1:91">
      <c r="A519" s="159" t="s">
        <v>7620</v>
      </c>
      <c r="B519" s="112" t="s">
        <v>269</v>
      </c>
      <c r="C519" s="112">
        <v>3</v>
      </c>
      <c r="D519" s="112">
        <v>205</v>
      </c>
      <c r="E519" s="113">
        <v>14</v>
      </c>
      <c r="F519" s="113">
        <v>15</v>
      </c>
      <c r="M519" s="185">
        <v>2.2799999999999998</v>
      </c>
      <c r="N519" s="157">
        <v>41837</v>
      </c>
      <c r="R519" s="185"/>
      <c r="S519" s="137">
        <v>5.94</v>
      </c>
      <c r="T519" s="157">
        <v>41837</v>
      </c>
      <c r="U519" s="142">
        <v>18</v>
      </c>
      <c r="Y519" s="142">
        <f t="shared" si="8"/>
        <v>5.1174600000000003</v>
      </c>
      <c r="Z519" s="157">
        <v>41837</v>
      </c>
      <c r="AE519" s="137">
        <v>12.73</v>
      </c>
      <c r="AF519" s="157">
        <v>41837</v>
      </c>
      <c r="AG519" s="185">
        <v>4.3099999999999996</v>
      </c>
      <c r="AH519" s="157">
        <v>41837</v>
      </c>
      <c r="AM519" s="137">
        <v>92</v>
      </c>
      <c r="BM519" s="138">
        <v>63.23</v>
      </c>
      <c r="BN519" s="157">
        <v>41837</v>
      </c>
      <c r="BS519" s="138">
        <v>46.69</v>
      </c>
      <c r="BT519" s="157">
        <v>41837</v>
      </c>
      <c r="BU519" s="138">
        <v>40.200000000000003</v>
      </c>
      <c r="BV519" s="157">
        <v>41837</v>
      </c>
      <c r="BW519" s="138">
        <v>63.3</v>
      </c>
      <c r="BX519" s="157">
        <v>41837</v>
      </c>
      <c r="CC519" s="138">
        <v>7.8</v>
      </c>
      <c r="CD519" s="157">
        <v>41837</v>
      </c>
    </row>
    <row r="520" spans="1:91">
      <c r="A520" s="159" t="s">
        <v>7787</v>
      </c>
      <c r="B520" s="112" t="s">
        <v>269</v>
      </c>
      <c r="C520" s="112">
        <v>3</v>
      </c>
      <c r="D520" s="112">
        <v>119</v>
      </c>
      <c r="E520" s="113">
        <v>15</v>
      </c>
      <c r="F520" s="113">
        <v>15</v>
      </c>
      <c r="M520" s="185">
        <v>6.91</v>
      </c>
      <c r="N520" s="157">
        <v>41837</v>
      </c>
      <c r="R520" s="185"/>
      <c r="S520" s="137">
        <v>19.489999999999998</v>
      </c>
      <c r="T520" s="157">
        <v>41837</v>
      </c>
      <c r="U520" s="142">
        <v>18</v>
      </c>
      <c r="Y520" s="142">
        <f t="shared" si="8"/>
        <v>14.695709999999996</v>
      </c>
      <c r="Z520" s="157">
        <v>41837</v>
      </c>
      <c r="AE520" s="137">
        <v>38.369999999999997</v>
      </c>
      <c r="AF520" s="157">
        <v>41837</v>
      </c>
      <c r="AG520" s="185">
        <v>5.37</v>
      </c>
      <c r="AH520" s="157">
        <v>41837</v>
      </c>
      <c r="AM520" s="137">
        <v>90</v>
      </c>
      <c r="BM520" s="138">
        <v>60.33</v>
      </c>
      <c r="BN520" s="157">
        <v>41837</v>
      </c>
      <c r="BS520" s="138">
        <v>50.79</v>
      </c>
      <c r="BT520" s="157">
        <v>41837</v>
      </c>
      <c r="BU520" s="138">
        <v>38.299999999999997</v>
      </c>
      <c r="BV520" s="157">
        <v>41837</v>
      </c>
      <c r="BW520" s="138">
        <v>10.9</v>
      </c>
      <c r="BX520" s="157">
        <v>41837</v>
      </c>
      <c r="CC520" s="138">
        <v>8.3000000000000007</v>
      </c>
      <c r="CD520" s="157">
        <v>41837</v>
      </c>
    </row>
    <row r="521" spans="1:91">
      <c r="A521" s="159" t="s">
        <v>7760</v>
      </c>
      <c r="B521" s="112" t="s">
        <v>269</v>
      </c>
      <c r="C521" s="112">
        <v>3</v>
      </c>
      <c r="D521" s="112">
        <v>94</v>
      </c>
      <c r="E521" s="113">
        <v>16</v>
      </c>
      <c r="F521" s="113">
        <v>15</v>
      </c>
      <c r="M521" s="185">
        <v>6.65</v>
      </c>
      <c r="N521" s="157">
        <v>41837</v>
      </c>
      <c r="R521" s="185"/>
      <c r="S521" s="137">
        <v>18.16</v>
      </c>
      <c r="T521" s="157">
        <v>41837</v>
      </c>
      <c r="U521" s="142">
        <v>18</v>
      </c>
      <c r="Y521" s="142">
        <f t="shared" si="8"/>
        <v>14.676600000000001</v>
      </c>
      <c r="Z521" s="157">
        <v>41837</v>
      </c>
      <c r="AE521" s="137">
        <v>36.6</v>
      </c>
      <c r="AF521" s="157">
        <v>41837</v>
      </c>
      <c r="AG521" s="185">
        <v>4.97</v>
      </c>
      <c r="AH521" s="157">
        <v>41837</v>
      </c>
      <c r="AM521" s="137">
        <v>92</v>
      </c>
      <c r="BM521" s="138">
        <v>60.5</v>
      </c>
      <c r="BN521" s="157">
        <v>41837</v>
      </c>
      <c r="BS521" s="138">
        <v>49.61</v>
      </c>
      <c r="BT521" s="157">
        <v>41837</v>
      </c>
      <c r="BU521" s="138">
        <v>40.1</v>
      </c>
      <c r="BV521" s="157">
        <v>41837</v>
      </c>
      <c r="BW521" s="138">
        <v>13.8</v>
      </c>
      <c r="BX521" s="157">
        <v>41837</v>
      </c>
      <c r="CC521" s="138">
        <v>9.1</v>
      </c>
      <c r="CD521" s="157">
        <v>41837</v>
      </c>
    </row>
    <row r="522" spans="1:91" s="196" customFormat="1">
      <c r="A522" s="159" t="s">
        <v>7759</v>
      </c>
      <c r="B522" s="112" t="s">
        <v>269</v>
      </c>
      <c r="C522" s="112">
        <v>3</v>
      </c>
      <c r="D522" s="112">
        <v>158</v>
      </c>
      <c r="E522" s="113">
        <v>17</v>
      </c>
      <c r="F522" s="113">
        <v>15</v>
      </c>
      <c r="G522" s="113"/>
      <c r="H522" s="113"/>
      <c r="I522" s="112"/>
      <c r="J522" s="112"/>
      <c r="K522" s="137"/>
      <c r="L522" s="157"/>
      <c r="M522" s="185">
        <v>4.79</v>
      </c>
      <c r="N522" s="157">
        <v>41837</v>
      </c>
      <c r="O522" s="137"/>
      <c r="P522" s="157"/>
      <c r="Q522" s="137"/>
      <c r="R522" s="185"/>
      <c r="S522" s="137">
        <v>12.95</v>
      </c>
      <c r="T522" s="157">
        <v>41837</v>
      </c>
      <c r="U522" s="142">
        <v>18</v>
      </c>
      <c r="V522" s="157"/>
      <c r="W522" s="137"/>
      <c r="X522" s="157"/>
      <c r="Y522" s="142">
        <f t="shared" si="8"/>
        <v>9.8574700000000011</v>
      </c>
      <c r="Z522" s="157">
        <v>41837</v>
      </c>
      <c r="AA522" s="137"/>
      <c r="AB522" s="157"/>
      <c r="AC522" s="137"/>
      <c r="AD522" s="157"/>
      <c r="AE522" s="137">
        <v>26.57</v>
      </c>
      <c r="AF522" s="157">
        <v>41837</v>
      </c>
      <c r="AG522" s="185">
        <v>4.68</v>
      </c>
      <c r="AH522" s="157">
        <v>41837</v>
      </c>
      <c r="AI522" s="157"/>
      <c r="AJ522" s="157"/>
      <c r="AK522" s="137"/>
      <c r="AL522" s="157"/>
      <c r="AM522" s="137">
        <v>92</v>
      </c>
      <c r="AN522" s="157"/>
      <c r="AO522" s="137"/>
      <c r="AP522" s="137"/>
      <c r="AQ522" s="137"/>
      <c r="AR522" s="137"/>
      <c r="AS522" s="137"/>
      <c r="AT522" s="137"/>
      <c r="AU522" s="137"/>
      <c r="AV522" s="137"/>
      <c r="AW522" s="137"/>
      <c r="AX522" s="137"/>
      <c r="AY522" s="137"/>
      <c r="AZ522" s="137"/>
      <c r="BA522" s="137"/>
      <c r="BB522" s="137"/>
      <c r="BC522" s="137"/>
      <c r="BD522" s="137"/>
      <c r="BE522" s="138"/>
      <c r="BF522" s="138"/>
      <c r="BG522" s="138"/>
      <c r="BH522" s="138"/>
      <c r="BI522" s="138"/>
      <c r="BJ522" s="138"/>
      <c r="BK522" s="138"/>
      <c r="BL522" s="138"/>
      <c r="BM522" s="138">
        <v>58.75</v>
      </c>
      <c r="BN522" s="157">
        <v>41837</v>
      </c>
      <c r="BO522" s="138"/>
      <c r="BP522" s="138"/>
      <c r="BQ522" s="138"/>
      <c r="BR522" s="138"/>
      <c r="BS522" s="138">
        <v>48.74</v>
      </c>
      <c r="BT522" s="157">
        <v>41837</v>
      </c>
      <c r="BU522" s="138">
        <v>37.1</v>
      </c>
      <c r="BV522" s="157">
        <v>41837</v>
      </c>
      <c r="BW522" s="138">
        <v>15.7</v>
      </c>
      <c r="BX522" s="157">
        <v>41837</v>
      </c>
      <c r="BY522" s="138"/>
      <c r="BZ522" s="138"/>
      <c r="CA522" s="138"/>
      <c r="CB522" s="138"/>
      <c r="CC522" s="138">
        <v>8.4</v>
      </c>
      <c r="CD522" s="157">
        <v>41837</v>
      </c>
      <c r="CE522" s="138"/>
      <c r="CF522" s="138"/>
      <c r="CG522" s="138"/>
      <c r="CH522" s="138"/>
      <c r="CI522" s="138"/>
      <c r="CJ522" s="138"/>
      <c r="CK522" s="138"/>
      <c r="CL522" s="138"/>
      <c r="CM522" s="138"/>
    </row>
    <row r="523" spans="1:91" s="196" customFormat="1">
      <c r="A523" s="159" t="s">
        <v>7724</v>
      </c>
      <c r="B523" s="112" t="s">
        <v>269</v>
      </c>
      <c r="C523" s="112">
        <v>3</v>
      </c>
      <c r="D523" s="112">
        <v>136</v>
      </c>
      <c r="E523" s="113">
        <v>18</v>
      </c>
      <c r="F523" s="113">
        <v>15</v>
      </c>
      <c r="G523" s="113"/>
      <c r="H523" s="113"/>
      <c r="I523" s="112"/>
      <c r="J523" s="112"/>
      <c r="K523" s="137"/>
      <c r="L523" s="157"/>
      <c r="M523" s="185">
        <v>5.49</v>
      </c>
      <c r="N523" s="157">
        <v>41837</v>
      </c>
      <c r="O523" s="137"/>
      <c r="P523" s="157"/>
      <c r="Q523" s="137"/>
      <c r="R523" s="185"/>
      <c r="S523" s="137">
        <v>15.31</v>
      </c>
      <c r="T523" s="157">
        <v>41837</v>
      </c>
      <c r="U523" s="142">
        <v>18</v>
      </c>
      <c r="V523" s="157"/>
      <c r="W523" s="137"/>
      <c r="X523" s="157"/>
      <c r="Y523" s="142">
        <f t="shared" si="8"/>
        <v>11.677650000000002</v>
      </c>
      <c r="Z523" s="157">
        <v>41837</v>
      </c>
      <c r="AA523" s="137"/>
      <c r="AB523" s="157"/>
      <c r="AC523" s="137"/>
      <c r="AD523" s="157"/>
      <c r="AE523" s="137">
        <v>30.65</v>
      </c>
      <c r="AF523" s="157">
        <v>41837</v>
      </c>
      <c r="AG523" s="185">
        <v>5.16</v>
      </c>
      <c r="AH523" s="157">
        <v>41837</v>
      </c>
      <c r="AI523" s="157"/>
      <c r="AJ523" s="157"/>
      <c r="AK523" s="137"/>
      <c r="AL523" s="157"/>
      <c r="AM523" s="137">
        <v>94</v>
      </c>
      <c r="AN523" s="157"/>
      <c r="AO523" s="137"/>
      <c r="AP523" s="137"/>
      <c r="AQ523" s="137"/>
      <c r="AR523" s="137"/>
      <c r="AS523" s="137"/>
      <c r="AT523" s="137"/>
      <c r="AU523" s="137"/>
      <c r="AV523" s="137"/>
      <c r="AW523" s="137"/>
      <c r="AX523" s="137"/>
      <c r="AY523" s="137"/>
      <c r="AZ523" s="137"/>
      <c r="BA523" s="137"/>
      <c r="BB523" s="137"/>
      <c r="BC523" s="137"/>
      <c r="BD523" s="137"/>
      <c r="BE523" s="138"/>
      <c r="BF523" s="138"/>
      <c r="BG523" s="138"/>
      <c r="BH523" s="138"/>
      <c r="BI523" s="138"/>
      <c r="BJ523" s="138"/>
      <c r="BK523" s="138"/>
      <c r="BL523" s="138"/>
      <c r="BM523" s="138">
        <v>60.72</v>
      </c>
      <c r="BN523" s="157">
        <v>41837</v>
      </c>
      <c r="BO523" s="138"/>
      <c r="BP523" s="138"/>
      <c r="BQ523" s="138"/>
      <c r="BR523" s="138"/>
      <c r="BS523" s="138">
        <v>49.95</v>
      </c>
      <c r="BT523" s="157">
        <v>41837</v>
      </c>
      <c r="BU523" s="138">
        <v>38.1</v>
      </c>
      <c r="BV523" s="157">
        <v>41837</v>
      </c>
      <c r="BW523" s="138">
        <v>15.7</v>
      </c>
      <c r="BX523" s="157">
        <v>41837</v>
      </c>
      <c r="BY523" s="138"/>
      <c r="BZ523" s="138"/>
      <c r="CA523" s="138"/>
      <c r="CB523" s="138"/>
      <c r="CC523" s="138">
        <v>7.8</v>
      </c>
      <c r="CD523" s="157">
        <v>41837</v>
      </c>
      <c r="CE523" s="138"/>
      <c r="CF523" s="138"/>
      <c r="CG523" s="138"/>
      <c r="CH523" s="138"/>
      <c r="CI523" s="138"/>
      <c r="CJ523" s="138"/>
      <c r="CK523" s="138"/>
      <c r="CL523" s="138"/>
      <c r="CM523" s="138"/>
    </row>
    <row r="524" spans="1:91" s="196" customFormat="1">
      <c r="A524" s="159" t="s">
        <v>7712</v>
      </c>
      <c r="B524" s="112" t="s">
        <v>269</v>
      </c>
      <c r="C524" s="112">
        <v>3</v>
      </c>
      <c r="D524" s="112">
        <v>157</v>
      </c>
      <c r="E524" s="113">
        <v>19</v>
      </c>
      <c r="F524" s="113">
        <v>15</v>
      </c>
      <c r="G524" s="113"/>
      <c r="H524" s="113"/>
      <c r="I524" s="112"/>
      <c r="J524" s="112"/>
      <c r="K524" s="137"/>
      <c r="L524" s="157"/>
      <c r="M524" s="185">
        <v>6.81</v>
      </c>
      <c r="N524" s="157">
        <v>41837</v>
      </c>
      <c r="O524" s="137"/>
      <c r="P524" s="157"/>
      <c r="Q524" s="137"/>
      <c r="R524" s="185"/>
      <c r="S524" s="137">
        <v>18.97</v>
      </c>
      <c r="T524" s="157">
        <v>41837</v>
      </c>
      <c r="U524" s="142">
        <v>18</v>
      </c>
      <c r="V524" s="157"/>
      <c r="W524" s="137"/>
      <c r="X524" s="157"/>
      <c r="Y524" s="142">
        <f t="shared" si="8"/>
        <v>14.986299999999998</v>
      </c>
      <c r="Z524" s="157">
        <v>41837</v>
      </c>
      <c r="AA524" s="137"/>
      <c r="AB524" s="157"/>
      <c r="AC524" s="137"/>
      <c r="AD524" s="157"/>
      <c r="AE524" s="137">
        <v>37.94</v>
      </c>
      <c r="AF524" s="157">
        <v>41837</v>
      </c>
      <c r="AG524" s="185">
        <v>5.18</v>
      </c>
      <c r="AH524" s="157">
        <v>41837</v>
      </c>
      <c r="AI524" s="157"/>
      <c r="AJ524" s="157"/>
      <c r="AK524" s="137"/>
      <c r="AL524" s="157"/>
      <c r="AM524" s="137">
        <v>94</v>
      </c>
      <c r="AN524" s="157"/>
      <c r="AO524" s="137"/>
      <c r="AP524" s="137"/>
      <c r="AQ524" s="137"/>
      <c r="AR524" s="137"/>
      <c r="AS524" s="137"/>
      <c r="AT524" s="137"/>
      <c r="AU524" s="137"/>
      <c r="AV524" s="137"/>
      <c r="AW524" s="137"/>
      <c r="AX524" s="137"/>
      <c r="AY524" s="137"/>
      <c r="AZ524" s="137"/>
      <c r="BA524" s="137"/>
      <c r="BB524" s="137"/>
      <c r="BC524" s="137"/>
      <c r="BD524" s="137"/>
      <c r="BE524" s="138"/>
      <c r="BF524" s="138"/>
      <c r="BG524" s="138"/>
      <c r="BH524" s="138"/>
      <c r="BI524" s="138"/>
      <c r="BJ524" s="138"/>
      <c r="BK524" s="138"/>
      <c r="BL524" s="138"/>
      <c r="BM524" s="138">
        <v>61.68</v>
      </c>
      <c r="BN524" s="157">
        <v>41837</v>
      </c>
      <c r="BO524" s="138"/>
      <c r="BP524" s="138"/>
      <c r="BQ524" s="138"/>
      <c r="BR524" s="138"/>
      <c r="BS524" s="138">
        <v>50</v>
      </c>
      <c r="BT524" s="157">
        <v>41837</v>
      </c>
      <c r="BU524" s="138">
        <v>39.5</v>
      </c>
      <c r="BV524" s="157">
        <v>41837</v>
      </c>
      <c r="BW524" s="138">
        <v>19.7</v>
      </c>
      <c r="BX524" s="157">
        <v>41837</v>
      </c>
      <c r="BY524" s="138"/>
      <c r="BZ524" s="138"/>
      <c r="CA524" s="138"/>
      <c r="CB524" s="138"/>
      <c r="CC524" s="138">
        <v>8</v>
      </c>
      <c r="CD524" s="157">
        <v>41837</v>
      </c>
      <c r="CE524" s="138"/>
      <c r="CF524" s="138"/>
      <c r="CG524" s="138"/>
      <c r="CH524" s="138"/>
      <c r="CI524" s="138"/>
      <c r="CJ524" s="138"/>
      <c r="CK524" s="138"/>
      <c r="CL524" s="138"/>
      <c r="CM524" s="138"/>
    </row>
    <row r="525" spans="1:91" s="196" customFormat="1">
      <c r="A525" s="159" t="s">
        <v>7709</v>
      </c>
      <c r="B525" s="112" t="s">
        <v>269</v>
      </c>
      <c r="C525" s="112">
        <v>3</v>
      </c>
      <c r="D525" s="112">
        <v>186</v>
      </c>
      <c r="E525" s="113">
        <v>20</v>
      </c>
      <c r="F525" s="113">
        <v>15</v>
      </c>
      <c r="G525" s="113"/>
      <c r="H525" s="113"/>
      <c r="I525" s="112"/>
      <c r="J525" s="112"/>
      <c r="K525" s="137"/>
      <c r="L525" s="157"/>
      <c r="M525" s="185">
        <v>6.59</v>
      </c>
      <c r="N525" s="157">
        <v>41837</v>
      </c>
      <c r="O525" s="137"/>
      <c r="P525" s="157"/>
      <c r="Q525" s="137"/>
      <c r="R525" s="185"/>
      <c r="S525" s="137">
        <v>18.13</v>
      </c>
      <c r="T525" s="157">
        <v>41837</v>
      </c>
      <c r="U525" s="142">
        <v>18</v>
      </c>
      <c r="V525" s="157"/>
      <c r="W525" s="137"/>
      <c r="X525" s="157"/>
      <c r="Y525" s="142">
        <f t="shared" si="8"/>
        <v>15.207990000000001</v>
      </c>
      <c r="Z525" s="157">
        <v>41837</v>
      </c>
      <c r="AA525" s="137"/>
      <c r="AB525" s="157"/>
      <c r="AC525" s="137"/>
      <c r="AD525" s="157"/>
      <c r="AE525" s="137">
        <v>36.47</v>
      </c>
      <c r="AF525" s="157">
        <v>41837</v>
      </c>
      <c r="AG525" s="185">
        <v>5.36</v>
      </c>
      <c r="AH525" s="157">
        <v>41837</v>
      </c>
      <c r="AI525" s="157"/>
      <c r="AJ525" s="157"/>
      <c r="AK525" s="137"/>
      <c r="AL525" s="157"/>
      <c r="AM525" s="137">
        <v>92</v>
      </c>
      <c r="AN525" s="157"/>
      <c r="AO525" s="137"/>
      <c r="AP525" s="137"/>
      <c r="AQ525" s="137"/>
      <c r="AR525" s="137"/>
      <c r="AS525" s="137"/>
      <c r="AT525" s="137"/>
      <c r="AU525" s="137"/>
      <c r="AV525" s="137"/>
      <c r="AW525" s="137"/>
      <c r="AX525" s="137"/>
      <c r="AY525" s="137"/>
      <c r="AZ525" s="137"/>
      <c r="BA525" s="137"/>
      <c r="BB525" s="137"/>
      <c r="BC525" s="137"/>
      <c r="BD525" s="137"/>
      <c r="BE525" s="138"/>
      <c r="BF525" s="138"/>
      <c r="BG525" s="138"/>
      <c r="BH525" s="138"/>
      <c r="BI525" s="138"/>
      <c r="BJ525" s="138"/>
      <c r="BK525" s="138"/>
      <c r="BL525" s="138"/>
      <c r="BM525" s="138">
        <v>60.56</v>
      </c>
      <c r="BN525" s="157">
        <v>41837</v>
      </c>
      <c r="BO525" s="138"/>
      <c r="BP525" s="138"/>
      <c r="BQ525" s="138"/>
      <c r="BR525" s="138"/>
      <c r="BS525" s="138">
        <v>49.72</v>
      </c>
      <c r="BT525" s="157">
        <v>41837</v>
      </c>
      <c r="BU525" s="138">
        <v>41.7</v>
      </c>
      <c r="BV525" s="157">
        <v>41837</v>
      </c>
      <c r="BW525" s="138">
        <v>17.8</v>
      </c>
      <c r="BX525" s="157">
        <v>41837</v>
      </c>
      <c r="BY525" s="138"/>
      <c r="BZ525" s="138"/>
      <c r="CA525" s="138"/>
      <c r="CB525" s="138"/>
      <c r="CC525" s="138">
        <v>8.6</v>
      </c>
      <c r="CD525" s="157">
        <v>41837</v>
      </c>
      <c r="CE525" s="138"/>
      <c r="CF525" s="138"/>
      <c r="CG525" s="138"/>
      <c r="CH525" s="138"/>
      <c r="CI525" s="138"/>
      <c r="CJ525" s="138"/>
      <c r="CK525" s="138"/>
      <c r="CL525" s="138"/>
      <c r="CM525" s="138"/>
    </row>
    <row r="526" spans="1:91">
      <c r="A526" s="189" t="s">
        <v>7670</v>
      </c>
      <c r="B526" s="190" t="s">
        <v>269</v>
      </c>
      <c r="C526" s="190">
        <v>3</v>
      </c>
      <c r="D526" s="190">
        <v>26</v>
      </c>
      <c r="E526" s="191">
        <v>21</v>
      </c>
      <c r="F526" s="191">
        <v>15</v>
      </c>
      <c r="G526" s="191"/>
      <c r="H526" s="191"/>
      <c r="I526" s="190"/>
      <c r="J526" s="190"/>
      <c r="K526" s="195"/>
      <c r="L526" s="193"/>
      <c r="M526" s="194">
        <v>6.01</v>
      </c>
      <c r="N526" s="193">
        <v>41837</v>
      </c>
      <c r="P526" s="193"/>
      <c r="Q526" s="195"/>
      <c r="R526" s="194"/>
      <c r="S526" s="195">
        <v>16.600000000000001</v>
      </c>
      <c r="T526" s="193">
        <v>41837</v>
      </c>
      <c r="U526" s="192">
        <v>18</v>
      </c>
      <c r="V526" s="193"/>
      <c r="W526" s="195"/>
      <c r="X526" s="193"/>
      <c r="Y526" s="192">
        <f t="shared" si="8"/>
        <v>12.972240000000001</v>
      </c>
      <c r="Z526" s="193">
        <v>41837</v>
      </c>
      <c r="AA526" s="195"/>
      <c r="AB526" s="193"/>
      <c r="AC526" s="195"/>
      <c r="AD526" s="193"/>
      <c r="AE526" s="195">
        <v>33.520000000000003</v>
      </c>
      <c r="AF526" s="193">
        <v>41837</v>
      </c>
      <c r="AG526" s="194">
        <v>4.68</v>
      </c>
      <c r="AH526" s="193">
        <v>41837</v>
      </c>
      <c r="AI526" s="193"/>
      <c r="AJ526" s="193"/>
      <c r="AK526" s="195"/>
      <c r="AL526" s="193"/>
      <c r="AM526" s="195">
        <v>94</v>
      </c>
      <c r="AN526" s="193"/>
      <c r="AO526" s="195"/>
      <c r="AP526" s="195"/>
      <c r="AQ526" s="195"/>
      <c r="AR526" s="195"/>
      <c r="AS526" s="195"/>
      <c r="AT526" s="195"/>
      <c r="AU526" s="195"/>
      <c r="AV526" s="195"/>
      <c r="AW526" s="195"/>
      <c r="AX526" s="195"/>
      <c r="AY526" s="195"/>
      <c r="AZ526" s="195"/>
      <c r="BA526" s="195"/>
      <c r="BB526" s="195"/>
      <c r="BC526" s="195"/>
      <c r="BD526" s="195"/>
      <c r="BE526" s="196"/>
      <c r="BF526" s="196"/>
      <c r="BG526" s="196"/>
      <c r="BH526" s="196"/>
      <c r="BI526" s="196"/>
      <c r="BJ526" s="196"/>
      <c r="BK526" s="196"/>
      <c r="BL526" s="196"/>
      <c r="BM526" s="196">
        <v>60.93</v>
      </c>
      <c r="BN526" s="193">
        <v>41837</v>
      </c>
      <c r="BO526" s="196"/>
      <c r="BP526" s="196"/>
      <c r="BQ526" s="196"/>
      <c r="BR526" s="196"/>
      <c r="BS526" s="196">
        <v>49.52</v>
      </c>
      <c r="BT526" s="193">
        <v>41837</v>
      </c>
      <c r="BU526" s="196">
        <v>38.700000000000003</v>
      </c>
      <c r="BV526" s="193">
        <v>41837</v>
      </c>
      <c r="BW526" s="196">
        <v>17.399999999999999</v>
      </c>
      <c r="BX526" s="193">
        <v>41837</v>
      </c>
      <c r="BY526" s="196"/>
      <c r="BZ526" s="196"/>
      <c r="CA526" s="196"/>
      <c r="CB526" s="196"/>
      <c r="CC526" s="196">
        <v>7.9</v>
      </c>
      <c r="CD526" s="193">
        <v>41837</v>
      </c>
      <c r="CE526" s="196"/>
      <c r="CF526" s="196"/>
      <c r="CG526" s="196"/>
      <c r="CH526" s="196"/>
      <c r="CI526" s="196"/>
      <c r="CJ526" s="196"/>
      <c r="CK526" s="196"/>
      <c r="CL526" s="196"/>
      <c r="CM526" s="196"/>
    </row>
    <row r="527" spans="1:91">
      <c r="A527" s="159" t="s">
        <v>7728</v>
      </c>
      <c r="B527" s="112" t="s">
        <v>269</v>
      </c>
      <c r="C527" s="112">
        <v>3</v>
      </c>
      <c r="D527" s="112">
        <v>54</v>
      </c>
      <c r="E527" s="113">
        <v>22</v>
      </c>
      <c r="F527" s="113">
        <v>15</v>
      </c>
      <c r="M527" s="185">
        <v>6.84</v>
      </c>
      <c r="N527" s="157">
        <v>41837</v>
      </c>
      <c r="R527" s="185"/>
      <c r="S527" s="137">
        <v>18.850000000000001</v>
      </c>
      <c r="T527" s="157">
        <v>41837</v>
      </c>
      <c r="U527" s="142">
        <v>18</v>
      </c>
      <c r="Y527" s="142">
        <f t="shared" si="8"/>
        <v>14.703149999999999</v>
      </c>
      <c r="Z527" s="157">
        <v>41837</v>
      </c>
      <c r="AE527" s="137">
        <v>38.19</v>
      </c>
      <c r="AF527" s="157">
        <v>41837</v>
      </c>
      <c r="AG527" s="185">
        <v>4.37</v>
      </c>
      <c r="AH527" s="157">
        <v>41837</v>
      </c>
      <c r="AM527" s="137">
        <v>94</v>
      </c>
      <c r="BM527" s="138">
        <v>59.84</v>
      </c>
      <c r="BN527" s="157">
        <v>41837</v>
      </c>
      <c r="BS527" s="138">
        <v>49.37</v>
      </c>
      <c r="BT527" s="157">
        <v>41837</v>
      </c>
      <c r="BU527" s="138">
        <v>38.5</v>
      </c>
      <c r="BV527" s="157">
        <v>41837</v>
      </c>
      <c r="BW527" s="138">
        <v>18.600000000000001</v>
      </c>
      <c r="BX527" s="157">
        <v>41837</v>
      </c>
      <c r="CC527" s="138">
        <v>7.8</v>
      </c>
      <c r="CD527" s="157">
        <v>41837</v>
      </c>
    </row>
    <row r="528" spans="1:91">
      <c r="A528" s="159" t="s">
        <v>7706</v>
      </c>
      <c r="B528" s="112" t="s">
        <v>269</v>
      </c>
      <c r="C528" s="112">
        <v>3</v>
      </c>
      <c r="D528" s="112">
        <v>138</v>
      </c>
      <c r="E528" s="113">
        <v>23</v>
      </c>
      <c r="F528" s="113">
        <v>15</v>
      </c>
      <c r="M528" s="185">
        <v>4.79</v>
      </c>
      <c r="N528" s="157">
        <v>41837</v>
      </c>
      <c r="R528" s="185"/>
      <c r="S528" s="137">
        <v>12.96</v>
      </c>
      <c r="T528" s="157">
        <v>41837</v>
      </c>
      <c r="U528" s="142">
        <v>18</v>
      </c>
      <c r="Y528" s="142">
        <f t="shared" si="8"/>
        <v>10.40643</v>
      </c>
      <c r="Z528" s="157">
        <v>41837</v>
      </c>
      <c r="AE528" s="137">
        <v>26.89</v>
      </c>
      <c r="AF528" s="157">
        <v>41837</v>
      </c>
      <c r="AG528" s="185">
        <v>4.49</v>
      </c>
      <c r="AH528" s="157">
        <v>41837</v>
      </c>
      <c r="AM528" s="137">
        <v>96</v>
      </c>
      <c r="BM528" s="138">
        <v>61.39</v>
      </c>
      <c r="BN528" s="157">
        <v>41837</v>
      </c>
      <c r="BS528" s="138">
        <v>48.18</v>
      </c>
      <c r="BT528" s="157">
        <v>41837</v>
      </c>
      <c r="BU528" s="138">
        <v>38.700000000000003</v>
      </c>
      <c r="BV528" s="157">
        <v>41837</v>
      </c>
      <c r="BW528" s="138">
        <v>17.3</v>
      </c>
      <c r="BX528" s="157">
        <v>41837</v>
      </c>
      <c r="CC528" s="138">
        <v>7.3</v>
      </c>
      <c r="CD528" s="157">
        <v>41837</v>
      </c>
    </row>
    <row r="529" spans="1:91">
      <c r="A529" s="159" t="s">
        <v>7753</v>
      </c>
      <c r="B529" s="112" t="s">
        <v>269</v>
      </c>
      <c r="C529" s="112">
        <v>3</v>
      </c>
      <c r="D529" s="112">
        <v>23</v>
      </c>
      <c r="E529" s="113">
        <v>24</v>
      </c>
      <c r="F529" s="113">
        <v>15</v>
      </c>
      <c r="M529" s="185">
        <v>3.08</v>
      </c>
      <c r="N529" s="157">
        <v>41837</v>
      </c>
      <c r="R529" s="185"/>
      <c r="S529" s="137">
        <v>8.09</v>
      </c>
      <c r="T529" s="157">
        <v>41837</v>
      </c>
      <c r="U529" s="142">
        <v>18</v>
      </c>
      <c r="Y529" s="142">
        <f t="shared" si="8"/>
        <v>7.0470699999999997</v>
      </c>
      <c r="Z529" s="157">
        <v>41837</v>
      </c>
      <c r="AE529" s="137">
        <v>17.23</v>
      </c>
      <c r="AF529" s="157">
        <v>41837</v>
      </c>
      <c r="AG529" s="185">
        <v>5.21</v>
      </c>
      <c r="AH529" s="157">
        <v>41837</v>
      </c>
      <c r="AM529" s="137">
        <v>96</v>
      </c>
      <c r="BM529" s="138">
        <v>60.98</v>
      </c>
      <c r="BN529" s="157">
        <v>41837</v>
      </c>
      <c r="BS529" s="138">
        <v>46.98</v>
      </c>
      <c r="BT529" s="157">
        <v>41837</v>
      </c>
      <c r="BU529" s="138">
        <v>40.9</v>
      </c>
      <c r="BV529" s="157">
        <v>41837</v>
      </c>
      <c r="BW529" s="138">
        <v>46.8</v>
      </c>
      <c r="BX529" s="157">
        <v>41837</v>
      </c>
      <c r="CC529" s="138">
        <v>7.6</v>
      </c>
      <c r="CD529" s="157">
        <v>41837</v>
      </c>
    </row>
    <row r="530" spans="1:91">
      <c r="A530" s="159" t="s">
        <v>7736</v>
      </c>
      <c r="B530" s="112" t="s">
        <v>269</v>
      </c>
      <c r="C530" s="112">
        <v>3</v>
      </c>
      <c r="D530" s="112">
        <v>112</v>
      </c>
      <c r="E530" s="113">
        <v>25</v>
      </c>
      <c r="F530" s="113">
        <v>15</v>
      </c>
      <c r="M530" s="185">
        <v>5.37</v>
      </c>
      <c r="N530" s="157">
        <v>41837</v>
      </c>
      <c r="R530" s="185"/>
      <c r="S530" s="137">
        <v>15.1</v>
      </c>
      <c r="T530" s="157">
        <v>41837</v>
      </c>
      <c r="U530" s="142">
        <v>18</v>
      </c>
      <c r="Y530" s="142">
        <f t="shared" si="8"/>
        <v>11.23488</v>
      </c>
      <c r="Z530" s="157">
        <v>41837</v>
      </c>
      <c r="AE530" s="137">
        <v>29.88</v>
      </c>
      <c r="AF530" s="157">
        <v>41837</v>
      </c>
      <c r="AG530" s="185">
        <v>4.43</v>
      </c>
      <c r="AH530" s="157">
        <v>41837</v>
      </c>
      <c r="AM530" s="137">
        <v>90</v>
      </c>
      <c r="BM530" s="138">
        <v>60.87</v>
      </c>
      <c r="BN530" s="157">
        <v>41837</v>
      </c>
      <c r="BS530" s="138">
        <v>50.55</v>
      </c>
      <c r="BT530" s="157">
        <v>41837</v>
      </c>
      <c r="BU530" s="138">
        <v>37.6</v>
      </c>
      <c r="BV530" s="157">
        <v>41837</v>
      </c>
      <c r="BW530" s="138">
        <v>17.3</v>
      </c>
      <c r="BX530" s="157">
        <v>41837</v>
      </c>
      <c r="CC530" s="138">
        <v>8.1</v>
      </c>
      <c r="CD530" s="157">
        <v>41837</v>
      </c>
    </row>
    <row r="531" spans="1:91">
      <c r="A531" s="159" t="s">
        <v>7722</v>
      </c>
      <c r="B531" s="112" t="s">
        <v>269</v>
      </c>
      <c r="C531" s="112">
        <v>3</v>
      </c>
      <c r="D531" s="112">
        <v>185</v>
      </c>
      <c r="E531" s="113">
        <v>26</v>
      </c>
      <c r="F531" s="113">
        <v>15</v>
      </c>
      <c r="M531" s="185">
        <v>4.25</v>
      </c>
      <c r="N531" s="157">
        <v>41837</v>
      </c>
      <c r="R531" s="185"/>
      <c r="S531" s="137">
        <v>11.84</v>
      </c>
      <c r="T531" s="157">
        <v>41837</v>
      </c>
      <c r="U531" s="142">
        <v>18</v>
      </c>
      <c r="Y531" s="142">
        <f t="shared" si="8"/>
        <v>9.2222100000000005</v>
      </c>
      <c r="Z531" s="157">
        <v>41837</v>
      </c>
      <c r="AE531" s="137">
        <v>23.83</v>
      </c>
      <c r="AF531" s="157">
        <v>41837</v>
      </c>
      <c r="AG531" s="185">
        <v>4.54</v>
      </c>
      <c r="AH531" s="157">
        <v>41837</v>
      </c>
      <c r="AM531" s="137">
        <v>90</v>
      </c>
      <c r="BM531" s="138">
        <v>60.66</v>
      </c>
      <c r="BN531" s="157">
        <v>41837</v>
      </c>
      <c r="BS531" s="138">
        <v>49.7</v>
      </c>
      <c r="BT531" s="157">
        <v>41837</v>
      </c>
      <c r="BU531" s="138">
        <v>38.700000000000003</v>
      </c>
      <c r="BV531" s="157">
        <v>41837</v>
      </c>
      <c r="BW531" s="138">
        <v>17</v>
      </c>
      <c r="BX531" s="157">
        <v>41837</v>
      </c>
      <c r="CC531" s="138">
        <v>7.4</v>
      </c>
      <c r="CD531" s="157">
        <v>41837</v>
      </c>
    </row>
    <row r="532" spans="1:91">
      <c r="A532" s="159" t="s">
        <v>7693</v>
      </c>
      <c r="B532" s="112" t="s">
        <v>269</v>
      </c>
      <c r="C532" s="112">
        <v>3</v>
      </c>
      <c r="D532" s="112">
        <v>79</v>
      </c>
      <c r="E532" s="113">
        <v>27</v>
      </c>
      <c r="F532" s="113">
        <v>15</v>
      </c>
      <c r="M532" s="185">
        <v>5.54</v>
      </c>
      <c r="N532" s="157">
        <v>41837</v>
      </c>
      <c r="R532" s="185"/>
      <c r="S532" s="137">
        <v>15.57</v>
      </c>
      <c r="T532" s="157">
        <v>41837</v>
      </c>
      <c r="U532" s="142">
        <v>18</v>
      </c>
      <c r="Y532" s="142">
        <f t="shared" si="8"/>
        <v>12.04731</v>
      </c>
      <c r="Z532" s="157">
        <v>41837</v>
      </c>
      <c r="AE532" s="137">
        <v>31.13</v>
      </c>
      <c r="AF532" s="157">
        <v>41837</v>
      </c>
      <c r="AG532" s="185">
        <v>4.88</v>
      </c>
      <c r="AH532" s="157">
        <v>41837</v>
      </c>
      <c r="AM532" s="137">
        <v>87</v>
      </c>
      <c r="BM532" s="138">
        <v>59.78</v>
      </c>
      <c r="BN532" s="157">
        <v>41837</v>
      </c>
      <c r="BS532" s="138">
        <v>50.02</v>
      </c>
      <c r="BT532" s="157">
        <v>41837</v>
      </c>
      <c r="BU532" s="138">
        <v>38.700000000000003</v>
      </c>
      <c r="BV532" s="157">
        <v>41837</v>
      </c>
      <c r="BW532" s="138">
        <v>16.899999999999999</v>
      </c>
      <c r="BX532" s="157">
        <v>41837</v>
      </c>
      <c r="CC532" s="138">
        <v>7.2</v>
      </c>
      <c r="CD532" s="157">
        <v>41837</v>
      </c>
    </row>
    <row r="533" spans="1:91">
      <c r="A533" s="159" t="s">
        <v>7737</v>
      </c>
      <c r="B533" s="112" t="s">
        <v>269</v>
      </c>
      <c r="C533" s="112">
        <v>3</v>
      </c>
      <c r="D533" s="112">
        <v>176</v>
      </c>
      <c r="E533" s="113">
        <v>28</v>
      </c>
      <c r="F533" s="113">
        <v>15</v>
      </c>
      <c r="M533" s="185">
        <v>1.2</v>
      </c>
      <c r="N533" s="157">
        <v>41837</v>
      </c>
      <c r="R533" s="185"/>
      <c r="S533" s="137">
        <v>3.28</v>
      </c>
      <c r="T533" s="157">
        <v>41837</v>
      </c>
      <c r="U533" s="142">
        <v>18</v>
      </c>
      <c r="Y533" s="142">
        <f t="shared" si="8"/>
        <v>2.6812799999999997</v>
      </c>
      <c r="Z533" s="157">
        <v>41837</v>
      </c>
      <c r="AE533" s="137">
        <v>6.72</v>
      </c>
      <c r="AF533" s="157">
        <v>41837</v>
      </c>
      <c r="AG533" s="185">
        <v>4.3499999999999996</v>
      </c>
      <c r="AH533" s="157">
        <v>41837</v>
      </c>
      <c r="AM533" s="137">
        <v>85</v>
      </c>
      <c r="BM533" s="138">
        <v>61.46</v>
      </c>
      <c r="BN533" s="157">
        <v>41837</v>
      </c>
      <c r="BS533" s="138">
        <v>48.83</v>
      </c>
      <c r="BT533" s="157">
        <v>41837</v>
      </c>
      <c r="BU533" s="138">
        <v>39.9</v>
      </c>
      <c r="BV533" s="157">
        <v>41837</v>
      </c>
      <c r="BW533" s="138">
        <v>28.9</v>
      </c>
      <c r="BX533" s="157">
        <v>41837</v>
      </c>
      <c r="CC533" s="138">
        <v>7.5</v>
      </c>
      <c r="CD533" s="157">
        <v>41837</v>
      </c>
    </row>
    <row r="534" spans="1:91">
      <c r="A534" s="159" t="s">
        <v>7766</v>
      </c>
      <c r="B534" s="112" t="s">
        <v>269</v>
      </c>
      <c r="C534" s="112">
        <v>3</v>
      </c>
      <c r="D534" s="112">
        <v>192</v>
      </c>
      <c r="E534" s="113">
        <v>29</v>
      </c>
      <c r="F534" s="113">
        <v>15</v>
      </c>
      <c r="M534" s="185">
        <v>6.34</v>
      </c>
      <c r="N534" s="157">
        <v>41837</v>
      </c>
      <c r="R534" s="185"/>
      <c r="S534" s="137">
        <v>18</v>
      </c>
      <c r="T534" s="157">
        <v>41837</v>
      </c>
      <c r="U534" s="142">
        <v>18</v>
      </c>
      <c r="Y534" s="142">
        <f t="shared" si="8"/>
        <v>13.040580000000002</v>
      </c>
      <c r="Z534" s="157">
        <v>41837</v>
      </c>
      <c r="AE534" s="137">
        <v>35.630000000000003</v>
      </c>
      <c r="AF534" s="157">
        <v>41837</v>
      </c>
      <c r="AG534" s="185">
        <v>4.9800000000000004</v>
      </c>
      <c r="AH534" s="157">
        <v>41837</v>
      </c>
      <c r="AM534" s="137">
        <v>96</v>
      </c>
      <c r="BM534" s="138">
        <v>64.66</v>
      </c>
      <c r="BN534" s="157">
        <v>41837</v>
      </c>
      <c r="BS534" s="138">
        <v>50.51</v>
      </c>
      <c r="BT534" s="157">
        <v>41837</v>
      </c>
      <c r="BU534" s="138">
        <v>36.6</v>
      </c>
      <c r="BV534" s="157">
        <v>41837</v>
      </c>
      <c r="BW534" s="138">
        <v>16.399999999999999</v>
      </c>
      <c r="BX534" s="157">
        <v>41837</v>
      </c>
      <c r="CC534" s="138">
        <v>7.2</v>
      </c>
      <c r="CD534" s="157">
        <v>41837</v>
      </c>
    </row>
    <row r="535" spans="1:91">
      <c r="A535" s="159" t="s">
        <v>7765</v>
      </c>
      <c r="B535" s="112" t="s">
        <v>269</v>
      </c>
      <c r="C535" s="112">
        <v>3</v>
      </c>
      <c r="D535" s="112">
        <v>71</v>
      </c>
      <c r="E535" s="113">
        <v>30</v>
      </c>
      <c r="F535" s="113">
        <v>15</v>
      </c>
      <c r="M535" s="185">
        <v>5.53</v>
      </c>
      <c r="N535" s="157">
        <v>41837</v>
      </c>
      <c r="R535" s="185"/>
      <c r="S535" s="137">
        <v>15.36</v>
      </c>
      <c r="T535" s="157">
        <v>41837</v>
      </c>
      <c r="U535" s="142">
        <v>18</v>
      </c>
      <c r="Y535" s="142">
        <f t="shared" si="8"/>
        <v>12.132899999999999</v>
      </c>
      <c r="Z535" s="157">
        <v>41837</v>
      </c>
      <c r="AE535" s="137">
        <v>31.11</v>
      </c>
      <c r="AF535" s="157">
        <v>41837</v>
      </c>
      <c r="AG535" s="185">
        <v>4.84</v>
      </c>
      <c r="AH535" s="157">
        <v>41837</v>
      </c>
      <c r="AM535" s="137">
        <v>94</v>
      </c>
      <c r="BM535" s="138">
        <v>61.91</v>
      </c>
      <c r="BN535" s="157">
        <v>41837</v>
      </c>
      <c r="BS535" s="138">
        <v>49.37</v>
      </c>
      <c r="BT535" s="157">
        <v>41837</v>
      </c>
      <c r="BU535" s="138">
        <v>39</v>
      </c>
      <c r="BV535" s="157">
        <v>41837</v>
      </c>
      <c r="BW535" s="138">
        <v>17.399999999999999</v>
      </c>
      <c r="BX535" s="157">
        <v>41837</v>
      </c>
      <c r="CC535" s="138">
        <v>7.1</v>
      </c>
      <c r="CD535" s="157">
        <v>41837</v>
      </c>
    </row>
    <row r="536" spans="1:91">
      <c r="A536" s="159" t="s">
        <v>7641</v>
      </c>
      <c r="B536" s="112" t="s">
        <v>269</v>
      </c>
      <c r="C536" s="112">
        <v>3</v>
      </c>
      <c r="D536" s="112">
        <v>43</v>
      </c>
      <c r="E536" s="113">
        <v>31</v>
      </c>
      <c r="F536" s="113">
        <v>15</v>
      </c>
      <c r="M536" s="185">
        <v>4.6900000000000004</v>
      </c>
      <c r="N536" s="157">
        <v>41837</v>
      </c>
      <c r="R536" s="185"/>
      <c r="S536" s="137">
        <v>13.45</v>
      </c>
      <c r="T536" s="157">
        <v>41837</v>
      </c>
      <c r="U536" s="142">
        <v>18</v>
      </c>
      <c r="Y536" s="142">
        <f t="shared" si="8"/>
        <v>11.145020000000002</v>
      </c>
      <c r="Z536" s="157">
        <v>41837</v>
      </c>
      <c r="AE536" s="137">
        <v>26.41</v>
      </c>
      <c r="AF536" s="157">
        <v>41837</v>
      </c>
      <c r="AG536" s="185">
        <v>4.66</v>
      </c>
      <c r="AH536" s="157">
        <v>41837</v>
      </c>
      <c r="AM536" s="137">
        <v>94</v>
      </c>
      <c r="BM536" s="138">
        <v>63.16</v>
      </c>
      <c r="BN536" s="157">
        <v>41837</v>
      </c>
      <c r="BS536" s="138">
        <v>50.93</v>
      </c>
      <c r="BT536" s="157">
        <v>41837</v>
      </c>
      <c r="BU536" s="138">
        <v>42.2</v>
      </c>
      <c r="BV536" s="157">
        <v>41837</v>
      </c>
      <c r="BW536" s="138">
        <v>53.1</v>
      </c>
      <c r="BX536" s="157">
        <v>41837</v>
      </c>
      <c r="CC536" s="138">
        <v>7</v>
      </c>
      <c r="CD536" s="157">
        <v>41837</v>
      </c>
    </row>
    <row r="537" spans="1:91">
      <c r="A537" s="159" t="s">
        <v>7771</v>
      </c>
      <c r="B537" s="112" t="s">
        <v>269</v>
      </c>
      <c r="C537" s="112">
        <v>3</v>
      </c>
      <c r="D537" s="112">
        <v>123</v>
      </c>
      <c r="E537" s="113">
        <v>32</v>
      </c>
      <c r="F537" s="113">
        <v>15</v>
      </c>
      <c r="M537" s="185">
        <v>7.42</v>
      </c>
      <c r="N537" s="157">
        <v>41837</v>
      </c>
      <c r="R537" s="185"/>
      <c r="S537" s="137">
        <v>21.25</v>
      </c>
      <c r="T537" s="157">
        <v>41837</v>
      </c>
      <c r="U537" s="142">
        <v>18</v>
      </c>
      <c r="Y537" s="142">
        <f t="shared" si="8"/>
        <v>15.504090000000001</v>
      </c>
      <c r="Z537" s="157">
        <v>41837</v>
      </c>
      <c r="AE537" s="137">
        <v>41.79</v>
      </c>
      <c r="AF537" s="157">
        <v>41837</v>
      </c>
      <c r="AG537" s="185"/>
      <c r="AH537" s="157">
        <v>41837</v>
      </c>
      <c r="AM537" s="137">
        <v>96</v>
      </c>
      <c r="BM537" s="138">
        <v>63.05</v>
      </c>
      <c r="BN537" s="157">
        <v>41837</v>
      </c>
      <c r="BS537" s="138">
        <v>50.84</v>
      </c>
      <c r="BT537" s="157">
        <v>41837</v>
      </c>
      <c r="BU537" s="138">
        <v>37.1</v>
      </c>
      <c r="BV537" s="157">
        <v>41837</v>
      </c>
      <c r="BW537" s="138">
        <v>15</v>
      </c>
      <c r="BX537" s="157">
        <v>41837</v>
      </c>
      <c r="CC537" s="138">
        <v>7</v>
      </c>
      <c r="CD537" s="157">
        <v>41837</v>
      </c>
    </row>
    <row r="538" spans="1:91" s="196" customFormat="1">
      <c r="A538" s="159" t="s">
        <v>7789</v>
      </c>
      <c r="B538" s="112" t="s">
        <v>269</v>
      </c>
      <c r="C538" s="112">
        <v>3</v>
      </c>
      <c r="D538" s="112">
        <v>28</v>
      </c>
      <c r="E538" s="113">
        <v>33</v>
      </c>
      <c r="F538" s="113">
        <v>15</v>
      </c>
      <c r="G538" s="113"/>
      <c r="H538" s="113"/>
      <c r="I538" s="112"/>
      <c r="J538" s="112"/>
      <c r="K538" s="137"/>
      <c r="L538" s="157"/>
      <c r="M538" s="185">
        <v>7.46</v>
      </c>
      <c r="N538" s="157">
        <v>41837</v>
      </c>
      <c r="O538" s="137"/>
      <c r="P538" s="157"/>
      <c r="Q538" s="137"/>
      <c r="R538" s="185"/>
      <c r="S538" s="137">
        <v>21.05</v>
      </c>
      <c r="T538" s="157">
        <v>41837</v>
      </c>
      <c r="U538" s="142">
        <v>18</v>
      </c>
      <c r="V538" s="157"/>
      <c r="W538" s="137"/>
      <c r="X538" s="157"/>
      <c r="Y538" s="142">
        <f t="shared" si="8"/>
        <v>16.00581</v>
      </c>
      <c r="Z538" s="157">
        <v>41837</v>
      </c>
      <c r="AA538" s="137"/>
      <c r="AB538" s="157"/>
      <c r="AC538" s="137"/>
      <c r="AD538" s="157"/>
      <c r="AE538" s="137">
        <v>42.01</v>
      </c>
      <c r="AF538" s="157">
        <v>41837</v>
      </c>
      <c r="AG538" s="185">
        <v>5.5</v>
      </c>
      <c r="AH538" s="157">
        <v>41837</v>
      </c>
      <c r="AI538" s="157"/>
      <c r="AJ538" s="157"/>
      <c r="AK538" s="137"/>
      <c r="AL538" s="157"/>
      <c r="AM538" s="137">
        <v>94</v>
      </c>
      <c r="AN538" s="157"/>
      <c r="AO538" s="137"/>
      <c r="AP538" s="137"/>
      <c r="AQ538" s="137"/>
      <c r="AR538" s="137"/>
      <c r="AS538" s="137"/>
      <c r="AT538" s="137"/>
      <c r="AU538" s="137"/>
      <c r="AV538" s="137"/>
      <c r="AW538" s="137"/>
      <c r="AX538" s="137"/>
      <c r="AY538" s="137"/>
      <c r="AZ538" s="137"/>
      <c r="BA538" s="137"/>
      <c r="BB538" s="137"/>
      <c r="BC538" s="137"/>
      <c r="BD538" s="137"/>
      <c r="BE538" s="138"/>
      <c r="BF538" s="138"/>
      <c r="BG538" s="138"/>
      <c r="BH538" s="138"/>
      <c r="BI538" s="138"/>
      <c r="BJ538" s="138"/>
      <c r="BK538" s="138"/>
      <c r="BL538" s="138"/>
      <c r="BM538" s="138">
        <v>59.05</v>
      </c>
      <c r="BN538" s="157">
        <v>41837</v>
      </c>
      <c r="BO538" s="138"/>
      <c r="BP538" s="138"/>
      <c r="BQ538" s="138"/>
      <c r="BR538" s="138"/>
      <c r="BS538" s="138">
        <v>50.11</v>
      </c>
      <c r="BT538" s="157">
        <v>41837</v>
      </c>
      <c r="BU538" s="138">
        <v>38.1</v>
      </c>
      <c r="BV538" s="157">
        <v>41837</v>
      </c>
      <c r="BW538" s="138">
        <v>15.2</v>
      </c>
      <c r="BX538" s="157">
        <v>41837</v>
      </c>
      <c r="BY538" s="138"/>
      <c r="BZ538" s="138"/>
      <c r="CA538" s="138"/>
      <c r="CB538" s="138"/>
      <c r="CC538" s="138">
        <v>7</v>
      </c>
      <c r="CD538" s="157">
        <v>41837</v>
      </c>
      <c r="CE538" s="138"/>
      <c r="CF538" s="138"/>
      <c r="CG538" s="138"/>
      <c r="CH538" s="138"/>
      <c r="CI538" s="138"/>
      <c r="CJ538" s="138"/>
      <c r="CK538" s="138"/>
      <c r="CL538" s="138"/>
      <c r="CM538" s="138"/>
    </row>
    <row r="539" spans="1:91" s="196" customFormat="1">
      <c r="A539" s="159" t="s">
        <v>7708</v>
      </c>
      <c r="B539" s="112" t="s">
        <v>269</v>
      </c>
      <c r="C539" s="112">
        <v>3</v>
      </c>
      <c r="D539" s="112">
        <v>36</v>
      </c>
      <c r="E539" s="113">
        <v>34</v>
      </c>
      <c r="F539" s="113">
        <v>15</v>
      </c>
      <c r="G539" s="113"/>
      <c r="H539" s="113"/>
      <c r="I539" s="112"/>
      <c r="J539" s="112"/>
      <c r="K539" s="137"/>
      <c r="L539" s="157"/>
      <c r="M539" s="185">
        <v>4.4000000000000004</v>
      </c>
      <c r="N539" s="157">
        <v>41837</v>
      </c>
      <c r="O539" s="137"/>
      <c r="P539" s="157"/>
      <c r="Q539" s="137"/>
      <c r="R539" s="185"/>
      <c r="S539" s="137">
        <v>11.52</v>
      </c>
      <c r="T539" s="157">
        <v>41837</v>
      </c>
      <c r="U539" s="142">
        <v>18</v>
      </c>
      <c r="V539" s="157"/>
      <c r="W539" s="137"/>
      <c r="X539" s="157"/>
      <c r="Y539" s="142">
        <f t="shared" si="8"/>
        <v>9.1622699999999995</v>
      </c>
      <c r="Z539" s="157">
        <v>41837</v>
      </c>
      <c r="AA539" s="137"/>
      <c r="AB539" s="157"/>
      <c r="AC539" s="137"/>
      <c r="AD539" s="157"/>
      <c r="AE539" s="137">
        <v>24.83</v>
      </c>
      <c r="AF539" s="157">
        <v>41837</v>
      </c>
      <c r="AG539" s="185">
        <v>4.46</v>
      </c>
      <c r="AH539" s="157">
        <v>41837</v>
      </c>
      <c r="AI539" s="157"/>
      <c r="AJ539" s="157"/>
      <c r="AK539" s="137"/>
      <c r="AL539" s="157"/>
      <c r="AM539" s="137">
        <v>94</v>
      </c>
      <c r="AN539" s="157"/>
      <c r="AO539" s="137"/>
      <c r="AP539" s="137"/>
      <c r="AQ539" s="137"/>
      <c r="AR539" s="137"/>
      <c r="AS539" s="137"/>
      <c r="AT539" s="137"/>
      <c r="AU539" s="137"/>
      <c r="AV539" s="137"/>
      <c r="AW539" s="137"/>
      <c r="AX539" s="137"/>
      <c r="AY539" s="137"/>
      <c r="AZ539" s="137"/>
      <c r="BA539" s="137"/>
      <c r="BB539" s="137"/>
      <c r="BC539" s="137"/>
      <c r="BD539" s="137"/>
      <c r="BE539" s="138"/>
      <c r="BF539" s="138"/>
      <c r="BG539" s="138"/>
      <c r="BH539" s="138"/>
      <c r="BI539" s="138"/>
      <c r="BJ539" s="138"/>
      <c r="BK539" s="138"/>
      <c r="BL539" s="138"/>
      <c r="BM539" s="138">
        <v>61.82</v>
      </c>
      <c r="BN539" s="157">
        <v>41837</v>
      </c>
      <c r="BO539" s="138"/>
      <c r="BP539" s="138"/>
      <c r="BQ539" s="138"/>
      <c r="BR539" s="138"/>
      <c r="BS539" s="138">
        <v>46.38</v>
      </c>
      <c r="BT539" s="157">
        <v>41837</v>
      </c>
      <c r="BU539" s="138">
        <v>36.9</v>
      </c>
      <c r="BV539" s="157">
        <v>41837</v>
      </c>
      <c r="BW539" s="138">
        <v>20.3</v>
      </c>
      <c r="BX539" s="157">
        <v>41837</v>
      </c>
      <c r="BY539" s="138"/>
      <c r="BZ539" s="138"/>
      <c r="CA539" s="138"/>
      <c r="CB539" s="138"/>
      <c r="CC539" s="138">
        <v>6.8</v>
      </c>
      <c r="CD539" s="157">
        <v>41837</v>
      </c>
      <c r="CE539" s="138"/>
      <c r="CF539" s="138"/>
      <c r="CG539" s="138"/>
      <c r="CH539" s="138"/>
      <c r="CI539" s="138"/>
      <c r="CJ539" s="138"/>
      <c r="CK539" s="138"/>
      <c r="CL539" s="138"/>
      <c r="CM539" s="138"/>
    </row>
    <row r="540" spans="1:91" s="196" customFormat="1">
      <c r="A540" s="159" t="s">
        <v>7785</v>
      </c>
      <c r="B540" s="112" t="s">
        <v>269</v>
      </c>
      <c r="C540" s="112">
        <v>3</v>
      </c>
      <c r="D540" s="112">
        <v>164</v>
      </c>
      <c r="E540" s="113">
        <v>35</v>
      </c>
      <c r="F540" s="113">
        <v>15</v>
      </c>
      <c r="G540" s="113"/>
      <c r="H540" s="113"/>
      <c r="I540" s="112"/>
      <c r="J540" s="112"/>
      <c r="K540" s="137"/>
      <c r="L540" s="157"/>
      <c r="M540" s="185">
        <v>5.9</v>
      </c>
      <c r="N540" s="157">
        <v>41837</v>
      </c>
      <c r="O540" s="137"/>
      <c r="P540" s="157"/>
      <c r="Q540" s="137"/>
      <c r="R540" s="185"/>
      <c r="S540" s="137">
        <v>16.55</v>
      </c>
      <c r="T540" s="157">
        <v>41837</v>
      </c>
      <c r="U540" s="142">
        <v>18</v>
      </c>
      <c r="V540" s="157"/>
      <c r="W540" s="137"/>
      <c r="X540" s="157"/>
      <c r="Y540" s="142">
        <f t="shared" si="8"/>
        <v>13.337259999999999</v>
      </c>
      <c r="Z540" s="157">
        <v>41837</v>
      </c>
      <c r="AA540" s="137"/>
      <c r="AB540" s="157"/>
      <c r="AC540" s="137"/>
      <c r="AD540" s="157"/>
      <c r="AE540" s="137">
        <v>33.26</v>
      </c>
      <c r="AF540" s="157">
        <v>41837</v>
      </c>
      <c r="AG540" s="185">
        <v>4.78</v>
      </c>
      <c r="AH540" s="157">
        <v>41837</v>
      </c>
      <c r="AI540" s="157"/>
      <c r="AJ540" s="157"/>
      <c r="AK540" s="137"/>
      <c r="AL540" s="157"/>
      <c r="AM540" s="137">
        <v>94</v>
      </c>
      <c r="AN540" s="157"/>
      <c r="AO540" s="137"/>
      <c r="AP540" s="137"/>
      <c r="AQ540" s="137"/>
      <c r="AR540" s="137"/>
      <c r="AS540" s="137"/>
      <c r="AT540" s="137"/>
      <c r="AU540" s="137"/>
      <c r="AV540" s="137"/>
      <c r="AW540" s="137"/>
      <c r="AX540" s="137"/>
      <c r="AY540" s="137"/>
      <c r="AZ540" s="137"/>
      <c r="BA540" s="137"/>
      <c r="BB540" s="137"/>
      <c r="BC540" s="137"/>
      <c r="BD540" s="137"/>
      <c r="BE540" s="138"/>
      <c r="BF540" s="138"/>
      <c r="BG540" s="138"/>
      <c r="BH540" s="138"/>
      <c r="BI540" s="138"/>
      <c r="BJ540" s="138"/>
      <c r="BK540" s="138"/>
      <c r="BL540" s="138"/>
      <c r="BM540" s="138">
        <v>60.57</v>
      </c>
      <c r="BN540" s="157">
        <v>41837</v>
      </c>
      <c r="BO540" s="138"/>
      <c r="BP540" s="138"/>
      <c r="BQ540" s="138"/>
      <c r="BR540" s="138"/>
      <c r="BS540" s="138">
        <v>49.77</v>
      </c>
      <c r="BT540" s="157">
        <v>41837</v>
      </c>
      <c r="BU540" s="138">
        <v>40.1</v>
      </c>
      <c r="BV540" s="157">
        <v>41837</v>
      </c>
      <c r="BW540" s="138">
        <v>11.1</v>
      </c>
      <c r="BX540" s="157">
        <v>41837</v>
      </c>
      <c r="BY540" s="138"/>
      <c r="BZ540" s="138"/>
      <c r="CA540" s="138"/>
      <c r="CB540" s="138"/>
      <c r="CC540" s="138">
        <v>6.9</v>
      </c>
      <c r="CD540" s="157">
        <v>41837</v>
      </c>
      <c r="CE540" s="138"/>
      <c r="CF540" s="138"/>
      <c r="CG540" s="138"/>
      <c r="CH540" s="138"/>
      <c r="CI540" s="138"/>
      <c r="CJ540" s="138"/>
      <c r="CK540" s="138"/>
      <c r="CL540" s="138"/>
      <c r="CM540" s="138"/>
    </row>
    <row r="541" spans="1:91" s="196" customFormat="1">
      <c r="A541" s="159" t="s">
        <v>7700</v>
      </c>
      <c r="B541" s="112" t="s">
        <v>269</v>
      </c>
      <c r="C541" s="112">
        <v>3</v>
      </c>
      <c r="D541" s="112">
        <v>158</v>
      </c>
      <c r="E541" s="113">
        <v>36</v>
      </c>
      <c r="F541" s="113">
        <v>15</v>
      </c>
      <c r="G541" s="113"/>
      <c r="H541" s="113"/>
      <c r="I541" s="112"/>
      <c r="J541" s="112"/>
      <c r="K541" s="137"/>
      <c r="L541" s="157"/>
      <c r="M541" s="185">
        <v>6.55</v>
      </c>
      <c r="N541" s="157">
        <v>41837</v>
      </c>
      <c r="O541" s="137"/>
      <c r="P541" s="157"/>
      <c r="Q541" s="137"/>
      <c r="R541" s="185"/>
      <c r="S541" s="137">
        <v>17.84</v>
      </c>
      <c r="T541" s="157">
        <v>41837</v>
      </c>
      <c r="U541" s="142">
        <v>18</v>
      </c>
      <c r="V541" s="157"/>
      <c r="W541" s="137"/>
      <c r="X541" s="157"/>
      <c r="Y541" s="142">
        <f t="shared" si="8"/>
        <v>14.30353</v>
      </c>
      <c r="Z541" s="157">
        <v>41837</v>
      </c>
      <c r="AA541" s="137"/>
      <c r="AB541" s="157"/>
      <c r="AC541" s="137"/>
      <c r="AD541" s="157"/>
      <c r="AE541" s="137">
        <v>36.770000000000003</v>
      </c>
      <c r="AF541" s="157">
        <v>41837</v>
      </c>
      <c r="AG541" s="185">
        <v>4.72</v>
      </c>
      <c r="AH541" s="157">
        <v>41837</v>
      </c>
      <c r="AI541" s="157"/>
      <c r="AJ541" s="157"/>
      <c r="AK541" s="137"/>
      <c r="AL541" s="157"/>
      <c r="AM541" s="137">
        <v>94</v>
      </c>
      <c r="AN541" s="157"/>
      <c r="AO541" s="137"/>
      <c r="AP541" s="137"/>
      <c r="AQ541" s="137"/>
      <c r="AR541" s="137"/>
      <c r="AS541" s="137"/>
      <c r="AT541" s="137"/>
      <c r="AU541" s="137"/>
      <c r="AV541" s="137"/>
      <c r="AW541" s="137"/>
      <c r="AX541" s="137"/>
      <c r="AY541" s="137"/>
      <c r="AZ541" s="137"/>
      <c r="BA541" s="137"/>
      <c r="BB541" s="137"/>
      <c r="BC541" s="137"/>
      <c r="BD541" s="137"/>
      <c r="BE541" s="138"/>
      <c r="BF541" s="138"/>
      <c r="BG541" s="138"/>
      <c r="BH541" s="138"/>
      <c r="BI541" s="138"/>
      <c r="BJ541" s="138"/>
      <c r="BK541" s="138"/>
      <c r="BL541" s="138"/>
      <c r="BM541" s="138">
        <v>62.83</v>
      </c>
      <c r="BN541" s="157">
        <v>41837</v>
      </c>
      <c r="BO541" s="138"/>
      <c r="BP541" s="138"/>
      <c r="BQ541" s="138"/>
      <c r="BR541" s="138"/>
      <c r="BS541" s="138">
        <v>48.52</v>
      </c>
      <c r="BT541" s="157">
        <v>41837</v>
      </c>
      <c r="BU541" s="138">
        <v>38.9</v>
      </c>
      <c r="BV541" s="157">
        <v>41837</v>
      </c>
      <c r="BW541" s="138">
        <v>20</v>
      </c>
      <c r="BX541" s="157">
        <v>41837</v>
      </c>
      <c r="BY541" s="138"/>
      <c r="BZ541" s="138"/>
      <c r="CA541" s="138"/>
      <c r="CB541" s="138"/>
      <c r="CC541" s="138">
        <v>7.3</v>
      </c>
      <c r="CD541" s="157">
        <v>41837</v>
      </c>
      <c r="CE541" s="138"/>
      <c r="CF541" s="138"/>
      <c r="CG541" s="138"/>
      <c r="CH541" s="138"/>
      <c r="CI541" s="138"/>
      <c r="CJ541" s="138"/>
      <c r="CK541" s="138"/>
      <c r="CL541" s="138"/>
      <c r="CM541" s="138"/>
    </row>
    <row r="542" spans="1:91">
      <c r="A542" s="189" t="s">
        <v>7687</v>
      </c>
      <c r="B542" s="190" t="s">
        <v>269</v>
      </c>
      <c r="C542" s="190">
        <v>3</v>
      </c>
      <c r="D542" s="190">
        <v>135</v>
      </c>
      <c r="E542" s="191">
        <v>1</v>
      </c>
      <c r="F542" s="191">
        <v>16</v>
      </c>
      <c r="G542" s="191"/>
      <c r="H542" s="191"/>
      <c r="I542" s="190"/>
      <c r="J542" s="190"/>
      <c r="K542" s="195"/>
      <c r="L542" s="193"/>
      <c r="M542" s="194">
        <v>6.58</v>
      </c>
      <c r="N542" s="193">
        <v>41837</v>
      </c>
      <c r="P542" s="193"/>
      <c r="Q542" s="195"/>
      <c r="R542" s="194"/>
      <c r="S542" s="195">
        <v>18.07</v>
      </c>
      <c r="T542" s="193">
        <v>41837</v>
      </c>
      <c r="U542" s="192">
        <v>18</v>
      </c>
      <c r="V542" s="193"/>
      <c r="W542" s="195"/>
      <c r="X542" s="193"/>
      <c r="Y542" s="192">
        <f t="shared" si="8"/>
        <v>13.7202</v>
      </c>
      <c r="Z542" s="193">
        <v>41837</v>
      </c>
      <c r="AA542" s="195"/>
      <c r="AB542" s="193"/>
      <c r="AC542" s="195"/>
      <c r="AD542" s="193"/>
      <c r="AE542" s="195">
        <v>35.18</v>
      </c>
      <c r="AF542" s="193">
        <v>41837</v>
      </c>
      <c r="AG542" s="194">
        <v>5.0199999999999996</v>
      </c>
      <c r="AH542" s="193">
        <v>41837</v>
      </c>
      <c r="AI542" s="193"/>
      <c r="AJ542" s="193"/>
      <c r="AK542" s="195"/>
      <c r="AL542" s="193"/>
      <c r="AM542" s="195">
        <v>87</v>
      </c>
      <c r="AN542" s="193"/>
      <c r="AO542" s="195"/>
      <c r="AP542" s="195"/>
      <c r="AQ542" s="195"/>
      <c r="AR542" s="195"/>
      <c r="AS542" s="195"/>
      <c r="AT542" s="195"/>
      <c r="AU542" s="195"/>
      <c r="AV542" s="195"/>
      <c r="AW542" s="195"/>
      <c r="AX542" s="195"/>
      <c r="AY542" s="195"/>
      <c r="AZ542" s="195"/>
      <c r="BA542" s="195"/>
      <c r="BB542" s="195"/>
      <c r="BC542" s="195"/>
      <c r="BD542" s="195"/>
      <c r="BE542" s="196"/>
      <c r="BF542" s="196"/>
      <c r="BG542" s="196"/>
      <c r="BH542" s="196"/>
      <c r="BI542" s="196"/>
      <c r="BJ542" s="196"/>
      <c r="BK542" s="196"/>
      <c r="BL542" s="196"/>
      <c r="BM542" s="196">
        <v>58.56</v>
      </c>
      <c r="BN542" s="193">
        <v>41837</v>
      </c>
      <c r="BO542" s="196"/>
      <c r="BP542" s="196"/>
      <c r="BQ542" s="196"/>
      <c r="BR542" s="196"/>
      <c r="BS542" s="196">
        <v>51.36</v>
      </c>
      <c r="BT542" s="193">
        <v>41837</v>
      </c>
      <c r="BU542" s="196">
        <v>39</v>
      </c>
      <c r="BV542" s="193">
        <v>41837</v>
      </c>
      <c r="BW542" s="196">
        <v>14.9</v>
      </c>
      <c r="BX542" s="193">
        <v>41837</v>
      </c>
      <c r="BY542" s="196"/>
      <c r="BZ542" s="196"/>
      <c r="CA542" s="196"/>
      <c r="CB542" s="196"/>
      <c r="CC542" s="196">
        <v>11.7</v>
      </c>
      <c r="CD542" s="193">
        <v>41837</v>
      </c>
      <c r="CE542" s="196"/>
      <c r="CF542" s="196"/>
      <c r="CG542" s="196"/>
      <c r="CH542" s="196"/>
      <c r="CI542" s="196"/>
      <c r="CJ542" s="196"/>
      <c r="CK542" s="196"/>
      <c r="CL542" s="196"/>
      <c r="CM542" s="196"/>
    </row>
    <row r="543" spans="1:91">
      <c r="A543" s="159" t="s">
        <v>7710</v>
      </c>
      <c r="B543" s="112" t="s">
        <v>269</v>
      </c>
      <c r="C543" s="112">
        <v>3</v>
      </c>
      <c r="D543" s="112">
        <v>202</v>
      </c>
      <c r="E543" s="113">
        <v>2</v>
      </c>
      <c r="F543" s="113">
        <v>16</v>
      </c>
      <c r="M543" s="185">
        <v>6.28</v>
      </c>
      <c r="N543" s="157">
        <v>41837</v>
      </c>
      <c r="R543" s="185"/>
      <c r="S543" s="137">
        <v>17.22</v>
      </c>
      <c r="T543" s="157">
        <v>41837</v>
      </c>
      <c r="U543" s="142">
        <v>18</v>
      </c>
      <c r="Y543" s="142">
        <f t="shared" si="8"/>
        <v>12.901159999999999</v>
      </c>
      <c r="Z543" s="157">
        <v>41837</v>
      </c>
      <c r="AE543" s="137">
        <v>34.04</v>
      </c>
      <c r="AF543" s="157">
        <v>41837</v>
      </c>
      <c r="AG543" s="185">
        <v>4.49</v>
      </c>
      <c r="AH543" s="157">
        <v>41837</v>
      </c>
      <c r="AM543" s="137">
        <v>94</v>
      </c>
      <c r="BM543" s="138">
        <v>60.41</v>
      </c>
      <c r="BN543" s="157">
        <v>41837</v>
      </c>
      <c r="BS543" s="138">
        <v>50.58</v>
      </c>
      <c r="BT543" s="157">
        <v>41837</v>
      </c>
      <c r="BU543" s="138">
        <v>37.9</v>
      </c>
      <c r="BV543" s="157">
        <v>41837</v>
      </c>
      <c r="BW543" s="138">
        <v>20.3</v>
      </c>
      <c r="BX543" s="157">
        <v>41837</v>
      </c>
      <c r="CC543" s="138">
        <v>10.5</v>
      </c>
      <c r="CD543" s="157">
        <v>41837</v>
      </c>
    </row>
    <row r="544" spans="1:91">
      <c r="A544" s="159" t="s">
        <v>7672</v>
      </c>
      <c r="B544" s="112" t="s">
        <v>269</v>
      </c>
      <c r="C544" s="112">
        <v>3</v>
      </c>
      <c r="D544" s="112">
        <v>97</v>
      </c>
      <c r="E544" s="113">
        <v>3</v>
      </c>
      <c r="F544" s="113">
        <v>16</v>
      </c>
      <c r="M544" s="185">
        <v>5.85</v>
      </c>
      <c r="N544" s="157">
        <v>41837</v>
      </c>
      <c r="R544" s="185"/>
      <c r="S544" s="137">
        <v>15.77</v>
      </c>
      <c r="T544" s="157">
        <v>41837</v>
      </c>
      <c r="U544" s="142">
        <v>18</v>
      </c>
      <c r="Y544" s="142">
        <f t="shared" si="8"/>
        <v>12.31615</v>
      </c>
      <c r="Z544" s="157">
        <v>41837</v>
      </c>
      <c r="AE544" s="137">
        <v>31.99</v>
      </c>
      <c r="AF544" s="157">
        <v>41837</v>
      </c>
      <c r="AG544" s="185">
        <v>4.78</v>
      </c>
      <c r="AH544" s="157">
        <v>41837</v>
      </c>
      <c r="AM544" s="137">
        <v>92</v>
      </c>
      <c r="BM544" s="138">
        <v>61.24</v>
      </c>
      <c r="BN544" s="157">
        <v>41837</v>
      </c>
      <c r="BS544" s="138">
        <v>49.31</v>
      </c>
      <c r="BT544" s="157">
        <v>41837</v>
      </c>
      <c r="BU544" s="138">
        <v>38.5</v>
      </c>
      <c r="BV544" s="157">
        <v>41837</v>
      </c>
      <c r="BW544" s="138">
        <v>19.3</v>
      </c>
      <c r="BX544" s="157">
        <v>41837</v>
      </c>
      <c r="CC544" s="138">
        <v>9.6999999999999993</v>
      </c>
      <c r="CD544" s="157">
        <v>41837</v>
      </c>
    </row>
    <row r="545" spans="1:91">
      <c r="A545" s="159" t="s">
        <v>7673</v>
      </c>
      <c r="B545" s="112" t="s">
        <v>269</v>
      </c>
      <c r="C545" s="112">
        <v>3</v>
      </c>
      <c r="D545" s="112">
        <v>36</v>
      </c>
      <c r="E545" s="113">
        <v>4</v>
      </c>
      <c r="F545" s="113">
        <v>16</v>
      </c>
      <c r="M545" s="185">
        <v>4</v>
      </c>
      <c r="N545" s="157">
        <v>41837</v>
      </c>
      <c r="R545" s="185"/>
      <c r="S545" s="137">
        <v>10.5</v>
      </c>
      <c r="T545" s="157">
        <v>41837</v>
      </c>
      <c r="U545" s="142">
        <v>18</v>
      </c>
      <c r="Y545" s="142">
        <f t="shared" si="8"/>
        <v>8.4182300000000012</v>
      </c>
      <c r="Z545" s="157">
        <v>41837</v>
      </c>
      <c r="AE545" s="137">
        <v>21.53</v>
      </c>
      <c r="AF545" s="157">
        <v>41837</v>
      </c>
      <c r="AG545" s="185">
        <v>5.29</v>
      </c>
      <c r="AH545" s="157">
        <v>41837</v>
      </c>
      <c r="AM545" s="137">
        <v>85</v>
      </c>
      <c r="BM545" s="138">
        <v>61.29</v>
      </c>
      <c r="BN545" s="157">
        <v>41837</v>
      </c>
      <c r="BS545" s="138">
        <v>48.76</v>
      </c>
      <c r="BT545" s="157">
        <v>41837</v>
      </c>
      <c r="BU545" s="138">
        <v>39.1</v>
      </c>
      <c r="BV545" s="157">
        <v>41837</v>
      </c>
      <c r="BW545" s="138">
        <v>30.2</v>
      </c>
      <c r="BX545" s="157">
        <v>41837</v>
      </c>
      <c r="CC545" s="138">
        <v>11.1</v>
      </c>
      <c r="CD545" s="157">
        <v>41837</v>
      </c>
    </row>
    <row r="546" spans="1:91" s="196" customFormat="1">
      <c r="A546" s="159" t="s">
        <v>7610</v>
      </c>
      <c r="B546" s="112" t="s">
        <v>269</v>
      </c>
      <c r="C546" s="112">
        <v>3</v>
      </c>
      <c r="D546" s="112">
        <v>208</v>
      </c>
      <c r="E546" s="113">
        <v>5</v>
      </c>
      <c r="F546" s="113">
        <v>16</v>
      </c>
      <c r="G546" s="113"/>
      <c r="H546" s="113"/>
      <c r="I546" s="112"/>
      <c r="J546" s="112"/>
      <c r="K546" s="137"/>
      <c r="L546" s="157"/>
      <c r="M546" s="185">
        <v>0.95</v>
      </c>
      <c r="N546" s="157">
        <v>41837</v>
      </c>
      <c r="O546" s="137"/>
      <c r="P546" s="157"/>
      <c r="Q546" s="137"/>
      <c r="R546" s="185"/>
      <c r="S546" s="137">
        <v>2.5099999999999998</v>
      </c>
      <c r="T546" s="157">
        <v>41837</v>
      </c>
      <c r="U546" s="142">
        <v>18</v>
      </c>
      <c r="V546" s="157"/>
      <c r="W546" s="137"/>
      <c r="X546" s="157"/>
      <c r="Y546" s="142">
        <f t="shared" si="8"/>
        <v>2.1379199999999998</v>
      </c>
      <c r="Z546" s="157">
        <v>41837</v>
      </c>
      <c r="AA546" s="137"/>
      <c r="AB546" s="157"/>
      <c r="AC546" s="137"/>
      <c r="AD546" s="157"/>
      <c r="AE546" s="137">
        <v>5.44</v>
      </c>
      <c r="AF546" s="157">
        <v>41837</v>
      </c>
      <c r="AG546" s="185">
        <v>4.84</v>
      </c>
      <c r="AH546" s="157">
        <v>41837</v>
      </c>
      <c r="AI546" s="157"/>
      <c r="AJ546" s="157"/>
      <c r="AK546" s="137"/>
      <c r="AL546" s="157"/>
      <c r="AM546" s="137">
        <v>92</v>
      </c>
      <c r="AN546" s="157"/>
      <c r="AO546" s="137"/>
      <c r="AP546" s="137"/>
      <c r="AQ546" s="137"/>
      <c r="AR546" s="137"/>
      <c r="AS546" s="137"/>
      <c r="AT546" s="137"/>
      <c r="AU546" s="137"/>
      <c r="AV546" s="137"/>
      <c r="AW546" s="137"/>
      <c r="AX546" s="137"/>
      <c r="AY546" s="137"/>
      <c r="AZ546" s="137"/>
      <c r="BA546" s="137"/>
      <c r="BB546" s="137"/>
      <c r="BC546" s="137"/>
      <c r="BD546" s="137"/>
      <c r="BE546" s="138"/>
      <c r="BF546" s="138"/>
      <c r="BG546" s="138"/>
      <c r="BH546" s="138"/>
      <c r="BI546" s="138"/>
      <c r="BJ546" s="138"/>
      <c r="BK546" s="138"/>
      <c r="BL546" s="138"/>
      <c r="BM546" s="138">
        <v>63.06</v>
      </c>
      <c r="BN546" s="157">
        <v>41837</v>
      </c>
      <c r="BO546" s="138"/>
      <c r="BP546" s="138"/>
      <c r="BQ546" s="138"/>
      <c r="BR546" s="138"/>
      <c r="BS546" s="138">
        <v>46.19</v>
      </c>
      <c r="BT546" s="157">
        <v>41837</v>
      </c>
      <c r="BU546" s="138">
        <v>39.299999999999997</v>
      </c>
      <c r="BV546" s="157">
        <v>41837</v>
      </c>
      <c r="BW546" s="138">
        <v>43.6</v>
      </c>
      <c r="BX546" s="157">
        <v>41837</v>
      </c>
      <c r="BY546" s="138"/>
      <c r="BZ546" s="138"/>
      <c r="CA546" s="138"/>
      <c r="CB546" s="138"/>
      <c r="CC546" s="138">
        <v>5.5</v>
      </c>
      <c r="CD546" s="157">
        <v>41837</v>
      </c>
      <c r="CE546" s="138"/>
      <c r="CF546" s="138"/>
      <c r="CG546" s="138"/>
      <c r="CH546" s="138"/>
      <c r="CI546" s="138"/>
      <c r="CJ546" s="138"/>
      <c r="CK546" s="138"/>
      <c r="CL546" s="138"/>
      <c r="CM546" s="138"/>
    </row>
    <row r="547" spans="1:91" s="196" customFormat="1">
      <c r="A547" s="159" t="s">
        <v>7684</v>
      </c>
      <c r="B547" s="112" t="s">
        <v>269</v>
      </c>
      <c r="C547" s="112">
        <v>3</v>
      </c>
      <c r="D547" s="112">
        <v>173</v>
      </c>
      <c r="E547" s="113">
        <v>6</v>
      </c>
      <c r="F547" s="113">
        <v>16</v>
      </c>
      <c r="G547" s="113"/>
      <c r="H547" s="113"/>
      <c r="I547" s="112"/>
      <c r="J547" s="112"/>
      <c r="K547" s="137"/>
      <c r="L547" s="157"/>
      <c r="M547" s="185">
        <v>5.85</v>
      </c>
      <c r="N547" s="157">
        <v>41837</v>
      </c>
      <c r="O547" s="137"/>
      <c r="P547" s="157"/>
      <c r="Q547" s="137"/>
      <c r="R547" s="185"/>
      <c r="S547" s="137">
        <v>15.68</v>
      </c>
      <c r="T547" s="157">
        <v>41837</v>
      </c>
      <c r="U547" s="142">
        <v>18</v>
      </c>
      <c r="V547" s="157"/>
      <c r="W547" s="137"/>
      <c r="X547" s="157"/>
      <c r="Y547" s="142">
        <f t="shared" si="8"/>
        <v>12.640320000000001</v>
      </c>
      <c r="Z547" s="157">
        <v>41837</v>
      </c>
      <c r="AA547" s="137"/>
      <c r="AB547" s="157"/>
      <c r="AC547" s="137"/>
      <c r="AD547" s="157"/>
      <c r="AE547" s="137">
        <v>31.92</v>
      </c>
      <c r="AF547" s="157">
        <v>41837</v>
      </c>
      <c r="AG547" s="185">
        <v>6.03</v>
      </c>
      <c r="AH547" s="157">
        <v>41837</v>
      </c>
      <c r="AI547" s="157"/>
      <c r="AJ547" s="157"/>
      <c r="AK547" s="137"/>
      <c r="AL547" s="157"/>
      <c r="AM547" s="137">
        <v>92</v>
      </c>
      <c r="AN547" s="157"/>
      <c r="AO547" s="137"/>
      <c r="AP547" s="137"/>
      <c r="AQ547" s="137"/>
      <c r="AR547" s="137"/>
      <c r="AS547" s="137"/>
      <c r="AT547" s="137"/>
      <c r="AU547" s="137"/>
      <c r="AV547" s="137"/>
      <c r="AW547" s="137"/>
      <c r="AX547" s="137"/>
      <c r="AY547" s="137"/>
      <c r="AZ547" s="137"/>
      <c r="BA547" s="137"/>
      <c r="BB547" s="137"/>
      <c r="BC547" s="137"/>
      <c r="BD547" s="137"/>
      <c r="BE547" s="138"/>
      <c r="BF547" s="138"/>
      <c r="BG547" s="138"/>
      <c r="BH547" s="138"/>
      <c r="BI547" s="138"/>
      <c r="BJ547" s="138"/>
      <c r="BK547" s="138"/>
      <c r="BL547" s="138"/>
      <c r="BM547" s="138">
        <v>67.44</v>
      </c>
      <c r="BN547" s="157">
        <v>41837</v>
      </c>
      <c r="BO547" s="138"/>
      <c r="BP547" s="138"/>
      <c r="BQ547" s="138"/>
      <c r="BR547" s="138"/>
      <c r="BS547" s="138">
        <v>49.11</v>
      </c>
      <c r="BT547" s="157">
        <v>41837</v>
      </c>
      <c r="BU547" s="138">
        <v>39.6</v>
      </c>
      <c r="BV547" s="157">
        <v>41837</v>
      </c>
      <c r="BW547" s="138">
        <v>19.7</v>
      </c>
      <c r="BX547" s="157">
        <v>41837</v>
      </c>
      <c r="BY547" s="138"/>
      <c r="BZ547" s="138"/>
      <c r="CA547" s="138"/>
      <c r="CB547" s="138"/>
      <c r="CC547" s="138">
        <v>9.9</v>
      </c>
      <c r="CD547" s="157">
        <v>41837</v>
      </c>
      <c r="CE547" s="138"/>
      <c r="CF547" s="138"/>
      <c r="CG547" s="138"/>
      <c r="CH547" s="138"/>
      <c r="CI547" s="138"/>
      <c r="CJ547" s="138"/>
      <c r="CK547" s="138"/>
      <c r="CL547" s="138"/>
      <c r="CM547" s="138"/>
    </row>
    <row r="548" spans="1:91" s="196" customFormat="1">
      <c r="A548" s="159" t="s">
        <v>7656</v>
      </c>
      <c r="B548" s="112" t="s">
        <v>269</v>
      </c>
      <c r="C548" s="112">
        <v>3</v>
      </c>
      <c r="D548" s="112">
        <v>195</v>
      </c>
      <c r="E548" s="113">
        <v>7</v>
      </c>
      <c r="F548" s="113">
        <v>16</v>
      </c>
      <c r="G548" s="113"/>
      <c r="H548" s="113"/>
      <c r="I548" s="112"/>
      <c r="J548" s="112"/>
      <c r="K548" s="137"/>
      <c r="L548" s="157"/>
      <c r="M548" s="185">
        <v>5.8</v>
      </c>
      <c r="N548" s="157">
        <v>41837</v>
      </c>
      <c r="O548" s="137"/>
      <c r="P548" s="157"/>
      <c r="Q548" s="137"/>
      <c r="R548" s="185"/>
      <c r="S548" s="137">
        <v>15.83</v>
      </c>
      <c r="T548" s="157">
        <v>41837</v>
      </c>
      <c r="U548" s="142">
        <v>18</v>
      </c>
      <c r="V548" s="157"/>
      <c r="W548" s="137"/>
      <c r="X548" s="157"/>
      <c r="Y548" s="142">
        <f t="shared" si="8"/>
        <v>12.97348</v>
      </c>
      <c r="Z548" s="157">
        <v>41837</v>
      </c>
      <c r="AA548" s="137"/>
      <c r="AB548" s="157"/>
      <c r="AC548" s="137"/>
      <c r="AD548" s="157"/>
      <c r="AE548" s="137">
        <v>31.72</v>
      </c>
      <c r="AF548" s="157">
        <v>41837</v>
      </c>
      <c r="AG548" s="185">
        <v>4.5599999999999996</v>
      </c>
      <c r="AH548" s="157">
        <v>41837</v>
      </c>
      <c r="AI548" s="157"/>
      <c r="AJ548" s="157"/>
      <c r="AK548" s="137"/>
      <c r="AL548" s="157"/>
      <c r="AM548" s="137">
        <v>83</v>
      </c>
      <c r="AN548" s="157"/>
      <c r="AO548" s="137"/>
      <c r="AP548" s="137"/>
      <c r="AQ548" s="137"/>
      <c r="AR548" s="137"/>
      <c r="AS548" s="137"/>
      <c r="AT548" s="137"/>
      <c r="AU548" s="137"/>
      <c r="AV548" s="137"/>
      <c r="AW548" s="137"/>
      <c r="AX548" s="137"/>
      <c r="AY548" s="137"/>
      <c r="AZ548" s="137"/>
      <c r="BA548" s="137"/>
      <c r="BB548" s="137"/>
      <c r="BC548" s="137"/>
      <c r="BD548" s="137"/>
      <c r="BE548" s="138"/>
      <c r="BF548" s="138"/>
      <c r="BG548" s="138"/>
      <c r="BH548" s="138"/>
      <c r="BI548" s="138"/>
      <c r="BJ548" s="138"/>
      <c r="BK548" s="138"/>
      <c r="BL548" s="138"/>
      <c r="BM548" s="138">
        <v>57.52</v>
      </c>
      <c r="BN548" s="157">
        <v>41837</v>
      </c>
      <c r="BO548" s="138"/>
      <c r="BP548" s="138"/>
      <c r="BQ548" s="138"/>
      <c r="BR548" s="138"/>
      <c r="BS548" s="138">
        <v>49.91</v>
      </c>
      <c r="BT548" s="157">
        <v>41837</v>
      </c>
      <c r="BU548" s="138">
        <v>40.9</v>
      </c>
      <c r="BV548" s="157">
        <v>41837</v>
      </c>
      <c r="BW548" s="138">
        <v>48.3</v>
      </c>
      <c r="BX548" s="157">
        <v>41837</v>
      </c>
      <c r="BY548" s="138"/>
      <c r="BZ548" s="138"/>
      <c r="CA548" s="138"/>
      <c r="CB548" s="138"/>
      <c r="CC548" s="138">
        <v>9.6999999999999993</v>
      </c>
      <c r="CD548" s="157">
        <v>41837</v>
      </c>
      <c r="CE548" s="138"/>
      <c r="CF548" s="138"/>
      <c r="CG548" s="138"/>
      <c r="CH548" s="138"/>
      <c r="CI548" s="138"/>
      <c r="CJ548" s="138"/>
      <c r="CK548" s="138"/>
      <c r="CL548" s="138"/>
      <c r="CM548" s="138"/>
    </row>
    <row r="549" spans="1:91" s="196" customFormat="1">
      <c r="A549" s="159" t="s">
        <v>7798</v>
      </c>
      <c r="B549" s="112" t="s">
        <v>269</v>
      </c>
      <c r="C549" s="112">
        <v>3</v>
      </c>
      <c r="D549" s="112">
        <v>109</v>
      </c>
      <c r="E549" s="113">
        <v>8</v>
      </c>
      <c r="F549" s="113">
        <v>16</v>
      </c>
      <c r="G549" s="113"/>
      <c r="H549" s="113"/>
      <c r="I549" s="112"/>
      <c r="J549" s="112"/>
      <c r="K549" s="137"/>
      <c r="L549" s="157"/>
      <c r="M549" s="185">
        <v>6.54</v>
      </c>
      <c r="N549" s="157">
        <v>41837</v>
      </c>
      <c r="O549" s="137"/>
      <c r="P549" s="157"/>
      <c r="Q549" s="137"/>
      <c r="R549" s="185"/>
      <c r="S549" s="137">
        <v>18.309999999999999</v>
      </c>
      <c r="T549" s="157">
        <v>41837</v>
      </c>
      <c r="U549" s="142">
        <v>18</v>
      </c>
      <c r="V549" s="157"/>
      <c r="W549" s="137"/>
      <c r="X549" s="157"/>
      <c r="Y549" s="142">
        <f t="shared" si="8"/>
        <v>14.295120000000002</v>
      </c>
      <c r="Z549" s="157">
        <v>41837</v>
      </c>
      <c r="AA549" s="137"/>
      <c r="AB549" s="157"/>
      <c r="AC549" s="137"/>
      <c r="AD549" s="157"/>
      <c r="AE549" s="137">
        <v>35.56</v>
      </c>
      <c r="AF549" s="157">
        <v>41837</v>
      </c>
      <c r="AG549" s="185">
        <v>4.9800000000000004</v>
      </c>
      <c r="AH549" s="157">
        <v>41837</v>
      </c>
      <c r="AI549" s="157"/>
      <c r="AJ549" s="157"/>
      <c r="AK549" s="137"/>
      <c r="AL549" s="157"/>
      <c r="AM549" s="137">
        <v>92</v>
      </c>
      <c r="AN549" s="157"/>
      <c r="AO549" s="137"/>
      <c r="AP549" s="137"/>
      <c r="AQ549" s="137"/>
      <c r="AR549" s="137"/>
      <c r="AS549" s="137"/>
      <c r="AT549" s="137"/>
      <c r="AU549" s="137"/>
      <c r="AV549" s="137"/>
      <c r="AW549" s="137"/>
      <c r="AX549" s="137"/>
      <c r="AY549" s="137"/>
      <c r="AZ549" s="137"/>
      <c r="BA549" s="137"/>
      <c r="BB549" s="137"/>
      <c r="BC549" s="137"/>
      <c r="BD549" s="137"/>
      <c r="BE549" s="138"/>
      <c r="BF549" s="138"/>
      <c r="BG549" s="138"/>
      <c r="BH549" s="138"/>
      <c r="BI549" s="138"/>
      <c r="BJ549" s="138"/>
      <c r="BK549" s="138"/>
      <c r="BL549" s="138"/>
      <c r="BM549" s="138">
        <v>62.29</v>
      </c>
      <c r="BN549" s="157">
        <v>41837</v>
      </c>
      <c r="BO549" s="138"/>
      <c r="BP549" s="138"/>
      <c r="BQ549" s="138"/>
      <c r="BR549" s="138"/>
      <c r="BS549" s="138">
        <v>51.5</v>
      </c>
      <c r="BT549" s="157">
        <v>41837</v>
      </c>
      <c r="BU549" s="138">
        <v>40.200000000000003</v>
      </c>
      <c r="BV549" s="157">
        <v>41837</v>
      </c>
      <c r="BW549" s="138">
        <v>17.100000000000001</v>
      </c>
      <c r="BX549" s="157">
        <v>41837</v>
      </c>
      <c r="BY549" s="138"/>
      <c r="BZ549" s="138"/>
      <c r="CA549" s="138"/>
      <c r="CB549" s="138"/>
      <c r="CC549" s="138">
        <v>10.199999999999999</v>
      </c>
      <c r="CD549" s="157">
        <v>41837</v>
      </c>
      <c r="CE549" s="138"/>
      <c r="CF549" s="138"/>
      <c r="CG549" s="138"/>
      <c r="CH549" s="138"/>
      <c r="CI549" s="138"/>
      <c r="CJ549" s="138"/>
      <c r="CK549" s="138"/>
      <c r="CL549" s="138"/>
      <c r="CM549" s="138"/>
    </row>
    <row r="550" spans="1:91">
      <c r="A550" s="159" t="s">
        <v>7692</v>
      </c>
      <c r="B550" s="112" t="s">
        <v>269</v>
      </c>
      <c r="C550" s="112">
        <v>3</v>
      </c>
      <c r="D550" s="112">
        <v>17</v>
      </c>
      <c r="E550" s="113">
        <v>9</v>
      </c>
      <c r="F550" s="113">
        <v>16</v>
      </c>
      <c r="I550" s="200"/>
      <c r="K550" s="142"/>
      <c r="M550" s="185">
        <v>6</v>
      </c>
      <c r="N550" s="157">
        <v>41837</v>
      </c>
      <c r="Q550" s="142"/>
      <c r="R550" s="185"/>
      <c r="S550" s="142">
        <v>16.170000000000002</v>
      </c>
      <c r="T550" s="157">
        <v>41837</v>
      </c>
      <c r="U550" s="142">
        <v>18</v>
      </c>
      <c r="W550" s="142"/>
      <c r="Y550" s="142">
        <f t="shared" si="8"/>
        <v>12.894559999999998</v>
      </c>
      <c r="Z550" s="157">
        <v>41837</v>
      </c>
      <c r="AA550" s="142"/>
      <c r="AE550" s="142">
        <v>32.479999999999997</v>
      </c>
      <c r="AF550" s="157">
        <v>41837</v>
      </c>
      <c r="AG550" s="185">
        <v>4.2</v>
      </c>
      <c r="AH550" s="157">
        <v>41837</v>
      </c>
      <c r="AK550" s="142"/>
      <c r="AM550" s="142">
        <v>87</v>
      </c>
      <c r="BM550" s="138">
        <v>61.27</v>
      </c>
      <c r="BN550" s="157">
        <v>41837</v>
      </c>
      <c r="BS550" s="138">
        <v>49.79</v>
      </c>
      <c r="BT550" s="157">
        <v>41837</v>
      </c>
      <c r="BU550" s="138">
        <v>39.700000000000003</v>
      </c>
      <c r="BV550" s="157">
        <v>41837</v>
      </c>
      <c r="BW550" s="138">
        <v>17.399999999999999</v>
      </c>
      <c r="BX550" s="157">
        <v>41837</v>
      </c>
      <c r="CC550" s="138">
        <v>10.6</v>
      </c>
      <c r="CD550" s="157">
        <v>41837</v>
      </c>
    </row>
    <row r="551" spans="1:91">
      <c r="A551" s="159" t="s">
        <v>7679</v>
      </c>
      <c r="B551" s="112" t="s">
        <v>269</v>
      </c>
      <c r="C551" s="112">
        <v>3</v>
      </c>
      <c r="D551" s="112">
        <v>111</v>
      </c>
      <c r="E551" s="113">
        <v>10</v>
      </c>
      <c r="F551" s="113">
        <v>16</v>
      </c>
      <c r="M551" s="185">
        <v>7.45</v>
      </c>
      <c r="N551" s="157">
        <v>41837</v>
      </c>
      <c r="R551" s="185"/>
      <c r="S551" s="137">
        <v>18.91</v>
      </c>
      <c r="T551" s="157">
        <v>41837</v>
      </c>
      <c r="U551" s="142">
        <v>18</v>
      </c>
      <c r="Y551" s="142">
        <f t="shared" si="8"/>
        <v>15.741080000000002</v>
      </c>
      <c r="Z551" s="157">
        <v>41837</v>
      </c>
      <c r="AE551" s="137">
        <v>40.78</v>
      </c>
      <c r="AF551" s="157">
        <v>41837</v>
      </c>
      <c r="AG551" s="185">
        <v>4.71</v>
      </c>
      <c r="AH551" s="157">
        <v>41837</v>
      </c>
      <c r="AM551" s="137">
        <v>94</v>
      </c>
      <c r="BM551" s="138">
        <v>62.65</v>
      </c>
      <c r="BN551" s="157">
        <v>41837</v>
      </c>
      <c r="BS551" s="138">
        <v>46.38</v>
      </c>
      <c r="BT551" s="157">
        <v>41837</v>
      </c>
      <c r="BU551" s="138">
        <v>38.6</v>
      </c>
      <c r="BV551" s="157">
        <v>41837</v>
      </c>
      <c r="BW551" s="138">
        <v>43</v>
      </c>
      <c r="BX551" s="157">
        <v>41837</v>
      </c>
      <c r="CC551" s="138">
        <v>9.6</v>
      </c>
      <c r="CD551" s="157">
        <v>41837</v>
      </c>
    </row>
    <row r="552" spans="1:91">
      <c r="A552" s="159" t="s">
        <v>7754</v>
      </c>
      <c r="B552" s="112" t="s">
        <v>269</v>
      </c>
      <c r="C552" s="112">
        <v>3</v>
      </c>
      <c r="D552" s="112">
        <v>28</v>
      </c>
      <c r="E552" s="113">
        <v>11</v>
      </c>
      <c r="F552" s="113">
        <v>16</v>
      </c>
      <c r="M552" s="185">
        <v>3.51</v>
      </c>
      <c r="N552" s="157">
        <v>41837</v>
      </c>
      <c r="R552" s="185"/>
      <c r="S552" s="137">
        <v>9.06</v>
      </c>
      <c r="T552" s="157">
        <v>41837</v>
      </c>
      <c r="U552" s="142">
        <v>18</v>
      </c>
      <c r="Y552" s="142">
        <f t="shared" si="8"/>
        <v>7.8804600000000002</v>
      </c>
      <c r="Z552" s="157">
        <v>41837</v>
      </c>
      <c r="AE552" s="137">
        <v>19.41</v>
      </c>
      <c r="AF552" s="157">
        <v>41837</v>
      </c>
      <c r="AG552" s="185">
        <v>4</v>
      </c>
      <c r="AH552" s="157">
        <v>41837</v>
      </c>
      <c r="AM552" s="137">
        <v>96</v>
      </c>
      <c r="BM552" s="138">
        <v>61.12</v>
      </c>
      <c r="BN552" s="157">
        <v>41837</v>
      </c>
      <c r="BS552" s="138">
        <v>46.68</v>
      </c>
      <c r="BT552" s="157">
        <v>41837</v>
      </c>
      <c r="BU552" s="138">
        <v>40.6</v>
      </c>
      <c r="BV552" s="157">
        <v>41837</v>
      </c>
      <c r="BW552" s="138">
        <v>69.3</v>
      </c>
      <c r="BX552" s="157">
        <v>41837</v>
      </c>
      <c r="CC552" s="138">
        <v>8.6999999999999993</v>
      </c>
      <c r="CD552" s="157">
        <v>41837</v>
      </c>
    </row>
    <row r="553" spans="1:91">
      <c r="A553" s="189" t="s">
        <v>7807</v>
      </c>
      <c r="B553" s="190" t="s">
        <v>269</v>
      </c>
      <c r="C553" s="190">
        <v>3</v>
      </c>
      <c r="D553" s="190">
        <v>128</v>
      </c>
      <c r="E553" s="191">
        <v>12</v>
      </c>
      <c r="F553" s="191">
        <v>16</v>
      </c>
      <c r="G553" s="191"/>
      <c r="H553" s="191"/>
      <c r="I553" s="190"/>
      <c r="J553" s="190"/>
      <c r="K553" s="195"/>
      <c r="L553" s="193"/>
      <c r="M553" s="194">
        <v>6.05</v>
      </c>
      <c r="N553" s="193">
        <v>41837</v>
      </c>
      <c r="P553" s="193"/>
      <c r="Q553" s="195"/>
      <c r="R553" s="194"/>
      <c r="S553" s="195">
        <v>16.8</v>
      </c>
      <c r="T553" s="193">
        <v>41837</v>
      </c>
      <c r="U553" s="192">
        <v>18</v>
      </c>
      <c r="V553" s="193"/>
      <c r="W553" s="195"/>
      <c r="X553" s="193"/>
      <c r="Y553" s="192">
        <f t="shared" si="8"/>
        <v>13.23701</v>
      </c>
      <c r="Z553" s="193">
        <v>41837</v>
      </c>
      <c r="AA553" s="195"/>
      <c r="AB553" s="193"/>
      <c r="AC553" s="195"/>
      <c r="AD553" s="193"/>
      <c r="AE553" s="195">
        <v>33.01</v>
      </c>
      <c r="AF553" s="193">
        <v>41837</v>
      </c>
      <c r="AG553" s="194">
        <v>5.55</v>
      </c>
      <c r="AH553" s="193">
        <v>41837</v>
      </c>
      <c r="AI553" s="193"/>
      <c r="AJ553" s="193"/>
      <c r="AK553" s="195"/>
      <c r="AL553" s="193"/>
      <c r="AM553" s="195">
        <v>94</v>
      </c>
      <c r="AN553" s="193"/>
      <c r="AO553" s="195"/>
      <c r="AP553" s="195"/>
      <c r="AQ553" s="195"/>
      <c r="AR553" s="195"/>
      <c r="AS553" s="195"/>
      <c r="AT553" s="195"/>
      <c r="AU553" s="195"/>
      <c r="AV553" s="195"/>
      <c r="AW553" s="195"/>
      <c r="AX553" s="195"/>
      <c r="AY553" s="195"/>
      <c r="AZ553" s="195"/>
      <c r="BA553" s="195"/>
      <c r="BB553" s="195"/>
      <c r="BC553" s="195"/>
      <c r="BD553" s="195"/>
      <c r="BE553" s="196"/>
      <c r="BF553" s="196"/>
      <c r="BG553" s="196"/>
      <c r="BH553" s="196"/>
      <c r="BI553" s="196"/>
      <c r="BJ553" s="196"/>
      <c r="BK553" s="196"/>
      <c r="BL553" s="196"/>
      <c r="BM553" s="196">
        <v>59.25</v>
      </c>
      <c r="BN553" s="193">
        <v>41837</v>
      </c>
      <c r="BO553" s="196"/>
      <c r="BP553" s="196"/>
      <c r="BQ553" s="196"/>
      <c r="BR553" s="196"/>
      <c r="BS553" s="196">
        <v>50.89</v>
      </c>
      <c r="BT553" s="193">
        <v>41837</v>
      </c>
      <c r="BU553" s="196">
        <v>40.1</v>
      </c>
      <c r="BV553" s="193">
        <v>41837</v>
      </c>
      <c r="BW553" s="196">
        <v>14</v>
      </c>
      <c r="BX553" s="193">
        <v>41837</v>
      </c>
      <c r="BY553" s="196"/>
      <c r="BZ553" s="196"/>
      <c r="CA553" s="196"/>
      <c r="CB553" s="196"/>
      <c r="CC553" s="196">
        <v>9.9</v>
      </c>
      <c r="CD553" s="193">
        <v>41837</v>
      </c>
      <c r="CE553" s="196"/>
      <c r="CF553" s="196"/>
      <c r="CG553" s="196"/>
      <c r="CH553" s="196"/>
      <c r="CI553" s="196"/>
      <c r="CJ553" s="196"/>
      <c r="CK553" s="196"/>
      <c r="CL553" s="196"/>
      <c r="CM553" s="196"/>
    </row>
    <row r="554" spans="1:91" s="196" customFormat="1">
      <c r="A554" s="189" t="s">
        <v>7666</v>
      </c>
      <c r="B554" s="190" t="s">
        <v>269</v>
      </c>
      <c r="C554" s="190">
        <v>3</v>
      </c>
      <c r="D554" s="190">
        <v>139</v>
      </c>
      <c r="E554" s="191">
        <v>13</v>
      </c>
      <c r="F554" s="191">
        <v>16</v>
      </c>
      <c r="G554" s="191"/>
      <c r="H554" s="191"/>
      <c r="I554" s="190"/>
      <c r="J554" s="190"/>
      <c r="K554" s="195"/>
      <c r="L554" s="193"/>
      <c r="M554" s="194">
        <v>5.1100000000000003</v>
      </c>
      <c r="N554" s="193">
        <v>41837</v>
      </c>
      <c r="O554" s="137"/>
      <c r="P554" s="193"/>
      <c r="Q554" s="195"/>
      <c r="R554" s="194"/>
      <c r="S554" s="195">
        <v>13.63</v>
      </c>
      <c r="T554" s="193">
        <v>41837</v>
      </c>
      <c r="U554" s="192">
        <v>18</v>
      </c>
      <c r="V554" s="193"/>
      <c r="W554" s="195"/>
      <c r="X554" s="193"/>
      <c r="Y554" s="192">
        <f t="shared" si="8"/>
        <v>10.71251</v>
      </c>
      <c r="Z554" s="193">
        <v>41837</v>
      </c>
      <c r="AA554" s="195"/>
      <c r="AB554" s="193"/>
      <c r="AC554" s="195"/>
      <c r="AD554" s="193"/>
      <c r="AE554" s="195">
        <v>27.97</v>
      </c>
      <c r="AF554" s="193">
        <v>41837</v>
      </c>
      <c r="AG554" s="194">
        <v>4.58</v>
      </c>
      <c r="AH554" s="193">
        <v>41837</v>
      </c>
      <c r="AI554" s="193"/>
      <c r="AJ554" s="193"/>
      <c r="AK554" s="195"/>
      <c r="AL554" s="193"/>
      <c r="AM554" s="195">
        <v>92</v>
      </c>
      <c r="AN554" s="193"/>
      <c r="AO554" s="195"/>
      <c r="AP554" s="195"/>
      <c r="AQ554" s="195"/>
      <c r="AR554" s="195"/>
      <c r="AS554" s="195"/>
      <c r="AT554" s="195"/>
      <c r="AU554" s="195"/>
      <c r="AV554" s="195"/>
      <c r="AW554" s="195"/>
      <c r="AX554" s="195"/>
      <c r="AY554" s="195"/>
      <c r="AZ554" s="195"/>
      <c r="BA554" s="195"/>
      <c r="BB554" s="195"/>
      <c r="BC554" s="195"/>
      <c r="BD554" s="195"/>
      <c r="BM554" s="196">
        <v>61.17</v>
      </c>
      <c r="BN554" s="193">
        <v>41837</v>
      </c>
      <c r="BS554" s="196">
        <v>48.74</v>
      </c>
      <c r="BT554" s="193">
        <v>41837</v>
      </c>
      <c r="BU554" s="196">
        <v>38.299999999999997</v>
      </c>
      <c r="BV554" s="193">
        <v>41837</v>
      </c>
      <c r="BW554" s="196">
        <v>17.2</v>
      </c>
      <c r="BX554" s="193">
        <v>41837</v>
      </c>
      <c r="CC554" s="196">
        <v>9.6</v>
      </c>
      <c r="CD554" s="193">
        <v>41837</v>
      </c>
    </row>
    <row r="555" spans="1:91" s="196" customFormat="1">
      <c r="A555" s="159" t="s">
        <v>7685</v>
      </c>
      <c r="B555" s="112" t="s">
        <v>269</v>
      </c>
      <c r="C555" s="112">
        <v>3</v>
      </c>
      <c r="D555" s="112">
        <v>56</v>
      </c>
      <c r="E555" s="113">
        <v>14</v>
      </c>
      <c r="F555" s="113">
        <v>16</v>
      </c>
      <c r="G555" s="113"/>
      <c r="H555" s="113"/>
      <c r="I555" s="112"/>
      <c r="J555" s="112"/>
      <c r="K555" s="137"/>
      <c r="L555" s="157"/>
      <c r="M555" s="185">
        <v>6.83</v>
      </c>
      <c r="N555" s="157">
        <v>41837</v>
      </c>
      <c r="O555" s="137"/>
      <c r="P555" s="157"/>
      <c r="Q555" s="137"/>
      <c r="R555" s="185"/>
      <c r="S555" s="137">
        <v>18.91</v>
      </c>
      <c r="T555" s="157">
        <v>41837</v>
      </c>
      <c r="U555" s="142">
        <v>18</v>
      </c>
      <c r="V555" s="157"/>
      <c r="W555" s="137"/>
      <c r="X555" s="157"/>
      <c r="Y555" s="142">
        <f t="shared" si="8"/>
        <v>14.216289999999999</v>
      </c>
      <c r="Z555" s="157">
        <v>41837</v>
      </c>
      <c r="AA555" s="137"/>
      <c r="AB555" s="157"/>
      <c r="AC555" s="137"/>
      <c r="AD555" s="157"/>
      <c r="AE555" s="137">
        <v>37.51</v>
      </c>
      <c r="AF555" s="157">
        <v>41837</v>
      </c>
      <c r="AG555" s="185">
        <v>4.45</v>
      </c>
      <c r="AH555" s="157">
        <v>41837</v>
      </c>
      <c r="AI555" s="157"/>
      <c r="AJ555" s="157"/>
      <c r="AK555" s="137"/>
      <c r="AL555" s="157"/>
      <c r="AM555" s="137">
        <v>90</v>
      </c>
      <c r="AN555" s="157"/>
      <c r="AO555" s="137"/>
      <c r="AP555" s="137"/>
      <c r="AQ555" s="137"/>
      <c r="AR555" s="137"/>
      <c r="AS555" s="137"/>
      <c r="AT555" s="137"/>
      <c r="AU555" s="137"/>
      <c r="AV555" s="137"/>
      <c r="AW555" s="137"/>
      <c r="AX555" s="137"/>
      <c r="AY555" s="137"/>
      <c r="AZ555" s="137"/>
      <c r="BA555" s="137"/>
      <c r="BB555" s="137"/>
      <c r="BC555" s="137"/>
      <c r="BD555" s="137"/>
      <c r="BE555" s="138"/>
      <c r="BF555" s="138"/>
      <c r="BG555" s="138"/>
      <c r="BH555" s="138"/>
      <c r="BI555" s="138"/>
      <c r="BJ555" s="138"/>
      <c r="BK555" s="138"/>
      <c r="BL555" s="138"/>
      <c r="BM555" s="138">
        <v>61.38</v>
      </c>
      <c r="BN555" s="157">
        <v>41837</v>
      </c>
      <c r="BO555" s="138"/>
      <c r="BP555" s="138"/>
      <c r="BQ555" s="138"/>
      <c r="BR555" s="138"/>
      <c r="BS555" s="138">
        <v>50.42</v>
      </c>
      <c r="BT555" s="157">
        <v>41837</v>
      </c>
      <c r="BU555" s="138">
        <v>37.9</v>
      </c>
      <c r="BV555" s="157">
        <v>41837</v>
      </c>
      <c r="BW555" s="138">
        <v>19.2</v>
      </c>
      <c r="BX555" s="157">
        <v>41837</v>
      </c>
      <c r="BY555" s="138"/>
      <c r="BZ555" s="138"/>
      <c r="CA555" s="138"/>
      <c r="CB555" s="138"/>
      <c r="CC555" s="138">
        <v>9.3000000000000007</v>
      </c>
      <c r="CD555" s="157">
        <v>41837</v>
      </c>
      <c r="CE555" s="138"/>
      <c r="CF555" s="138"/>
      <c r="CG555" s="138"/>
      <c r="CH555" s="138"/>
      <c r="CI555" s="138"/>
      <c r="CJ555" s="138"/>
      <c r="CK555" s="138"/>
      <c r="CL555" s="138"/>
      <c r="CM555" s="138"/>
    </row>
    <row r="556" spans="1:91" s="196" customFormat="1">
      <c r="A556" s="159" t="s">
        <v>7772</v>
      </c>
      <c r="B556" s="112" t="s">
        <v>269</v>
      </c>
      <c r="C556" s="112">
        <v>3</v>
      </c>
      <c r="D556" s="112">
        <v>17</v>
      </c>
      <c r="E556" s="113">
        <v>15</v>
      </c>
      <c r="F556" s="113">
        <v>16</v>
      </c>
      <c r="G556" s="113"/>
      <c r="H556" s="113"/>
      <c r="I556" s="200"/>
      <c r="J556" s="112"/>
      <c r="K556" s="142"/>
      <c r="L556" s="157"/>
      <c r="M556" s="185">
        <v>5.67</v>
      </c>
      <c r="N556" s="157">
        <v>41837</v>
      </c>
      <c r="O556" s="137"/>
      <c r="P556" s="157"/>
      <c r="Q556" s="142"/>
      <c r="R556" s="185"/>
      <c r="S556" s="142">
        <v>16.36</v>
      </c>
      <c r="T556" s="157">
        <v>41837</v>
      </c>
      <c r="U556" s="142">
        <v>18</v>
      </c>
      <c r="V556" s="157"/>
      <c r="W556" s="142"/>
      <c r="X556" s="157"/>
      <c r="Y556" s="142">
        <f t="shared" si="8"/>
        <v>12.525350000000001</v>
      </c>
      <c r="Z556" s="157">
        <v>41837</v>
      </c>
      <c r="AA556" s="142"/>
      <c r="AB556" s="157"/>
      <c r="AC556" s="137"/>
      <c r="AD556" s="157"/>
      <c r="AE556" s="142">
        <v>31.55</v>
      </c>
      <c r="AF556" s="157">
        <v>41837</v>
      </c>
      <c r="AG556" s="185">
        <v>4.91</v>
      </c>
      <c r="AH556" s="157">
        <v>41837</v>
      </c>
      <c r="AI556" s="157"/>
      <c r="AJ556" s="157"/>
      <c r="AK556" s="142"/>
      <c r="AL556" s="157"/>
      <c r="AM556" s="142">
        <v>90</v>
      </c>
      <c r="AN556" s="157"/>
      <c r="AO556" s="137"/>
      <c r="AP556" s="137"/>
      <c r="AQ556" s="137"/>
      <c r="AR556" s="137"/>
      <c r="AS556" s="137"/>
      <c r="AT556" s="137"/>
      <c r="AU556" s="137"/>
      <c r="AV556" s="137"/>
      <c r="AW556" s="137"/>
      <c r="AX556" s="137"/>
      <c r="AY556" s="137"/>
      <c r="AZ556" s="137"/>
      <c r="BA556" s="137"/>
      <c r="BB556" s="137"/>
      <c r="BC556" s="137"/>
      <c r="BD556" s="137"/>
      <c r="BE556" s="138"/>
      <c r="BF556" s="138"/>
      <c r="BG556" s="138"/>
      <c r="BH556" s="138"/>
      <c r="BI556" s="138"/>
      <c r="BJ556" s="138"/>
      <c r="BK556" s="138"/>
      <c r="BL556" s="138"/>
      <c r="BM556" s="138">
        <v>59.95</v>
      </c>
      <c r="BN556" s="157">
        <v>41837</v>
      </c>
      <c r="BO556" s="138"/>
      <c r="BP556" s="138"/>
      <c r="BQ556" s="138"/>
      <c r="BR556" s="138"/>
      <c r="BS556" s="138">
        <v>51.86</v>
      </c>
      <c r="BT556" s="157">
        <v>41837</v>
      </c>
      <c r="BU556" s="138">
        <v>39.700000000000003</v>
      </c>
      <c r="BV556" s="157">
        <v>41837</v>
      </c>
      <c r="BW556" s="138">
        <v>12.7</v>
      </c>
      <c r="BX556" s="157">
        <v>41837</v>
      </c>
      <c r="BY556" s="138"/>
      <c r="BZ556" s="138"/>
      <c r="CA556" s="138"/>
      <c r="CB556" s="138"/>
      <c r="CC556" s="138">
        <v>8.1</v>
      </c>
      <c r="CD556" s="157">
        <v>41837</v>
      </c>
      <c r="CE556" s="138"/>
      <c r="CF556" s="138"/>
      <c r="CG556" s="138"/>
      <c r="CH556" s="138"/>
      <c r="CI556" s="138"/>
      <c r="CJ556" s="138"/>
      <c r="CK556" s="138"/>
      <c r="CL556" s="138"/>
      <c r="CM556" s="138"/>
    </row>
    <row r="557" spans="1:91" s="196" customFormat="1">
      <c r="A557" s="189" t="s">
        <v>7786</v>
      </c>
      <c r="B557" s="190" t="s">
        <v>269</v>
      </c>
      <c r="C557" s="190">
        <v>3</v>
      </c>
      <c r="D557" s="190">
        <v>128</v>
      </c>
      <c r="E557" s="191">
        <v>16</v>
      </c>
      <c r="F557" s="191">
        <v>16</v>
      </c>
      <c r="G557" s="191"/>
      <c r="H557" s="191"/>
      <c r="I557" s="190"/>
      <c r="J557" s="190"/>
      <c r="K557" s="195"/>
      <c r="L557" s="193"/>
      <c r="M557" s="194">
        <v>6.4</v>
      </c>
      <c r="N557" s="193">
        <v>41837</v>
      </c>
      <c r="O557" s="137"/>
      <c r="P557" s="193"/>
      <c r="Q557" s="195"/>
      <c r="R557" s="194"/>
      <c r="S557" s="195">
        <v>17.78</v>
      </c>
      <c r="T557" s="193">
        <v>41837</v>
      </c>
      <c r="U557" s="192">
        <v>18</v>
      </c>
      <c r="V557" s="193"/>
      <c r="W557" s="195"/>
      <c r="X557" s="193"/>
      <c r="Y557" s="192">
        <f t="shared" si="8"/>
        <v>14.104649999999999</v>
      </c>
      <c r="Z557" s="193">
        <v>41837</v>
      </c>
      <c r="AA557" s="195"/>
      <c r="AB557" s="193"/>
      <c r="AC557" s="195"/>
      <c r="AD557" s="193"/>
      <c r="AE557" s="195">
        <v>35.35</v>
      </c>
      <c r="AF557" s="193">
        <v>41837</v>
      </c>
      <c r="AG557" s="194">
        <v>4.7</v>
      </c>
      <c r="AH557" s="193">
        <v>41837</v>
      </c>
      <c r="AI557" s="193"/>
      <c r="AJ557" s="193"/>
      <c r="AK557" s="195"/>
      <c r="AL557" s="193"/>
      <c r="AM557" s="195">
        <v>90</v>
      </c>
      <c r="AN557" s="193"/>
      <c r="AO557" s="195"/>
      <c r="AP557" s="195"/>
      <c r="AQ557" s="195"/>
      <c r="AR557" s="195"/>
      <c r="AS557" s="195"/>
      <c r="AT557" s="195"/>
      <c r="AU557" s="195"/>
      <c r="AV557" s="195"/>
      <c r="AW557" s="195"/>
      <c r="AX557" s="195"/>
      <c r="AY557" s="195"/>
      <c r="AZ557" s="195"/>
      <c r="BA557" s="195"/>
      <c r="BB557" s="195"/>
      <c r="BC557" s="195"/>
      <c r="BD557" s="195"/>
      <c r="BM557" s="196">
        <v>63.73</v>
      </c>
      <c r="BN557" s="193">
        <v>41837</v>
      </c>
      <c r="BS557" s="196">
        <v>50.29</v>
      </c>
      <c r="BT557" s="193">
        <v>41837</v>
      </c>
      <c r="BU557" s="196">
        <v>39.9</v>
      </c>
      <c r="BV557" s="193">
        <v>41837</v>
      </c>
      <c r="BW557" s="196">
        <v>14.8</v>
      </c>
      <c r="BX557" s="193">
        <v>41837</v>
      </c>
      <c r="CC557" s="196">
        <v>8.8000000000000007</v>
      </c>
      <c r="CD557" s="193">
        <v>41837</v>
      </c>
    </row>
    <row r="558" spans="1:91">
      <c r="A558" s="189" t="s">
        <v>7727</v>
      </c>
      <c r="B558" s="190" t="s">
        <v>269</v>
      </c>
      <c r="C558" s="190">
        <v>3</v>
      </c>
      <c r="D558" s="190">
        <v>42</v>
      </c>
      <c r="E558" s="191">
        <v>17</v>
      </c>
      <c r="F558" s="191">
        <v>16</v>
      </c>
      <c r="G558" s="191"/>
      <c r="H558" s="191"/>
      <c r="I558" s="190"/>
      <c r="J558" s="190"/>
      <c r="K558" s="195"/>
      <c r="L558" s="193"/>
      <c r="M558" s="194">
        <v>5.0199999999999996</v>
      </c>
      <c r="N558" s="193">
        <v>41837</v>
      </c>
      <c r="P558" s="193"/>
      <c r="Q558" s="195"/>
      <c r="R558" s="194"/>
      <c r="S558" s="195">
        <v>13.85</v>
      </c>
      <c r="T558" s="193">
        <v>41837</v>
      </c>
      <c r="U558" s="192">
        <v>18</v>
      </c>
      <c r="V558" s="193"/>
      <c r="W558" s="195"/>
      <c r="X558" s="193"/>
      <c r="Y558" s="192">
        <f t="shared" si="8"/>
        <v>11.08422</v>
      </c>
      <c r="Z558" s="193">
        <v>41837</v>
      </c>
      <c r="AA558" s="195"/>
      <c r="AB558" s="193"/>
      <c r="AC558" s="195"/>
      <c r="AD558" s="193"/>
      <c r="AE558" s="195">
        <v>27.78</v>
      </c>
      <c r="AF558" s="193">
        <v>41837</v>
      </c>
      <c r="AG558" s="194">
        <v>4.95</v>
      </c>
      <c r="AH558" s="193">
        <v>41837</v>
      </c>
      <c r="AI558" s="193"/>
      <c r="AJ558" s="193"/>
      <c r="AK558" s="195"/>
      <c r="AL558" s="193"/>
      <c r="AM558" s="195">
        <v>90</v>
      </c>
      <c r="AN558" s="193"/>
      <c r="AO558" s="195"/>
      <c r="AP558" s="195"/>
      <c r="AQ558" s="195"/>
      <c r="AR558" s="195"/>
      <c r="AS558" s="195"/>
      <c r="AT558" s="195"/>
      <c r="AU558" s="195"/>
      <c r="AV558" s="195"/>
      <c r="AW558" s="195"/>
      <c r="AX558" s="195"/>
      <c r="AY558" s="195"/>
      <c r="AZ558" s="195"/>
      <c r="BA558" s="195"/>
      <c r="BB558" s="195"/>
      <c r="BC558" s="195"/>
      <c r="BD558" s="195"/>
      <c r="BE558" s="196"/>
      <c r="BF558" s="196"/>
      <c r="BG558" s="196"/>
      <c r="BH558" s="196"/>
      <c r="BI558" s="196"/>
      <c r="BJ558" s="196"/>
      <c r="BK558" s="196"/>
      <c r="BL558" s="196"/>
      <c r="BM558" s="196">
        <v>61.03</v>
      </c>
      <c r="BN558" s="193">
        <v>41837</v>
      </c>
      <c r="BO558" s="196"/>
      <c r="BP558" s="196"/>
      <c r="BQ558" s="196"/>
      <c r="BR558" s="196"/>
      <c r="BS558" s="196">
        <v>49.84</v>
      </c>
      <c r="BT558" s="193">
        <v>41837</v>
      </c>
      <c r="BU558" s="196">
        <v>39.9</v>
      </c>
      <c r="BV558" s="193">
        <v>41837</v>
      </c>
      <c r="BW558" s="196">
        <v>11.3</v>
      </c>
      <c r="BX558" s="193">
        <v>41837</v>
      </c>
      <c r="BY558" s="196"/>
      <c r="BZ558" s="196"/>
      <c r="CA558" s="196"/>
      <c r="CB558" s="196"/>
      <c r="CC558" s="196">
        <v>8.6</v>
      </c>
      <c r="CD558" s="193">
        <v>41837</v>
      </c>
      <c r="CE558" s="196"/>
      <c r="CF558" s="196"/>
      <c r="CG558" s="196"/>
      <c r="CH558" s="196"/>
      <c r="CI558" s="196"/>
      <c r="CJ558" s="196"/>
      <c r="CK558" s="196"/>
      <c r="CL558" s="196"/>
      <c r="CM558" s="196"/>
    </row>
    <row r="559" spans="1:91">
      <c r="A559" s="159" t="s">
        <v>7717</v>
      </c>
      <c r="B559" s="112" t="s">
        <v>269</v>
      </c>
      <c r="C559" s="112">
        <v>3</v>
      </c>
      <c r="D559" s="112">
        <v>194</v>
      </c>
      <c r="E559" s="113">
        <v>18</v>
      </c>
      <c r="F559" s="113">
        <v>16</v>
      </c>
      <c r="M559" s="185">
        <v>3.35</v>
      </c>
      <c r="N559" s="157">
        <v>41837</v>
      </c>
      <c r="R559" s="185"/>
      <c r="S559" s="137">
        <v>9.25</v>
      </c>
      <c r="T559" s="157">
        <v>41837</v>
      </c>
      <c r="U559" s="142">
        <v>18</v>
      </c>
      <c r="Y559" s="142">
        <f t="shared" si="8"/>
        <v>7.07972</v>
      </c>
      <c r="Z559" s="157">
        <v>41837</v>
      </c>
      <c r="AE559" s="137">
        <v>18.68</v>
      </c>
      <c r="AF559" s="157">
        <v>41837</v>
      </c>
      <c r="AG559" s="185">
        <v>5.15</v>
      </c>
      <c r="AH559" s="157">
        <v>41837</v>
      </c>
      <c r="AM559" s="137">
        <v>87</v>
      </c>
      <c r="BM559" s="138">
        <v>60.6</v>
      </c>
      <c r="BN559" s="157">
        <v>41837</v>
      </c>
      <c r="BS559" s="138">
        <v>49.54</v>
      </c>
      <c r="BT559" s="157">
        <v>41837</v>
      </c>
      <c r="BU559" s="138">
        <v>37.9</v>
      </c>
      <c r="BV559" s="157">
        <v>41837</v>
      </c>
      <c r="BW559" s="138">
        <v>18.2</v>
      </c>
      <c r="BX559" s="157">
        <v>41837</v>
      </c>
      <c r="CC559" s="138">
        <v>7.9</v>
      </c>
      <c r="CD559" s="157">
        <v>41837</v>
      </c>
    </row>
    <row r="560" spans="1:91">
      <c r="A560" s="159" t="s">
        <v>7719</v>
      </c>
      <c r="B560" s="112" t="s">
        <v>269</v>
      </c>
      <c r="C560" s="112">
        <v>3</v>
      </c>
      <c r="D560" s="112">
        <v>213</v>
      </c>
      <c r="E560" s="113">
        <v>19</v>
      </c>
      <c r="F560" s="113">
        <v>16</v>
      </c>
      <c r="M560" s="185">
        <v>3.66</v>
      </c>
      <c r="N560" s="157">
        <v>41837</v>
      </c>
      <c r="R560" s="185"/>
      <c r="S560" s="137">
        <v>10.1</v>
      </c>
      <c r="T560" s="157">
        <v>41837</v>
      </c>
      <c r="U560" s="142">
        <v>18</v>
      </c>
      <c r="Y560" s="142">
        <f t="shared" si="8"/>
        <v>7.8925000000000001</v>
      </c>
      <c r="Z560" s="157">
        <v>41837</v>
      </c>
      <c r="AE560" s="137">
        <v>20.5</v>
      </c>
      <c r="AF560" s="157">
        <v>41837</v>
      </c>
      <c r="AG560" s="185">
        <v>5.36</v>
      </c>
      <c r="AH560" s="157">
        <v>41837</v>
      </c>
      <c r="AM560" s="137">
        <v>90</v>
      </c>
      <c r="BM560" s="138">
        <v>59</v>
      </c>
      <c r="BN560" s="157">
        <v>41837</v>
      </c>
      <c r="BS560" s="138">
        <v>49.26</v>
      </c>
      <c r="BT560" s="157">
        <v>41837</v>
      </c>
      <c r="BU560" s="138">
        <v>38.5</v>
      </c>
      <c r="BV560" s="157">
        <v>41837</v>
      </c>
      <c r="BW560" s="138">
        <v>18.600000000000001</v>
      </c>
      <c r="BX560" s="157">
        <v>41837</v>
      </c>
      <c r="CC560" s="138">
        <v>7.5</v>
      </c>
      <c r="CD560" s="157">
        <v>41837</v>
      </c>
    </row>
    <row r="561" spans="1:91">
      <c r="A561" s="159" t="s">
        <v>7662</v>
      </c>
      <c r="B561" s="112" t="s">
        <v>269</v>
      </c>
      <c r="C561" s="112">
        <v>3</v>
      </c>
      <c r="D561" s="112">
        <v>29</v>
      </c>
      <c r="E561" s="113">
        <v>20</v>
      </c>
      <c r="F561" s="113">
        <v>16</v>
      </c>
      <c r="M561" s="185">
        <v>6.24</v>
      </c>
      <c r="N561" s="157">
        <v>41837</v>
      </c>
      <c r="R561" s="185"/>
      <c r="S561" s="137">
        <v>17.66</v>
      </c>
      <c r="T561" s="157">
        <v>41837</v>
      </c>
      <c r="U561" s="142">
        <v>18</v>
      </c>
      <c r="Y561" s="142">
        <f t="shared" si="8"/>
        <v>13.68675</v>
      </c>
      <c r="Z561" s="157">
        <v>41837</v>
      </c>
      <c r="AE561" s="137">
        <v>34.65</v>
      </c>
      <c r="AF561" s="157">
        <v>41837</v>
      </c>
      <c r="AG561" s="185">
        <v>5.52</v>
      </c>
      <c r="AH561" s="157">
        <v>41837</v>
      </c>
      <c r="AM561" s="137">
        <v>92</v>
      </c>
      <c r="BM561" s="138">
        <v>61.44</v>
      </c>
      <c r="BN561" s="157">
        <v>41837</v>
      </c>
      <c r="BS561" s="138">
        <v>50.96</v>
      </c>
      <c r="BT561" s="157">
        <v>41837</v>
      </c>
      <c r="BU561" s="138">
        <v>39.5</v>
      </c>
      <c r="BV561" s="157">
        <v>41837</v>
      </c>
      <c r="BW561" s="138">
        <v>14.5</v>
      </c>
      <c r="BX561" s="157">
        <v>41837</v>
      </c>
      <c r="CC561" s="138">
        <v>8.3000000000000007</v>
      </c>
      <c r="CD561" s="157">
        <v>41837</v>
      </c>
    </row>
    <row r="562" spans="1:91" s="196" customFormat="1">
      <c r="A562" s="189" t="s">
        <v>7642</v>
      </c>
      <c r="B562" s="190" t="s">
        <v>269</v>
      </c>
      <c r="C562" s="190">
        <v>3</v>
      </c>
      <c r="D562" s="190">
        <v>1</v>
      </c>
      <c r="E562" s="191">
        <v>21</v>
      </c>
      <c r="F562" s="191">
        <v>16</v>
      </c>
      <c r="G562" s="191"/>
      <c r="H562" s="191"/>
      <c r="I562" s="203"/>
      <c r="J562" s="203"/>
      <c r="K562" s="197"/>
      <c r="L562" s="197"/>
      <c r="M562" s="198">
        <v>5.05</v>
      </c>
      <c r="N562" s="193">
        <v>41837</v>
      </c>
      <c r="O562" s="137"/>
      <c r="P562" s="197"/>
      <c r="Q562" s="197"/>
      <c r="R562" s="194"/>
      <c r="S562" s="197">
        <v>12.7</v>
      </c>
      <c r="T562" s="193">
        <v>41837</v>
      </c>
      <c r="U562" s="192">
        <v>18</v>
      </c>
      <c r="V562" s="197"/>
      <c r="W562" s="197"/>
      <c r="X562" s="197"/>
      <c r="Y562" s="192">
        <f t="shared" si="8"/>
        <v>11.521000000000001</v>
      </c>
      <c r="Z562" s="193">
        <v>41837</v>
      </c>
      <c r="AA562" s="197"/>
      <c r="AB562" s="197"/>
      <c r="AC562" s="195"/>
      <c r="AD562" s="193"/>
      <c r="AE562" s="197">
        <v>28.1</v>
      </c>
      <c r="AF562" s="193">
        <v>41837</v>
      </c>
      <c r="AG562" s="194">
        <v>5.04</v>
      </c>
      <c r="AH562" s="193">
        <v>41837</v>
      </c>
      <c r="AI562" s="193"/>
      <c r="AJ562" s="193"/>
      <c r="AK562" s="192"/>
      <c r="AL562" s="193"/>
      <c r="AM562" s="192">
        <v>90</v>
      </c>
      <c r="AN562" s="193"/>
      <c r="AO562" s="195"/>
      <c r="AP562" s="195"/>
      <c r="AQ562" s="195"/>
      <c r="AR562" s="195"/>
      <c r="AS562" s="195"/>
      <c r="AT562" s="195"/>
      <c r="AU562" s="195"/>
      <c r="AV562" s="195"/>
      <c r="AW562" s="195"/>
      <c r="AX562" s="195"/>
      <c r="AY562" s="195"/>
      <c r="AZ562" s="195"/>
      <c r="BA562" s="195"/>
      <c r="BB562" s="195"/>
      <c r="BC562" s="195"/>
      <c r="BD562" s="195"/>
      <c r="BM562" s="196">
        <v>64.09</v>
      </c>
      <c r="BN562" s="193">
        <v>41837</v>
      </c>
      <c r="BS562" s="196">
        <v>45.21</v>
      </c>
      <c r="BT562" s="193">
        <v>41837</v>
      </c>
      <c r="BU562" s="196">
        <v>41</v>
      </c>
      <c r="BV562" s="193">
        <v>41837</v>
      </c>
      <c r="BW562" s="196">
        <v>59.2</v>
      </c>
      <c r="BX562" s="193">
        <v>41837</v>
      </c>
      <c r="CC562" s="196">
        <v>8.1</v>
      </c>
      <c r="CD562" s="193">
        <v>41837</v>
      </c>
    </row>
    <row r="563" spans="1:91" s="196" customFormat="1">
      <c r="A563" s="159" t="s">
        <v>7703</v>
      </c>
      <c r="B563" s="112" t="s">
        <v>269</v>
      </c>
      <c r="C563" s="112">
        <v>3</v>
      </c>
      <c r="D563" s="112">
        <v>142</v>
      </c>
      <c r="E563" s="113">
        <v>22</v>
      </c>
      <c r="F563" s="113">
        <v>16</v>
      </c>
      <c r="G563" s="113"/>
      <c r="H563" s="113"/>
      <c r="I563" s="112"/>
      <c r="J563" s="112"/>
      <c r="K563" s="137"/>
      <c r="L563" s="157"/>
      <c r="M563" s="185">
        <v>4.91</v>
      </c>
      <c r="N563" s="157">
        <v>41837</v>
      </c>
      <c r="O563" s="137"/>
      <c r="P563" s="157"/>
      <c r="Q563" s="137"/>
      <c r="R563" s="185"/>
      <c r="S563" s="137">
        <v>13.32</v>
      </c>
      <c r="T563" s="157">
        <v>41837</v>
      </c>
      <c r="U563" s="142">
        <v>18</v>
      </c>
      <c r="V563" s="157"/>
      <c r="W563" s="137"/>
      <c r="X563" s="157"/>
      <c r="Y563" s="142">
        <f t="shared" si="8"/>
        <v>10.807499999999999</v>
      </c>
      <c r="Z563" s="157">
        <v>41837</v>
      </c>
      <c r="AA563" s="137"/>
      <c r="AB563" s="157"/>
      <c r="AC563" s="137"/>
      <c r="AD563" s="157"/>
      <c r="AE563" s="137">
        <v>27.5</v>
      </c>
      <c r="AF563" s="157">
        <v>41837</v>
      </c>
      <c r="AG563" s="185">
        <v>4.8600000000000003</v>
      </c>
      <c r="AH563" s="157">
        <v>41837</v>
      </c>
      <c r="AI563" s="157"/>
      <c r="AJ563" s="157"/>
      <c r="AK563" s="137"/>
      <c r="AL563" s="157"/>
      <c r="AM563" s="137">
        <v>92</v>
      </c>
      <c r="AN563" s="157"/>
      <c r="AO563" s="137"/>
      <c r="AP563" s="137"/>
      <c r="AQ563" s="137"/>
      <c r="AR563" s="137"/>
      <c r="AS563" s="137"/>
      <c r="AT563" s="137"/>
      <c r="AU563" s="137"/>
      <c r="AV563" s="137"/>
      <c r="AW563" s="137"/>
      <c r="AX563" s="137"/>
      <c r="AY563" s="137"/>
      <c r="AZ563" s="137"/>
      <c r="BA563" s="137"/>
      <c r="BB563" s="137"/>
      <c r="BC563" s="137"/>
      <c r="BD563" s="137"/>
      <c r="BE563" s="138"/>
      <c r="BF563" s="138"/>
      <c r="BG563" s="138"/>
      <c r="BH563" s="138"/>
      <c r="BI563" s="138"/>
      <c r="BJ563" s="138"/>
      <c r="BK563" s="138"/>
      <c r="BL563" s="138"/>
      <c r="BM563" s="138">
        <v>59.68</v>
      </c>
      <c r="BN563" s="157">
        <v>41837</v>
      </c>
      <c r="BO563" s="138"/>
      <c r="BP563" s="138"/>
      <c r="BQ563" s="138"/>
      <c r="BR563" s="138"/>
      <c r="BS563" s="138">
        <v>48.42</v>
      </c>
      <c r="BT563" s="157">
        <v>41837</v>
      </c>
      <c r="BU563" s="138">
        <v>39.299999999999997</v>
      </c>
      <c r="BV563" s="157">
        <v>41837</v>
      </c>
      <c r="BW563" s="138">
        <v>17.899999999999999</v>
      </c>
      <c r="BX563" s="157">
        <v>41837</v>
      </c>
      <c r="BY563" s="138"/>
      <c r="BZ563" s="138"/>
      <c r="CA563" s="138"/>
      <c r="CB563" s="138"/>
      <c r="CC563" s="138">
        <v>7.5</v>
      </c>
      <c r="CD563" s="157">
        <v>41837</v>
      </c>
      <c r="CE563" s="138"/>
      <c r="CF563" s="138"/>
      <c r="CG563" s="138"/>
      <c r="CH563" s="138"/>
      <c r="CI563" s="138"/>
      <c r="CJ563" s="138"/>
      <c r="CK563" s="138"/>
      <c r="CL563" s="138"/>
      <c r="CM563" s="138"/>
    </row>
    <row r="564" spans="1:91" s="196" customFormat="1">
      <c r="A564" s="159" t="s">
        <v>7645</v>
      </c>
      <c r="B564" s="112" t="s">
        <v>269</v>
      </c>
      <c r="C564" s="112">
        <v>3</v>
      </c>
      <c r="D564" s="112">
        <v>144</v>
      </c>
      <c r="E564" s="113">
        <v>23</v>
      </c>
      <c r="F564" s="113">
        <v>16</v>
      </c>
      <c r="G564" s="113"/>
      <c r="H564" s="113"/>
      <c r="I564" s="112"/>
      <c r="J564" s="112"/>
      <c r="K564" s="137"/>
      <c r="L564" s="157"/>
      <c r="M564" s="185">
        <v>3.1</v>
      </c>
      <c r="N564" s="157">
        <v>41837</v>
      </c>
      <c r="O564" s="137"/>
      <c r="P564" s="157"/>
      <c r="Q564" s="137"/>
      <c r="R564" s="185"/>
      <c r="S564" s="137">
        <v>8.39</v>
      </c>
      <c r="T564" s="157">
        <v>41837</v>
      </c>
      <c r="U564" s="142">
        <v>18</v>
      </c>
      <c r="V564" s="157"/>
      <c r="W564" s="137"/>
      <c r="X564" s="157"/>
      <c r="Y564" s="142">
        <f t="shared" si="8"/>
        <v>6.8651</v>
      </c>
      <c r="Z564" s="157">
        <v>41837</v>
      </c>
      <c r="AA564" s="137"/>
      <c r="AB564" s="157"/>
      <c r="AC564" s="137"/>
      <c r="AD564" s="157"/>
      <c r="AE564" s="137">
        <v>17.38</v>
      </c>
      <c r="AF564" s="157">
        <v>41837</v>
      </c>
      <c r="AG564" s="185">
        <v>4.3899999999999997</v>
      </c>
      <c r="AH564" s="157">
        <v>41837</v>
      </c>
      <c r="AI564" s="157"/>
      <c r="AJ564" s="157"/>
      <c r="AK564" s="137"/>
      <c r="AL564" s="157"/>
      <c r="AM564" s="137">
        <v>92</v>
      </c>
      <c r="AN564" s="157"/>
      <c r="AO564" s="137"/>
      <c r="AP564" s="137"/>
      <c r="AQ564" s="137"/>
      <c r="AR564" s="137"/>
      <c r="AS564" s="137"/>
      <c r="AT564" s="137"/>
      <c r="AU564" s="137"/>
      <c r="AV564" s="137"/>
      <c r="AW564" s="137"/>
      <c r="AX564" s="137"/>
      <c r="AY564" s="137"/>
      <c r="AZ564" s="137"/>
      <c r="BA564" s="137"/>
      <c r="BB564" s="137"/>
      <c r="BC564" s="137"/>
      <c r="BD564" s="137"/>
      <c r="BE564" s="138"/>
      <c r="BF564" s="138"/>
      <c r="BG564" s="138"/>
      <c r="BH564" s="138"/>
      <c r="BI564" s="138"/>
      <c r="BJ564" s="138"/>
      <c r="BK564" s="138"/>
      <c r="BL564" s="138"/>
      <c r="BM564" s="138">
        <v>60.66</v>
      </c>
      <c r="BN564" s="157">
        <v>41837</v>
      </c>
      <c r="BO564" s="138"/>
      <c r="BP564" s="138"/>
      <c r="BQ564" s="138"/>
      <c r="BR564" s="138"/>
      <c r="BS564" s="138">
        <v>48.29</v>
      </c>
      <c r="BT564" s="157">
        <v>41837</v>
      </c>
      <c r="BU564" s="138">
        <v>39.5</v>
      </c>
      <c r="BV564" s="157">
        <v>41837</v>
      </c>
      <c r="BW564" s="138">
        <v>29.1</v>
      </c>
      <c r="BX564" s="157">
        <v>41837</v>
      </c>
      <c r="BY564" s="138"/>
      <c r="BZ564" s="138"/>
      <c r="CA564" s="138"/>
      <c r="CB564" s="138"/>
      <c r="CC564" s="138">
        <v>7.4</v>
      </c>
      <c r="CD564" s="157">
        <v>41837</v>
      </c>
      <c r="CE564" s="138"/>
      <c r="CF564" s="138"/>
      <c r="CG564" s="138"/>
      <c r="CH564" s="138"/>
      <c r="CI564" s="138"/>
      <c r="CJ564" s="138"/>
      <c r="CK564" s="138"/>
      <c r="CL564" s="138"/>
      <c r="CM564" s="138"/>
    </row>
    <row r="565" spans="1:91" s="196" customFormat="1">
      <c r="A565" s="159" t="s">
        <v>7721</v>
      </c>
      <c r="B565" s="112" t="s">
        <v>269</v>
      </c>
      <c r="C565" s="112">
        <v>3</v>
      </c>
      <c r="D565" s="112">
        <v>127</v>
      </c>
      <c r="E565" s="113">
        <v>24</v>
      </c>
      <c r="F565" s="113">
        <v>16</v>
      </c>
      <c r="G565" s="113"/>
      <c r="H565" s="113"/>
      <c r="I565" s="112"/>
      <c r="J565" s="112"/>
      <c r="K565" s="137"/>
      <c r="L565" s="157"/>
      <c r="M565" s="185">
        <v>6.72</v>
      </c>
      <c r="N565" s="157">
        <v>41837</v>
      </c>
      <c r="O565" s="137"/>
      <c r="P565" s="157"/>
      <c r="Q565" s="137"/>
      <c r="R565" s="185"/>
      <c r="S565" s="137">
        <v>18.59</v>
      </c>
      <c r="T565" s="157">
        <v>41837</v>
      </c>
      <c r="U565" s="142">
        <v>18</v>
      </c>
      <c r="V565" s="157"/>
      <c r="W565" s="137"/>
      <c r="X565" s="157"/>
      <c r="Y565" s="142">
        <f t="shared" si="8"/>
        <v>14.34624</v>
      </c>
      <c r="Z565" s="157">
        <v>41837</v>
      </c>
      <c r="AA565" s="137"/>
      <c r="AB565" s="157"/>
      <c r="AC565" s="137"/>
      <c r="AD565" s="157"/>
      <c r="AE565" s="137">
        <v>37.36</v>
      </c>
      <c r="AF565" s="157">
        <v>41837</v>
      </c>
      <c r="AG565" s="185">
        <v>4.7699999999999996</v>
      </c>
      <c r="AH565" s="157">
        <v>41837</v>
      </c>
      <c r="AI565" s="157"/>
      <c r="AJ565" s="157"/>
      <c r="AK565" s="137"/>
      <c r="AL565" s="157"/>
      <c r="AM565" s="137">
        <v>90</v>
      </c>
      <c r="AN565" s="157"/>
      <c r="AO565" s="137"/>
      <c r="AP565" s="137"/>
      <c r="AQ565" s="137"/>
      <c r="AR565" s="137"/>
      <c r="AS565" s="137"/>
      <c r="AT565" s="137"/>
      <c r="AU565" s="137"/>
      <c r="AV565" s="137"/>
      <c r="AW565" s="137"/>
      <c r="AX565" s="137"/>
      <c r="AY565" s="137"/>
      <c r="AZ565" s="137"/>
      <c r="BA565" s="137"/>
      <c r="BB565" s="137"/>
      <c r="BC565" s="137"/>
      <c r="BD565" s="137"/>
      <c r="BE565" s="138"/>
      <c r="BF565" s="138"/>
      <c r="BG565" s="138"/>
      <c r="BH565" s="138"/>
      <c r="BI565" s="138"/>
      <c r="BJ565" s="138"/>
      <c r="BK565" s="138"/>
      <c r="BL565" s="138"/>
      <c r="BM565" s="138">
        <v>58.47</v>
      </c>
      <c r="BN565" s="157">
        <v>41837</v>
      </c>
      <c r="BO565" s="138"/>
      <c r="BP565" s="138"/>
      <c r="BQ565" s="138"/>
      <c r="BR565" s="138"/>
      <c r="BS565" s="138">
        <v>49.75</v>
      </c>
      <c r="BT565" s="157">
        <v>41837</v>
      </c>
      <c r="BU565" s="138">
        <v>38.4</v>
      </c>
      <c r="BV565" s="157">
        <v>41837</v>
      </c>
      <c r="BW565" s="138">
        <v>11.5</v>
      </c>
      <c r="BX565" s="157">
        <v>41837</v>
      </c>
      <c r="BY565" s="138"/>
      <c r="BZ565" s="138"/>
      <c r="CA565" s="138"/>
      <c r="CB565" s="138"/>
      <c r="CC565" s="138">
        <v>8.1999999999999993</v>
      </c>
      <c r="CD565" s="157">
        <v>41837</v>
      </c>
      <c r="CE565" s="138"/>
      <c r="CF565" s="138"/>
      <c r="CG565" s="138"/>
      <c r="CH565" s="138"/>
      <c r="CI565" s="138"/>
      <c r="CJ565" s="138"/>
      <c r="CK565" s="138"/>
      <c r="CL565" s="138"/>
      <c r="CM565" s="138"/>
    </row>
    <row r="566" spans="1:91">
      <c r="A566" s="159" t="s">
        <v>7714</v>
      </c>
      <c r="B566" s="112" t="s">
        <v>269</v>
      </c>
      <c r="C566" s="112">
        <v>3</v>
      </c>
      <c r="D566" s="112">
        <v>130</v>
      </c>
      <c r="E566" s="113">
        <v>25</v>
      </c>
      <c r="F566" s="113">
        <v>16</v>
      </c>
      <c r="M566" s="185">
        <v>5.44</v>
      </c>
      <c r="N566" s="157">
        <v>41837</v>
      </c>
      <c r="R566" s="185"/>
      <c r="S566" s="137">
        <v>14.85</v>
      </c>
      <c r="T566" s="157">
        <v>41837</v>
      </c>
      <c r="U566" s="142">
        <v>18</v>
      </c>
      <c r="Y566" s="142">
        <f t="shared" si="8"/>
        <v>11.517799999999999</v>
      </c>
      <c r="Z566" s="157">
        <v>41837</v>
      </c>
      <c r="AE566" s="137">
        <v>30.31</v>
      </c>
      <c r="AF566" s="157">
        <v>41837</v>
      </c>
      <c r="AG566" s="185">
        <v>4.7300000000000004</v>
      </c>
      <c r="AH566" s="157">
        <v>41837</v>
      </c>
      <c r="AM566" s="137">
        <v>90</v>
      </c>
      <c r="BM566" s="138">
        <v>60.23</v>
      </c>
      <c r="BN566" s="157">
        <v>41837</v>
      </c>
      <c r="BS566" s="138">
        <v>49.01</v>
      </c>
      <c r="BT566" s="157">
        <v>41837</v>
      </c>
      <c r="BU566" s="138">
        <v>38</v>
      </c>
      <c r="BV566" s="157">
        <v>41837</v>
      </c>
      <c r="BW566" s="138">
        <v>12.8</v>
      </c>
      <c r="BX566" s="157">
        <v>41837</v>
      </c>
      <c r="CC566" s="138">
        <v>8</v>
      </c>
      <c r="CD566" s="157">
        <v>41837</v>
      </c>
    </row>
    <row r="567" spans="1:91">
      <c r="A567" s="159" t="s">
        <v>7662</v>
      </c>
      <c r="B567" s="112" t="s">
        <v>269</v>
      </c>
      <c r="C567" s="112">
        <v>3</v>
      </c>
      <c r="D567" s="112">
        <v>207</v>
      </c>
      <c r="E567" s="113">
        <v>26</v>
      </c>
      <c r="F567" s="113">
        <v>16</v>
      </c>
      <c r="M567" s="185">
        <v>5.23</v>
      </c>
      <c r="N567" s="157">
        <v>41837</v>
      </c>
      <c r="R567" s="185"/>
      <c r="S567" s="137">
        <v>14.91</v>
      </c>
      <c r="T567" s="157">
        <v>41837</v>
      </c>
      <c r="U567" s="142">
        <v>18</v>
      </c>
      <c r="Y567" s="142">
        <f t="shared" si="8"/>
        <v>11.391679999999999</v>
      </c>
      <c r="Z567" s="157">
        <v>41837</v>
      </c>
      <c r="AE567" s="137">
        <v>29.36</v>
      </c>
      <c r="AF567" s="157">
        <v>41837</v>
      </c>
      <c r="AG567" s="185">
        <v>5.3</v>
      </c>
      <c r="AH567" s="157">
        <v>41837</v>
      </c>
      <c r="AM567" s="137">
        <v>90</v>
      </c>
      <c r="BM567" s="138">
        <v>60.97</v>
      </c>
      <c r="BN567" s="157">
        <v>41837</v>
      </c>
      <c r="BS567" s="138">
        <v>50.78</v>
      </c>
      <c r="BT567" s="157">
        <v>41837</v>
      </c>
      <c r="BU567" s="138">
        <v>38.799999999999997</v>
      </c>
      <c r="BV567" s="157">
        <v>41837</v>
      </c>
      <c r="BW567" s="138">
        <v>14.1</v>
      </c>
      <c r="BX567" s="157">
        <v>41837</v>
      </c>
      <c r="CC567" s="138">
        <v>7.3</v>
      </c>
      <c r="CD567" s="157">
        <v>41837</v>
      </c>
    </row>
    <row r="568" spans="1:91">
      <c r="A568" s="159" t="s">
        <v>8126</v>
      </c>
      <c r="B568" s="112" t="s">
        <v>269</v>
      </c>
      <c r="C568" s="112">
        <v>3</v>
      </c>
      <c r="D568" s="112">
        <v>144</v>
      </c>
      <c r="E568" s="113">
        <v>27</v>
      </c>
      <c r="F568" s="113">
        <v>16</v>
      </c>
      <c r="M568" s="185">
        <v>7.34</v>
      </c>
      <c r="N568" s="157">
        <v>41837</v>
      </c>
      <c r="R568" s="185"/>
      <c r="S568" s="137">
        <v>20.55</v>
      </c>
      <c r="T568" s="157">
        <v>41837</v>
      </c>
      <c r="U568" s="142">
        <v>18</v>
      </c>
      <c r="Y568" s="142">
        <f t="shared" si="8"/>
        <v>15.862</v>
      </c>
      <c r="Z568" s="157">
        <v>41837</v>
      </c>
      <c r="AE568" s="137">
        <v>41.2</v>
      </c>
      <c r="AF568" s="157">
        <v>41837</v>
      </c>
      <c r="AG568" s="185">
        <v>4.21</v>
      </c>
      <c r="AH568" s="157">
        <v>41837</v>
      </c>
      <c r="AM568" s="137">
        <v>87</v>
      </c>
      <c r="BM568" s="138">
        <v>61.05</v>
      </c>
      <c r="BN568" s="157">
        <v>41837</v>
      </c>
      <c r="BS568" s="138">
        <v>49.87</v>
      </c>
      <c r="BT568" s="157">
        <v>41837</v>
      </c>
      <c r="BU568" s="138">
        <v>38.5</v>
      </c>
      <c r="BV568" s="157">
        <v>41837</v>
      </c>
      <c r="BW568" s="138">
        <v>18.100000000000001</v>
      </c>
      <c r="BX568" s="157">
        <v>41837</v>
      </c>
      <c r="CC568" s="138">
        <v>7.3</v>
      </c>
      <c r="CD568" s="157">
        <v>41837</v>
      </c>
    </row>
    <row r="569" spans="1:91">
      <c r="A569" s="159" t="s">
        <v>7619</v>
      </c>
      <c r="B569" s="112" t="s">
        <v>269</v>
      </c>
      <c r="C569" s="112">
        <v>3</v>
      </c>
      <c r="D569" s="112">
        <v>112</v>
      </c>
      <c r="E569" s="113">
        <v>28</v>
      </c>
      <c r="F569" s="113">
        <v>16</v>
      </c>
      <c r="M569" s="185">
        <v>3.49</v>
      </c>
      <c r="N569" s="157">
        <v>41837</v>
      </c>
      <c r="R569" s="185"/>
      <c r="S569" s="137">
        <v>9.4700000000000006</v>
      </c>
      <c r="T569" s="157">
        <v>41837</v>
      </c>
      <c r="U569" s="142">
        <v>18</v>
      </c>
      <c r="Y569" s="142">
        <f t="shared" si="8"/>
        <v>7.9731300000000012</v>
      </c>
      <c r="Z569" s="157">
        <v>41837</v>
      </c>
      <c r="AE569" s="137">
        <v>19.59</v>
      </c>
      <c r="AF569" s="157">
        <v>41837</v>
      </c>
      <c r="AG569" s="185">
        <v>5.19</v>
      </c>
      <c r="AH569" s="157">
        <v>41837</v>
      </c>
      <c r="AM569" s="137">
        <v>96</v>
      </c>
      <c r="BM569" s="138">
        <v>64.17</v>
      </c>
      <c r="BN569" s="157">
        <v>41837</v>
      </c>
      <c r="BS569" s="138">
        <v>48.36</v>
      </c>
      <c r="BT569" s="157">
        <v>41837</v>
      </c>
      <c r="BU569" s="138">
        <v>40.700000000000003</v>
      </c>
      <c r="BV569" s="157">
        <v>41837</v>
      </c>
      <c r="BW569" s="138">
        <v>54</v>
      </c>
      <c r="BX569" s="157">
        <v>41837</v>
      </c>
      <c r="CC569" s="138">
        <v>7.3</v>
      </c>
      <c r="CD569" s="157">
        <v>41837</v>
      </c>
    </row>
    <row r="570" spans="1:91">
      <c r="A570" s="159" t="s">
        <v>7653</v>
      </c>
      <c r="B570" s="112" t="s">
        <v>269</v>
      </c>
      <c r="C570" s="112">
        <v>3</v>
      </c>
      <c r="D570" s="112">
        <v>104</v>
      </c>
      <c r="E570" s="113">
        <v>29</v>
      </c>
      <c r="F570" s="113">
        <v>16</v>
      </c>
      <c r="M570" s="185">
        <v>2.87</v>
      </c>
      <c r="N570" s="157">
        <v>41837</v>
      </c>
      <c r="R570" s="185"/>
      <c r="S570" s="137">
        <v>8.0299999999999994</v>
      </c>
      <c r="T570" s="157">
        <v>41837</v>
      </c>
      <c r="U570" s="142">
        <v>18</v>
      </c>
      <c r="Y570" s="142">
        <f t="shared" si="8"/>
        <v>5.9680999999999997</v>
      </c>
      <c r="Z570" s="157">
        <v>41837</v>
      </c>
      <c r="AE570" s="137">
        <v>16.13</v>
      </c>
      <c r="AF570" s="157">
        <v>41837</v>
      </c>
      <c r="AG570" s="185">
        <v>4.03</v>
      </c>
      <c r="AH570" s="157">
        <v>41837</v>
      </c>
      <c r="AM570" s="137">
        <v>92</v>
      </c>
      <c r="BM570" s="138">
        <v>60.74</v>
      </c>
      <c r="BN570" s="157">
        <v>41837</v>
      </c>
      <c r="BS570" s="138">
        <v>49.81</v>
      </c>
      <c r="BT570" s="157">
        <v>41837</v>
      </c>
      <c r="BU570" s="138">
        <v>37</v>
      </c>
      <c r="BV570" s="157">
        <v>41837</v>
      </c>
      <c r="BW570" s="138">
        <v>16.100000000000001</v>
      </c>
      <c r="BX570" s="157">
        <v>41837</v>
      </c>
      <c r="CC570" s="138">
        <v>7.2</v>
      </c>
      <c r="CD570" s="157">
        <v>41837</v>
      </c>
    </row>
    <row r="571" spans="1:91">
      <c r="A571" s="159" t="s">
        <v>7616</v>
      </c>
      <c r="B571" s="112" t="s">
        <v>269</v>
      </c>
      <c r="C571" s="112">
        <v>3</v>
      </c>
      <c r="D571" s="112">
        <v>206</v>
      </c>
      <c r="E571" s="113">
        <v>30</v>
      </c>
      <c r="F571" s="113">
        <v>16</v>
      </c>
      <c r="M571" s="185">
        <v>1.08</v>
      </c>
      <c r="N571" s="157">
        <v>41837</v>
      </c>
      <c r="R571" s="185"/>
      <c r="S571" s="137">
        <v>2.82</v>
      </c>
      <c r="T571" s="157">
        <v>41837</v>
      </c>
      <c r="U571" s="142">
        <v>18</v>
      </c>
      <c r="Y571" s="142">
        <f t="shared" si="8"/>
        <v>2.4441600000000001</v>
      </c>
      <c r="Z571" s="157">
        <v>41837</v>
      </c>
      <c r="AE571" s="137">
        <v>6.08</v>
      </c>
      <c r="AF571" s="157">
        <v>41837</v>
      </c>
      <c r="AG571" s="185">
        <v>5.23</v>
      </c>
      <c r="AH571" s="157">
        <v>41837</v>
      </c>
      <c r="AM571" s="137">
        <v>78</v>
      </c>
      <c r="BM571" s="138">
        <v>61.99</v>
      </c>
      <c r="BN571" s="157">
        <v>41837</v>
      </c>
      <c r="BS571" s="138">
        <v>46.46</v>
      </c>
      <c r="BT571" s="157">
        <v>41837</v>
      </c>
      <c r="BU571" s="138">
        <v>40.200000000000003</v>
      </c>
      <c r="BV571" s="157">
        <v>41837</v>
      </c>
      <c r="BW571" s="138">
        <v>47.2</v>
      </c>
      <c r="BX571" s="157">
        <v>41837</v>
      </c>
      <c r="CC571" s="138">
        <v>7</v>
      </c>
      <c r="CD571" s="157">
        <v>41837</v>
      </c>
    </row>
    <row r="572" spans="1:91">
      <c r="A572" s="189" t="s">
        <v>7626</v>
      </c>
      <c r="B572" s="190" t="s">
        <v>269</v>
      </c>
      <c r="C572" s="190">
        <v>3</v>
      </c>
      <c r="D572" s="190">
        <v>137</v>
      </c>
      <c r="E572" s="191">
        <v>31</v>
      </c>
      <c r="F572" s="191">
        <v>16</v>
      </c>
      <c r="G572" s="191"/>
      <c r="H572" s="191"/>
      <c r="I572" s="190"/>
      <c r="J572" s="190"/>
      <c r="K572" s="195"/>
      <c r="L572" s="193"/>
      <c r="M572" s="194">
        <v>4.7300000000000004</v>
      </c>
      <c r="N572" s="193">
        <v>41837</v>
      </c>
      <c r="P572" s="193"/>
      <c r="Q572" s="195"/>
      <c r="R572" s="194"/>
      <c r="S572" s="195">
        <v>12.95</v>
      </c>
      <c r="T572" s="193">
        <v>41837</v>
      </c>
      <c r="U572" s="192">
        <v>18</v>
      </c>
      <c r="V572" s="193"/>
      <c r="W572" s="195"/>
      <c r="X572" s="193"/>
      <c r="Y572" s="192">
        <f t="shared" si="8"/>
        <v>10.71472</v>
      </c>
      <c r="Z572" s="193">
        <v>41837</v>
      </c>
      <c r="AA572" s="195"/>
      <c r="AB572" s="193"/>
      <c r="AC572" s="195"/>
      <c r="AD572" s="193"/>
      <c r="AE572" s="195">
        <v>26.72</v>
      </c>
      <c r="AF572" s="193">
        <v>41837</v>
      </c>
      <c r="AG572" s="194">
        <v>4.9400000000000004</v>
      </c>
      <c r="AH572" s="193">
        <v>41837</v>
      </c>
      <c r="AI572" s="193"/>
      <c r="AJ572" s="193"/>
      <c r="AK572" s="195"/>
      <c r="AL572" s="193"/>
      <c r="AM572" s="195">
        <v>94</v>
      </c>
      <c r="AN572" s="193"/>
      <c r="AO572" s="195"/>
      <c r="AP572" s="195"/>
      <c r="AQ572" s="195"/>
      <c r="AR572" s="195"/>
      <c r="AS572" s="195"/>
      <c r="AT572" s="195"/>
      <c r="AU572" s="195"/>
      <c r="AV572" s="195"/>
      <c r="AW572" s="195"/>
      <c r="AX572" s="195"/>
      <c r="AY572" s="195"/>
      <c r="AZ572" s="195"/>
      <c r="BA572" s="195"/>
      <c r="BB572" s="195"/>
      <c r="BC572" s="195"/>
      <c r="BD572" s="195"/>
      <c r="BE572" s="196"/>
      <c r="BF572" s="196"/>
      <c r="BG572" s="196"/>
      <c r="BH572" s="196"/>
      <c r="BI572" s="196"/>
      <c r="BJ572" s="196"/>
      <c r="BK572" s="196"/>
      <c r="BL572" s="196"/>
      <c r="BM572" s="196">
        <v>64.900000000000006</v>
      </c>
      <c r="BN572" s="193">
        <v>41837</v>
      </c>
      <c r="BO572" s="196"/>
      <c r="BP572" s="196"/>
      <c r="BQ572" s="196"/>
      <c r="BR572" s="196"/>
      <c r="BS572" s="196">
        <v>48.48</v>
      </c>
      <c r="BT572" s="193">
        <v>41837</v>
      </c>
      <c r="BU572" s="196">
        <v>40.1</v>
      </c>
      <c r="BV572" s="193">
        <v>41837</v>
      </c>
      <c r="BW572" s="196">
        <v>48.7</v>
      </c>
      <c r="BX572" s="193">
        <v>41837</v>
      </c>
      <c r="BY572" s="196"/>
      <c r="BZ572" s="196"/>
      <c r="CA572" s="196"/>
      <c r="CB572" s="196"/>
      <c r="CC572" s="196">
        <v>6.7</v>
      </c>
      <c r="CD572" s="193">
        <v>41837</v>
      </c>
      <c r="CE572" s="196"/>
      <c r="CF572" s="196"/>
      <c r="CG572" s="196"/>
      <c r="CH572" s="196"/>
      <c r="CI572" s="196"/>
      <c r="CJ572" s="196"/>
      <c r="CK572" s="196"/>
      <c r="CL572" s="196"/>
      <c r="CM572" s="196"/>
    </row>
    <row r="573" spans="1:91">
      <c r="A573" s="159" t="s">
        <v>7780</v>
      </c>
      <c r="B573" s="112" t="s">
        <v>269</v>
      </c>
      <c r="C573" s="112">
        <v>3</v>
      </c>
      <c r="D573" s="112">
        <v>50</v>
      </c>
      <c r="E573" s="113">
        <v>32</v>
      </c>
      <c r="F573" s="113">
        <v>16</v>
      </c>
      <c r="M573" s="185">
        <v>6.72</v>
      </c>
      <c r="N573" s="157">
        <v>41837</v>
      </c>
      <c r="R573" s="185"/>
      <c r="S573" s="137">
        <v>19.2</v>
      </c>
      <c r="T573" s="157">
        <v>41837</v>
      </c>
      <c r="U573" s="142">
        <v>18</v>
      </c>
      <c r="Y573" s="142">
        <f t="shared" si="8"/>
        <v>14.16</v>
      </c>
      <c r="Z573" s="157">
        <v>41837</v>
      </c>
      <c r="AE573" s="137">
        <v>37.76</v>
      </c>
      <c r="AF573" s="157">
        <v>41837</v>
      </c>
      <c r="AG573" s="185">
        <v>4.91</v>
      </c>
      <c r="AH573" s="157">
        <v>41837</v>
      </c>
      <c r="AM573" s="137">
        <v>92</v>
      </c>
      <c r="BM573" s="138">
        <v>60.09</v>
      </c>
      <c r="BN573" s="157">
        <v>41837</v>
      </c>
      <c r="BS573" s="138">
        <v>50.85</v>
      </c>
      <c r="BT573" s="157">
        <v>41837</v>
      </c>
      <c r="BU573" s="138">
        <v>37.5</v>
      </c>
      <c r="BV573" s="157">
        <v>41837</v>
      </c>
      <c r="BW573" s="138">
        <v>12.8</v>
      </c>
      <c r="BX573" s="157">
        <v>41837</v>
      </c>
      <c r="CC573" s="138">
        <v>7.2</v>
      </c>
      <c r="CD573" s="157">
        <v>41837</v>
      </c>
    </row>
    <row r="574" spans="1:91">
      <c r="A574" s="159" t="s">
        <v>7659</v>
      </c>
      <c r="B574" s="112" t="s">
        <v>269</v>
      </c>
      <c r="C574" s="112">
        <v>3</v>
      </c>
      <c r="D574" s="112">
        <v>64</v>
      </c>
      <c r="E574" s="113">
        <v>33</v>
      </c>
      <c r="F574" s="113">
        <v>16</v>
      </c>
      <c r="M574" s="185">
        <v>4.13</v>
      </c>
      <c r="N574" s="157">
        <v>41837</v>
      </c>
      <c r="R574" s="185"/>
      <c r="S574" s="137">
        <v>11.06</v>
      </c>
      <c r="T574" s="157">
        <v>41837</v>
      </c>
      <c r="U574" s="142">
        <v>18</v>
      </c>
      <c r="Y574" s="142">
        <f t="shared" si="8"/>
        <v>9.3970400000000005</v>
      </c>
      <c r="Z574" s="157">
        <v>41837</v>
      </c>
      <c r="AE574" s="137">
        <v>23.26</v>
      </c>
      <c r="AF574" s="157">
        <v>41837</v>
      </c>
      <c r="AG574" s="185">
        <v>5.17</v>
      </c>
      <c r="AH574" s="157">
        <v>41837</v>
      </c>
      <c r="AM574" s="137">
        <v>87</v>
      </c>
      <c r="BM574" s="138">
        <v>56.09</v>
      </c>
      <c r="BN574" s="157">
        <v>41837</v>
      </c>
      <c r="BS574" s="138">
        <v>47.55</v>
      </c>
      <c r="BT574" s="157">
        <v>41837</v>
      </c>
      <c r="BU574" s="138">
        <v>40.4</v>
      </c>
      <c r="BV574" s="157">
        <v>41837</v>
      </c>
      <c r="BW574" s="138">
        <v>20.7</v>
      </c>
      <c r="BX574" s="157">
        <v>41837</v>
      </c>
      <c r="CC574" s="138">
        <v>7</v>
      </c>
      <c r="CD574" s="157">
        <v>41837</v>
      </c>
    </row>
    <row r="575" spans="1:91">
      <c r="A575" s="159" t="s">
        <v>7676</v>
      </c>
      <c r="B575" s="112" t="s">
        <v>269</v>
      </c>
      <c r="C575" s="112">
        <v>3</v>
      </c>
      <c r="D575" s="112">
        <v>147</v>
      </c>
      <c r="E575" s="113">
        <v>34</v>
      </c>
      <c r="F575" s="113">
        <v>16</v>
      </c>
      <c r="M575" s="185">
        <v>5.51</v>
      </c>
      <c r="N575" s="157">
        <v>41837</v>
      </c>
      <c r="R575" s="185"/>
      <c r="S575" s="137">
        <v>15.3</v>
      </c>
      <c r="T575" s="157">
        <v>41837</v>
      </c>
      <c r="U575" s="142">
        <v>18</v>
      </c>
      <c r="Y575" s="142">
        <f t="shared" si="8"/>
        <v>12.17183</v>
      </c>
      <c r="Z575" s="157">
        <v>41837</v>
      </c>
      <c r="AE575" s="137">
        <v>31.13</v>
      </c>
      <c r="AF575" s="157">
        <v>41837</v>
      </c>
      <c r="AG575" s="185">
        <v>4.68</v>
      </c>
      <c r="AH575" s="157">
        <v>41837</v>
      </c>
      <c r="AM575" s="137">
        <v>96</v>
      </c>
      <c r="BM575" s="138">
        <v>59.12</v>
      </c>
      <c r="BN575" s="157">
        <v>41837</v>
      </c>
      <c r="BS575" s="138">
        <v>49.16</v>
      </c>
      <c r="BT575" s="157">
        <v>41837</v>
      </c>
      <c r="BU575" s="138">
        <v>39.1</v>
      </c>
      <c r="BV575" s="157">
        <v>41837</v>
      </c>
      <c r="BW575" s="138">
        <v>16.5</v>
      </c>
      <c r="BX575" s="157">
        <v>41837</v>
      </c>
      <c r="CC575" s="138">
        <v>6.7</v>
      </c>
      <c r="CD575" s="157">
        <v>41837</v>
      </c>
    </row>
    <row r="576" spans="1:91">
      <c r="A576" s="159" t="s">
        <v>7701</v>
      </c>
      <c r="B576" s="112" t="s">
        <v>269</v>
      </c>
      <c r="C576" s="112">
        <v>3</v>
      </c>
      <c r="D576" s="112">
        <v>74</v>
      </c>
      <c r="E576" s="113">
        <v>35</v>
      </c>
      <c r="F576" s="113">
        <v>16</v>
      </c>
      <c r="M576" s="185">
        <v>4.76</v>
      </c>
      <c r="N576" s="157">
        <v>41837</v>
      </c>
      <c r="R576" s="185"/>
      <c r="S576" s="137">
        <v>13.75</v>
      </c>
      <c r="T576" s="157">
        <v>41837</v>
      </c>
      <c r="U576" s="142">
        <v>18</v>
      </c>
      <c r="Y576" s="142">
        <f t="shared" si="8"/>
        <v>10.4754</v>
      </c>
      <c r="Z576" s="157">
        <v>41837</v>
      </c>
      <c r="AE576" s="137">
        <v>26.86</v>
      </c>
      <c r="AF576" s="157">
        <v>41837</v>
      </c>
      <c r="AG576" s="185">
        <v>4.74</v>
      </c>
      <c r="AH576" s="157">
        <v>41837</v>
      </c>
      <c r="AM576" s="137">
        <v>96</v>
      </c>
      <c r="BM576" s="138">
        <v>60.53</v>
      </c>
      <c r="BN576" s="157">
        <v>41837</v>
      </c>
      <c r="BS576" s="138">
        <v>51.2</v>
      </c>
      <c r="BT576" s="157">
        <v>41837</v>
      </c>
      <c r="BU576" s="138">
        <v>39</v>
      </c>
      <c r="BV576" s="157">
        <v>41837</v>
      </c>
      <c r="BW576" s="138">
        <v>19.5</v>
      </c>
      <c r="BX576" s="157">
        <v>41837</v>
      </c>
      <c r="CC576" s="138">
        <v>6.8</v>
      </c>
      <c r="CD576" s="157">
        <v>41837</v>
      </c>
    </row>
    <row r="577" spans="1:91">
      <c r="A577" s="159" t="s">
        <v>7741</v>
      </c>
      <c r="B577" s="112" t="s">
        <v>269</v>
      </c>
      <c r="C577" s="112">
        <v>3</v>
      </c>
      <c r="D577" s="112">
        <v>185</v>
      </c>
      <c r="E577" s="113">
        <v>36</v>
      </c>
      <c r="F577" s="113">
        <v>16</v>
      </c>
      <c r="M577" s="185">
        <v>4.92</v>
      </c>
      <c r="N577" s="157">
        <v>41837</v>
      </c>
      <c r="R577" s="185"/>
      <c r="S577" s="137">
        <v>13.98</v>
      </c>
      <c r="T577" s="157">
        <v>41837</v>
      </c>
      <c r="U577" s="142">
        <v>18</v>
      </c>
      <c r="Y577" s="142">
        <f t="shared" si="8"/>
        <v>11.607859999999999</v>
      </c>
      <c r="Z577" s="157">
        <v>41837</v>
      </c>
      <c r="AE577" s="137">
        <v>27.77</v>
      </c>
      <c r="AF577" s="157">
        <v>41837</v>
      </c>
      <c r="AG577" s="185">
        <v>5.0999999999999996</v>
      </c>
      <c r="AH577" s="157">
        <v>41837</v>
      </c>
      <c r="AM577" s="137">
        <v>92</v>
      </c>
      <c r="BM577" s="138">
        <v>65.92</v>
      </c>
      <c r="BN577" s="157">
        <v>41837</v>
      </c>
      <c r="BS577" s="138">
        <v>50.35</v>
      </c>
      <c r="BT577" s="157">
        <v>41837</v>
      </c>
      <c r="BU577" s="138">
        <v>41.8</v>
      </c>
      <c r="BV577" s="157">
        <v>41837</v>
      </c>
      <c r="BW577" s="138">
        <v>57.6</v>
      </c>
      <c r="BX577" s="157">
        <v>41837</v>
      </c>
      <c r="CC577" s="138">
        <v>6.8</v>
      </c>
      <c r="CD577" s="157">
        <v>41837</v>
      </c>
    </row>
    <row r="578" spans="1:91">
      <c r="A578" s="159" t="s">
        <v>7716</v>
      </c>
      <c r="B578" s="112" t="s">
        <v>269</v>
      </c>
      <c r="C578" s="112">
        <v>3</v>
      </c>
      <c r="D578" s="112">
        <v>203</v>
      </c>
      <c r="E578" s="113">
        <v>1</v>
      </c>
      <c r="F578" s="113">
        <v>17</v>
      </c>
      <c r="M578" s="185">
        <v>5.59</v>
      </c>
      <c r="N578" s="157">
        <v>41837</v>
      </c>
      <c r="R578" s="185"/>
      <c r="S578" s="137">
        <v>16.09</v>
      </c>
      <c r="T578" s="157">
        <v>41837</v>
      </c>
      <c r="U578" s="142">
        <v>18</v>
      </c>
      <c r="Y578" s="142">
        <f t="shared" ref="Y578:Y641" si="9">(AE578*BU578)/100</f>
        <v>11.170299999999999</v>
      </c>
      <c r="Z578" s="157">
        <v>41837</v>
      </c>
      <c r="AE578" s="137">
        <v>30.19</v>
      </c>
      <c r="AF578" s="157">
        <v>41837</v>
      </c>
      <c r="AG578" s="185">
        <v>4.46</v>
      </c>
      <c r="AH578" s="157">
        <v>41837</v>
      </c>
      <c r="AM578" s="137">
        <v>87</v>
      </c>
      <c r="BM578" s="138">
        <v>62.7</v>
      </c>
      <c r="BN578" s="157">
        <v>41837</v>
      </c>
      <c r="BS578" s="138">
        <v>53.28</v>
      </c>
      <c r="BT578" s="157">
        <v>41837</v>
      </c>
      <c r="BU578" s="138">
        <v>37</v>
      </c>
      <c r="BV578" s="157">
        <v>41837</v>
      </c>
      <c r="BW578" s="138">
        <v>12.9</v>
      </c>
      <c r="BX578" s="157">
        <v>41837</v>
      </c>
      <c r="CC578" s="138">
        <v>10.8</v>
      </c>
      <c r="CD578" s="157">
        <v>41837</v>
      </c>
    </row>
    <row r="579" spans="1:91">
      <c r="A579" s="159" t="s">
        <v>7635</v>
      </c>
      <c r="B579" s="112" t="s">
        <v>269</v>
      </c>
      <c r="C579" s="112">
        <v>3</v>
      </c>
      <c r="D579" s="112">
        <v>119</v>
      </c>
      <c r="E579" s="113">
        <v>2</v>
      </c>
      <c r="F579" s="113">
        <v>17</v>
      </c>
      <c r="M579" s="185">
        <v>1.1100000000000001</v>
      </c>
      <c r="N579" s="157">
        <v>41837</v>
      </c>
      <c r="R579" s="185"/>
      <c r="S579" s="137">
        <v>2.98</v>
      </c>
      <c r="T579" s="157">
        <v>41837</v>
      </c>
      <c r="U579" s="142">
        <v>18</v>
      </c>
      <c r="Y579" s="142">
        <f t="shared" si="9"/>
        <v>2.3441600000000005</v>
      </c>
      <c r="Z579" s="157">
        <v>41837</v>
      </c>
      <c r="AE579" s="137">
        <v>5.98</v>
      </c>
      <c r="AF579" s="157">
        <v>41837</v>
      </c>
      <c r="AG579" s="185">
        <v>4.93</v>
      </c>
      <c r="AH579" s="157">
        <v>41837</v>
      </c>
      <c r="AM579" s="137">
        <v>87</v>
      </c>
      <c r="BM579" s="138">
        <v>61.68</v>
      </c>
      <c r="BN579" s="157">
        <v>41837</v>
      </c>
      <c r="BS579" s="138">
        <v>49.88</v>
      </c>
      <c r="BT579" s="157">
        <v>41837</v>
      </c>
      <c r="BU579" s="138">
        <v>39.200000000000003</v>
      </c>
      <c r="BV579" s="157">
        <v>41837</v>
      </c>
      <c r="BW579" s="138">
        <v>42</v>
      </c>
      <c r="BX579" s="157">
        <v>41837</v>
      </c>
      <c r="CC579" s="138">
        <v>11</v>
      </c>
      <c r="CD579" s="157">
        <v>41837</v>
      </c>
    </row>
    <row r="580" spans="1:91">
      <c r="A580" s="159" t="s">
        <v>7804</v>
      </c>
      <c r="B580" s="112" t="s">
        <v>269</v>
      </c>
      <c r="C580" s="112">
        <v>3</v>
      </c>
      <c r="D580" s="112">
        <v>39</v>
      </c>
      <c r="E580" s="113">
        <v>3</v>
      </c>
      <c r="F580" s="113">
        <v>17</v>
      </c>
      <c r="M580" s="185">
        <v>6.54</v>
      </c>
      <c r="N580" s="157">
        <v>41837</v>
      </c>
      <c r="R580" s="185"/>
      <c r="S580" s="137">
        <v>17.86</v>
      </c>
      <c r="T580" s="157">
        <v>41837</v>
      </c>
      <c r="U580" s="142">
        <v>18</v>
      </c>
      <c r="Y580" s="142">
        <f t="shared" si="9"/>
        <v>12.71616</v>
      </c>
      <c r="Z580" s="157">
        <v>41837</v>
      </c>
      <c r="AE580" s="137">
        <v>35.520000000000003</v>
      </c>
      <c r="AF580" s="157">
        <v>41837</v>
      </c>
      <c r="AG580" s="185">
        <v>5.14</v>
      </c>
      <c r="AH580" s="157">
        <v>41837</v>
      </c>
      <c r="AM580" s="137">
        <v>92</v>
      </c>
      <c r="BM580" s="138">
        <v>61.36</v>
      </c>
      <c r="BN580" s="157">
        <v>41837</v>
      </c>
      <c r="BS580" s="138">
        <v>50.28</v>
      </c>
      <c r="BT580" s="157">
        <v>41837</v>
      </c>
      <c r="BU580" s="138">
        <v>35.799999999999997</v>
      </c>
      <c r="BV580" s="157">
        <v>41837</v>
      </c>
      <c r="BW580" s="138">
        <v>14.4</v>
      </c>
      <c r="BX580" s="157">
        <v>41837</v>
      </c>
      <c r="CC580" s="138">
        <v>10.3</v>
      </c>
      <c r="CD580" s="157">
        <v>41837</v>
      </c>
    </row>
    <row r="581" spans="1:91">
      <c r="A581" s="159" t="s">
        <v>7774</v>
      </c>
      <c r="B581" s="112" t="s">
        <v>269</v>
      </c>
      <c r="C581" s="112">
        <v>3</v>
      </c>
      <c r="D581" s="112">
        <v>106</v>
      </c>
      <c r="E581" s="113">
        <v>4</v>
      </c>
      <c r="F581" s="113">
        <v>17</v>
      </c>
      <c r="M581" s="185">
        <v>7.45</v>
      </c>
      <c r="N581" s="157">
        <v>41837</v>
      </c>
      <c r="R581" s="185"/>
      <c r="S581" s="137">
        <v>20.49</v>
      </c>
      <c r="T581" s="157">
        <v>41837</v>
      </c>
      <c r="U581" s="142">
        <v>18</v>
      </c>
      <c r="Y581" s="142">
        <f t="shared" si="9"/>
        <v>14.927460000000002</v>
      </c>
      <c r="Z581" s="157">
        <v>41837</v>
      </c>
      <c r="AE581" s="137">
        <v>40.020000000000003</v>
      </c>
      <c r="AF581" s="157">
        <v>41837</v>
      </c>
      <c r="AG581" s="185">
        <v>5.21</v>
      </c>
      <c r="AH581" s="157">
        <v>41837</v>
      </c>
      <c r="AM581" s="137">
        <v>92</v>
      </c>
      <c r="BM581" s="138">
        <v>62.01</v>
      </c>
      <c r="BN581" s="157">
        <v>41837</v>
      </c>
      <c r="BS581" s="138">
        <v>51.21</v>
      </c>
      <c r="BT581" s="157">
        <v>41837</v>
      </c>
      <c r="BU581" s="138">
        <v>37.299999999999997</v>
      </c>
      <c r="BV581" s="157">
        <v>41837</v>
      </c>
      <c r="BW581" s="138">
        <v>19.5</v>
      </c>
      <c r="BX581" s="157">
        <v>41837</v>
      </c>
      <c r="CC581" s="138">
        <v>11.3</v>
      </c>
      <c r="CD581" s="157">
        <v>41837</v>
      </c>
    </row>
    <row r="582" spans="1:91">
      <c r="A582" s="159" t="s">
        <v>7778</v>
      </c>
      <c r="B582" s="112" t="s">
        <v>269</v>
      </c>
      <c r="C582" s="112">
        <v>3</v>
      </c>
      <c r="D582" s="112">
        <v>177</v>
      </c>
      <c r="E582" s="113">
        <v>5</v>
      </c>
      <c r="F582" s="113">
        <v>17</v>
      </c>
      <c r="M582" s="185">
        <v>6.1</v>
      </c>
      <c r="N582" s="157">
        <v>41837</v>
      </c>
      <c r="R582" s="185"/>
      <c r="S582" s="137">
        <v>17.29</v>
      </c>
      <c r="T582" s="157">
        <v>41837</v>
      </c>
      <c r="U582" s="142">
        <v>18</v>
      </c>
      <c r="Y582" s="142">
        <f t="shared" si="9"/>
        <v>12.323300000000001</v>
      </c>
      <c r="Z582" s="157">
        <v>41837</v>
      </c>
      <c r="AE582" s="137">
        <v>32.950000000000003</v>
      </c>
      <c r="AF582" s="157">
        <v>41837</v>
      </c>
      <c r="AG582" s="185">
        <v>4.6399999999999997</v>
      </c>
      <c r="AH582" s="157">
        <v>41837</v>
      </c>
      <c r="AM582" s="137">
        <v>90</v>
      </c>
      <c r="BM582" s="138">
        <v>61.07</v>
      </c>
      <c r="BN582" s="157">
        <v>41837</v>
      </c>
      <c r="BS582" s="138">
        <v>52.47</v>
      </c>
      <c r="BT582" s="157">
        <v>41837</v>
      </c>
      <c r="BU582" s="138">
        <v>37.4</v>
      </c>
      <c r="BV582" s="157">
        <v>41837</v>
      </c>
      <c r="BW582" s="138">
        <v>17.8</v>
      </c>
      <c r="BX582" s="157">
        <v>41837</v>
      </c>
      <c r="CC582" s="138">
        <v>10.8</v>
      </c>
      <c r="CD582" s="157">
        <v>41837</v>
      </c>
    </row>
    <row r="583" spans="1:91">
      <c r="A583" s="159" t="s">
        <v>7678</v>
      </c>
      <c r="B583" s="112" t="s">
        <v>269</v>
      </c>
      <c r="C583" s="112">
        <v>3</v>
      </c>
      <c r="D583" s="112">
        <v>130</v>
      </c>
      <c r="E583" s="113">
        <v>6</v>
      </c>
      <c r="F583" s="113">
        <v>17</v>
      </c>
      <c r="M583" s="185">
        <v>4.26</v>
      </c>
      <c r="N583" s="157">
        <v>41837</v>
      </c>
      <c r="R583" s="185"/>
      <c r="S583" s="137">
        <v>11.74</v>
      </c>
      <c r="T583" s="157">
        <v>41837</v>
      </c>
      <c r="U583" s="142">
        <v>18</v>
      </c>
      <c r="Y583" s="142">
        <f t="shared" si="9"/>
        <v>9.16005</v>
      </c>
      <c r="Z583" s="157">
        <v>41837</v>
      </c>
      <c r="AE583" s="137">
        <v>23.19</v>
      </c>
      <c r="AF583" s="157">
        <v>41837</v>
      </c>
      <c r="AG583" s="185">
        <v>4.9000000000000004</v>
      </c>
      <c r="AH583" s="157">
        <v>41837</v>
      </c>
      <c r="AM583" s="137">
        <v>92</v>
      </c>
      <c r="BM583" s="138">
        <v>58.1</v>
      </c>
      <c r="BN583" s="157">
        <v>41837</v>
      </c>
      <c r="BS583" s="138">
        <v>50.63</v>
      </c>
      <c r="BT583" s="157">
        <v>41837</v>
      </c>
      <c r="BU583" s="138">
        <v>39.5</v>
      </c>
      <c r="BV583" s="157">
        <v>41837</v>
      </c>
      <c r="BW583" s="138">
        <v>14.8</v>
      </c>
      <c r="BX583" s="157">
        <v>41837</v>
      </c>
      <c r="CC583" s="138">
        <v>10.1</v>
      </c>
      <c r="CD583" s="157">
        <v>41837</v>
      </c>
    </row>
    <row r="584" spans="1:91">
      <c r="A584" s="159" t="s">
        <v>7638</v>
      </c>
      <c r="B584" s="112" t="s">
        <v>269</v>
      </c>
      <c r="C584" s="112">
        <v>3</v>
      </c>
      <c r="D584" s="112">
        <v>31</v>
      </c>
      <c r="E584" s="113">
        <v>7</v>
      </c>
      <c r="F584" s="113">
        <v>17</v>
      </c>
      <c r="M584" s="185">
        <v>2.7</v>
      </c>
      <c r="N584" s="157">
        <v>41837</v>
      </c>
      <c r="R584" s="185"/>
      <c r="S584" s="137">
        <v>7.21</v>
      </c>
      <c r="T584" s="157">
        <v>41837</v>
      </c>
      <c r="U584" s="142">
        <v>18</v>
      </c>
      <c r="Y584" s="142">
        <f t="shared" si="9"/>
        <v>6.2223799999999994</v>
      </c>
      <c r="Z584" s="157">
        <v>41837</v>
      </c>
      <c r="AE584" s="137">
        <v>14.78</v>
      </c>
      <c r="AF584" s="157">
        <v>41837</v>
      </c>
      <c r="AG584" s="185">
        <v>5.62</v>
      </c>
      <c r="AH584" s="157">
        <v>41837</v>
      </c>
      <c r="AM584" s="137">
        <v>90</v>
      </c>
      <c r="BM584" s="138">
        <v>62.95</v>
      </c>
      <c r="BN584" s="157">
        <v>41837</v>
      </c>
      <c r="BS584" s="138">
        <v>48.81</v>
      </c>
      <c r="BT584" s="157">
        <v>41837</v>
      </c>
      <c r="BU584" s="138">
        <v>42.1</v>
      </c>
      <c r="BV584" s="157">
        <v>41837</v>
      </c>
      <c r="BW584" s="138">
        <v>69.5</v>
      </c>
      <c r="BX584" s="157">
        <v>41837</v>
      </c>
      <c r="CC584" s="138">
        <v>9.6</v>
      </c>
      <c r="CD584" s="157">
        <v>41837</v>
      </c>
    </row>
    <row r="585" spans="1:91">
      <c r="A585" s="189" t="s">
        <v>7627</v>
      </c>
      <c r="B585" s="190" t="s">
        <v>269</v>
      </c>
      <c r="C585" s="190">
        <v>3</v>
      </c>
      <c r="D585" s="190">
        <v>6</v>
      </c>
      <c r="E585" s="191">
        <v>8</v>
      </c>
      <c r="F585" s="191">
        <v>17</v>
      </c>
      <c r="G585" s="191"/>
      <c r="H585" s="191"/>
      <c r="I585" s="201"/>
      <c r="J585" s="190"/>
      <c r="K585" s="192"/>
      <c r="L585" s="193"/>
      <c r="M585" s="194">
        <v>3.56</v>
      </c>
      <c r="N585" s="193">
        <v>41837</v>
      </c>
      <c r="P585" s="193"/>
      <c r="Q585" s="192"/>
      <c r="R585" s="194"/>
      <c r="S585" s="192">
        <v>9.68</v>
      </c>
      <c r="T585" s="193">
        <v>41837</v>
      </c>
      <c r="U585" s="192">
        <v>18</v>
      </c>
      <c r="V585" s="193"/>
      <c r="W585" s="192"/>
      <c r="X585" s="193"/>
      <c r="Y585" s="192">
        <f t="shared" si="9"/>
        <v>7.8747600000000002</v>
      </c>
      <c r="Z585" s="193">
        <v>41837</v>
      </c>
      <c r="AA585" s="192"/>
      <c r="AB585" s="193"/>
      <c r="AC585" s="195"/>
      <c r="AD585" s="193"/>
      <c r="AE585" s="192">
        <v>19.16</v>
      </c>
      <c r="AF585" s="193">
        <v>41837</v>
      </c>
      <c r="AG585" s="194">
        <v>5.0599999999999996</v>
      </c>
      <c r="AH585" s="193">
        <v>41837</v>
      </c>
      <c r="AI585" s="193"/>
      <c r="AJ585" s="193"/>
      <c r="AK585" s="192"/>
      <c r="AL585" s="193"/>
      <c r="AM585" s="192">
        <v>90</v>
      </c>
      <c r="AN585" s="193"/>
      <c r="AO585" s="195"/>
      <c r="AP585" s="195"/>
      <c r="AQ585" s="195"/>
      <c r="AR585" s="195"/>
      <c r="AS585" s="195"/>
      <c r="AT585" s="195"/>
      <c r="AU585" s="195"/>
      <c r="AV585" s="195"/>
      <c r="AW585" s="195"/>
      <c r="AX585" s="195"/>
      <c r="AY585" s="195"/>
      <c r="AZ585" s="195"/>
      <c r="BA585" s="195"/>
      <c r="BB585" s="195"/>
      <c r="BC585" s="195"/>
      <c r="BD585" s="195"/>
      <c r="BE585" s="196"/>
      <c r="BF585" s="196"/>
      <c r="BG585" s="196"/>
      <c r="BH585" s="196"/>
      <c r="BI585" s="196"/>
      <c r="BJ585" s="196"/>
      <c r="BK585" s="196"/>
      <c r="BL585" s="196"/>
      <c r="BM585" s="196">
        <v>63.7</v>
      </c>
      <c r="BN585" s="193">
        <v>41837</v>
      </c>
      <c r="BO585" s="196"/>
      <c r="BP585" s="196"/>
      <c r="BQ585" s="196"/>
      <c r="BR585" s="196"/>
      <c r="BS585" s="196">
        <v>50.54</v>
      </c>
      <c r="BT585" s="193">
        <v>41837</v>
      </c>
      <c r="BU585" s="196">
        <v>41.1</v>
      </c>
      <c r="BV585" s="193">
        <v>41837</v>
      </c>
      <c r="BW585" s="196">
        <v>53.9</v>
      </c>
      <c r="BX585" s="193">
        <v>41837</v>
      </c>
      <c r="BY585" s="196"/>
      <c r="BZ585" s="196"/>
      <c r="CA585" s="196"/>
      <c r="CB585" s="196"/>
      <c r="CC585" s="196">
        <v>11.1</v>
      </c>
      <c r="CD585" s="193">
        <v>41837</v>
      </c>
      <c r="CE585" s="196"/>
      <c r="CF585" s="196"/>
      <c r="CG585" s="196"/>
      <c r="CH585" s="196"/>
      <c r="CI585" s="196"/>
      <c r="CJ585" s="196"/>
      <c r="CK585" s="196"/>
      <c r="CL585" s="196"/>
      <c r="CM585" s="196"/>
    </row>
    <row r="586" spans="1:91">
      <c r="A586" s="159" t="s">
        <v>7797</v>
      </c>
      <c r="B586" s="112" t="s">
        <v>269</v>
      </c>
      <c r="C586" s="112">
        <v>3</v>
      </c>
      <c r="D586" s="112">
        <v>125</v>
      </c>
      <c r="E586" s="113">
        <v>9</v>
      </c>
      <c r="F586" s="113">
        <v>17</v>
      </c>
      <c r="M586" s="185">
        <v>7.79</v>
      </c>
      <c r="N586" s="157">
        <v>41837</v>
      </c>
      <c r="R586" s="185"/>
      <c r="S586" s="137">
        <v>22</v>
      </c>
      <c r="T586" s="157">
        <v>41837</v>
      </c>
      <c r="U586" s="142">
        <v>18</v>
      </c>
      <c r="Y586" s="142">
        <f t="shared" si="9"/>
        <v>15.6342</v>
      </c>
      <c r="Z586" s="157">
        <v>41837</v>
      </c>
      <c r="AE586" s="137">
        <v>42.6</v>
      </c>
      <c r="AF586" s="157">
        <v>41837</v>
      </c>
      <c r="AG586" s="185">
        <v>4.74</v>
      </c>
      <c r="AH586" s="157">
        <v>41837</v>
      </c>
      <c r="AM586" s="137">
        <v>87</v>
      </c>
      <c r="BM586" s="138">
        <v>62.44</v>
      </c>
      <c r="BN586" s="157">
        <v>41837</v>
      </c>
      <c r="BS586" s="138">
        <v>51.64</v>
      </c>
      <c r="BT586" s="157">
        <v>41837</v>
      </c>
      <c r="BU586" s="138">
        <v>36.700000000000003</v>
      </c>
      <c r="BV586" s="157">
        <v>41837</v>
      </c>
      <c r="BW586" s="138">
        <v>15.6</v>
      </c>
      <c r="BX586" s="157">
        <v>41837</v>
      </c>
      <c r="CC586" s="138">
        <v>9.6999999999999993</v>
      </c>
      <c r="CD586" s="157">
        <v>41837</v>
      </c>
    </row>
    <row r="587" spans="1:91">
      <c r="A587" s="159" t="s">
        <v>7697</v>
      </c>
      <c r="B587" s="112" t="s">
        <v>269</v>
      </c>
      <c r="C587" s="112">
        <v>3</v>
      </c>
      <c r="D587" s="112">
        <v>182</v>
      </c>
      <c r="E587" s="113">
        <v>10</v>
      </c>
      <c r="F587" s="113">
        <v>17</v>
      </c>
      <c r="M587" s="185">
        <v>6.65</v>
      </c>
      <c r="N587" s="157">
        <v>41837</v>
      </c>
      <c r="R587" s="185"/>
      <c r="S587" s="137">
        <v>18.48</v>
      </c>
      <c r="T587" s="157">
        <v>41837</v>
      </c>
      <c r="U587" s="142">
        <v>18</v>
      </c>
      <c r="Y587" s="142">
        <f t="shared" si="9"/>
        <v>14.2324</v>
      </c>
      <c r="Z587" s="157">
        <v>41837</v>
      </c>
      <c r="AE587" s="137">
        <v>36.4</v>
      </c>
      <c r="AF587" s="157">
        <v>41837</v>
      </c>
      <c r="AG587" s="185">
        <v>4.2699999999999996</v>
      </c>
      <c r="AH587" s="157">
        <v>41837</v>
      </c>
      <c r="AM587" s="137">
        <v>92</v>
      </c>
      <c r="BM587" s="138">
        <v>65.64</v>
      </c>
      <c r="BN587" s="157">
        <v>41837</v>
      </c>
      <c r="BS587" s="138">
        <v>50.76</v>
      </c>
      <c r="BT587" s="157">
        <v>41837</v>
      </c>
      <c r="BU587" s="138">
        <v>39.1</v>
      </c>
      <c r="BV587" s="157">
        <v>41837</v>
      </c>
      <c r="BW587" s="138">
        <v>14.4</v>
      </c>
      <c r="BX587" s="157">
        <v>41837</v>
      </c>
      <c r="CC587" s="138">
        <v>9.6</v>
      </c>
      <c r="CD587" s="157">
        <v>41837</v>
      </c>
    </row>
    <row r="588" spans="1:91">
      <c r="A588" s="159" t="s">
        <v>7857</v>
      </c>
      <c r="B588" s="112" t="s">
        <v>269</v>
      </c>
      <c r="C588" s="112">
        <v>3</v>
      </c>
      <c r="D588" s="112">
        <v>132</v>
      </c>
      <c r="E588" s="113">
        <v>11</v>
      </c>
      <c r="F588" s="113">
        <v>17</v>
      </c>
      <c r="M588" s="185">
        <v>6.83</v>
      </c>
      <c r="N588" s="157">
        <v>41837</v>
      </c>
      <c r="R588" s="185"/>
      <c r="S588" s="137">
        <v>20</v>
      </c>
      <c r="T588" s="157">
        <v>41837</v>
      </c>
      <c r="U588" s="142">
        <v>18</v>
      </c>
      <c r="Y588" s="142">
        <f t="shared" si="9"/>
        <v>14.152160000000002</v>
      </c>
      <c r="Z588" s="157">
        <v>41837</v>
      </c>
      <c r="AE588" s="137">
        <v>37.840000000000003</v>
      </c>
      <c r="AF588" s="157">
        <v>41837</v>
      </c>
      <c r="AG588" s="185">
        <v>4.9000000000000004</v>
      </c>
      <c r="AH588" s="157">
        <v>41837</v>
      </c>
      <c r="AM588" s="137">
        <v>92</v>
      </c>
      <c r="BM588" s="138">
        <v>61.86</v>
      </c>
      <c r="BN588" s="157">
        <v>41837</v>
      </c>
      <c r="BS588" s="138">
        <v>52.85</v>
      </c>
      <c r="BT588" s="157">
        <v>41837</v>
      </c>
      <c r="BU588" s="138">
        <v>37.4</v>
      </c>
      <c r="BV588" s="157">
        <v>41837</v>
      </c>
      <c r="BW588" s="138">
        <v>18.899999999999999</v>
      </c>
      <c r="BX588" s="157">
        <v>41837</v>
      </c>
      <c r="CC588" s="138">
        <v>8.5</v>
      </c>
      <c r="CD588" s="157">
        <v>41837</v>
      </c>
    </row>
    <row r="589" spans="1:91">
      <c r="A589" s="159" t="s">
        <v>7809</v>
      </c>
      <c r="B589" s="112" t="s">
        <v>269</v>
      </c>
      <c r="C589" s="112">
        <v>3</v>
      </c>
      <c r="D589" s="112">
        <v>117</v>
      </c>
      <c r="E589" s="113">
        <v>12</v>
      </c>
      <c r="F589" s="113">
        <v>17</v>
      </c>
      <c r="M589" s="185">
        <v>7.01</v>
      </c>
      <c r="N589" s="157">
        <v>41837</v>
      </c>
      <c r="R589" s="185"/>
      <c r="S589" s="137">
        <v>20.52</v>
      </c>
      <c r="T589" s="157">
        <v>41837</v>
      </c>
      <c r="U589" s="142">
        <v>18</v>
      </c>
      <c r="Y589" s="142">
        <f t="shared" si="9"/>
        <v>14.38875</v>
      </c>
      <c r="Z589" s="157">
        <v>41837</v>
      </c>
      <c r="AE589" s="137">
        <v>38.369999999999997</v>
      </c>
      <c r="AF589" s="157">
        <v>41837</v>
      </c>
      <c r="AG589" s="185">
        <v>4.55</v>
      </c>
      <c r="AH589" s="157">
        <v>41837</v>
      </c>
      <c r="AM589" s="137">
        <v>90</v>
      </c>
      <c r="BM589" s="138">
        <v>60.14</v>
      </c>
      <c r="BN589" s="157">
        <v>41837</v>
      </c>
      <c r="BS589" s="138">
        <v>53.48</v>
      </c>
      <c r="BT589" s="157">
        <v>41837</v>
      </c>
      <c r="BU589" s="138">
        <v>37.5</v>
      </c>
      <c r="BV589" s="157">
        <v>41837</v>
      </c>
      <c r="BW589" s="138">
        <v>18.399999999999999</v>
      </c>
      <c r="BX589" s="157">
        <v>41837</v>
      </c>
      <c r="CC589" s="138">
        <v>9.6</v>
      </c>
      <c r="CD589" s="157">
        <v>41837</v>
      </c>
    </row>
    <row r="590" spans="1:91">
      <c r="A590" s="159" t="s">
        <v>7857</v>
      </c>
      <c r="B590" s="112" t="s">
        <v>269</v>
      </c>
      <c r="C590" s="112">
        <v>3</v>
      </c>
      <c r="D590" s="112">
        <v>116</v>
      </c>
      <c r="E590" s="113">
        <v>13</v>
      </c>
      <c r="F590" s="113">
        <v>17</v>
      </c>
      <c r="M590" s="185">
        <v>7.72</v>
      </c>
      <c r="N590" s="157">
        <v>41837</v>
      </c>
      <c r="R590" s="185"/>
      <c r="S590" s="137">
        <v>22.55</v>
      </c>
      <c r="T590" s="157">
        <v>41837</v>
      </c>
      <c r="U590" s="142">
        <v>18</v>
      </c>
      <c r="Y590" s="142">
        <f t="shared" si="9"/>
        <v>15.673119999999999</v>
      </c>
      <c r="Z590" s="157">
        <v>41837</v>
      </c>
      <c r="AE590" s="137">
        <v>42.59</v>
      </c>
      <c r="AF590" s="157">
        <v>41837</v>
      </c>
      <c r="AG590" s="185">
        <v>5.0599999999999996</v>
      </c>
      <c r="AH590" s="157">
        <v>41837</v>
      </c>
      <c r="AM590" s="137">
        <v>90</v>
      </c>
      <c r="BM590" s="138">
        <v>61.14</v>
      </c>
      <c r="BN590" s="157">
        <v>41837</v>
      </c>
      <c r="BS590" s="138">
        <v>52.94</v>
      </c>
      <c r="BT590" s="157">
        <v>41837</v>
      </c>
      <c r="BU590" s="138">
        <v>36.799999999999997</v>
      </c>
      <c r="BV590" s="157">
        <v>41837</v>
      </c>
      <c r="BW590" s="138">
        <v>15.4</v>
      </c>
      <c r="BX590" s="157">
        <v>41837</v>
      </c>
      <c r="CC590" s="138">
        <v>8.9</v>
      </c>
      <c r="CD590" s="157">
        <v>41837</v>
      </c>
    </row>
    <row r="591" spans="1:91">
      <c r="A591" s="159" t="s">
        <v>7743</v>
      </c>
      <c r="B591" s="112" t="s">
        <v>269</v>
      </c>
      <c r="C591" s="112">
        <v>3</v>
      </c>
      <c r="D591" s="112">
        <v>5</v>
      </c>
      <c r="E591" s="113">
        <v>14</v>
      </c>
      <c r="F591" s="113">
        <v>17</v>
      </c>
      <c r="I591" s="200"/>
      <c r="K591" s="142"/>
      <c r="M591" s="185">
        <v>3.03</v>
      </c>
      <c r="N591" s="157">
        <v>41837</v>
      </c>
      <c r="Q591" s="142"/>
      <c r="R591" s="185"/>
      <c r="S591" s="142">
        <v>8.3000000000000007</v>
      </c>
      <c r="T591" s="157">
        <v>41837</v>
      </c>
      <c r="U591" s="142">
        <v>18</v>
      </c>
      <c r="W591" s="142"/>
      <c r="Y591" s="142">
        <f t="shared" si="9"/>
        <v>7.2079200000000014</v>
      </c>
      <c r="Z591" s="157">
        <v>41837</v>
      </c>
      <c r="AA591" s="142"/>
      <c r="AE591" s="142">
        <v>16.920000000000002</v>
      </c>
      <c r="AF591" s="157">
        <v>41837</v>
      </c>
      <c r="AG591" s="185">
        <v>4.84</v>
      </c>
      <c r="AH591" s="157">
        <v>41837</v>
      </c>
      <c r="AK591" s="142"/>
      <c r="AM591" s="142">
        <v>96</v>
      </c>
      <c r="BM591" s="138">
        <v>66.45</v>
      </c>
      <c r="BN591" s="157">
        <v>41837</v>
      </c>
      <c r="BS591" s="138">
        <v>49.08</v>
      </c>
      <c r="BT591" s="157">
        <v>41837</v>
      </c>
      <c r="BU591" s="138">
        <v>42.6</v>
      </c>
      <c r="BV591" s="157">
        <v>41837</v>
      </c>
      <c r="BW591" s="138">
        <v>48.7</v>
      </c>
      <c r="BX591" s="157">
        <v>41837</v>
      </c>
      <c r="CC591" s="138">
        <v>7.8</v>
      </c>
      <c r="CD591" s="157">
        <v>41837</v>
      </c>
    </row>
    <row r="592" spans="1:91">
      <c r="A592" s="159" t="s">
        <v>7615</v>
      </c>
      <c r="B592" s="112" t="s">
        <v>269</v>
      </c>
      <c r="C592" s="112">
        <v>3</v>
      </c>
      <c r="D592" s="112">
        <v>127</v>
      </c>
      <c r="E592" s="113">
        <v>15</v>
      </c>
      <c r="F592" s="113">
        <v>17</v>
      </c>
      <c r="M592" s="185">
        <v>2.8</v>
      </c>
      <c r="N592" s="157">
        <v>41837</v>
      </c>
      <c r="R592" s="185"/>
      <c r="S592" s="137">
        <v>7.75</v>
      </c>
      <c r="T592" s="157">
        <v>41837</v>
      </c>
      <c r="U592" s="142">
        <v>18</v>
      </c>
      <c r="Y592" s="142">
        <f t="shared" si="9"/>
        <v>6.5104000000000006</v>
      </c>
      <c r="Z592" s="157">
        <v>41837</v>
      </c>
      <c r="AE592" s="137">
        <v>15.65</v>
      </c>
      <c r="AF592" s="157">
        <v>41837</v>
      </c>
      <c r="AG592" s="185">
        <v>5.52</v>
      </c>
      <c r="AH592" s="157">
        <v>41837</v>
      </c>
      <c r="AM592" s="137">
        <v>92</v>
      </c>
      <c r="BM592" s="138">
        <v>64.14</v>
      </c>
      <c r="BN592" s="157">
        <v>41837</v>
      </c>
      <c r="BS592" s="138">
        <v>49.55</v>
      </c>
      <c r="BT592" s="157">
        <v>41837</v>
      </c>
      <c r="BU592" s="138">
        <v>41.6</v>
      </c>
      <c r="BV592" s="157">
        <v>41837</v>
      </c>
      <c r="BW592" s="138">
        <v>59.9</v>
      </c>
      <c r="BX592" s="157">
        <v>41837</v>
      </c>
      <c r="CC592" s="138">
        <v>7.7</v>
      </c>
      <c r="CD592" s="157">
        <v>41837</v>
      </c>
    </row>
    <row r="593" spans="1:91">
      <c r="A593" s="159" t="s">
        <v>7689</v>
      </c>
      <c r="B593" s="112" t="s">
        <v>269</v>
      </c>
      <c r="C593" s="112">
        <v>3</v>
      </c>
      <c r="D593" s="112">
        <v>105</v>
      </c>
      <c r="E593" s="113">
        <v>16</v>
      </c>
      <c r="F593" s="113">
        <v>17</v>
      </c>
      <c r="M593" s="185">
        <v>5.16</v>
      </c>
      <c r="N593" s="157">
        <v>41837</v>
      </c>
      <c r="R593" s="185"/>
      <c r="S593" s="137">
        <v>14.62</v>
      </c>
      <c r="T593" s="157">
        <v>41837</v>
      </c>
      <c r="U593" s="142">
        <v>18</v>
      </c>
      <c r="Y593" s="142">
        <f t="shared" si="9"/>
        <v>10.545</v>
      </c>
      <c r="Z593" s="157">
        <v>41837</v>
      </c>
      <c r="AE593" s="137">
        <v>28.5</v>
      </c>
      <c r="AF593" s="157">
        <v>41837</v>
      </c>
      <c r="AG593" s="185">
        <v>5.0999999999999996</v>
      </c>
      <c r="AH593" s="157">
        <v>41837</v>
      </c>
      <c r="AM593" s="137">
        <v>92</v>
      </c>
      <c r="BM593" s="138">
        <v>61.99</v>
      </c>
      <c r="BN593" s="157">
        <v>41837</v>
      </c>
      <c r="BS593" s="138">
        <v>51.31</v>
      </c>
      <c r="BT593" s="157">
        <v>41837</v>
      </c>
      <c r="BU593" s="138">
        <v>37</v>
      </c>
      <c r="BV593" s="157">
        <v>41837</v>
      </c>
      <c r="BW593" s="138">
        <v>15.4</v>
      </c>
      <c r="BX593" s="157">
        <v>41837</v>
      </c>
      <c r="CC593" s="138">
        <v>8.8000000000000007</v>
      </c>
      <c r="CD593" s="157">
        <v>41837</v>
      </c>
    </row>
    <row r="594" spans="1:91">
      <c r="A594" s="159" t="s">
        <v>7696</v>
      </c>
      <c r="B594" s="112" t="s">
        <v>269</v>
      </c>
      <c r="C594" s="112">
        <v>3</v>
      </c>
      <c r="D594" s="112">
        <v>154</v>
      </c>
      <c r="E594" s="113">
        <v>17</v>
      </c>
      <c r="F594" s="113">
        <v>17</v>
      </c>
      <c r="M594" s="185">
        <v>5.9</v>
      </c>
      <c r="N594" s="157">
        <v>41837</v>
      </c>
      <c r="R594" s="185"/>
      <c r="S594" s="137">
        <v>16.89</v>
      </c>
      <c r="T594" s="157">
        <v>41837</v>
      </c>
      <c r="U594" s="142">
        <v>18</v>
      </c>
      <c r="Y594" s="142">
        <f t="shared" si="9"/>
        <v>12.48156</v>
      </c>
      <c r="Z594" s="157">
        <v>41837</v>
      </c>
      <c r="AE594" s="137">
        <v>32.76</v>
      </c>
      <c r="AF594" s="157">
        <v>41837</v>
      </c>
      <c r="AG594" s="185">
        <v>4.8899999999999997</v>
      </c>
      <c r="AH594" s="157">
        <v>41837</v>
      </c>
      <c r="AM594" s="137">
        <v>90</v>
      </c>
      <c r="BM594" s="138">
        <v>61.34</v>
      </c>
      <c r="BN594" s="157">
        <v>41837</v>
      </c>
      <c r="BS594" s="138">
        <v>51.56</v>
      </c>
      <c r="BT594" s="157">
        <v>41837</v>
      </c>
      <c r="BU594" s="138">
        <v>38.1</v>
      </c>
      <c r="BV594" s="157">
        <v>41837</v>
      </c>
      <c r="BW594" s="138">
        <v>14.7</v>
      </c>
      <c r="BX594" s="157">
        <v>41837</v>
      </c>
      <c r="CC594" s="138">
        <v>8.3000000000000007</v>
      </c>
      <c r="CD594" s="157">
        <v>41837</v>
      </c>
    </row>
    <row r="595" spans="1:91">
      <c r="A595" s="159" t="s">
        <v>7646</v>
      </c>
      <c r="B595" s="112" t="s">
        <v>269</v>
      </c>
      <c r="C595" s="112">
        <v>3</v>
      </c>
      <c r="D595" s="112">
        <v>125</v>
      </c>
      <c r="E595" s="113">
        <v>18</v>
      </c>
      <c r="F595" s="113">
        <v>17</v>
      </c>
      <c r="M595" s="185">
        <v>2.48</v>
      </c>
      <c r="N595" s="157">
        <v>41837</v>
      </c>
      <c r="R595" s="185"/>
      <c r="S595" s="137">
        <v>6.93</v>
      </c>
      <c r="T595" s="157">
        <v>41837</v>
      </c>
      <c r="U595" s="142">
        <v>18</v>
      </c>
      <c r="Y595" s="142">
        <f t="shared" si="9"/>
        <v>5.0581199999999997</v>
      </c>
      <c r="Z595" s="157">
        <v>41837</v>
      </c>
      <c r="AE595" s="137">
        <v>13.82</v>
      </c>
      <c r="AF595" s="157">
        <v>41837</v>
      </c>
      <c r="AG595" s="185">
        <v>4.8600000000000003</v>
      </c>
      <c r="AH595" s="157">
        <v>41837</v>
      </c>
      <c r="AM595" s="137">
        <v>87</v>
      </c>
      <c r="BM595" s="138">
        <v>61.89</v>
      </c>
      <c r="BN595" s="157">
        <v>41837</v>
      </c>
      <c r="BS595" s="138">
        <v>50.13</v>
      </c>
      <c r="BT595" s="157">
        <v>41837</v>
      </c>
      <c r="BU595" s="138">
        <v>36.6</v>
      </c>
      <c r="BV595" s="157">
        <v>41837</v>
      </c>
      <c r="BW595" s="138">
        <v>40.6</v>
      </c>
      <c r="BX595" s="157">
        <v>41837</v>
      </c>
      <c r="CC595" s="138">
        <v>8</v>
      </c>
      <c r="CD595" s="157">
        <v>41837</v>
      </c>
    </row>
    <row r="596" spans="1:91">
      <c r="A596" s="159" t="s">
        <v>7856</v>
      </c>
      <c r="B596" s="112" t="s">
        <v>269</v>
      </c>
      <c r="C596" s="112">
        <v>3</v>
      </c>
      <c r="D596" s="112">
        <v>24</v>
      </c>
      <c r="E596" s="113">
        <v>19</v>
      </c>
      <c r="F596" s="113">
        <v>17</v>
      </c>
      <c r="M596" s="185">
        <v>6.15</v>
      </c>
      <c r="N596" s="157">
        <v>41837</v>
      </c>
      <c r="R596" s="185"/>
      <c r="S596" s="137">
        <v>18.149999999999999</v>
      </c>
      <c r="T596" s="157">
        <v>41837</v>
      </c>
      <c r="U596" s="142">
        <v>18</v>
      </c>
      <c r="Y596" s="142">
        <f t="shared" si="9"/>
        <v>12.623340000000001</v>
      </c>
      <c r="Z596" s="157">
        <v>41837</v>
      </c>
      <c r="AE596" s="137">
        <v>34.49</v>
      </c>
      <c r="AF596" s="157">
        <v>41837</v>
      </c>
      <c r="AG596" s="185">
        <v>4.8499999999999996</v>
      </c>
      <c r="AH596" s="157">
        <v>41837</v>
      </c>
      <c r="AM596" s="137">
        <v>85</v>
      </c>
      <c r="BM596" s="138">
        <v>61.43</v>
      </c>
      <c r="BN596" s="157">
        <v>41837</v>
      </c>
      <c r="BS596" s="138">
        <v>52.63</v>
      </c>
      <c r="BT596" s="157">
        <v>41837</v>
      </c>
      <c r="BU596" s="138">
        <v>36.6</v>
      </c>
      <c r="BV596" s="157">
        <v>41837</v>
      </c>
      <c r="BW596" s="138">
        <v>16.600000000000001</v>
      </c>
      <c r="BX596" s="157">
        <v>41837</v>
      </c>
      <c r="CC596" s="138">
        <v>7.4</v>
      </c>
      <c r="CD596" s="157">
        <v>41837</v>
      </c>
    </row>
    <row r="597" spans="1:91">
      <c r="A597" s="159" t="s">
        <v>7810</v>
      </c>
      <c r="B597" s="112" t="s">
        <v>269</v>
      </c>
      <c r="C597" s="112">
        <v>3</v>
      </c>
      <c r="D597" s="112">
        <v>83</v>
      </c>
      <c r="E597" s="113">
        <v>20</v>
      </c>
      <c r="F597" s="113">
        <v>17</v>
      </c>
      <c r="M597" s="185">
        <v>7.44</v>
      </c>
      <c r="N597" s="157">
        <v>41837</v>
      </c>
      <c r="R597" s="185"/>
      <c r="S597" s="137">
        <v>21.7</v>
      </c>
      <c r="T597" s="157">
        <v>41837</v>
      </c>
      <c r="U597" s="142">
        <v>18</v>
      </c>
      <c r="Y597" s="142">
        <f t="shared" si="9"/>
        <v>15.045299999999999</v>
      </c>
      <c r="Z597" s="157">
        <v>41837</v>
      </c>
      <c r="AE597" s="137">
        <v>41.22</v>
      </c>
      <c r="AF597" s="157">
        <v>41837</v>
      </c>
      <c r="AG597" s="185">
        <v>4.6399999999999997</v>
      </c>
      <c r="AH597" s="157">
        <v>41837</v>
      </c>
      <c r="AM597" s="137">
        <v>92</v>
      </c>
      <c r="BM597" s="138">
        <v>61.5</v>
      </c>
      <c r="BN597" s="157">
        <v>41837</v>
      </c>
      <c r="BS597" s="138">
        <v>52.64</v>
      </c>
      <c r="BT597" s="157">
        <v>41837</v>
      </c>
      <c r="BU597" s="138">
        <v>36.5</v>
      </c>
      <c r="BV597" s="157">
        <v>41837</v>
      </c>
      <c r="BW597" s="138">
        <v>15.4</v>
      </c>
      <c r="BX597" s="157">
        <v>41837</v>
      </c>
      <c r="CC597" s="138">
        <v>8.5</v>
      </c>
      <c r="CD597" s="157">
        <v>41837</v>
      </c>
    </row>
    <row r="598" spans="1:91">
      <c r="A598" s="159" t="s">
        <v>7783</v>
      </c>
      <c r="B598" s="112" t="s">
        <v>269</v>
      </c>
      <c r="C598" s="112">
        <v>3</v>
      </c>
      <c r="D598" s="112">
        <v>68</v>
      </c>
      <c r="E598" s="113">
        <v>21</v>
      </c>
      <c r="F598" s="113">
        <v>17</v>
      </c>
      <c r="M598" s="185">
        <v>5.89</v>
      </c>
      <c r="N598" s="157">
        <v>41837</v>
      </c>
      <c r="R598" s="185"/>
      <c r="S598" s="137">
        <v>16.97</v>
      </c>
      <c r="T598" s="157">
        <v>41837</v>
      </c>
      <c r="U598" s="142">
        <v>18</v>
      </c>
      <c r="Y598" s="142">
        <f t="shared" si="9"/>
        <v>12.187350000000002</v>
      </c>
      <c r="Z598" s="157">
        <v>41837</v>
      </c>
      <c r="AE598" s="137">
        <v>32.85</v>
      </c>
      <c r="AF598" s="157">
        <v>41837</v>
      </c>
      <c r="AG598" s="185">
        <v>4.9800000000000004</v>
      </c>
      <c r="AH598" s="157">
        <v>41837</v>
      </c>
      <c r="AM598" s="137">
        <v>90</v>
      </c>
      <c r="BM598" s="138">
        <v>61.4</v>
      </c>
      <c r="BN598" s="157">
        <v>41837</v>
      </c>
      <c r="BS598" s="138">
        <v>51.65</v>
      </c>
      <c r="BT598" s="157">
        <v>41837</v>
      </c>
      <c r="BU598" s="138">
        <v>37.1</v>
      </c>
      <c r="BV598" s="157">
        <v>41837</v>
      </c>
      <c r="BW598" s="138">
        <v>14.8</v>
      </c>
      <c r="BX598" s="157">
        <v>41837</v>
      </c>
      <c r="CC598" s="138">
        <v>7.9</v>
      </c>
      <c r="CD598" s="157">
        <v>41837</v>
      </c>
    </row>
    <row r="599" spans="1:91">
      <c r="A599" s="159" t="s">
        <v>7767</v>
      </c>
      <c r="B599" s="112" t="s">
        <v>269</v>
      </c>
      <c r="C599" s="112">
        <v>3</v>
      </c>
      <c r="D599" s="112">
        <v>197</v>
      </c>
      <c r="E599" s="113">
        <v>22</v>
      </c>
      <c r="F599" s="113">
        <v>17</v>
      </c>
      <c r="M599" s="185">
        <v>6.3</v>
      </c>
      <c r="N599" s="157">
        <v>41837</v>
      </c>
      <c r="R599" s="185"/>
      <c r="S599" s="137">
        <v>18.11</v>
      </c>
      <c r="T599" s="157">
        <v>41837</v>
      </c>
      <c r="U599" s="142">
        <v>18</v>
      </c>
      <c r="Y599" s="142">
        <f t="shared" si="9"/>
        <v>13.007249999999999</v>
      </c>
      <c r="Z599" s="157">
        <v>41837</v>
      </c>
      <c r="AE599" s="137">
        <v>35.25</v>
      </c>
      <c r="AF599" s="157">
        <v>41837</v>
      </c>
      <c r="AG599" s="185">
        <v>4.68</v>
      </c>
      <c r="AH599" s="157">
        <v>41837</v>
      </c>
      <c r="AM599" s="137">
        <v>83</v>
      </c>
      <c r="BM599" s="138">
        <v>63.38</v>
      </c>
      <c r="BN599" s="157">
        <v>41837</v>
      </c>
      <c r="BS599" s="138">
        <v>51.38</v>
      </c>
      <c r="BT599" s="157">
        <v>41837</v>
      </c>
      <c r="BU599" s="138">
        <v>36.9</v>
      </c>
      <c r="BV599" s="157">
        <v>41837</v>
      </c>
      <c r="BW599" s="138">
        <v>10.7</v>
      </c>
      <c r="BX599" s="157">
        <v>41837</v>
      </c>
      <c r="CC599" s="138">
        <v>7.6</v>
      </c>
      <c r="CD599" s="157">
        <v>41837</v>
      </c>
    </row>
    <row r="600" spans="1:91">
      <c r="A600" s="159" t="s">
        <v>7856</v>
      </c>
      <c r="B600" s="112" t="s">
        <v>269</v>
      </c>
      <c r="C600" s="112">
        <v>3</v>
      </c>
      <c r="D600" s="112">
        <v>21</v>
      </c>
      <c r="E600" s="113">
        <v>23</v>
      </c>
      <c r="F600" s="113">
        <v>17</v>
      </c>
      <c r="I600" s="200"/>
      <c r="K600" s="142"/>
      <c r="M600" s="185">
        <v>6.83</v>
      </c>
      <c r="N600" s="157">
        <v>41837</v>
      </c>
      <c r="Q600" s="142"/>
      <c r="R600" s="185"/>
      <c r="S600" s="142">
        <v>19.61</v>
      </c>
      <c r="T600" s="157">
        <v>41837</v>
      </c>
      <c r="U600" s="142">
        <v>18</v>
      </c>
      <c r="W600" s="142"/>
      <c r="Y600" s="142">
        <f t="shared" si="9"/>
        <v>13.91742</v>
      </c>
      <c r="Z600" s="157">
        <v>41837</v>
      </c>
      <c r="AA600" s="142"/>
      <c r="AE600" s="142">
        <v>38.340000000000003</v>
      </c>
      <c r="AF600" s="157">
        <v>41837</v>
      </c>
      <c r="AG600" s="185">
        <v>4.7699999999999996</v>
      </c>
      <c r="AH600" s="157">
        <v>41837</v>
      </c>
      <c r="AK600" s="142"/>
      <c r="AM600" s="142">
        <v>85</v>
      </c>
      <c r="BM600" s="138">
        <v>61.84</v>
      </c>
      <c r="BN600" s="157">
        <v>41837</v>
      </c>
      <c r="BS600" s="138">
        <v>51.15</v>
      </c>
      <c r="BT600" s="157">
        <v>41837</v>
      </c>
      <c r="BU600" s="138">
        <v>36.299999999999997</v>
      </c>
      <c r="BV600" s="157">
        <v>41837</v>
      </c>
      <c r="BW600" s="138">
        <v>18.3</v>
      </c>
      <c r="BX600" s="157">
        <v>41837</v>
      </c>
      <c r="CC600" s="138">
        <v>7.3</v>
      </c>
      <c r="CD600" s="157">
        <v>41837</v>
      </c>
    </row>
    <row r="601" spans="1:91">
      <c r="A601" s="159" t="s">
        <v>7713</v>
      </c>
      <c r="B601" s="112" t="s">
        <v>269</v>
      </c>
      <c r="C601" s="112">
        <v>3</v>
      </c>
      <c r="D601" s="112">
        <v>162</v>
      </c>
      <c r="E601" s="113">
        <v>24</v>
      </c>
      <c r="F601" s="113">
        <v>17</v>
      </c>
      <c r="M601" s="185">
        <v>5.49</v>
      </c>
      <c r="N601" s="157">
        <v>41837</v>
      </c>
      <c r="R601" s="185"/>
      <c r="S601" s="137">
        <v>15.5</v>
      </c>
      <c r="T601" s="157">
        <v>41837</v>
      </c>
      <c r="U601" s="142">
        <v>18</v>
      </c>
      <c r="Y601" s="142">
        <f t="shared" si="9"/>
        <v>11.609000000000002</v>
      </c>
      <c r="Z601" s="157">
        <v>41837</v>
      </c>
      <c r="AE601" s="137">
        <v>30.55</v>
      </c>
      <c r="AF601" s="157">
        <v>41837</v>
      </c>
      <c r="AG601" s="185">
        <v>4.32</v>
      </c>
      <c r="AH601" s="157">
        <v>41837</v>
      </c>
      <c r="AM601" s="137">
        <v>85</v>
      </c>
      <c r="BM601" s="138">
        <v>60.4</v>
      </c>
      <c r="BN601" s="157">
        <v>41837</v>
      </c>
      <c r="BS601" s="138">
        <v>50.73</v>
      </c>
      <c r="BT601" s="157">
        <v>41837</v>
      </c>
      <c r="BU601" s="138">
        <v>38</v>
      </c>
      <c r="BV601" s="157">
        <v>41837</v>
      </c>
      <c r="BW601" s="138">
        <v>8.5</v>
      </c>
      <c r="BX601" s="157">
        <v>41837</v>
      </c>
      <c r="CC601" s="138">
        <v>8.1</v>
      </c>
      <c r="CD601" s="157">
        <v>41837</v>
      </c>
    </row>
    <row r="602" spans="1:91">
      <c r="A602" s="159" t="s">
        <v>7619</v>
      </c>
      <c r="B602" s="112" t="s">
        <v>269</v>
      </c>
      <c r="C602" s="112">
        <v>3</v>
      </c>
      <c r="D602" s="112">
        <v>107</v>
      </c>
      <c r="E602" s="113">
        <v>25</v>
      </c>
      <c r="F602" s="113">
        <v>17</v>
      </c>
      <c r="M602" s="185">
        <v>4.12</v>
      </c>
      <c r="N602" s="157">
        <v>41837</v>
      </c>
      <c r="R602" s="185"/>
      <c r="S602" s="137">
        <v>11.81</v>
      </c>
      <c r="T602" s="157">
        <v>41837</v>
      </c>
      <c r="U602" s="142">
        <v>18</v>
      </c>
      <c r="Y602" s="142">
        <f t="shared" si="9"/>
        <v>9.7271000000000019</v>
      </c>
      <c r="Z602" s="157">
        <v>41837</v>
      </c>
      <c r="AE602" s="137">
        <v>23.05</v>
      </c>
      <c r="AF602" s="157">
        <v>41837</v>
      </c>
      <c r="AG602" s="185">
        <v>4.92</v>
      </c>
      <c r="AH602" s="157">
        <v>41837</v>
      </c>
      <c r="AM602" s="137">
        <v>92</v>
      </c>
      <c r="BM602" s="138">
        <v>63.12</v>
      </c>
      <c r="BN602" s="157">
        <v>41837</v>
      </c>
      <c r="BS602" s="138">
        <v>51.25</v>
      </c>
      <c r="BT602" s="157">
        <v>41837</v>
      </c>
      <c r="BU602" s="138">
        <v>42.2</v>
      </c>
      <c r="BV602" s="157">
        <v>41837</v>
      </c>
      <c r="BW602" s="138">
        <v>44.6</v>
      </c>
      <c r="BX602" s="157">
        <v>41837</v>
      </c>
      <c r="CC602" s="138">
        <v>7.6</v>
      </c>
      <c r="CD602" s="157">
        <v>41837</v>
      </c>
    </row>
    <row r="603" spans="1:91">
      <c r="A603" s="159" t="s">
        <v>7792</v>
      </c>
      <c r="B603" s="112" t="s">
        <v>269</v>
      </c>
      <c r="C603" s="112">
        <v>3</v>
      </c>
      <c r="D603" s="112">
        <v>63</v>
      </c>
      <c r="E603" s="113">
        <v>26</v>
      </c>
      <c r="F603" s="113">
        <v>17</v>
      </c>
      <c r="M603" s="185">
        <v>5.47</v>
      </c>
      <c r="N603" s="157">
        <v>41837</v>
      </c>
      <c r="R603" s="185"/>
      <c r="S603" s="137">
        <v>16.440000000000001</v>
      </c>
      <c r="T603" s="157">
        <v>41837</v>
      </c>
      <c r="U603" s="142">
        <v>18</v>
      </c>
      <c r="Y603" s="142">
        <f t="shared" si="9"/>
        <v>11.865640000000001</v>
      </c>
      <c r="Z603" s="157">
        <v>41837</v>
      </c>
      <c r="AE603" s="137">
        <v>30.74</v>
      </c>
      <c r="AF603" s="157">
        <v>41837</v>
      </c>
      <c r="AG603" s="185">
        <v>4.95</v>
      </c>
      <c r="AH603" s="157">
        <v>41837</v>
      </c>
      <c r="AM603" s="137">
        <v>92</v>
      </c>
      <c r="BM603" s="138">
        <v>61.84</v>
      </c>
      <c r="BN603" s="157">
        <v>41837</v>
      </c>
      <c r="BS603" s="138">
        <v>53.49</v>
      </c>
      <c r="BT603" s="157">
        <v>41837</v>
      </c>
      <c r="BU603" s="138">
        <v>38.6</v>
      </c>
      <c r="BV603" s="157">
        <v>41837</v>
      </c>
      <c r="BW603" s="138">
        <v>13.1</v>
      </c>
      <c r="BX603" s="157">
        <v>41837</v>
      </c>
      <c r="CC603" s="138">
        <v>7.2</v>
      </c>
      <c r="CD603" s="157">
        <v>41837</v>
      </c>
    </row>
    <row r="604" spans="1:91">
      <c r="A604" s="159" t="s">
        <v>7695</v>
      </c>
      <c r="B604" s="112" t="s">
        <v>269</v>
      </c>
      <c r="C604" s="112">
        <v>3</v>
      </c>
      <c r="D604" s="112">
        <v>59</v>
      </c>
      <c r="E604" s="113">
        <v>27</v>
      </c>
      <c r="F604" s="113">
        <v>17</v>
      </c>
      <c r="M604" s="185">
        <v>5.31</v>
      </c>
      <c r="N604" s="157">
        <v>41837</v>
      </c>
      <c r="R604" s="185"/>
      <c r="S604" s="137">
        <v>15</v>
      </c>
      <c r="T604" s="157">
        <v>41837</v>
      </c>
      <c r="U604" s="142">
        <v>18</v>
      </c>
      <c r="Y604" s="142">
        <f t="shared" si="9"/>
        <v>11.249680000000001</v>
      </c>
      <c r="Z604" s="157">
        <v>41837</v>
      </c>
      <c r="AE604" s="137">
        <v>29.84</v>
      </c>
      <c r="AF604" s="157">
        <v>41837</v>
      </c>
      <c r="AG604" s="185">
        <v>4.88</v>
      </c>
      <c r="AH604" s="157">
        <v>41837</v>
      </c>
      <c r="AM604" s="137">
        <v>92</v>
      </c>
      <c r="BM604" s="138">
        <v>60.14</v>
      </c>
      <c r="BN604" s="157">
        <v>41837</v>
      </c>
      <c r="BS604" s="138">
        <v>50.28</v>
      </c>
      <c r="BT604" s="157">
        <v>41837</v>
      </c>
      <c r="BU604" s="138">
        <v>37.700000000000003</v>
      </c>
      <c r="BV604" s="157">
        <v>41837</v>
      </c>
      <c r="BW604" s="138">
        <v>16.5</v>
      </c>
      <c r="BX604" s="157">
        <v>41837</v>
      </c>
      <c r="CC604" s="138">
        <v>7.2</v>
      </c>
      <c r="CD604" s="157">
        <v>41837</v>
      </c>
    </row>
    <row r="605" spans="1:91">
      <c r="A605" s="159" t="s">
        <v>7698</v>
      </c>
      <c r="B605" s="112" t="s">
        <v>269</v>
      </c>
      <c r="C605" s="112">
        <v>3</v>
      </c>
      <c r="D605" s="112">
        <v>81</v>
      </c>
      <c r="E605" s="113">
        <v>28</v>
      </c>
      <c r="F605" s="113">
        <v>17</v>
      </c>
      <c r="M605" s="185">
        <v>5.12</v>
      </c>
      <c r="N605" s="157">
        <v>41837</v>
      </c>
      <c r="R605" s="185"/>
      <c r="S605" s="137">
        <v>14.2</v>
      </c>
      <c r="T605" s="157">
        <v>41837</v>
      </c>
      <c r="U605" s="142">
        <v>18</v>
      </c>
      <c r="Y605" s="142">
        <f t="shared" si="9"/>
        <v>11.092919999999999</v>
      </c>
      <c r="Z605" s="157">
        <v>41837</v>
      </c>
      <c r="AE605" s="137">
        <v>28.59</v>
      </c>
      <c r="AF605" s="157">
        <v>41837</v>
      </c>
      <c r="AG605" s="185">
        <v>5.59</v>
      </c>
      <c r="AH605" s="157">
        <v>41837</v>
      </c>
      <c r="AM605" s="137">
        <v>90</v>
      </c>
      <c r="BM605" s="138">
        <v>60.78</v>
      </c>
      <c r="BN605" s="157">
        <v>41837</v>
      </c>
      <c r="BS605" s="138">
        <v>49.67</v>
      </c>
      <c r="BT605" s="157">
        <v>41837</v>
      </c>
      <c r="BU605" s="138">
        <v>38.799999999999997</v>
      </c>
      <c r="BV605" s="157">
        <v>41837</v>
      </c>
      <c r="BW605" s="138">
        <v>15.8</v>
      </c>
      <c r="BX605" s="157">
        <v>41837</v>
      </c>
      <c r="CC605" s="138">
        <v>7.8</v>
      </c>
      <c r="CD605" s="157">
        <v>41837</v>
      </c>
    </row>
    <row r="606" spans="1:91">
      <c r="A606" s="189" t="s">
        <v>7812</v>
      </c>
      <c r="B606" s="190" t="s">
        <v>269</v>
      </c>
      <c r="C606" s="190">
        <v>3</v>
      </c>
      <c r="D606" s="190">
        <v>131</v>
      </c>
      <c r="E606" s="191">
        <v>29</v>
      </c>
      <c r="F606" s="191">
        <v>17</v>
      </c>
      <c r="G606" s="191"/>
      <c r="H606" s="191"/>
      <c r="I606" s="190"/>
      <c r="J606" s="190"/>
      <c r="K606" s="195"/>
      <c r="L606" s="193"/>
      <c r="M606" s="194">
        <v>6.87</v>
      </c>
      <c r="N606" s="193">
        <v>41837</v>
      </c>
      <c r="P606" s="193"/>
      <c r="Q606" s="195"/>
      <c r="R606" s="194"/>
      <c r="S606" s="195">
        <v>20.59</v>
      </c>
      <c r="T606" s="193">
        <v>41837</v>
      </c>
      <c r="U606" s="192">
        <v>18</v>
      </c>
      <c r="V606" s="193"/>
      <c r="W606" s="195"/>
      <c r="X606" s="193"/>
      <c r="Y606" s="192">
        <f t="shared" si="9"/>
        <v>14.517360000000002</v>
      </c>
      <c r="Z606" s="193">
        <v>41837</v>
      </c>
      <c r="AA606" s="195"/>
      <c r="AB606" s="193"/>
      <c r="AC606" s="195"/>
      <c r="AD606" s="193"/>
      <c r="AE606" s="195">
        <v>38.61</v>
      </c>
      <c r="AF606" s="193">
        <v>41837</v>
      </c>
      <c r="AG606" s="194">
        <v>5.23</v>
      </c>
      <c r="AH606" s="193">
        <v>41837</v>
      </c>
      <c r="AI606" s="193"/>
      <c r="AJ606" s="193"/>
      <c r="AK606" s="195"/>
      <c r="AL606" s="193"/>
      <c r="AM606" s="195">
        <v>87</v>
      </c>
      <c r="AN606" s="193"/>
      <c r="AO606" s="195"/>
      <c r="AP606" s="195"/>
      <c r="AQ606" s="195"/>
      <c r="AR606" s="195"/>
      <c r="AS606" s="195"/>
      <c r="AT606" s="195"/>
      <c r="AU606" s="195"/>
      <c r="AV606" s="195"/>
      <c r="AW606" s="195"/>
      <c r="AX606" s="195"/>
      <c r="AY606" s="195"/>
      <c r="AZ606" s="195"/>
      <c r="BA606" s="195"/>
      <c r="BB606" s="195"/>
      <c r="BC606" s="195"/>
      <c r="BD606" s="195"/>
      <c r="BE606" s="196"/>
      <c r="BF606" s="196"/>
      <c r="BG606" s="196"/>
      <c r="BH606" s="196"/>
      <c r="BI606" s="196"/>
      <c r="BJ606" s="196"/>
      <c r="BK606" s="196"/>
      <c r="BL606" s="196"/>
      <c r="BM606" s="196">
        <v>63.19</v>
      </c>
      <c r="BN606" s="193">
        <v>41837</v>
      </c>
      <c r="BO606" s="196"/>
      <c r="BP606" s="196"/>
      <c r="BQ606" s="196"/>
      <c r="BR606" s="196"/>
      <c r="BS606" s="196">
        <v>53.33</v>
      </c>
      <c r="BT606" s="193">
        <v>41837</v>
      </c>
      <c r="BU606" s="196">
        <v>37.6</v>
      </c>
      <c r="BV606" s="193">
        <v>41837</v>
      </c>
      <c r="BW606" s="196">
        <v>18.3</v>
      </c>
      <c r="BX606" s="193">
        <v>41837</v>
      </c>
      <c r="BY606" s="196"/>
      <c r="BZ606" s="196"/>
      <c r="CA606" s="196"/>
      <c r="CB606" s="196"/>
      <c r="CC606" s="196">
        <v>7.2</v>
      </c>
      <c r="CD606" s="193">
        <v>41837</v>
      </c>
      <c r="CE606" s="196"/>
      <c r="CF606" s="196"/>
      <c r="CG606" s="196"/>
      <c r="CH606" s="196"/>
      <c r="CI606" s="196"/>
      <c r="CJ606" s="196"/>
      <c r="CK606" s="196"/>
      <c r="CL606" s="196"/>
      <c r="CM606" s="196"/>
    </row>
    <row r="607" spans="1:91">
      <c r="A607" s="189" t="s">
        <v>7682</v>
      </c>
      <c r="B607" s="190" t="s">
        <v>269</v>
      </c>
      <c r="C607" s="190">
        <v>3</v>
      </c>
      <c r="D607" s="190">
        <v>7</v>
      </c>
      <c r="E607" s="191">
        <v>30</v>
      </c>
      <c r="F607" s="191">
        <v>17</v>
      </c>
      <c r="G607" s="191"/>
      <c r="H607" s="191"/>
      <c r="I607" s="201"/>
      <c r="J607" s="190"/>
      <c r="K607" s="192"/>
      <c r="L607" s="193"/>
      <c r="M607" s="194">
        <v>5.15</v>
      </c>
      <c r="N607" s="193">
        <v>41837</v>
      </c>
      <c r="P607" s="193"/>
      <c r="Q607" s="192"/>
      <c r="R607" s="194"/>
      <c r="S607" s="192">
        <v>14.9</v>
      </c>
      <c r="T607" s="193">
        <v>41837</v>
      </c>
      <c r="U607" s="192">
        <v>18</v>
      </c>
      <c r="V607" s="193"/>
      <c r="W607" s="192"/>
      <c r="X607" s="193"/>
      <c r="Y607" s="192">
        <f t="shared" si="9"/>
        <v>11.263640000000001</v>
      </c>
      <c r="Z607" s="193">
        <v>41837</v>
      </c>
      <c r="AA607" s="192"/>
      <c r="AB607" s="193"/>
      <c r="AC607" s="195"/>
      <c r="AD607" s="193"/>
      <c r="AE607" s="192">
        <v>29.03</v>
      </c>
      <c r="AF607" s="193">
        <v>41837</v>
      </c>
      <c r="AG607" s="194">
        <v>4.62</v>
      </c>
      <c r="AH607" s="193">
        <v>41837</v>
      </c>
      <c r="AI607" s="193"/>
      <c r="AJ607" s="193"/>
      <c r="AK607" s="192"/>
      <c r="AL607" s="193"/>
      <c r="AM607" s="192">
        <v>90</v>
      </c>
      <c r="AN607" s="193"/>
      <c r="AO607" s="195"/>
      <c r="AP607" s="195"/>
      <c r="AQ607" s="195"/>
      <c r="AR607" s="195"/>
      <c r="AS607" s="195"/>
      <c r="AT607" s="195"/>
      <c r="AU607" s="195"/>
      <c r="AV607" s="195"/>
      <c r="AW607" s="195"/>
      <c r="AX607" s="195"/>
      <c r="AY607" s="195"/>
      <c r="AZ607" s="195"/>
      <c r="BA607" s="195"/>
      <c r="BB607" s="195"/>
      <c r="BC607" s="195"/>
      <c r="BD607" s="195"/>
      <c r="BE607" s="196"/>
      <c r="BF607" s="196"/>
      <c r="BG607" s="196"/>
      <c r="BH607" s="196"/>
      <c r="BI607" s="196"/>
      <c r="BJ607" s="196"/>
      <c r="BK607" s="196"/>
      <c r="BL607" s="196"/>
      <c r="BM607" s="196">
        <v>59.96</v>
      </c>
      <c r="BN607" s="193">
        <v>41837</v>
      </c>
      <c r="BO607" s="196"/>
      <c r="BP607" s="196"/>
      <c r="BQ607" s="196"/>
      <c r="BR607" s="196"/>
      <c r="BS607" s="196">
        <v>51.32</v>
      </c>
      <c r="BT607" s="193">
        <v>41837</v>
      </c>
      <c r="BU607" s="196">
        <v>38.799999999999997</v>
      </c>
      <c r="BV607" s="193">
        <v>41837</v>
      </c>
      <c r="BW607" s="196">
        <v>15.2</v>
      </c>
      <c r="BX607" s="193">
        <v>41837</v>
      </c>
      <c r="BY607" s="196"/>
      <c r="BZ607" s="196"/>
      <c r="CA607" s="196"/>
      <c r="CB607" s="196"/>
      <c r="CC607" s="196">
        <v>6.9</v>
      </c>
      <c r="CD607" s="193">
        <v>41837</v>
      </c>
      <c r="CE607" s="196"/>
      <c r="CF607" s="196"/>
      <c r="CG607" s="196"/>
      <c r="CH607" s="196"/>
      <c r="CI607" s="196"/>
      <c r="CJ607" s="196"/>
      <c r="CK607" s="196"/>
      <c r="CL607" s="196"/>
      <c r="CM607" s="196"/>
    </row>
    <row r="608" spans="1:91">
      <c r="A608" s="159" t="s">
        <v>7702</v>
      </c>
      <c r="B608" s="112" t="s">
        <v>269</v>
      </c>
      <c r="C608" s="112">
        <v>3</v>
      </c>
      <c r="D608" s="112">
        <v>5</v>
      </c>
      <c r="E608" s="113">
        <v>31</v>
      </c>
      <c r="F608" s="113">
        <v>17</v>
      </c>
      <c r="I608" s="200"/>
      <c r="K608" s="142"/>
      <c r="M608" s="185">
        <v>7.37</v>
      </c>
      <c r="N608" s="157">
        <v>41837</v>
      </c>
      <c r="Q608" s="142"/>
      <c r="R608" s="185"/>
      <c r="S608" s="142">
        <v>20.98</v>
      </c>
      <c r="T608" s="157">
        <v>41837</v>
      </c>
      <c r="U608" s="142">
        <v>18</v>
      </c>
      <c r="W608" s="142"/>
      <c r="Y608" s="142">
        <f t="shared" si="9"/>
        <v>15.008520000000001</v>
      </c>
      <c r="Z608" s="157">
        <v>41837</v>
      </c>
      <c r="AA608" s="142"/>
      <c r="AE608" s="142">
        <v>41.46</v>
      </c>
      <c r="AF608" s="157">
        <v>41837</v>
      </c>
      <c r="AG608" s="185">
        <v>5.03</v>
      </c>
      <c r="AH608" s="157">
        <v>41837</v>
      </c>
      <c r="AK608" s="142"/>
      <c r="AM608" s="142">
        <v>85</v>
      </c>
      <c r="BM608" s="138">
        <v>59.52</v>
      </c>
      <c r="BN608" s="157">
        <v>41837</v>
      </c>
      <c r="BS608" s="138">
        <v>50.61</v>
      </c>
      <c r="BT608" s="157">
        <v>41837</v>
      </c>
      <c r="BU608" s="138">
        <v>36.200000000000003</v>
      </c>
      <c r="BV608" s="157">
        <v>41837</v>
      </c>
      <c r="BW608" s="138">
        <v>15</v>
      </c>
      <c r="BX608" s="157">
        <v>41837</v>
      </c>
      <c r="CC608" s="138">
        <v>7.1</v>
      </c>
      <c r="CD608" s="157">
        <v>41837</v>
      </c>
    </row>
    <row r="609" spans="1:91">
      <c r="A609" s="159" t="s">
        <v>7808</v>
      </c>
      <c r="B609" s="112" t="s">
        <v>269</v>
      </c>
      <c r="C609" s="112">
        <v>3</v>
      </c>
      <c r="D609" s="112">
        <v>172</v>
      </c>
      <c r="E609" s="113">
        <v>32</v>
      </c>
      <c r="F609" s="113">
        <v>17</v>
      </c>
      <c r="M609" s="185">
        <v>6.48</v>
      </c>
      <c r="N609" s="157">
        <v>41837</v>
      </c>
      <c r="R609" s="185"/>
      <c r="S609" s="137">
        <v>18.63</v>
      </c>
      <c r="T609" s="157">
        <v>41837</v>
      </c>
      <c r="U609" s="142">
        <v>18</v>
      </c>
      <c r="Y609" s="142">
        <f t="shared" si="9"/>
        <v>13.46481</v>
      </c>
      <c r="Z609" s="157">
        <v>41837</v>
      </c>
      <c r="AE609" s="137">
        <v>36.49</v>
      </c>
      <c r="AF609" s="157">
        <v>41837</v>
      </c>
      <c r="AG609" s="185">
        <v>4.96</v>
      </c>
      <c r="AH609" s="157">
        <v>41837</v>
      </c>
      <c r="AM609" s="137">
        <v>92</v>
      </c>
      <c r="BM609" s="138">
        <v>61.99</v>
      </c>
      <c r="BN609" s="157">
        <v>41837</v>
      </c>
      <c r="BS609" s="138">
        <v>51.06</v>
      </c>
      <c r="BT609" s="157">
        <v>41837</v>
      </c>
      <c r="BU609" s="138">
        <v>36.9</v>
      </c>
      <c r="BV609" s="157">
        <v>41837</v>
      </c>
      <c r="BW609" s="138">
        <v>22.6</v>
      </c>
      <c r="BX609" s="157">
        <v>41837</v>
      </c>
      <c r="CC609" s="138">
        <v>7</v>
      </c>
      <c r="CD609" s="157">
        <v>41837</v>
      </c>
    </row>
    <row r="610" spans="1:91" s="196" customFormat="1">
      <c r="A610" s="189" t="s">
        <v>7806</v>
      </c>
      <c r="B610" s="190" t="s">
        <v>269</v>
      </c>
      <c r="C610" s="190">
        <v>3</v>
      </c>
      <c r="D610" s="190">
        <v>48</v>
      </c>
      <c r="E610" s="191">
        <v>33</v>
      </c>
      <c r="F610" s="191">
        <v>17</v>
      </c>
      <c r="G610" s="191"/>
      <c r="H610" s="191"/>
      <c r="I610" s="190"/>
      <c r="J610" s="190"/>
      <c r="K610" s="195"/>
      <c r="L610" s="193"/>
      <c r="M610" s="194">
        <v>5.47</v>
      </c>
      <c r="N610" s="193">
        <v>41837</v>
      </c>
      <c r="O610" s="137"/>
      <c r="P610" s="193"/>
      <c r="Q610" s="195"/>
      <c r="R610" s="194"/>
      <c r="S610" s="195">
        <v>15.79</v>
      </c>
      <c r="T610" s="193">
        <v>41837</v>
      </c>
      <c r="U610" s="192">
        <v>18</v>
      </c>
      <c r="V610" s="193"/>
      <c r="W610" s="195"/>
      <c r="X610" s="193"/>
      <c r="Y610" s="192">
        <f t="shared" si="9"/>
        <v>11.803800000000001</v>
      </c>
      <c r="Z610" s="193">
        <v>41837</v>
      </c>
      <c r="AA610" s="195"/>
      <c r="AB610" s="193"/>
      <c r="AC610" s="195"/>
      <c r="AD610" s="193"/>
      <c r="AE610" s="195">
        <v>30.9</v>
      </c>
      <c r="AF610" s="193">
        <v>41837</v>
      </c>
      <c r="AG610" s="194">
        <v>4.6100000000000003</v>
      </c>
      <c r="AH610" s="193">
        <v>41837</v>
      </c>
      <c r="AI610" s="193"/>
      <c r="AJ610" s="193"/>
      <c r="AK610" s="195"/>
      <c r="AL610" s="193"/>
      <c r="AM610" s="195">
        <v>90</v>
      </c>
      <c r="AN610" s="193"/>
      <c r="AO610" s="195"/>
      <c r="AP610" s="195"/>
      <c r="AQ610" s="195"/>
      <c r="AR610" s="195"/>
      <c r="AS610" s="195"/>
      <c r="AT610" s="195"/>
      <c r="AU610" s="195"/>
      <c r="AV610" s="195"/>
      <c r="AW610" s="195"/>
      <c r="AX610" s="195"/>
      <c r="AY610" s="195"/>
      <c r="AZ610" s="195"/>
      <c r="BA610" s="195"/>
      <c r="BB610" s="195"/>
      <c r="BC610" s="195"/>
      <c r="BD610" s="195"/>
      <c r="BM610" s="196">
        <v>61.49</v>
      </c>
      <c r="BN610" s="193">
        <v>41837</v>
      </c>
      <c r="BS610" s="196">
        <v>51.1</v>
      </c>
      <c r="BT610" s="193">
        <v>41837</v>
      </c>
      <c r="BU610" s="196">
        <v>38.200000000000003</v>
      </c>
      <c r="BV610" s="193">
        <v>41837</v>
      </c>
      <c r="BW610" s="196">
        <v>12.7</v>
      </c>
      <c r="BX610" s="193">
        <v>41837</v>
      </c>
      <c r="CC610" s="196">
        <v>6.7</v>
      </c>
      <c r="CD610" s="193">
        <v>41837</v>
      </c>
    </row>
    <row r="611" spans="1:91" s="196" customFormat="1">
      <c r="A611" s="159" t="s">
        <v>7648</v>
      </c>
      <c r="B611" s="112" t="s">
        <v>269</v>
      </c>
      <c r="C611" s="112">
        <v>3</v>
      </c>
      <c r="D611" s="112">
        <v>21</v>
      </c>
      <c r="E611" s="113">
        <v>34</v>
      </c>
      <c r="F611" s="113">
        <v>17</v>
      </c>
      <c r="G611" s="113"/>
      <c r="H611" s="113"/>
      <c r="I611" s="200"/>
      <c r="J611" s="112"/>
      <c r="K611" s="142"/>
      <c r="L611" s="157"/>
      <c r="M611" s="185">
        <v>5.36</v>
      </c>
      <c r="N611" s="157">
        <v>41837</v>
      </c>
      <c r="O611" s="137"/>
      <c r="P611" s="157"/>
      <c r="Q611" s="142"/>
      <c r="R611" s="185"/>
      <c r="S611" s="142">
        <v>14.51</v>
      </c>
      <c r="T611" s="157">
        <v>41837</v>
      </c>
      <c r="U611" s="142">
        <v>18</v>
      </c>
      <c r="V611" s="157"/>
      <c r="W611" s="142"/>
      <c r="X611" s="157"/>
      <c r="Y611" s="142">
        <f t="shared" si="9"/>
        <v>11.797499999999999</v>
      </c>
      <c r="Z611" s="157">
        <v>41837</v>
      </c>
      <c r="AA611" s="142"/>
      <c r="AB611" s="157"/>
      <c r="AC611" s="137"/>
      <c r="AD611" s="157"/>
      <c r="AE611" s="142">
        <v>30.25</v>
      </c>
      <c r="AF611" s="157">
        <v>41837</v>
      </c>
      <c r="AG611" s="185">
        <v>5.34</v>
      </c>
      <c r="AH611" s="157">
        <v>41837</v>
      </c>
      <c r="AI611" s="157"/>
      <c r="AJ611" s="157"/>
      <c r="AK611" s="142"/>
      <c r="AL611" s="157"/>
      <c r="AM611" s="142">
        <v>90</v>
      </c>
      <c r="AN611" s="157"/>
      <c r="AO611" s="137"/>
      <c r="AP611" s="137"/>
      <c r="AQ611" s="137"/>
      <c r="AR611" s="137"/>
      <c r="AS611" s="137"/>
      <c r="AT611" s="137"/>
      <c r="AU611" s="137"/>
      <c r="AV611" s="137"/>
      <c r="AW611" s="137"/>
      <c r="AX611" s="137"/>
      <c r="AY611" s="137"/>
      <c r="AZ611" s="137"/>
      <c r="BA611" s="137"/>
      <c r="BB611" s="137"/>
      <c r="BC611" s="137"/>
      <c r="BD611" s="137"/>
      <c r="BE611" s="138"/>
      <c r="BF611" s="138"/>
      <c r="BG611" s="138"/>
      <c r="BH611" s="138"/>
      <c r="BI611" s="138"/>
      <c r="BJ611" s="138"/>
      <c r="BK611" s="138"/>
      <c r="BL611" s="138"/>
      <c r="BM611" s="138">
        <v>60.29</v>
      </c>
      <c r="BN611" s="157">
        <v>41837</v>
      </c>
      <c r="BO611" s="138"/>
      <c r="BP611" s="138"/>
      <c r="BQ611" s="138"/>
      <c r="BR611" s="138"/>
      <c r="BS611" s="138">
        <v>47.97</v>
      </c>
      <c r="BT611" s="157">
        <v>41837</v>
      </c>
      <c r="BU611" s="138">
        <v>39</v>
      </c>
      <c r="BV611" s="157">
        <v>41837</v>
      </c>
      <c r="BW611" s="138">
        <v>61</v>
      </c>
      <c r="BX611" s="157">
        <v>41837</v>
      </c>
      <c r="BY611" s="138"/>
      <c r="BZ611" s="138"/>
      <c r="CA611" s="138"/>
      <c r="CB611" s="138"/>
      <c r="CC611" s="138">
        <v>6.8</v>
      </c>
      <c r="CD611" s="157">
        <v>41837</v>
      </c>
      <c r="CE611" s="138"/>
      <c r="CF611" s="138"/>
      <c r="CG611" s="138"/>
      <c r="CH611" s="138"/>
      <c r="CI611" s="138"/>
      <c r="CJ611" s="138"/>
      <c r="CK611" s="138"/>
      <c r="CL611" s="138"/>
      <c r="CM611" s="138"/>
    </row>
    <row r="612" spans="1:91" s="196" customFormat="1">
      <c r="A612" s="189" t="s">
        <v>7652</v>
      </c>
      <c r="B612" s="190" t="s">
        <v>269</v>
      </c>
      <c r="C612" s="190">
        <v>3</v>
      </c>
      <c r="D612" s="190">
        <v>52</v>
      </c>
      <c r="E612" s="191">
        <v>35</v>
      </c>
      <c r="F612" s="191">
        <v>17</v>
      </c>
      <c r="G612" s="191"/>
      <c r="H612" s="191"/>
      <c r="I612" s="190"/>
      <c r="J612" s="190"/>
      <c r="K612" s="195"/>
      <c r="L612" s="193"/>
      <c r="M612" s="194">
        <v>2.41</v>
      </c>
      <c r="N612" s="193">
        <v>41837</v>
      </c>
      <c r="O612" s="137"/>
      <c r="P612" s="193"/>
      <c r="Q612" s="195"/>
      <c r="R612" s="194"/>
      <c r="S612" s="195">
        <v>6.93</v>
      </c>
      <c r="T612" s="193">
        <v>41837</v>
      </c>
      <c r="U612" s="192">
        <v>18</v>
      </c>
      <c r="V612" s="193"/>
      <c r="W612" s="195"/>
      <c r="X612" s="193"/>
      <c r="Y612" s="192">
        <f t="shared" si="9"/>
        <v>5.4190500000000013</v>
      </c>
      <c r="Z612" s="193">
        <v>41837</v>
      </c>
      <c r="AA612" s="195"/>
      <c r="AB612" s="193"/>
      <c r="AC612" s="195"/>
      <c r="AD612" s="193"/>
      <c r="AE612" s="195">
        <v>13.65</v>
      </c>
      <c r="AF612" s="193">
        <v>41837</v>
      </c>
      <c r="AG612" s="194">
        <v>4.8899999999999997</v>
      </c>
      <c r="AH612" s="193">
        <v>41837</v>
      </c>
      <c r="AI612" s="193"/>
      <c r="AJ612" s="193"/>
      <c r="AK612" s="195"/>
      <c r="AL612" s="193"/>
      <c r="AM612" s="195">
        <v>87</v>
      </c>
      <c r="AN612" s="193"/>
      <c r="AO612" s="195"/>
      <c r="AP612" s="195"/>
      <c r="AQ612" s="195"/>
      <c r="AR612" s="195"/>
      <c r="AS612" s="195"/>
      <c r="AT612" s="195"/>
      <c r="AU612" s="195"/>
      <c r="AV612" s="195"/>
      <c r="AW612" s="195"/>
      <c r="AX612" s="195"/>
      <c r="AY612" s="195"/>
      <c r="AZ612" s="195"/>
      <c r="BA612" s="195"/>
      <c r="BB612" s="195"/>
      <c r="BC612" s="195"/>
      <c r="BD612" s="195"/>
      <c r="BM612" s="196">
        <v>59.61</v>
      </c>
      <c r="BN612" s="193">
        <v>41837</v>
      </c>
      <c r="BS612" s="196">
        <v>50.78</v>
      </c>
      <c r="BT612" s="193">
        <v>41837</v>
      </c>
      <c r="BU612" s="196">
        <v>39.700000000000003</v>
      </c>
      <c r="BV612" s="193">
        <v>41837</v>
      </c>
      <c r="BW612" s="196">
        <v>49</v>
      </c>
      <c r="BX612" s="193">
        <v>41837</v>
      </c>
      <c r="CC612" s="196">
        <v>6.5</v>
      </c>
      <c r="CD612" s="193">
        <v>41837</v>
      </c>
    </row>
    <row r="613" spans="1:91" s="196" customFormat="1">
      <c r="A613" s="159" t="s">
        <v>7633</v>
      </c>
      <c r="B613" s="112" t="s">
        <v>269</v>
      </c>
      <c r="C613" s="112">
        <v>3</v>
      </c>
      <c r="D613" s="112">
        <v>70</v>
      </c>
      <c r="E613" s="113">
        <v>36</v>
      </c>
      <c r="F613" s="113">
        <v>17</v>
      </c>
      <c r="G613" s="113"/>
      <c r="H613" s="113"/>
      <c r="I613" s="112"/>
      <c r="J613" s="112"/>
      <c r="K613" s="137"/>
      <c r="L613" s="157"/>
      <c r="M613" s="185">
        <v>5.33</v>
      </c>
      <c r="N613" s="157">
        <v>41837</v>
      </c>
      <c r="O613" s="137"/>
      <c r="P613" s="157"/>
      <c r="Q613" s="137"/>
      <c r="R613" s="185"/>
      <c r="S613" s="137">
        <v>15.35</v>
      </c>
      <c r="T613" s="157">
        <v>41837</v>
      </c>
      <c r="U613" s="142">
        <v>18</v>
      </c>
      <c r="V613" s="157"/>
      <c r="W613" s="137"/>
      <c r="X613" s="157"/>
      <c r="Y613" s="142">
        <f t="shared" si="9"/>
        <v>11.167440000000001</v>
      </c>
      <c r="Z613" s="157">
        <v>41837</v>
      </c>
      <c r="AA613" s="137"/>
      <c r="AB613" s="157"/>
      <c r="AC613" s="137"/>
      <c r="AD613" s="157"/>
      <c r="AE613" s="137">
        <v>30.02</v>
      </c>
      <c r="AF613" s="157">
        <v>41837</v>
      </c>
      <c r="AG613" s="185">
        <v>4.83</v>
      </c>
      <c r="AH613" s="157">
        <v>41837</v>
      </c>
      <c r="AI613" s="157"/>
      <c r="AJ613" s="157"/>
      <c r="AK613" s="137"/>
      <c r="AL613" s="157"/>
      <c r="AM613" s="137">
        <v>92</v>
      </c>
      <c r="AN613" s="157"/>
      <c r="AO613" s="137"/>
      <c r="AP613" s="137"/>
      <c r="AQ613" s="137"/>
      <c r="AR613" s="137"/>
      <c r="AS613" s="137"/>
      <c r="AT613" s="137"/>
      <c r="AU613" s="137"/>
      <c r="AV613" s="137"/>
      <c r="AW613" s="137"/>
      <c r="AX613" s="137"/>
      <c r="AY613" s="137"/>
      <c r="AZ613" s="137"/>
      <c r="BA613" s="137"/>
      <c r="BB613" s="137"/>
      <c r="BC613" s="137"/>
      <c r="BD613" s="137"/>
      <c r="BE613" s="138"/>
      <c r="BF613" s="138"/>
      <c r="BG613" s="138"/>
      <c r="BH613" s="138"/>
      <c r="BI613" s="138"/>
      <c r="BJ613" s="138"/>
      <c r="BK613" s="138"/>
      <c r="BL613" s="138"/>
      <c r="BM613" s="138">
        <v>61.94</v>
      </c>
      <c r="BN613" s="157">
        <v>41837</v>
      </c>
      <c r="BO613" s="138"/>
      <c r="BP613" s="138"/>
      <c r="BQ613" s="138"/>
      <c r="BR613" s="138"/>
      <c r="BS613" s="138">
        <v>51.12</v>
      </c>
      <c r="BT613" s="157">
        <v>41837</v>
      </c>
      <c r="BU613" s="138">
        <v>37.200000000000003</v>
      </c>
      <c r="BV613" s="157">
        <v>41837</v>
      </c>
      <c r="BW613" s="138">
        <v>46.2</v>
      </c>
      <c r="BX613" s="157">
        <v>41837</v>
      </c>
      <c r="BY613" s="138"/>
      <c r="BZ613" s="138"/>
      <c r="CA613" s="138"/>
      <c r="CB613" s="138"/>
      <c r="CC613" s="138">
        <v>7</v>
      </c>
      <c r="CD613" s="157">
        <v>41837</v>
      </c>
      <c r="CE613" s="138"/>
      <c r="CF613" s="138"/>
      <c r="CG613" s="138"/>
      <c r="CH613" s="138"/>
      <c r="CI613" s="138"/>
      <c r="CJ613" s="138"/>
      <c r="CK613" s="138"/>
      <c r="CL613" s="138"/>
      <c r="CM613" s="138"/>
    </row>
    <row r="614" spans="1:91">
      <c r="A614" s="159" t="s">
        <v>7761</v>
      </c>
      <c r="B614" s="112" t="s">
        <v>269</v>
      </c>
      <c r="C614" s="112">
        <v>3</v>
      </c>
      <c r="D614" s="112">
        <v>190</v>
      </c>
      <c r="E614" s="113">
        <v>1</v>
      </c>
      <c r="F614" s="113">
        <v>18</v>
      </c>
      <c r="M614" s="185">
        <v>3.09</v>
      </c>
      <c r="N614" s="157">
        <v>41837</v>
      </c>
      <c r="R614" s="185"/>
      <c r="S614" s="137">
        <v>8.4499999999999993</v>
      </c>
      <c r="T614" s="157">
        <v>41837</v>
      </c>
      <c r="U614" s="142">
        <v>18</v>
      </c>
      <c r="Y614" s="142">
        <f t="shared" si="9"/>
        <v>6.2845900000000006</v>
      </c>
      <c r="Z614" s="157">
        <v>41837</v>
      </c>
      <c r="AE614" s="137">
        <v>16.670000000000002</v>
      </c>
      <c r="AF614" s="157">
        <v>41837</v>
      </c>
      <c r="AG614" s="185">
        <v>5.41</v>
      </c>
      <c r="AH614" s="157">
        <v>41837</v>
      </c>
      <c r="AM614" s="137">
        <v>87</v>
      </c>
      <c r="BM614" s="138">
        <v>62.52</v>
      </c>
      <c r="BN614" s="157">
        <v>41837</v>
      </c>
      <c r="BS614" s="138">
        <v>50.7</v>
      </c>
      <c r="BT614" s="157">
        <v>41837</v>
      </c>
      <c r="BU614" s="138">
        <v>37.700000000000003</v>
      </c>
      <c r="BV614" s="157">
        <v>41837</v>
      </c>
      <c r="BW614" s="138">
        <v>41.2</v>
      </c>
      <c r="BX614" s="157">
        <v>41837</v>
      </c>
      <c r="CC614" s="138">
        <v>10.9</v>
      </c>
      <c r="CD614" s="157">
        <v>41837</v>
      </c>
    </row>
    <row r="615" spans="1:91">
      <c r="A615" s="189" t="s">
        <v>7677</v>
      </c>
      <c r="B615" s="190" t="s">
        <v>269</v>
      </c>
      <c r="C615" s="190">
        <v>3</v>
      </c>
      <c r="D615" s="190">
        <v>131</v>
      </c>
      <c r="E615" s="191">
        <v>2</v>
      </c>
      <c r="F615" s="191">
        <v>18</v>
      </c>
      <c r="G615" s="191"/>
      <c r="H615" s="191"/>
      <c r="I615" s="190"/>
      <c r="J615" s="190"/>
      <c r="K615" s="195"/>
      <c r="L615" s="193"/>
      <c r="M615" s="194">
        <v>4.32</v>
      </c>
      <c r="N615" s="193">
        <v>41837</v>
      </c>
      <c r="P615" s="193"/>
      <c r="Q615" s="195"/>
      <c r="R615" s="194"/>
      <c r="S615" s="195">
        <v>12.08</v>
      </c>
      <c r="T615" s="193">
        <v>41837</v>
      </c>
      <c r="U615" s="192">
        <v>18</v>
      </c>
      <c r="V615" s="193"/>
      <c r="W615" s="195"/>
      <c r="X615" s="193"/>
      <c r="Y615" s="192">
        <f t="shared" si="9"/>
        <v>8.902709999999999</v>
      </c>
      <c r="Z615" s="193">
        <v>41837</v>
      </c>
      <c r="AA615" s="195"/>
      <c r="AB615" s="193"/>
      <c r="AC615" s="195"/>
      <c r="AD615" s="193"/>
      <c r="AE615" s="195">
        <v>23.49</v>
      </c>
      <c r="AF615" s="193">
        <v>41837</v>
      </c>
      <c r="AG615" s="194">
        <v>5.8</v>
      </c>
      <c r="AH615" s="193">
        <v>41837</v>
      </c>
      <c r="AI615" s="193"/>
      <c r="AJ615" s="193"/>
      <c r="AK615" s="195"/>
      <c r="AL615" s="193"/>
      <c r="AM615" s="195">
        <v>90</v>
      </c>
      <c r="AN615" s="193"/>
      <c r="AO615" s="195"/>
      <c r="AP615" s="195"/>
      <c r="AQ615" s="195"/>
      <c r="AR615" s="195"/>
      <c r="AS615" s="195"/>
      <c r="AT615" s="195"/>
      <c r="AU615" s="195"/>
      <c r="AV615" s="195"/>
      <c r="AW615" s="195"/>
      <c r="AX615" s="195"/>
      <c r="AY615" s="195"/>
      <c r="AZ615" s="195"/>
      <c r="BA615" s="195"/>
      <c r="BB615" s="195"/>
      <c r="BC615" s="195"/>
      <c r="BD615" s="195"/>
      <c r="BE615" s="196"/>
      <c r="BF615" s="196"/>
      <c r="BG615" s="196"/>
      <c r="BH615" s="196"/>
      <c r="BI615" s="196"/>
      <c r="BJ615" s="196"/>
      <c r="BK615" s="196"/>
      <c r="BL615" s="196"/>
      <c r="BM615" s="196">
        <v>59.44</v>
      </c>
      <c r="BN615" s="193">
        <v>41837</v>
      </c>
      <c r="BO615" s="196"/>
      <c r="BP615" s="196"/>
      <c r="BQ615" s="196"/>
      <c r="BR615" s="196"/>
      <c r="BS615" s="196">
        <v>51.42</v>
      </c>
      <c r="BT615" s="193">
        <v>41837</v>
      </c>
      <c r="BU615" s="196">
        <v>37.9</v>
      </c>
      <c r="BV615" s="193">
        <v>41837</v>
      </c>
      <c r="BW615" s="196">
        <v>18</v>
      </c>
      <c r="BX615" s="193">
        <v>41837</v>
      </c>
      <c r="BY615" s="196"/>
      <c r="BZ615" s="196"/>
      <c r="CA615" s="196"/>
      <c r="CB615" s="196"/>
      <c r="CC615" s="196">
        <v>10.199999999999999</v>
      </c>
      <c r="CD615" s="193">
        <v>41837</v>
      </c>
      <c r="CE615" s="196"/>
      <c r="CF615" s="196"/>
      <c r="CG615" s="196"/>
      <c r="CH615" s="196"/>
      <c r="CI615" s="196"/>
      <c r="CJ615" s="196"/>
      <c r="CK615" s="196"/>
      <c r="CL615" s="196"/>
      <c r="CM615" s="196"/>
    </row>
    <row r="616" spans="1:91">
      <c r="A616" s="159" t="s">
        <v>7795</v>
      </c>
      <c r="B616" s="112" t="s">
        <v>269</v>
      </c>
      <c r="C616" s="112">
        <v>3</v>
      </c>
      <c r="D616" s="112">
        <v>113</v>
      </c>
      <c r="E616" s="113">
        <v>3</v>
      </c>
      <c r="F616" s="113">
        <v>18</v>
      </c>
      <c r="M616" s="185">
        <v>6.61</v>
      </c>
      <c r="N616" s="157">
        <v>41837</v>
      </c>
      <c r="R616" s="185"/>
      <c r="S616" s="137">
        <v>18.739999999999998</v>
      </c>
      <c r="T616" s="157">
        <v>41837</v>
      </c>
      <c r="U616" s="142">
        <v>18</v>
      </c>
      <c r="Y616" s="142">
        <f t="shared" si="9"/>
        <v>12.866519999999998</v>
      </c>
      <c r="Z616" s="157">
        <v>41837</v>
      </c>
      <c r="AE616" s="137">
        <v>35.94</v>
      </c>
      <c r="AF616" s="157">
        <v>41837</v>
      </c>
      <c r="AG616" s="185">
        <v>5.49</v>
      </c>
      <c r="AH616" s="157">
        <v>41837</v>
      </c>
      <c r="AM616" s="137">
        <v>90</v>
      </c>
      <c r="BM616" s="138">
        <v>59.63</v>
      </c>
      <c r="BN616" s="157">
        <v>41837</v>
      </c>
      <c r="BS616" s="138">
        <v>52.15</v>
      </c>
      <c r="BT616" s="157">
        <v>41837</v>
      </c>
      <c r="BU616" s="138">
        <v>35.799999999999997</v>
      </c>
      <c r="BV616" s="157">
        <v>41837</v>
      </c>
      <c r="BW616" s="138">
        <v>10.9</v>
      </c>
      <c r="BX616" s="157">
        <v>41837</v>
      </c>
      <c r="CC616" s="138">
        <v>10.199999999999999</v>
      </c>
      <c r="CD616" s="157">
        <v>41837</v>
      </c>
    </row>
    <row r="617" spans="1:91">
      <c r="A617" s="159" t="s">
        <v>7665</v>
      </c>
      <c r="B617" s="112" t="s">
        <v>269</v>
      </c>
      <c r="C617" s="112">
        <v>3</v>
      </c>
      <c r="D617" s="112">
        <v>53</v>
      </c>
      <c r="E617" s="113">
        <v>4</v>
      </c>
      <c r="F617" s="113">
        <v>18</v>
      </c>
      <c r="M617" s="185">
        <v>6.17</v>
      </c>
      <c r="N617" s="157">
        <v>41837</v>
      </c>
      <c r="R617" s="185"/>
      <c r="S617" s="137">
        <v>17.149999999999999</v>
      </c>
      <c r="T617" s="157">
        <v>41837</v>
      </c>
      <c r="U617" s="142">
        <v>18</v>
      </c>
      <c r="Y617" s="142">
        <f t="shared" si="9"/>
        <v>11.8512</v>
      </c>
      <c r="Z617" s="157">
        <v>41837</v>
      </c>
      <c r="AE617" s="137">
        <v>32.92</v>
      </c>
      <c r="AF617" s="157">
        <v>41837</v>
      </c>
      <c r="AG617" s="185">
        <v>5.04</v>
      </c>
      <c r="AH617" s="157">
        <v>41837</v>
      </c>
      <c r="AM617" s="137">
        <v>96</v>
      </c>
      <c r="BM617" s="138">
        <v>59.86</v>
      </c>
      <c r="BN617" s="157">
        <v>41837</v>
      </c>
      <c r="BS617" s="138">
        <v>52.11</v>
      </c>
      <c r="BT617" s="157">
        <v>41837</v>
      </c>
      <c r="BU617" s="138">
        <v>36</v>
      </c>
      <c r="BV617" s="157">
        <v>41837</v>
      </c>
      <c r="BW617" s="138">
        <v>13</v>
      </c>
      <c r="BX617" s="157">
        <v>41837</v>
      </c>
      <c r="CC617" s="138">
        <v>11.9</v>
      </c>
      <c r="CD617" s="157">
        <v>41837</v>
      </c>
    </row>
    <row r="618" spans="1:91">
      <c r="A618" s="159" t="s">
        <v>7704</v>
      </c>
      <c r="B618" s="112" t="s">
        <v>269</v>
      </c>
      <c r="C618" s="112">
        <v>3</v>
      </c>
      <c r="D618" s="112">
        <v>183</v>
      </c>
      <c r="E618" s="113">
        <v>5</v>
      </c>
      <c r="F618" s="113">
        <v>18</v>
      </c>
      <c r="M618" s="185">
        <v>5.1100000000000003</v>
      </c>
      <c r="N618" s="157">
        <v>41837</v>
      </c>
      <c r="R618" s="185"/>
      <c r="S618" s="137">
        <v>13.76</v>
      </c>
      <c r="T618" s="157">
        <v>41837</v>
      </c>
      <c r="U618" s="142">
        <v>18</v>
      </c>
      <c r="Y618" s="142">
        <f t="shared" si="9"/>
        <v>10.524839999999999</v>
      </c>
      <c r="Z618" s="157">
        <v>41837</v>
      </c>
      <c r="AE618" s="137">
        <v>27.48</v>
      </c>
      <c r="AF618" s="157">
        <v>41837</v>
      </c>
      <c r="AG618" s="185">
        <v>4.37</v>
      </c>
      <c r="AH618" s="157">
        <v>41837</v>
      </c>
      <c r="AM618" s="137">
        <v>92</v>
      </c>
      <c r="BM618" s="138">
        <v>60.87</v>
      </c>
      <c r="BN618" s="157">
        <v>41837</v>
      </c>
      <c r="BS618" s="138">
        <v>50.07</v>
      </c>
      <c r="BT618" s="157">
        <v>41837</v>
      </c>
      <c r="BU618" s="138">
        <v>38.299999999999997</v>
      </c>
      <c r="BV618" s="157">
        <v>41837</v>
      </c>
      <c r="BW618" s="138">
        <v>24.4</v>
      </c>
      <c r="BX618" s="157">
        <v>41837</v>
      </c>
      <c r="CC618" s="138">
        <v>11.2</v>
      </c>
      <c r="CD618" s="157">
        <v>41837</v>
      </c>
    </row>
    <row r="619" spans="1:91">
      <c r="A619" s="189" t="s">
        <v>7775</v>
      </c>
      <c r="B619" s="190" t="s">
        <v>269</v>
      </c>
      <c r="C619" s="190">
        <v>3</v>
      </c>
      <c r="D619" s="190">
        <v>30</v>
      </c>
      <c r="E619" s="191">
        <v>6</v>
      </c>
      <c r="F619" s="191">
        <v>18</v>
      </c>
      <c r="G619" s="191"/>
      <c r="H619" s="191"/>
      <c r="I619" s="190"/>
      <c r="J619" s="190"/>
      <c r="K619" s="195"/>
      <c r="L619" s="193"/>
      <c r="M619" s="194">
        <v>6.44</v>
      </c>
      <c r="N619" s="193">
        <v>41837</v>
      </c>
      <c r="P619" s="193"/>
      <c r="Q619" s="195"/>
      <c r="R619" s="194"/>
      <c r="S619" s="195">
        <v>17.86</v>
      </c>
      <c r="T619" s="193">
        <v>41837</v>
      </c>
      <c r="U619" s="192">
        <v>18</v>
      </c>
      <c r="V619" s="193"/>
      <c r="W619" s="195"/>
      <c r="X619" s="193"/>
      <c r="Y619" s="192">
        <f t="shared" si="9"/>
        <v>13.397339999999996</v>
      </c>
      <c r="Z619" s="193">
        <v>41837</v>
      </c>
      <c r="AA619" s="195"/>
      <c r="AB619" s="193"/>
      <c r="AC619" s="195"/>
      <c r="AD619" s="193"/>
      <c r="AE619" s="195">
        <v>34.979999999999997</v>
      </c>
      <c r="AF619" s="193">
        <v>41837</v>
      </c>
      <c r="AG619" s="194">
        <v>5.71</v>
      </c>
      <c r="AH619" s="193">
        <v>41837</v>
      </c>
      <c r="AI619" s="193"/>
      <c r="AJ619" s="193"/>
      <c r="AK619" s="195"/>
      <c r="AL619" s="193"/>
      <c r="AM619" s="195">
        <v>92</v>
      </c>
      <c r="AN619" s="193"/>
      <c r="AO619" s="195"/>
      <c r="AP619" s="195"/>
      <c r="AQ619" s="195"/>
      <c r="AR619" s="195"/>
      <c r="AS619" s="195"/>
      <c r="AT619" s="195"/>
      <c r="AU619" s="195"/>
      <c r="AV619" s="195"/>
      <c r="AW619" s="195"/>
      <c r="AX619" s="195"/>
      <c r="AY619" s="195"/>
      <c r="AZ619" s="195"/>
      <c r="BA619" s="195"/>
      <c r="BB619" s="195"/>
      <c r="BC619" s="195"/>
      <c r="BD619" s="195"/>
      <c r="BE619" s="196"/>
      <c r="BF619" s="196"/>
      <c r="BG619" s="196"/>
      <c r="BH619" s="196"/>
      <c r="BI619" s="196"/>
      <c r="BJ619" s="196"/>
      <c r="BK619" s="196"/>
      <c r="BL619" s="196"/>
      <c r="BM619" s="196">
        <v>57.35</v>
      </c>
      <c r="BN619" s="193">
        <v>41837</v>
      </c>
      <c r="BO619" s="196"/>
      <c r="BP619" s="196"/>
      <c r="BQ619" s="196"/>
      <c r="BR619" s="196"/>
      <c r="BS619" s="196">
        <v>51.06</v>
      </c>
      <c r="BT619" s="193">
        <v>41837</v>
      </c>
      <c r="BU619" s="196">
        <v>38.299999999999997</v>
      </c>
      <c r="BV619" s="193">
        <v>41837</v>
      </c>
      <c r="BW619" s="196">
        <v>11.6</v>
      </c>
      <c r="BX619" s="193">
        <v>41837</v>
      </c>
      <c r="BY619" s="196"/>
      <c r="BZ619" s="196"/>
      <c r="CA619" s="196"/>
      <c r="CB619" s="196"/>
      <c r="CC619" s="196">
        <v>10.3</v>
      </c>
      <c r="CD619" s="193">
        <v>41837</v>
      </c>
      <c r="CE619" s="196"/>
      <c r="CF619" s="196"/>
      <c r="CG619" s="196"/>
      <c r="CH619" s="196"/>
      <c r="CI619" s="196"/>
      <c r="CJ619" s="196"/>
      <c r="CK619" s="196"/>
      <c r="CL619" s="196"/>
      <c r="CM619" s="196"/>
    </row>
    <row r="620" spans="1:91">
      <c r="A620" s="189" t="s">
        <v>7617</v>
      </c>
      <c r="B620" s="190" t="s">
        <v>269</v>
      </c>
      <c r="C620" s="190">
        <v>3</v>
      </c>
      <c r="D620" s="190">
        <v>14</v>
      </c>
      <c r="E620" s="191">
        <v>7</v>
      </c>
      <c r="F620" s="191">
        <v>18</v>
      </c>
      <c r="G620" s="191"/>
      <c r="H620" s="191"/>
      <c r="I620" s="201"/>
      <c r="J620" s="190"/>
      <c r="K620" s="192"/>
      <c r="L620" s="193"/>
      <c r="M620" s="194">
        <v>3.12</v>
      </c>
      <c r="N620" s="193">
        <v>41837</v>
      </c>
      <c r="P620" s="193"/>
      <c r="Q620" s="192"/>
      <c r="R620" s="194"/>
      <c r="S620" s="192">
        <v>8.56</v>
      </c>
      <c r="T620" s="193">
        <v>41837</v>
      </c>
      <c r="U620" s="192">
        <v>18</v>
      </c>
      <c r="V620" s="193"/>
      <c r="W620" s="192"/>
      <c r="X620" s="193"/>
      <c r="Y620" s="192">
        <f t="shared" si="9"/>
        <v>7.284559999999999</v>
      </c>
      <c r="Z620" s="193">
        <v>41837</v>
      </c>
      <c r="AA620" s="192"/>
      <c r="AB620" s="193"/>
      <c r="AC620" s="195"/>
      <c r="AD620" s="193"/>
      <c r="AE620" s="192">
        <v>17.02</v>
      </c>
      <c r="AF620" s="193">
        <v>41837</v>
      </c>
      <c r="AG620" s="194">
        <v>6.88</v>
      </c>
      <c r="AH620" s="193">
        <v>41837</v>
      </c>
      <c r="AI620" s="193"/>
      <c r="AJ620" s="193"/>
      <c r="AK620" s="192"/>
      <c r="AL620" s="193"/>
      <c r="AM620" s="192">
        <v>80</v>
      </c>
      <c r="AN620" s="193"/>
      <c r="AO620" s="195"/>
      <c r="AP620" s="195"/>
      <c r="AQ620" s="195"/>
      <c r="AR620" s="195"/>
      <c r="AS620" s="195"/>
      <c r="AT620" s="195"/>
      <c r="AU620" s="195"/>
      <c r="AV620" s="195"/>
      <c r="AW620" s="195"/>
      <c r="AX620" s="195"/>
      <c r="AY620" s="195"/>
      <c r="AZ620" s="195"/>
      <c r="BA620" s="195"/>
      <c r="BB620" s="195"/>
      <c r="BC620" s="195"/>
      <c r="BD620" s="195"/>
      <c r="BE620" s="196"/>
      <c r="BF620" s="196"/>
      <c r="BG620" s="196"/>
      <c r="BH620" s="196"/>
      <c r="BI620" s="196"/>
      <c r="BJ620" s="196"/>
      <c r="BK620" s="196"/>
      <c r="BL620" s="196"/>
      <c r="BM620" s="196">
        <v>62.19</v>
      </c>
      <c r="BN620" s="193">
        <v>41837</v>
      </c>
      <c r="BO620" s="196"/>
      <c r="BP620" s="196"/>
      <c r="BQ620" s="196"/>
      <c r="BR620" s="196"/>
      <c r="BS620" s="196">
        <v>50.3</v>
      </c>
      <c r="BT620" s="193">
        <v>41837</v>
      </c>
      <c r="BU620" s="196">
        <v>42.8</v>
      </c>
      <c r="BV620" s="193">
        <v>41837</v>
      </c>
      <c r="BW620" s="196">
        <v>59.4</v>
      </c>
      <c r="BX620" s="193">
        <v>41837</v>
      </c>
      <c r="BY620" s="196"/>
      <c r="BZ620" s="196"/>
      <c r="CA620" s="196"/>
      <c r="CB620" s="196"/>
      <c r="CC620" s="196">
        <v>9.9</v>
      </c>
      <c r="CD620" s="193">
        <v>41837</v>
      </c>
      <c r="CE620" s="196"/>
      <c r="CF620" s="196"/>
      <c r="CG620" s="196"/>
      <c r="CH620" s="196"/>
      <c r="CI620" s="196"/>
      <c r="CJ620" s="196"/>
      <c r="CK620" s="196"/>
      <c r="CL620" s="196"/>
      <c r="CM620" s="196"/>
    </row>
    <row r="621" spans="1:91">
      <c r="A621" s="159" t="s">
        <v>7643</v>
      </c>
      <c r="B621" s="112" t="s">
        <v>269</v>
      </c>
      <c r="C621" s="112">
        <v>3</v>
      </c>
      <c r="D621" s="112">
        <v>203</v>
      </c>
      <c r="E621" s="113">
        <v>8</v>
      </c>
      <c r="F621" s="113">
        <v>18</v>
      </c>
      <c r="M621" s="185">
        <v>5.37</v>
      </c>
      <c r="N621" s="157">
        <v>41837</v>
      </c>
      <c r="R621" s="185"/>
      <c r="S621" s="137">
        <v>14</v>
      </c>
      <c r="T621" s="157">
        <v>41837</v>
      </c>
      <c r="U621" s="142">
        <v>18</v>
      </c>
      <c r="Y621" s="142">
        <f t="shared" si="9"/>
        <v>11.277180000000001</v>
      </c>
      <c r="Z621" s="157">
        <v>41837</v>
      </c>
      <c r="AE621" s="137">
        <v>29.14</v>
      </c>
      <c r="AF621" s="157">
        <v>41837</v>
      </c>
      <c r="AG621" s="185">
        <v>4.5</v>
      </c>
      <c r="AH621" s="157">
        <v>41837</v>
      </c>
      <c r="AM621" s="137">
        <v>92</v>
      </c>
      <c r="BM621" s="138">
        <v>59.34</v>
      </c>
      <c r="BN621" s="157">
        <v>41837</v>
      </c>
      <c r="BS621" s="138">
        <v>48.03</v>
      </c>
      <c r="BT621" s="157">
        <v>41837</v>
      </c>
      <c r="BU621" s="138">
        <v>38.700000000000003</v>
      </c>
      <c r="BV621" s="157">
        <v>41837</v>
      </c>
      <c r="BW621" s="138">
        <v>62.7</v>
      </c>
      <c r="BX621" s="157">
        <v>41837</v>
      </c>
      <c r="CC621" s="138">
        <v>10.4</v>
      </c>
      <c r="CD621" s="157">
        <v>41837</v>
      </c>
    </row>
    <row r="622" spans="1:91">
      <c r="A622" s="159" t="s">
        <v>7723</v>
      </c>
      <c r="B622" s="112" t="s">
        <v>269</v>
      </c>
      <c r="C622" s="112">
        <v>3</v>
      </c>
      <c r="D622" s="112">
        <v>132</v>
      </c>
      <c r="E622" s="113">
        <v>9</v>
      </c>
      <c r="F622" s="113">
        <v>18</v>
      </c>
      <c r="M622" s="185">
        <v>5.77</v>
      </c>
      <c r="N622" s="157">
        <v>41837</v>
      </c>
      <c r="R622" s="185"/>
      <c r="S622" s="137">
        <v>16.47</v>
      </c>
      <c r="T622" s="157">
        <v>41837</v>
      </c>
      <c r="U622" s="142">
        <v>18</v>
      </c>
      <c r="Y622" s="142">
        <f t="shared" si="9"/>
        <v>11.810160000000002</v>
      </c>
      <c r="Z622" s="157">
        <v>41837</v>
      </c>
      <c r="AE622" s="137">
        <v>31.41</v>
      </c>
      <c r="AF622" s="157">
        <v>41837</v>
      </c>
      <c r="AG622" s="185">
        <v>5.2</v>
      </c>
      <c r="AH622" s="157">
        <v>41837</v>
      </c>
      <c r="AM622" s="137">
        <v>83</v>
      </c>
      <c r="BM622" s="138">
        <v>62.95</v>
      </c>
      <c r="BN622" s="157">
        <v>41837</v>
      </c>
      <c r="BS622" s="138">
        <v>52.45</v>
      </c>
      <c r="BT622" s="157">
        <v>41837</v>
      </c>
      <c r="BU622" s="138">
        <v>37.6</v>
      </c>
      <c r="BV622" s="157">
        <v>41837</v>
      </c>
      <c r="BW622" s="138">
        <v>13.5</v>
      </c>
      <c r="BX622" s="157">
        <v>41837</v>
      </c>
      <c r="CC622" s="138">
        <v>10.1</v>
      </c>
      <c r="CD622" s="157">
        <v>41837</v>
      </c>
    </row>
    <row r="623" spans="1:91">
      <c r="A623" s="159" t="s">
        <v>7657</v>
      </c>
      <c r="B623" s="112" t="s">
        <v>269</v>
      </c>
      <c r="C623" s="112">
        <v>3</v>
      </c>
      <c r="D623" s="112">
        <v>148</v>
      </c>
      <c r="E623" s="113">
        <v>10</v>
      </c>
      <c r="F623" s="113">
        <v>18</v>
      </c>
      <c r="M623" s="185">
        <v>2.4300000000000002</v>
      </c>
      <c r="N623" s="157">
        <v>41837</v>
      </c>
      <c r="R623" s="185"/>
      <c r="S623" s="137">
        <v>6.67</v>
      </c>
      <c r="T623" s="157">
        <v>41837</v>
      </c>
      <c r="U623" s="142">
        <v>18</v>
      </c>
      <c r="Y623" s="142">
        <f t="shared" si="9"/>
        <v>5.1936499999999999</v>
      </c>
      <c r="Z623" s="157">
        <v>41837</v>
      </c>
      <c r="AE623" s="137">
        <v>13.49</v>
      </c>
      <c r="AF623" s="157">
        <v>41837</v>
      </c>
      <c r="AG623" s="185">
        <v>4.57</v>
      </c>
      <c r="AH623" s="157">
        <v>41837</v>
      </c>
      <c r="AM623" s="137">
        <v>83</v>
      </c>
      <c r="BM623" s="138">
        <v>59.5</v>
      </c>
      <c r="BN623" s="157">
        <v>41837</v>
      </c>
      <c r="BS623" s="138">
        <v>49.43</v>
      </c>
      <c r="BT623" s="157">
        <v>41837</v>
      </c>
      <c r="BU623" s="138">
        <v>38.5</v>
      </c>
      <c r="BV623" s="157">
        <v>41837</v>
      </c>
      <c r="BW623" s="138">
        <v>47.8</v>
      </c>
      <c r="BX623" s="157">
        <v>41837</v>
      </c>
      <c r="CC623" s="138">
        <v>8.3000000000000007</v>
      </c>
      <c r="CD623" s="157">
        <v>41837</v>
      </c>
    </row>
    <row r="624" spans="1:91">
      <c r="A624" s="159" t="s">
        <v>7622</v>
      </c>
      <c r="B624" s="112" t="s">
        <v>269</v>
      </c>
      <c r="C624" s="112">
        <v>3</v>
      </c>
      <c r="D624" s="112">
        <v>55</v>
      </c>
      <c r="E624" s="113">
        <v>11</v>
      </c>
      <c r="F624" s="113">
        <v>18</v>
      </c>
      <c r="M624" s="185">
        <v>3.42</v>
      </c>
      <c r="N624" s="157">
        <v>41837</v>
      </c>
      <c r="R624" s="185"/>
      <c r="S624" s="137">
        <v>9.58</v>
      </c>
      <c r="T624" s="157">
        <v>41837</v>
      </c>
      <c r="U624" s="142">
        <v>18</v>
      </c>
      <c r="Y624" s="142">
        <f t="shared" si="9"/>
        <v>8.0537500000000009</v>
      </c>
      <c r="Z624" s="157">
        <v>41837</v>
      </c>
      <c r="AE624" s="137">
        <v>18.95</v>
      </c>
      <c r="AF624" s="157">
        <v>41837</v>
      </c>
      <c r="AG624" s="185">
        <v>5.25</v>
      </c>
      <c r="AH624" s="157">
        <v>41837</v>
      </c>
      <c r="AM624" s="137">
        <v>87</v>
      </c>
      <c r="BM624" s="138">
        <v>64.33</v>
      </c>
      <c r="BN624" s="157">
        <v>41837</v>
      </c>
      <c r="BS624" s="138">
        <v>50.53</v>
      </c>
      <c r="BT624" s="157">
        <v>41837</v>
      </c>
      <c r="BU624" s="138">
        <v>42.5</v>
      </c>
      <c r="BV624" s="157">
        <v>41837</v>
      </c>
      <c r="BW624" s="138">
        <v>57.7</v>
      </c>
      <c r="BX624" s="157">
        <v>41837</v>
      </c>
      <c r="CC624" s="138">
        <v>8.5</v>
      </c>
      <c r="CD624" s="157">
        <v>41837</v>
      </c>
    </row>
    <row r="625" spans="1:91">
      <c r="A625" s="159" t="s">
        <v>7637</v>
      </c>
      <c r="B625" s="112" t="s">
        <v>269</v>
      </c>
      <c r="C625" s="112">
        <v>3</v>
      </c>
      <c r="D625" s="112">
        <v>169</v>
      </c>
      <c r="E625" s="113">
        <v>12</v>
      </c>
      <c r="F625" s="113">
        <v>18</v>
      </c>
      <c r="M625" s="185">
        <v>3.48</v>
      </c>
      <c r="N625" s="157">
        <v>41837</v>
      </c>
      <c r="R625" s="185"/>
      <c r="S625" s="137">
        <v>9.14</v>
      </c>
      <c r="T625" s="157">
        <v>41837</v>
      </c>
      <c r="U625" s="142">
        <v>18</v>
      </c>
      <c r="Y625" s="142">
        <f t="shared" si="9"/>
        <v>7.6719599999999994</v>
      </c>
      <c r="Z625" s="157">
        <v>41837</v>
      </c>
      <c r="AE625" s="137">
        <v>18.989999999999998</v>
      </c>
      <c r="AF625" s="157">
        <v>41837</v>
      </c>
      <c r="AG625" s="185">
        <v>5.62</v>
      </c>
      <c r="AH625" s="157">
        <v>41837</v>
      </c>
      <c r="AM625" s="137">
        <v>96</v>
      </c>
      <c r="BM625" s="138">
        <v>62.78</v>
      </c>
      <c r="BN625" s="157">
        <v>41837</v>
      </c>
      <c r="BS625" s="138">
        <v>48.15</v>
      </c>
      <c r="BT625" s="157">
        <v>41837</v>
      </c>
      <c r="BU625" s="138">
        <v>40.4</v>
      </c>
      <c r="BV625" s="157">
        <v>41837</v>
      </c>
      <c r="BW625" s="138">
        <v>51.7</v>
      </c>
      <c r="BX625" s="157">
        <v>41837</v>
      </c>
      <c r="CC625" s="138">
        <v>9.9</v>
      </c>
      <c r="CD625" s="157">
        <v>41837</v>
      </c>
    </row>
    <row r="626" spans="1:91">
      <c r="A626" s="159" t="s">
        <v>7742</v>
      </c>
      <c r="B626" s="112" t="s">
        <v>269</v>
      </c>
      <c r="C626" s="112">
        <v>3</v>
      </c>
      <c r="D626" s="112">
        <v>108</v>
      </c>
      <c r="E626" s="113">
        <v>13</v>
      </c>
      <c r="F626" s="113">
        <v>18</v>
      </c>
      <c r="M626" s="185">
        <v>3.66</v>
      </c>
      <c r="N626" s="157">
        <v>41837</v>
      </c>
      <c r="R626" s="185"/>
      <c r="S626" s="137">
        <v>9.6199999999999992</v>
      </c>
      <c r="T626" s="157">
        <v>41837</v>
      </c>
      <c r="U626" s="142">
        <v>18</v>
      </c>
      <c r="Y626" s="142">
        <f t="shared" si="9"/>
        <v>7.6285400000000001</v>
      </c>
      <c r="Z626" s="157">
        <v>41837</v>
      </c>
      <c r="AE626" s="137">
        <v>19.97</v>
      </c>
      <c r="AF626" s="157">
        <v>41837</v>
      </c>
      <c r="AG626" s="185">
        <v>5.49</v>
      </c>
      <c r="AH626" s="157">
        <v>41837</v>
      </c>
      <c r="AM626" s="137">
        <v>96</v>
      </c>
      <c r="BM626" s="138">
        <v>63.82</v>
      </c>
      <c r="BN626" s="157">
        <v>41837</v>
      </c>
      <c r="BS626" s="138">
        <v>48.15</v>
      </c>
      <c r="BT626" s="157">
        <v>41837</v>
      </c>
      <c r="BU626" s="138">
        <v>38.200000000000003</v>
      </c>
      <c r="BV626" s="157">
        <v>41837</v>
      </c>
      <c r="BW626" s="138">
        <v>48.7</v>
      </c>
      <c r="BX626" s="157">
        <v>41837</v>
      </c>
      <c r="CC626" s="138">
        <v>9.9</v>
      </c>
      <c r="CD626" s="157">
        <v>41837</v>
      </c>
    </row>
    <row r="627" spans="1:91">
      <c r="A627" s="159" t="s">
        <v>7793</v>
      </c>
      <c r="B627" s="112" t="s">
        <v>269</v>
      </c>
      <c r="C627" s="112">
        <v>3</v>
      </c>
      <c r="D627" s="112">
        <v>25</v>
      </c>
      <c r="E627" s="113">
        <v>14</v>
      </c>
      <c r="F627" s="113">
        <v>18</v>
      </c>
      <c r="M627" s="185">
        <v>7.7</v>
      </c>
      <c r="N627" s="157">
        <v>41837</v>
      </c>
      <c r="R627" s="185"/>
      <c r="S627" s="137">
        <v>22.04</v>
      </c>
      <c r="T627" s="157">
        <v>41837</v>
      </c>
      <c r="U627" s="142">
        <v>18</v>
      </c>
      <c r="Y627" s="142">
        <f t="shared" si="9"/>
        <v>16.304309999999997</v>
      </c>
      <c r="Z627" s="157">
        <v>41837</v>
      </c>
      <c r="AE627" s="137">
        <v>42.57</v>
      </c>
      <c r="AF627" s="157">
        <v>41837</v>
      </c>
      <c r="AG627" s="185">
        <v>5.58</v>
      </c>
      <c r="AH627" s="157">
        <v>41837</v>
      </c>
      <c r="AM627" s="137">
        <v>87</v>
      </c>
      <c r="BM627" s="138">
        <v>60.72</v>
      </c>
      <c r="BN627" s="157">
        <v>41837</v>
      </c>
      <c r="BS627" s="138">
        <v>51.78</v>
      </c>
      <c r="BT627" s="157">
        <v>41837</v>
      </c>
      <c r="BU627" s="138">
        <v>38.299999999999997</v>
      </c>
      <c r="BV627" s="157">
        <v>41837</v>
      </c>
      <c r="BW627" s="138">
        <v>13.5</v>
      </c>
      <c r="BX627" s="157">
        <v>41837</v>
      </c>
      <c r="CC627" s="138">
        <v>8.6999999999999993</v>
      </c>
      <c r="CD627" s="157">
        <v>41837</v>
      </c>
    </row>
    <row r="628" spans="1:91">
      <c r="A628" s="189" t="s">
        <v>7731</v>
      </c>
      <c r="B628" s="190" t="s">
        <v>269</v>
      </c>
      <c r="C628" s="190">
        <v>3</v>
      </c>
      <c r="D628" s="190">
        <v>137</v>
      </c>
      <c r="E628" s="191">
        <v>15</v>
      </c>
      <c r="F628" s="191">
        <v>18</v>
      </c>
      <c r="G628" s="191"/>
      <c r="H628" s="191"/>
      <c r="I628" s="190"/>
      <c r="J628" s="190"/>
      <c r="K628" s="195"/>
      <c r="L628" s="193"/>
      <c r="M628" s="194">
        <v>5</v>
      </c>
      <c r="N628" s="193">
        <v>41837</v>
      </c>
      <c r="P628" s="193"/>
      <c r="Q628" s="195"/>
      <c r="R628" s="194"/>
      <c r="S628" s="195">
        <v>13.89</v>
      </c>
      <c r="T628" s="193">
        <v>41837</v>
      </c>
      <c r="U628" s="192">
        <v>18</v>
      </c>
      <c r="V628" s="193"/>
      <c r="W628" s="195"/>
      <c r="X628" s="193"/>
      <c r="Y628" s="192">
        <f t="shared" si="9"/>
        <v>10.858400000000001</v>
      </c>
      <c r="Z628" s="193">
        <v>41837</v>
      </c>
      <c r="AA628" s="195"/>
      <c r="AB628" s="193"/>
      <c r="AC628" s="195"/>
      <c r="AD628" s="193"/>
      <c r="AE628" s="195">
        <v>27.7</v>
      </c>
      <c r="AF628" s="193">
        <v>41837</v>
      </c>
      <c r="AG628" s="194">
        <v>4.68</v>
      </c>
      <c r="AH628" s="193">
        <v>41837</v>
      </c>
      <c r="AI628" s="193"/>
      <c r="AJ628" s="193"/>
      <c r="AK628" s="195"/>
      <c r="AL628" s="193"/>
      <c r="AM628" s="195">
        <v>94</v>
      </c>
      <c r="AN628" s="193"/>
      <c r="AO628" s="195"/>
      <c r="AP628" s="195"/>
      <c r="AQ628" s="195"/>
      <c r="AR628" s="195"/>
      <c r="AS628" s="195"/>
      <c r="AT628" s="195"/>
      <c r="AU628" s="195"/>
      <c r="AV628" s="195"/>
      <c r="AW628" s="195"/>
      <c r="AX628" s="195"/>
      <c r="AY628" s="195"/>
      <c r="AZ628" s="195"/>
      <c r="BA628" s="195"/>
      <c r="BB628" s="195"/>
      <c r="BC628" s="195"/>
      <c r="BD628" s="195"/>
      <c r="BE628" s="196"/>
      <c r="BF628" s="196"/>
      <c r="BG628" s="196"/>
      <c r="BH628" s="196"/>
      <c r="BI628" s="196"/>
      <c r="BJ628" s="196"/>
      <c r="BK628" s="196"/>
      <c r="BL628" s="196"/>
      <c r="BM628" s="196">
        <v>59.67</v>
      </c>
      <c r="BN628" s="193">
        <v>41837</v>
      </c>
      <c r="BO628" s="196"/>
      <c r="BP628" s="196"/>
      <c r="BQ628" s="196"/>
      <c r="BR628" s="196"/>
      <c r="BS628" s="196">
        <v>50.13</v>
      </c>
      <c r="BT628" s="193">
        <v>41837</v>
      </c>
      <c r="BU628" s="196">
        <v>39.200000000000003</v>
      </c>
      <c r="BV628" s="193">
        <v>41837</v>
      </c>
      <c r="BW628" s="196">
        <v>12</v>
      </c>
      <c r="BX628" s="193">
        <v>41837</v>
      </c>
      <c r="BY628" s="196"/>
      <c r="BZ628" s="196"/>
      <c r="CA628" s="196"/>
      <c r="CB628" s="196"/>
      <c r="CC628" s="196">
        <v>8.5</v>
      </c>
      <c r="CD628" s="193">
        <v>41837</v>
      </c>
      <c r="CE628" s="196"/>
      <c r="CF628" s="196"/>
      <c r="CG628" s="196"/>
      <c r="CH628" s="196"/>
      <c r="CI628" s="196"/>
      <c r="CJ628" s="196"/>
      <c r="CK628" s="196"/>
      <c r="CL628" s="196"/>
      <c r="CM628" s="196"/>
    </row>
    <row r="629" spans="1:91">
      <c r="A629" s="159" t="s">
        <v>7711</v>
      </c>
      <c r="B629" s="112" t="s">
        <v>269</v>
      </c>
      <c r="C629" s="112">
        <v>3</v>
      </c>
      <c r="D629" s="112">
        <v>37</v>
      </c>
      <c r="E629" s="113">
        <v>16</v>
      </c>
      <c r="F629" s="113">
        <v>18</v>
      </c>
      <c r="M629" s="185">
        <v>4.2300000000000004</v>
      </c>
      <c r="N629" s="157">
        <v>41837</v>
      </c>
      <c r="R629" s="185"/>
      <c r="S629" s="137">
        <v>11.56</v>
      </c>
      <c r="T629" s="157">
        <v>41837</v>
      </c>
      <c r="U629" s="142">
        <v>18</v>
      </c>
      <c r="Y629" s="142">
        <f t="shared" si="9"/>
        <v>9.5227199999999996</v>
      </c>
      <c r="Z629" s="157">
        <v>41837</v>
      </c>
      <c r="AE629" s="137">
        <v>23.34</v>
      </c>
      <c r="AF629" s="157">
        <v>41837</v>
      </c>
      <c r="AG629" s="185">
        <v>5.41</v>
      </c>
      <c r="AH629" s="157">
        <v>41837</v>
      </c>
      <c r="AM629" s="137">
        <v>90</v>
      </c>
      <c r="BM629" s="138">
        <v>63.32</v>
      </c>
      <c r="BN629" s="157">
        <v>41837</v>
      </c>
      <c r="BS629" s="138">
        <v>49.52</v>
      </c>
      <c r="BT629" s="157">
        <v>41837</v>
      </c>
      <c r="BU629" s="138">
        <v>40.799999999999997</v>
      </c>
      <c r="BV629" s="157">
        <v>41837</v>
      </c>
      <c r="BW629" s="138">
        <v>11.8</v>
      </c>
      <c r="BX629" s="157">
        <v>41837</v>
      </c>
      <c r="CC629" s="138">
        <v>8.9</v>
      </c>
      <c r="CD629" s="157">
        <v>41837</v>
      </c>
    </row>
    <row r="630" spans="1:91">
      <c r="A630" s="159" t="s">
        <v>7631</v>
      </c>
      <c r="B630" s="112" t="s">
        <v>269</v>
      </c>
      <c r="C630" s="112">
        <v>3</v>
      </c>
      <c r="D630" s="112">
        <v>55</v>
      </c>
      <c r="E630" s="113">
        <v>17</v>
      </c>
      <c r="F630" s="113">
        <v>18</v>
      </c>
      <c r="M630" s="185">
        <v>4.99</v>
      </c>
      <c r="N630" s="157">
        <v>41837</v>
      </c>
      <c r="R630" s="185"/>
      <c r="S630" s="137">
        <v>13.26</v>
      </c>
      <c r="T630" s="157">
        <v>41837</v>
      </c>
      <c r="U630" s="142">
        <v>18</v>
      </c>
      <c r="Y630" s="142">
        <f t="shared" si="9"/>
        <v>10.767519999999999</v>
      </c>
      <c r="Z630" s="157">
        <v>41837</v>
      </c>
      <c r="AE630" s="137">
        <v>27.68</v>
      </c>
      <c r="AF630" s="157">
        <v>41837</v>
      </c>
      <c r="AG630" s="185">
        <v>5.13</v>
      </c>
      <c r="AH630" s="157">
        <v>41837</v>
      </c>
      <c r="AM630" s="137">
        <v>94</v>
      </c>
      <c r="BM630" s="138">
        <v>65.430000000000007</v>
      </c>
      <c r="BN630" s="157">
        <v>41837</v>
      </c>
      <c r="BS630" s="138">
        <v>47.92</v>
      </c>
      <c r="BT630" s="157">
        <v>41837</v>
      </c>
      <c r="BU630" s="138">
        <v>38.9</v>
      </c>
      <c r="BV630" s="157">
        <v>41837</v>
      </c>
      <c r="BW630" s="138">
        <v>62.5</v>
      </c>
      <c r="BX630" s="157">
        <v>41837</v>
      </c>
      <c r="CC630" s="138">
        <v>8.4</v>
      </c>
      <c r="CD630" s="157">
        <v>41837</v>
      </c>
    </row>
    <row r="631" spans="1:91">
      <c r="A631" s="159" t="s">
        <v>7632</v>
      </c>
      <c r="B631" s="112" t="s">
        <v>269</v>
      </c>
      <c r="C631" s="112">
        <v>3</v>
      </c>
      <c r="D631" s="112">
        <v>191</v>
      </c>
      <c r="E631" s="113">
        <v>18</v>
      </c>
      <c r="F631" s="113">
        <v>18</v>
      </c>
      <c r="M631" s="185">
        <v>4.01</v>
      </c>
      <c r="N631" s="157">
        <v>41837</v>
      </c>
      <c r="R631" s="185"/>
      <c r="S631" s="137">
        <v>11.14</v>
      </c>
      <c r="T631" s="157">
        <v>41837</v>
      </c>
      <c r="U631" s="142">
        <v>18</v>
      </c>
      <c r="Y631" s="142">
        <f t="shared" si="9"/>
        <v>8.6054399999999998</v>
      </c>
      <c r="Z631" s="157">
        <v>41837</v>
      </c>
      <c r="AE631" s="137">
        <v>22.41</v>
      </c>
      <c r="AF631" s="157">
        <v>41837</v>
      </c>
      <c r="AG631" s="185">
        <v>5.37</v>
      </c>
      <c r="AH631" s="157">
        <v>41837</v>
      </c>
      <c r="AM631" s="137">
        <v>92</v>
      </c>
      <c r="BM631" s="138">
        <v>60.87</v>
      </c>
      <c r="BN631" s="157">
        <v>41837</v>
      </c>
      <c r="BS631" s="138">
        <v>49.71</v>
      </c>
      <c r="BT631" s="157">
        <v>41837</v>
      </c>
      <c r="BU631" s="138">
        <v>38.4</v>
      </c>
      <c r="BV631" s="157">
        <v>41837</v>
      </c>
      <c r="BW631" s="138">
        <v>36.9</v>
      </c>
      <c r="BX631" s="157">
        <v>41837</v>
      </c>
      <c r="CC631" s="138">
        <v>7.7</v>
      </c>
      <c r="CD631" s="157">
        <v>41837</v>
      </c>
    </row>
    <row r="632" spans="1:91">
      <c r="A632" s="159" t="s">
        <v>7694</v>
      </c>
      <c r="B632" s="112" t="s">
        <v>269</v>
      </c>
      <c r="C632" s="112">
        <v>3</v>
      </c>
      <c r="D632" s="112">
        <v>61</v>
      </c>
      <c r="E632" s="113">
        <v>19</v>
      </c>
      <c r="F632" s="113">
        <v>18</v>
      </c>
      <c r="M632" s="185">
        <v>5</v>
      </c>
      <c r="N632" s="157">
        <v>41837</v>
      </c>
      <c r="R632" s="185"/>
      <c r="S632" s="137">
        <v>14.09</v>
      </c>
      <c r="T632" s="157">
        <v>41837</v>
      </c>
      <c r="U632" s="142">
        <v>18</v>
      </c>
      <c r="Y632" s="142">
        <f t="shared" si="9"/>
        <v>10.637520000000002</v>
      </c>
      <c r="Z632" s="157">
        <v>41837</v>
      </c>
      <c r="AE632" s="137">
        <v>27.92</v>
      </c>
      <c r="AF632" s="157">
        <v>41837</v>
      </c>
      <c r="AG632" s="185">
        <v>4.7300000000000004</v>
      </c>
      <c r="AH632" s="157">
        <v>41837</v>
      </c>
      <c r="AM632" s="137">
        <v>96</v>
      </c>
      <c r="BM632" s="138">
        <v>61.39</v>
      </c>
      <c r="BN632" s="157">
        <v>41837</v>
      </c>
      <c r="BS632" s="138">
        <v>50.48</v>
      </c>
      <c r="BT632" s="157">
        <v>41837</v>
      </c>
      <c r="BU632" s="138">
        <v>38.1</v>
      </c>
      <c r="BV632" s="157">
        <v>41837</v>
      </c>
      <c r="BW632" s="138">
        <v>16.899999999999999</v>
      </c>
      <c r="BX632" s="157">
        <v>41837</v>
      </c>
      <c r="CC632" s="138">
        <v>7.8</v>
      </c>
      <c r="CD632" s="157">
        <v>41837</v>
      </c>
    </row>
    <row r="633" spans="1:91">
      <c r="A633" s="159" t="s">
        <v>7784</v>
      </c>
      <c r="B633" s="112" t="s">
        <v>269</v>
      </c>
      <c r="C633" s="112">
        <v>3</v>
      </c>
      <c r="D633" s="112">
        <v>149</v>
      </c>
      <c r="E633" s="113">
        <v>20</v>
      </c>
      <c r="F633" s="113">
        <v>18</v>
      </c>
      <c r="M633" s="185">
        <v>7.39</v>
      </c>
      <c r="N633" s="157">
        <v>41837</v>
      </c>
      <c r="R633" s="185"/>
      <c r="S633" s="137">
        <v>21.43</v>
      </c>
      <c r="T633" s="157">
        <v>41837</v>
      </c>
      <c r="U633" s="142">
        <v>18</v>
      </c>
      <c r="Y633" s="142">
        <f t="shared" si="9"/>
        <v>15.528239999999998</v>
      </c>
      <c r="Z633" s="157">
        <v>41837</v>
      </c>
      <c r="AE633" s="137">
        <v>41.08</v>
      </c>
      <c r="AF633" s="157">
        <v>41837</v>
      </c>
      <c r="AG633" s="185">
        <v>5.31</v>
      </c>
      <c r="AH633" s="157">
        <v>41837</v>
      </c>
      <c r="AM633" s="137">
        <v>90</v>
      </c>
      <c r="BM633" s="138">
        <v>62.28</v>
      </c>
      <c r="BN633" s="157">
        <v>41837</v>
      </c>
      <c r="BS633" s="138">
        <v>52.16</v>
      </c>
      <c r="BT633" s="157">
        <v>41837</v>
      </c>
      <c r="BU633" s="138">
        <v>37.799999999999997</v>
      </c>
      <c r="BV633" s="157">
        <v>41837</v>
      </c>
      <c r="BW633" s="138">
        <v>15.4</v>
      </c>
      <c r="BX633" s="157">
        <v>41837</v>
      </c>
      <c r="CC633" s="138">
        <v>8.1999999999999993</v>
      </c>
      <c r="CD633" s="157">
        <v>41837</v>
      </c>
    </row>
    <row r="634" spans="1:91">
      <c r="A634" s="159" t="s">
        <v>7618</v>
      </c>
      <c r="B634" s="112" t="s">
        <v>269</v>
      </c>
      <c r="C634" s="112">
        <v>3</v>
      </c>
      <c r="D634" s="112">
        <v>154</v>
      </c>
      <c r="E634" s="113">
        <v>21</v>
      </c>
      <c r="F634" s="113">
        <v>18</v>
      </c>
      <c r="M634" s="185">
        <v>2.4300000000000002</v>
      </c>
      <c r="N634" s="157">
        <v>41837</v>
      </c>
      <c r="R634" s="185"/>
      <c r="S634" s="137">
        <v>6.71</v>
      </c>
      <c r="T634" s="157">
        <v>41837</v>
      </c>
      <c r="U634" s="142">
        <v>18</v>
      </c>
      <c r="Y634" s="142">
        <f t="shared" si="9"/>
        <v>5.4591600000000007</v>
      </c>
      <c r="Z634" s="157">
        <v>41837</v>
      </c>
      <c r="AE634" s="137">
        <v>13.58</v>
      </c>
      <c r="AF634" s="157">
        <v>41837</v>
      </c>
      <c r="AG634" s="185">
        <v>4.4400000000000004</v>
      </c>
      <c r="AH634" s="157">
        <v>41837</v>
      </c>
      <c r="AM634" s="137">
        <v>83</v>
      </c>
      <c r="BM634" s="138">
        <v>60.7</v>
      </c>
      <c r="BN634" s="157">
        <v>41837</v>
      </c>
      <c r="BS634" s="138">
        <v>49.39</v>
      </c>
      <c r="BT634" s="157">
        <v>41837</v>
      </c>
      <c r="BU634" s="138">
        <v>40.200000000000003</v>
      </c>
      <c r="BV634" s="157">
        <v>41837</v>
      </c>
      <c r="BW634" s="138">
        <v>45.6</v>
      </c>
      <c r="BX634" s="157">
        <v>41837</v>
      </c>
      <c r="CC634" s="138">
        <v>7.7</v>
      </c>
      <c r="CD634" s="157">
        <v>41837</v>
      </c>
    </row>
    <row r="635" spans="1:91">
      <c r="A635" s="159" t="s">
        <v>7745</v>
      </c>
      <c r="B635" s="112" t="s">
        <v>269</v>
      </c>
      <c r="C635" s="112">
        <v>3</v>
      </c>
      <c r="D635" s="112">
        <v>49</v>
      </c>
      <c r="E635" s="113">
        <v>22</v>
      </c>
      <c r="F635" s="113">
        <v>18</v>
      </c>
      <c r="M635" s="185">
        <v>3.81</v>
      </c>
      <c r="N635" s="157">
        <v>41837</v>
      </c>
      <c r="R635" s="185"/>
      <c r="S635" s="137">
        <v>10.7</v>
      </c>
      <c r="T635" s="157">
        <v>41837</v>
      </c>
      <c r="U635" s="142">
        <v>18</v>
      </c>
      <c r="Y635" s="142">
        <f t="shared" si="9"/>
        <v>8.8077299999999994</v>
      </c>
      <c r="Z635" s="157">
        <v>41837</v>
      </c>
      <c r="AE635" s="137">
        <v>21.43</v>
      </c>
      <c r="AF635" s="157">
        <v>41837</v>
      </c>
      <c r="AG635" s="185">
        <v>4.49</v>
      </c>
      <c r="AH635" s="157">
        <v>41837</v>
      </c>
      <c r="AM635" s="137">
        <v>96</v>
      </c>
      <c r="BM635" s="138">
        <v>63.99</v>
      </c>
      <c r="BN635" s="157">
        <v>41837</v>
      </c>
      <c r="BS635" s="138">
        <v>49.95</v>
      </c>
      <c r="BT635" s="157">
        <v>41837</v>
      </c>
      <c r="BU635" s="138">
        <v>41.1</v>
      </c>
      <c r="BV635" s="157">
        <v>41837</v>
      </c>
      <c r="BW635" s="138">
        <v>53.4</v>
      </c>
      <c r="BX635" s="157">
        <v>41837</v>
      </c>
      <c r="CC635" s="138">
        <v>7.1</v>
      </c>
      <c r="CD635" s="157">
        <v>41837</v>
      </c>
    </row>
    <row r="636" spans="1:91">
      <c r="A636" s="159" t="s">
        <v>7782</v>
      </c>
      <c r="B636" s="112" t="s">
        <v>269</v>
      </c>
      <c r="C636" s="112">
        <v>3</v>
      </c>
      <c r="D636" s="112">
        <v>113</v>
      </c>
      <c r="E636" s="113">
        <v>23</v>
      </c>
      <c r="F636" s="113">
        <v>18</v>
      </c>
      <c r="M636" s="185">
        <v>6.52</v>
      </c>
      <c r="N636" s="157">
        <v>41837</v>
      </c>
      <c r="R636" s="185"/>
      <c r="S636" s="137">
        <v>18.89</v>
      </c>
      <c r="T636" s="157">
        <v>41837</v>
      </c>
      <c r="U636" s="142">
        <v>18</v>
      </c>
      <c r="Y636" s="142">
        <f t="shared" si="9"/>
        <v>13.44688</v>
      </c>
      <c r="Z636" s="157">
        <v>41837</v>
      </c>
      <c r="AE636" s="137">
        <v>36.64</v>
      </c>
      <c r="AF636" s="157">
        <v>41837</v>
      </c>
      <c r="AG636" s="185">
        <v>4.71</v>
      </c>
      <c r="AH636" s="157">
        <v>41837</v>
      </c>
      <c r="AM636" s="137">
        <v>92</v>
      </c>
      <c r="BM636" s="138">
        <v>62.18</v>
      </c>
      <c r="BN636" s="157">
        <v>41837</v>
      </c>
      <c r="BS636" s="138">
        <v>51.56</v>
      </c>
      <c r="BT636" s="157">
        <v>41837</v>
      </c>
      <c r="BU636" s="138">
        <v>36.700000000000003</v>
      </c>
      <c r="BV636" s="157">
        <v>41837</v>
      </c>
      <c r="BW636" s="138">
        <v>12.9</v>
      </c>
      <c r="BX636" s="157">
        <v>41837</v>
      </c>
      <c r="CC636" s="138">
        <v>7.2</v>
      </c>
      <c r="CD636" s="157">
        <v>41837</v>
      </c>
    </row>
    <row r="637" spans="1:91">
      <c r="A637" s="159" t="s">
        <v>7815</v>
      </c>
      <c r="B637" s="112" t="s">
        <v>269</v>
      </c>
      <c r="C637" s="112">
        <v>3</v>
      </c>
      <c r="D637" s="112">
        <v>196</v>
      </c>
      <c r="E637" s="113">
        <v>24</v>
      </c>
      <c r="F637" s="113">
        <v>18</v>
      </c>
      <c r="M637" s="185">
        <v>6</v>
      </c>
      <c r="N637" s="157">
        <v>41837</v>
      </c>
      <c r="R637" s="185"/>
      <c r="S637" s="137">
        <v>17.34</v>
      </c>
      <c r="T637" s="157">
        <v>41837</v>
      </c>
      <c r="U637" s="142">
        <v>18</v>
      </c>
      <c r="Y637" s="142">
        <f t="shared" si="9"/>
        <v>11.800789999999999</v>
      </c>
      <c r="Z637" s="157">
        <v>41837</v>
      </c>
      <c r="AE637" s="137">
        <v>33.43</v>
      </c>
      <c r="AF637" s="157">
        <v>41837</v>
      </c>
      <c r="AG637" s="185">
        <v>5.07</v>
      </c>
      <c r="AH637" s="157">
        <v>41837</v>
      </c>
      <c r="AM637" s="137">
        <v>92</v>
      </c>
      <c r="BM637" s="138">
        <v>60.88</v>
      </c>
      <c r="BN637" s="157">
        <v>41837</v>
      </c>
      <c r="BS637" s="138">
        <v>51.87</v>
      </c>
      <c r="BT637" s="157">
        <v>41837</v>
      </c>
      <c r="BU637" s="138">
        <v>35.299999999999997</v>
      </c>
      <c r="BV637" s="157">
        <v>41837</v>
      </c>
      <c r="BW637" s="138">
        <v>14.4</v>
      </c>
      <c r="BX637" s="157">
        <v>41837</v>
      </c>
      <c r="CC637" s="138">
        <v>8</v>
      </c>
      <c r="CD637" s="157">
        <v>41837</v>
      </c>
    </row>
    <row r="638" spans="1:91">
      <c r="A638" s="159" t="s">
        <v>7734</v>
      </c>
      <c r="B638" s="112" t="s">
        <v>269</v>
      </c>
      <c r="C638" s="112">
        <v>3</v>
      </c>
      <c r="D638" s="112">
        <v>182</v>
      </c>
      <c r="E638" s="113">
        <v>25</v>
      </c>
      <c r="F638" s="113">
        <v>18</v>
      </c>
      <c r="M638" s="185">
        <v>6.17</v>
      </c>
      <c r="N638" s="157">
        <v>41837</v>
      </c>
      <c r="R638" s="185"/>
      <c r="S638" s="137">
        <v>17.8</v>
      </c>
      <c r="T638" s="157">
        <v>41837</v>
      </c>
      <c r="U638" s="142">
        <v>18</v>
      </c>
      <c r="Y638" s="142">
        <f t="shared" si="9"/>
        <v>12.42201</v>
      </c>
      <c r="Z638" s="157">
        <v>41837</v>
      </c>
      <c r="AE638" s="137">
        <v>34.409999999999997</v>
      </c>
      <c r="AF638" s="157">
        <v>41837</v>
      </c>
      <c r="AG638" s="185">
        <v>5.97</v>
      </c>
      <c r="AH638" s="157">
        <v>41837</v>
      </c>
      <c r="AM638" s="137">
        <v>92</v>
      </c>
      <c r="BM638" s="138">
        <v>60.26</v>
      </c>
      <c r="BN638" s="157">
        <v>41837</v>
      </c>
      <c r="BS638" s="138">
        <v>51.74</v>
      </c>
      <c r="BT638" s="157">
        <v>41837</v>
      </c>
      <c r="BU638" s="138">
        <v>36.1</v>
      </c>
      <c r="BV638" s="157">
        <v>41837</v>
      </c>
      <c r="BW638" s="138">
        <v>17</v>
      </c>
      <c r="BX638" s="157">
        <v>41837</v>
      </c>
      <c r="CC638" s="138">
        <v>7.9</v>
      </c>
      <c r="CD638" s="157">
        <v>41837</v>
      </c>
    </row>
    <row r="639" spans="1:91">
      <c r="A639" s="159" t="s">
        <v>7639</v>
      </c>
      <c r="B639" s="112" t="s">
        <v>269</v>
      </c>
      <c r="C639" s="112">
        <v>3</v>
      </c>
      <c r="D639" s="112">
        <v>193</v>
      </c>
      <c r="E639" s="113">
        <v>26</v>
      </c>
      <c r="F639" s="113">
        <v>18</v>
      </c>
      <c r="M639" s="185">
        <v>2.86</v>
      </c>
      <c r="N639" s="157">
        <v>41837</v>
      </c>
      <c r="R639" s="185"/>
      <c r="S639" s="137">
        <v>7.96</v>
      </c>
      <c r="T639" s="157">
        <v>41837</v>
      </c>
      <c r="U639" s="142">
        <v>18</v>
      </c>
      <c r="Y639" s="142">
        <f t="shared" si="9"/>
        <v>6.4316800000000001</v>
      </c>
      <c r="Z639" s="157">
        <v>41837</v>
      </c>
      <c r="AE639" s="137">
        <v>16.16</v>
      </c>
      <c r="AF639" s="157">
        <v>41837</v>
      </c>
      <c r="AG639" s="185">
        <v>4.8099999999999996</v>
      </c>
      <c r="AH639" s="157">
        <v>41837</v>
      </c>
      <c r="AM639" s="137">
        <v>83</v>
      </c>
      <c r="BM639" s="138">
        <v>63.01</v>
      </c>
      <c r="BN639" s="157">
        <v>41837</v>
      </c>
      <c r="BS639" s="138">
        <v>49.27</v>
      </c>
      <c r="BT639" s="157">
        <v>41837</v>
      </c>
      <c r="BU639" s="138">
        <v>39.799999999999997</v>
      </c>
      <c r="BV639" s="157">
        <v>41837</v>
      </c>
      <c r="BW639" s="138">
        <v>55</v>
      </c>
      <c r="BX639" s="157">
        <v>41837</v>
      </c>
      <c r="CC639" s="138">
        <v>6.7</v>
      </c>
      <c r="CD639" s="157">
        <v>41837</v>
      </c>
    </row>
    <row r="640" spans="1:91">
      <c r="A640" s="159" t="s">
        <v>7764</v>
      </c>
      <c r="B640" s="112" t="s">
        <v>269</v>
      </c>
      <c r="C640" s="112">
        <v>3</v>
      </c>
      <c r="D640" s="112">
        <v>84</v>
      </c>
      <c r="E640" s="113">
        <v>27</v>
      </c>
      <c r="F640" s="113">
        <v>18</v>
      </c>
      <c r="M640" s="185">
        <v>5.26</v>
      </c>
      <c r="N640" s="157">
        <v>41837</v>
      </c>
      <c r="R640" s="185"/>
      <c r="S640" s="137">
        <v>14.74</v>
      </c>
      <c r="T640" s="157">
        <v>41837</v>
      </c>
      <c r="U640" s="142">
        <v>18</v>
      </c>
      <c r="Y640" s="142">
        <f t="shared" si="9"/>
        <v>11.09625</v>
      </c>
      <c r="Z640" s="157">
        <v>41837</v>
      </c>
      <c r="AE640" s="137">
        <v>29.59</v>
      </c>
      <c r="AF640" s="157">
        <v>41837</v>
      </c>
      <c r="AG640" s="185">
        <v>5.23</v>
      </c>
      <c r="AH640" s="157">
        <v>41837</v>
      </c>
      <c r="AM640" s="137">
        <v>90</v>
      </c>
      <c r="BM640" s="138">
        <v>58.2</v>
      </c>
      <c r="BN640" s="157">
        <v>41837</v>
      </c>
      <c r="BS640" s="138">
        <v>49.81</v>
      </c>
      <c r="BT640" s="157">
        <v>41837</v>
      </c>
      <c r="BU640" s="138">
        <v>37.5</v>
      </c>
      <c r="BV640" s="157">
        <v>41837</v>
      </c>
      <c r="BW640" s="138">
        <v>17.399999999999999</v>
      </c>
      <c r="BX640" s="157">
        <v>41837</v>
      </c>
      <c r="CC640" s="138">
        <v>7.1</v>
      </c>
      <c r="CD640" s="157">
        <v>41837</v>
      </c>
    </row>
    <row r="641" spans="1:82">
      <c r="A641" s="159" t="s">
        <v>7729</v>
      </c>
      <c r="B641" s="112" t="s">
        <v>269</v>
      </c>
      <c r="C641" s="112">
        <v>3</v>
      </c>
      <c r="D641" s="112">
        <v>215</v>
      </c>
      <c r="E641" s="113">
        <v>28</v>
      </c>
      <c r="F641" s="113">
        <v>18</v>
      </c>
      <c r="M641" s="185">
        <v>5.25</v>
      </c>
      <c r="N641" s="157">
        <v>41837</v>
      </c>
      <c r="R641" s="185"/>
      <c r="S641" s="137">
        <v>14.95</v>
      </c>
      <c r="T641" s="157">
        <v>41837</v>
      </c>
      <c r="U641" s="142">
        <v>18</v>
      </c>
      <c r="Y641" s="142">
        <f t="shared" si="9"/>
        <v>11.087570000000001</v>
      </c>
      <c r="Z641" s="157">
        <v>41837</v>
      </c>
      <c r="AE641" s="137">
        <v>29.41</v>
      </c>
      <c r="AF641" s="157">
        <v>41837</v>
      </c>
      <c r="AG641" s="185">
        <v>5.25</v>
      </c>
      <c r="AH641" s="157">
        <v>41837</v>
      </c>
      <c r="AM641" s="137">
        <v>92</v>
      </c>
      <c r="BM641" s="138">
        <v>58.98</v>
      </c>
      <c r="BN641" s="157">
        <v>41837</v>
      </c>
      <c r="BS641" s="138">
        <v>50.84</v>
      </c>
      <c r="BT641" s="157">
        <v>41837</v>
      </c>
      <c r="BU641" s="138">
        <v>37.700000000000003</v>
      </c>
      <c r="BV641" s="157">
        <v>41837</v>
      </c>
      <c r="BW641" s="138">
        <v>15.4</v>
      </c>
      <c r="BX641" s="157">
        <v>41837</v>
      </c>
      <c r="CC641" s="138">
        <v>7.5</v>
      </c>
      <c r="CD641" s="157">
        <v>41837</v>
      </c>
    </row>
    <row r="642" spans="1:82">
      <c r="A642" s="159" t="s">
        <v>7794</v>
      </c>
      <c r="B642" s="112" t="s">
        <v>269</v>
      </c>
      <c r="C642" s="112">
        <v>3</v>
      </c>
      <c r="D642" s="112">
        <v>86</v>
      </c>
      <c r="E642" s="113">
        <v>29</v>
      </c>
      <c r="F642" s="113">
        <v>18</v>
      </c>
      <c r="M642" s="185">
        <v>5.1100000000000003</v>
      </c>
      <c r="N642" s="157">
        <v>41837</v>
      </c>
      <c r="R642" s="185"/>
      <c r="S642" s="137">
        <v>14.67</v>
      </c>
      <c r="T642" s="157">
        <v>41837</v>
      </c>
      <c r="U642" s="142">
        <v>18</v>
      </c>
      <c r="Y642" s="142">
        <f t="shared" ref="Y642:Y705" si="10">(AE642*BU642)/100</f>
        <v>10.59576</v>
      </c>
      <c r="Z642" s="157">
        <v>41837</v>
      </c>
      <c r="AE642" s="137">
        <v>28.56</v>
      </c>
      <c r="AF642" s="157">
        <v>41837</v>
      </c>
      <c r="AG642" s="185">
        <v>5.64</v>
      </c>
      <c r="AH642" s="157">
        <v>41837</v>
      </c>
      <c r="AM642" s="137">
        <v>96</v>
      </c>
      <c r="BM642" s="138">
        <v>62.54</v>
      </c>
      <c r="BN642" s="157">
        <v>41837</v>
      </c>
      <c r="BS642" s="138">
        <v>51.35</v>
      </c>
      <c r="BT642" s="157">
        <v>41837</v>
      </c>
      <c r="BU642" s="138">
        <v>37.1</v>
      </c>
      <c r="BV642" s="157">
        <v>41837</v>
      </c>
      <c r="BW642" s="138">
        <v>15</v>
      </c>
      <c r="BX642" s="157">
        <v>41837</v>
      </c>
      <c r="CC642" s="138">
        <v>7.7</v>
      </c>
      <c r="CD642" s="157">
        <v>41837</v>
      </c>
    </row>
    <row r="643" spans="1:82">
      <c r="A643" s="159" t="s">
        <v>7762</v>
      </c>
      <c r="B643" s="112" t="s">
        <v>269</v>
      </c>
      <c r="C643" s="112">
        <v>3</v>
      </c>
      <c r="D643" s="112">
        <v>155</v>
      </c>
      <c r="E643" s="113">
        <v>30</v>
      </c>
      <c r="F643" s="113">
        <v>18</v>
      </c>
      <c r="M643" s="185">
        <v>2.97</v>
      </c>
      <c r="N643" s="157">
        <v>41837</v>
      </c>
      <c r="R643" s="185"/>
      <c r="S643" s="137">
        <v>7.9</v>
      </c>
      <c r="T643" s="157">
        <v>41837</v>
      </c>
      <c r="U643" s="142">
        <v>18</v>
      </c>
      <c r="Y643" s="142">
        <f t="shared" si="10"/>
        <v>6.3574000000000002</v>
      </c>
      <c r="Z643" s="157">
        <v>41837</v>
      </c>
      <c r="AE643" s="137">
        <v>16.73</v>
      </c>
      <c r="AF643" s="157">
        <v>41837</v>
      </c>
      <c r="AG643" s="185">
        <v>4.43</v>
      </c>
      <c r="AH643" s="157">
        <v>41837</v>
      </c>
      <c r="AM643" s="137">
        <v>94</v>
      </c>
      <c r="BM643" s="138">
        <v>59.89</v>
      </c>
      <c r="BN643" s="157">
        <v>41837</v>
      </c>
      <c r="BS643" s="138">
        <v>47.2</v>
      </c>
      <c r="BT643" s="157">
        <v>41837</v>
      </c>
      <c r="BU643" s="138">
        <v>38</v>
      </c>
      <c r="BV643" s="157">
        <v>41837</v>
      </c>
      <c r="BW643" s="138">
        <v>50.8</v>
      </c>
      <c r="BX643" s="157">
        <v>41837</v>
      </c>
      <c r="CC643" s="138">
        <v>7</v>
      </c>
      <c r="CD643" s="157">
        <v>41837</v>
      </c>
    </row>
    <row r="644" spans="1:82">
      <c r="A644" s="159" t="s">
        <v>7683</v>
      </c>
      <c r="B644" s="112" t="s">
        <v>269</v>
      </c>
      <c r="C644" s="112">
        <v>3</v>
      </c>
      <c r="D644" s="112">
        <v>120</v>
      </c>
      <c r="E644" s="113">
        <v>31</v>
      </c>
      <c r="F644" s="113">
        <v>18</v>
      </c>
      <c r="M644" s="185">
        <v>3.51</v>
      </c>
      <c r="N644" s="157">
        <v>41837</v>
      </c>
      <c r="R644" s="185"/>
      <c r="S644" s="137">
        <v>10.09</v>
      </c>
      <c r="T644" s="157">
        <v>41837</v>
      </c>
      <c r="U644" s="142">
        <v>18</v>
      </c>
      <c r="Y644" s="142">
        <f t="shared" si="10"/>
        <v>7.6509900000000002</v>
      </c>
      <c r="Z644" s="157">
        <v>41837</v>
      </c>
      <c r="AE644" s="137">
        <v>19.77</v>
      </c>
      <c r="AF644" s="157">
        <v>41837</v>
      </c>
      <c r="AG644" s="185">
        <v>5.39</v>
      </c>
      <c r="AH644" s="157">
        <v>41837</v>
      </c>
      <c r="AM644" s="137">
        <v>92</v>
      </c>
      <c r="BM644" s="138">
        <v>63.11</v>
      </c>
      <c r="BN644" s="157">
        <v>41837</v>
      </c>
      <c r="BS644" s="138">
        <v>51.02</v>
      </c>
      <c r="BT644" s="157">
        <v>41837</v>
      </c>
      <c r="BU644" s="138">
        <v>38.700000000000003</v>
      </c>
      <c r="BV644" s="157">
        <v>41837</v>
      </c>
      <c r="BW644" s="138">
        <v>15.9</v>
      </c>
      <c r="BX644" s="157">
        <v>41837</v>
      </c>
      <c r="CC644" s="138">
        <v>7</v>
      </c>
      <c r="CD644" s="157">
        <v>41837</v>
      </c>
    </row>
    <row r="645" spans="1:82">
      <c r="A645" s="159" t="s">
        <v>7629</v>
      </c>
      <c r="B645" s="112" t="s">
        <v>269</v>
      </c>
      <c r="C645" s="112">
        <v>3</v>
      </c>
      <c r="D645" s="112">
        <v>99</v>
      </c>
      <c r="E645" s="113">
        <v>32</v>
      </c>
      <c r="F645" s="113">
        <v>18</v>
      </c>
      <c r="M645" s="185">
        <v>1.9</v>
      </c>
      <c r="N645" s="157">
        <v>41837</v>
      </c>
      <c r="R645" s="185"/>
      <c r="S645" s="137">
        <v>5.25</v>
      </c>
      <c r="T645" s="157">
        <v>41837</v>
      </c>
      <c r="U645" s="142">
        <v>18</v>
      </c>
      <c r="Y645" s="142">
        <f t="shared" si="10"/>
        <v>4.1425999999999998</v>
      </c>
      <c r="Z645" s="157">
        <v>41837</v>
      </c>
      <c r="AE645" s="137">
        <v>10.76</v>
      </c>
      <c r="AF645" s="157">
        <v>41837</v>
      </c>
      <c r="AG645" s="185">
        <v>4.9400000000000004</v>
      </c>
      <c r="AH645" s="157">
        <v>41837</v>
      </c>
      <c r="AM645" s="137">
        <v>76</v>
      </c>
      <c r="BM645" s="138">
        <v>62.61</v>
      </c>
      <c r="BN645" s="157">
        <v>41837</v>
      </c>
      <c r="BS645" s="138">
        <v>48.83</v>
      </c>
      <c r="BT645" s="157">
        <v>41837</v>
      </c>
      <c r="BU645" s="138">
        <v>38.5</v>
      </c>
      <c r="BV645" s="157">
        <v>41837</v>
      </c>
      <c r="BW645" s="138">
        <v>36.5</v>
      </c>
      <c r="BX645" s="157">
        <v>41837</v>
      </c>
      <c r="CC645" s="138">
        <v>6.5</v>
      </c>
      <c r="CD645" s="157">
        <v>41837</v>
      </c>
    </row>
    <row r="646" spans="1:82">
      <c r="A646" s="159" t="s">
        <v>7634</v>
      </c>
      <c r="B646" s="112" t="s">
        <v>269</v>
      </c>
      <c r="C646" s="112">
        <v>3</v>
      </c>
      <c r="D646" s="112">
        <v>31</v>
      </c>
      <c r="E646" s="113">
        <v>33</v>
      </c>
      <c r="F646" s="113">
        <v>18</v>
      </c>
      <c r="M646" s="185">
        <v>3.15</v>
      </c>
      <c r="N646" s="157">
        <v>41837</v>
      </c>
      <c r="R646" s="185"/>
      <c r="S646" s="137">
        <v>8.8800000000000008</v>
      </c>
      <c r="T646" s="157">
        <v>41837</v>
      </c>
      <c r="U646" s="142">
        <v>18</v>
      </c>
      <c r="Y646" s="142">
        <f t="shared" si="10"/>
        <v>7.007299999999999</v>
      </c>
      <c r="Z646" s="157">
        <v>41837</v>
      </c>
      <c r="AE646" s="137">
        <v>17.739999999999998</v>
      </c>
      <c r="AF646" s="157">
        <v>41837</v>
      </c>
      <c r="AG646" s="185">
        <v>4.67</v>
      </c>
      <c r="AH646" s="157">
        <v>41837</v>
      </c>
      <c r="AM646" s="137">
        <v>76</v>
      </c>
      <c r="BM646" s="138">
        <v>61.6</v>
      </c>
      <c r="BN646" s="157">
        <v>41837</v>
      </c>
      <c r="BS646" s="138">
        <v>50.05</v>
      </c>
      <c r="BT646" s="157">
        <v>41837</v>
      </c>
      <c r="BU646" s="138">
        <v>39.5</v>
      </c>
      <c r="BV646" s="157">
        <v>41837</v>
      </c>
      <c r="BW646" s="138">
        <v>39.700000000000003</v>
      </c>
      <c r="BX646" s="157">
        <v>41837</v>
      </c>
      <c r="CC646" s="138">
        <v>7</v>
      </c>
      <c r="CD646" s="157">
        <v>41837</v>
      </c>
    </row>
    <row r="647" spans="1:82">
      <c r="A647" s="159" t="s">
        <v>7690</v>
      </c>
      <c r="B647" s="112" t="s">
        <v>269</v>
      </c>
      <c r="C647" s="112">
        <v>3</v>
      </c>
      <c r="D647" s="112">
        <v>22</v>
      </c>
      <c r="E647" s="113">
        <v>34</v>
      </c>
      <c r="F647" s="113">
        <v>18</v>
      </c>
      <c r="I647" s="200"/>
      <c r="K647" s="142"/>
      <c r="M647" s="185">
        <v>5.76</v>
      </c>
      <c r="N647" s="157">
        <v>41837</v>
      </c>
      <c r="Q647" s="142"/>
      <c r="R647" s="185"/>
      <c r="S647" s="142">
        <v>16.41</v>
      </c>
      <c r="T647" s="157">
        <v>41837</v>
      </c>
      <c r="U647" s="142">
        <v>18</v>
      </c>
      <c r="W647" s="142"/>
      <c r="Y647" s="142">
        <f t="shared" si="10"/>
        <v>12.217499999999999</v>
      </c>
      <c r="Z647" s="157">
        <v>41837</v>
      </c>
      <c r="AA647" s="142"/>
      <c r="AE647" s="142">
        <v>32.58</v>
      </c>
      <c r="AF647" s="157">
        <v>41837</v>
      </c>
      <c r="AG647" s="185">
        <v>5.31</v>
      </c>
      <c r="AH647" s="157">
        <v>41837</v>
      </c>
      <c r="AK647" s="142"/>
      <c r="AM647" s="142">
        <v>90</v>
      </c>
      <c r="BM647" s="138">
        <v>59.25</v>
      </c>
      <c r="BN647" s="157">
        <v>41837</v>
      </c>
      <c r="BS647" s="138">
        <v>50.36</v>
      </c>
      <c r="BT647" s="157">
        <v>41837</v>
      </c>
      <c r="BU647" s="138">
        <v>37.5</v>
      </c>
      <c r="BV647" s="157">
        <v>41837</v>
      </c>
      <c r="BW647" s="138">
        <v>22.2</v>
      </c>
      <c r="BX647" s="157">
        <v>41837</v>
      </c>
      <c r="CC647" s="138">
        <v>6.6</v>
      </c>
      <c r="CD647" s="157">
        <v>41837</v>
      </c>
    </row>
    <row r="648" spans="1:82">
      <c r="A648" s="159" t="s">
        <v>7623</v>
      </c>
      <c r="B648" s="112" t="s">
        <v>269</v>
      </c>
      <c r="C648" s="112">
        <v>3</v>
      </c>
      <c r="D648" s="112">
        <v>107</v>
      </c>
      <c r="E648" s="113">
        <v>35</v>
      </c>
      <c r="F648" s="113">
        <v>18</v>
      </c>
      <c r="M648" s="185">
        <v>1.68</v>
      </c>
      <c r="N648" s="157">
        <v>41837</v>
      </c>
      <c r="R648" s="185"/>
      <c r="S648" s="137">
        <v>4.8499999999999996</v>
      </c>
      <c r="T648" s="157">
        <v>41837</v>
      </c>
      <c r="U648" s="142">
        <v>18</v>
      </c>
      <c r="Y648" s="142">
        <f t="shared" si="10"/>
        <v>3.5377199999999998</v>
      </c>
      <c r="Z648" s="157">
        <v>41837</v>
      </c>
      <c r="AE648" s="137">
        <v>9.51</v>
      </c>
      <c r="AF648" s="157">
        <v>41837</v>
      </c>
      <c r="AG648" s="185">
        <v>4.62</v>
      </c>
      <c r="AH648" s="157">
        <v>41837</v>
      </c>
      <c r="AM648" s="137">
        <v>83</v>
      </c>
      <c r="BM648" s="138">
        <v>59.85</v>
      </c>
      <c r="BN648" s="157">
        <v>41837</v>
      </c>
      <c r="BS648" s="138">
        <v>51.02</v>
      </c>
      <c r="BT648" s="157">
        <v>41837</v>
      </c>
      <c r="BU648" s="138">
        <v>37.200000000000003</v>
      </c>
      <c r="BV648" s="157">
        <v>41837</v>
      </c>
      <c r="BW648" s="138">
        <v>51.3</v>
      </c>
      <c r="BX648" s="157">
        <v>41837</v>
      </c>
      <c r="CC648" s="138">
        <v>6.5</v>
      </c>
      <c r="CD648" s="157">
        <v>41837</v>
      </c>
    </row>
    <row r="649" spans="1:82">
      <c r="A649" s="159" t="s">
        <v>7720</v>
      </c>
      <c r="B649" s="112" t="s">
        <v>269</v>
      </c>
      <c r="C649" s="112">
        <v>3</v>
      </c>
      <c r="D649" s="112">
        <v>199</v>
      </c>
      <c r="E649" s="113">
        <v>36</v>
      </c>
      <c r="F649" s="113">
        <v>18</v>
      </c>
      <c r="M649" s="185">
        <v>5.0999999999999996</v>
      </c>
      <c r="N649" s="157">
        <v>41837</v>
      </c>
      <c r="R649" s="185"/>
      <c r="S649" s="137">
        <v>15.02</v>
      </c>
      <c r="T649" s="157">
        <v>41837</v>
      </c>
      <c r="U649" s="142">
        <v>18</v>
      </c>
      <c r="Y649" s="142">
        <f t="shared" si="10"/>
        <v>10.41836</v>
      </c>
      <c r="Z649" s="157">
        <v>41837</v>
      </c>
      <c r="AE649" s="137">
        <v>28.78</v>
      </c>
      <c r="AF649" s="157">
        <v>41837</v>
      </c>
      <c r="AG649" s="185">
        <v>5.03</v>
      </c>
      <c r="AH649" s="157">
        <v>41837</v>
      </c>
      <c r="AM649" s="137">
        <v>87</v>
      </c>
      <c r="BM649" s="138">
        <v>64.08</v>
      </c>
      <c r="BN649" s="157">
        <v>41837</v>
      </c>
      <c r="BS649" s="138">
        <v>52.18</v>
      </c>
      <c r="BT649" s="157">
        <v>41837</v>
      </c>
      <c r="BU649" s="138">
        <v>36.200000000000003</v>
      </c>
      <c r="BV649" s="157">
        <v>41837</v>
      </c>
      <c r="BW649" s="138">
        <v>19.399999999999999</v>
      </c>
      <c r="BX649" s="157">
        <v>41837</v>
      </c>
      <c r="CC649" s="138">
        <v>6.8</v>
      </c>
      <c r="CD649" s="157">
        <v>41837</v>
      </c>
    </row>
    <row r="650" spans="1:82">
      <c r="A650" s="159" t="s">
        <v>7789</v>
      </c>
      <c r="B650" s="112" t="s">
        <v>271</v>
      </c>
      <c r="C650" s="112">
        <v>4</v>
      </c>
      <c r="D650" s="112">
        <v>105</v>
      </c>
      <c r="E650" s="113">
        <v>1</v>
      </c>
      <c r="F650" s="113">
        <v>19</v>
      </c>
      <c r="M650" s="185">
        <v>8.39</v>
      </c>
      <c r="N650" s="157">
        <v>41837</v>
      </c>
      <c r="R650" s="185"/>
      <c r="S650" s="137">
        <v>23.47</v>
      </c>
      <c r="T650" s="157">
        <v>41837</v>
      </c>
      <c r="U650" s="142">
        <v>18</v>
      </c>
      <c r="Y650" s="142">
        <f t="shared" si="10"/>
        <v>16.532220000000002</v>
      </c>
      <c r="Z650" s="157">
        <v>41837</v>
      </c>
      <c r="AE650" s="137">
        <v>45.17</v>
      </c>
      <c r="AF650" s="157">
        <v>41837</v>
      </c>
      <c r="AG650" s="185">
        <v>5.48</v>
      </c>
      <c r="AH650" s="157">
        <v>41837</v>
      </c>
      <c r="AM650" s="137">
        <v>92</v>
      </c>
      <c r="BM650" s="138">
        <v>59.79</v>
      </c>
      <c r="BN650" s="157">
        <v>41837</v>
      </c>
      <c r="BS650" s="138">
        <v>51.96</v>
      </c>
      <c r="BT650" s="157">
        <v>41837</v>
      </c>
      <c r="BU650" s="138">
        <v>36.6</v>
      </c>
      <c r="BV650" s="157">
        <v>41837</v>
      </c>
      <c r="BW650" s="138">
        <v>15.8</v>
      </c>
      <c r="BX650" s="157">
        <v>41837</v>
      </c>
      <c r="CC650" s="138">
        <v>11.1</v>
      </c>
      <c r="CD650" s="157">
        <v>41837</v>
      </c>
    </row>
    <row r="651" spans="1:82">
      <c r="A651" s="159" t="s">
        <v>7767</v>
      </c>
      <c r="B651" s="112" t="s">
        <v>271</v>
      </c>
      <c r="C651" s="112">
        <v>4</v>
      </c>
      <c r="D651" s="112">
        <v>172</v>
      </c>
      <c r="E651" s="113">
        <v>2</v>
      </c>
      <c r="F651" s="113">
        <v>19</v>
      </c>
      <c r="M651" s="185">
        <v>7</v>
      </c>
      <c r="N651" s="157">
        <v>41837</v>
      </c>
      <c r="R651" s="185"/>
      <c r="S651" s="137">
        <v>18.82</v>
      </c>
      <c r="T651" s="157">
        <v>41837</v>
      </c>
      <c r="U651" s="142">
        <v>18</v>
      </c>
      <c r="Y651" s="142">
        <f t="shared" si="10"/>
        <v>14.103129999999998</v>
      </c>
      <c r="Z651" s="157">
        <v>41837</v>
      </c>
      <c r="AE651" s="137">
        <v>37.81</v>
      </c>
      <c r="AF651" s="157">
        <v>41837</v>
      </c>
      <c r="AG651" s="185">
        <v>4.92</v>
      </c>
      <c r="AH651" s="157">
        <v>41837</v>
      </c>
      <c r="AM651" s="137">
        <v>83</v>
      </c>
      <c r="BM651" s="138">
        <v>61.9</v>
      </c>
      <c r="BN651" s="157">
        <v>41837</v>
      </c>
      <c r="BS651" s="138">
        <v>49.77</v>
      </c>
      <c r="BT651" s="157">
        <v>41837</v>
      </c>
      <c r="BU651" s="138">
        <v>37.299999999999997</v>
      </c>
      <c r="BV651" s="157">
        <v>41837</v>
      </c>
      <c r="BW651" s="138">
        <v>11.6</v>
      </c>
      <c r="BX651" s="157">
        <v>41837</v>
      </c>
      <c r="CC651" s="138">
        <v>10.8</v>
      </c>
      <c r="CD651" s="157">
        <v>41837</v>
      </c>
    </row>
    <row r="652" spans="1:82">
      <c r="A652" s="159" t="s">
        <v>7618</v>
      </c>
      <c r="B652" s="112" t="s">
        <v>271</v>
      </c>
      <c r="C652" s="112">
        <v>4</v>
      </c>
      <c r="D652" s="112">
        <v>74</v>
      </c>
      <c r="E652" s="113">
        <v>3</v>
      </c>
      <c r="F652" s="113">
        <v>19</v>
      </c>
      <c r="M652" s="185">
        <v>2.4900000000000002</v>
      </c>
      <c r="N652" s="157">
        <v>41837</v>
      </c>
      <c r="R652" s="185"/>
      <c r="S652" s="137">
        <v>6.51</v>
      </c>
      <c r="T652" s="157">
        <v>41837</v>
      </c>
      <c r="U652" s="142">
        <v>18</v>
      </c>
      <c r="Y652" s="142">
        <f t="shared" si="10"/>
        <v>5.4295399999999994</v>
      </c>
      <c r="Z652" s="157">
        <v>41837</v>
      </c>
      <c r="AE652" s="137">
        <v>13.54</v>
      </c>
      <c r="AF652" s="157">
        <v>41837</v>
      </c>
      <c r="AG652" s="185">
        <v>4.74</v>
      </c>
      <c r="AH652" s="157">
        <v>41837</v>
      </c>
      <c r="AM652" s="137">
        <v>85</v>
      </c>
      <c r="BM652" s="138">
        <v>63.36</v>
      </c>
      <c r="BN652" s="157">
        <v>41837</v>
      </c>
      <c r="BS652" s="138">
        <v>48.08</v>
      </c>
      <c r="BT652" s="157">
        <v>41837</v>
      </c>
      <c r="BU652" s="138">
        <v>40.1</v>
      </c>
      <c r="BV652" s="157">
        <v>41837</v>
      </c>
      <c r="BW652" s="138">
        <v>41.8</v>
      </c>
      <c r="BX652" s="157">
        <v>41837</v>
      </c>
      <c r="CC652" s="138">
        <v>10.199999999999999</v>
      </c>
      <c r="CD652" s="157">
        <v>41837</v>
      </c>
    </row>
    <row r="653" spans="1:82">
      <c r="A653" s="159" t="s">
        <v>7742</v>
      </c>
      <c r="B653" s="112" t="s">
        <v>271</v>
      </c>
      <c r="C653" s="112">
        <v>4</v>
      </c>
      <c r="D653" s="112">
        <v>49</v>
      </c>
      <c r="E653" s="113">
        <v>4</v>
      </c>
      <c r="F653" s="113">
        <v>19</v>
      </c>
      <c r="M653" s="185">
        <v>4.63</v>
      </c>
      <c r="N653" s="157">
        <v>41837</v>
      </c>
      <c r="R653" s="185"/>
      <c r="S653" s="137">
        <v>12.04</v>
      </c>
      <c r="T653" s="157">
        <v>41837</v>
      </c>
      <c r="U653" s="142">
        <v>18</v>
      </c>
      <c r="Y653" s="142">
        <f t="shared" si="10"/>
        <v>9.1474799999999998</v>
      </c>
      <c r="Z653" s="157">
        <v>41837</v>
      </c>
      <c r="AE653" s="137">
        <v>24.59</v>
      </c>
      <c r="AF653" s="157">
        <v>41837</v>
      </c>
      <c r="AG653" s="185">
        <v>5.05</v>
      </c>
      <c r="AH653" s="157">
        <v>41837</v>
      </c>
      <c r="AM653" s="137">
        <v>96</v>
      </c>
      <c r="BM653" s="138">
        <v>63.27</v>
      </c>
      <c r="BN653" s="157">
        <v>41837</v>
      </c>
      <c r="BS653" s="138">
        <v>48.97</v>
      </c>
      <c r="BT653" s="157">
        <v>41837</v>
      </c>
      <c r="BU653" s="138">
        <v>37.200000000000003</v>
      </c>
      <c r="BV653" s="157">
        <v>41837</v>
      </c>
      <c r="BW653" s="138">
        <v>58.2</v>
      </c>
      <c r="BX653" s="157">
        <v>41837</v>
      </c>
      <c r="CC653" s="138">
        <v>12.3</v>
      </c>
      <c r="CD653" s="157">
        <v>41837</v>
      </c>
    </row>
    <row r="654" spans="1:82">
      <c r="A654" s="159" t="s">
        <v>7800</v>
      </c>
      <c r="B654" s="112" t="s">
        <v>271</v>
      </c>
      <c r="C654" s="112">
        <v>4</v>
      </c>
      <c r="D654" s="112">
        <v>207</v>
      </c>
      <c r="E654" s="113">
        <v>5</v>
      </c>
      <c r="F654" s="113">
        <v>19</v>
      </c>
      <c r="M654" s="185">
        <v>6.82</v>
      </c>
      <c r="N654" s="157">
        <v>41837</v>
      </c>
      <c r="R654" s="185"/>
      <c r="S654" s="137">
        <v>19.05</v>
      </c>
      <c r="T654" s="157">
        <v>41837</v>
      </c>
      <c r="U654" s="142">
        <v>18</v>
      </c>
      <c r="Y654" s="142">
        <f t="shared" si="10"/>
        <v>14.189359999999999</v>
      </c>
      <c r="Z654" s="157">
        <v>41837</v>
      </c>
      <c r="AE654" s="137">
        <v>36.76</v>
      </c>
      <c r="AF654" s="157">
        <v>41837</v>
      </c>
      <c r="AG654" s="185">
        <v>9.44</v>
      </c>
      <c r="AH654" s="157">
        <v>41837</v>
      </c>
      <c r="AM654" s="137">
        <v>92</v>
      </c>
      <c r="BM654" s="138">
        <v>61.07</v>
      </c>
      <c r="BN654" s="157">
        <v>41837</v>
      </c>
      <c r="BS654" s="138">
        <v>51.83</v>
      </c>
      <c r="BT654" s="157">
        <v>41837</v>
      </c>
      <c r="BU654" s="138">
        <v>38.6</v>
      </c>
      <c r="BV654" s="157">
        <v>41837</v>
      </c>
      <c r="BW654" s="138">
        <v>13.8</v>
      </c>
      <c r="BX654" s="157">
        <v>41837</v>
      </c>
      <c r="CC654" s="138">
        <v>11</v>
      </c>
      <c r="CD654" s="157">
        <v>41837</v>
      </c>
    </row>
    <row r="655" spans="1:82">
      <c r="A655" s="159" t="s">
        <v>7788</v>
      </c>
      <c r="B655" s="112" t="s">
        <v>271</v>
      </c>
      <c r="C655" s="112">
        <v>4</v>
      </c>
      <c r="D655" s="112">
        <v>88</v>
      </c>
      <c r="E655" s="113">
        <v>6</v>
      </c>
      <c r="F655" s="113">
        <v>19</v>
      </c>
      <c r="M655" s="185">
        <v>7.35</v>
      </c>
      <c r="N655" s="157">
        <v>41837</v>
      </c>
      <c r="R655" s="185"/>
      <c r="S655" s="137">
        <v>20.82</v>
      </c>
      <c r="T655" s="157">
        <v>41837</v>
      </c>
      <c r="U655" s="142">
        <v>18</v>
      </c>
      <c r="Y655" s="142">
        <f t="shared" si="10"/>
        <v>14.66935</v>
      </c>
      <c r="Z655" s="157">
        <v>41837</v>
      </c>
      <c r="AE655" s="137">
        <v>40.19</v>
      </c>
      <c r="AF655" s="157">
        <v>41837</v>
      </c>
      <c r="AG655" s="185">
        <v>5.21</v>
      </c>
      <c r="AH655" s="157">
        <v>41837</v>
      </c>
      <c r="AM655" s="137">
        <v>83</v>
      </c>
      <c r="BM655" s="138">
        <v>61.31</v>
      </c>
      <c r="BN655" s="157">
        <v>41837</v>
      </c>
      <c r="BS655" s="138">
        <v>51.8</v>
      </c>
      <c r="BT655" s="157">
        <v>41837</v>
      </c>
      <c r="BU655" s="138">
        <v>36.5</v>
      </c>
      <c r="BV655" s="157">
        <v>41837</v>
      </c>
      <c r="BW655" s="138">
        <v>17.399999999999999</v>
      </c>
      <c r="BX655" s="157">
        <v>41837</v>
      </c>
      <c r="CC655" s="138">
        <v>9.6999999999999993</v>
      </c>
      <c r="CD655" s="157">
        <v>41837</v>
      </c>
    </row>
    <row r="656" spans="1:82">
      <c r="A656" s="159" t="s">
        <v>7734</v>
      </c>
      <c r="B656" s="112" t="s">
        <v>271</v>
      </c>
      <c r="C656" s="112">
        <v>4</v>
      </c>
      <c r="D656" s="112">
        <v>114</v>
      </c>
      <c r="E656" s="113">
        <v>7</v>
      </c>
      <c r="F656" s="113">
        <v>19</v>
      </c>
      <c r="M656" s="185">
        <v>6.3</v>
      </c>
      <c r="N656" s="157">
        <v>41837</v>
      </c>
      <c r="R656" s="185"/>
      <c r="S656" s="137">
        <v>17.3</v>
      </c>
      <c r="T656" s="157">
        <v>41837</v>
      </c>
      <c r="U656" s="142">
        <v>18</v>
      </c>
      <c r="Y656" s="142">
        <f t="shared" si="10"/>
        <v>12.705800000000002</v>
      </c>
      <c r="Z656" s="157">
        <v>41837</v>
      </c>
      <c r="AE656" s="137">
        <v>34.340000000000003</v>
      </c>
      <c r="AF656" s="157">
        <v>41837</v>
      </c>
      <c r="AG656" s="185">
        <v>5.18</v>
      </c>
      <c r="AH656" s="157">
        <v>41837</v>
      </c>
      <c r="AM656" s="137">
        <v>90</v>
      </c>
      <c r="BM656" s="138">
        <v>61.24</v>
      </c>
      <c r="BN656" s="157">
        <v>41837</v>
      </c>
      <c r="BS656" s="138">
        <v>50.38</v>
      </c>
      <c r="BT656" s="157">
        <v>41837</v>
      </c>
      <c r="BU656" s="138">
        <v>37</v>
      </c>
      <c r="BV656" s="157">
        <v>41837</v>
      </c>
      <c r="BW656" s="138">
        <v>19</v>
      </c>
      <c r="BX656" s="157">
        <v>41837</v>
      </c>
      <c r="CC656" s="138">
        <v>10</v>
      </c>
      <c r="CD656" s="157">
        <v>41837</v>
      </c>
    </row>
    <row r="657" spans="1:91">
      <c r="A657" s="159" t="s">
        <v>7856</v>
      </c>
      <c r="B657" s="112" t="s">
        <v>271</v>
      </c>
      <c r="C657" s="112">
        <v>4</v>
      </c>
      <c r="D657" s="112">
        <v>181</v>
      </c>
      <c r="E657" s="113">
        <v>8</v>
      </c>
      <c r="F657" s="113">
        <v>19</v>
      </c>
      <c r="M657" s="185">
        <v>6.4</v>
      </c>
      <c r="N657" s="157">
        <v>41837</v>
      </c>
      <c r="R657" s="185"/>
      <c r="S657" s="137">
        <v>17.98</v>
      </c>
      <c r="T657" s="157">
        <v>41837</v>
      </c>
      <c r="U657" s="142">
        <v>18</v>
      </c>
      <c r="Y657" s="142">
        <f t="shared" si="10"/>
        <v>12.821120000000001</v>
      </c>
      <c r="Z657" s="157">
        <v>41837</v>
      </c>
      <c r="AE657" s="137">
        <v>34.840000000000003</v>
      </c>
      <c r="AF657" s="157">
        <v>41837</v>
      </c>
      <c r="AG657" s="185">
        <v>5.21</v>
      </c>
      <c r="AH657" s="157">
        <v>41837</v>
      </c>
      <c r="AM657" s="137">
        <v>85</v>
      </c>
      <c r="BM657" s="138">
        <v>59.99</v>
      </c>
      <c r="BN657" s="157">
        <v>41837</v>
      </c>
      <c r="BS657" s="138">
        <v>51.61</v>
      </c>
      <c r="BT657" s="157">
        <v>41837</v>
      </c>
      <c r="BU657" s="138">
        <v>36.799999999999997</v>
      </c>
      <c r="BV657" s="157">
        <v>41837</v>
      </c>
      <c r="BW657" s="138">
        <v>18.2</v>
      </c>
      <c r="BX657" s="157">
        <v>41837</v>
      </c>
      <c r="CC657" s="138">
        <v>10.1</v>
      </c>
      <c r="CD657" s="157">
        <v>41837</v>
      </c>
    </row>
    <row r="658" spans="1:91">
      <c r="A658" s="159" t="s">
        <v>7728</v>
      </c>
      <c r="B658" s="112" t="s">
        <v>271</v>
      </c>
      <c r="C658" s="112">
        <v>4</v>
      </c>
      <c r="D658" s="112">
        <v>122</v>
      </c>
      <c r="E658" s="113">
        <v>9</v>
      </c>
      <c r="F658" s="113">
        <v>19</v>
      </c>
      <c r="M658" s="185">
        <v>8.5</v>
      </c>
      <c r="N658" s="157">
        <v>41837</v>
      </c>
      <c r="R658" s="185"/>
      <c r="S658" s="137">
        <v>23.21</v>
      </c>
      <c r="T658" s="157">
        <v>41837</v>
      </c>
      <c r="U658" s="142">
        <v>18</v>
      </c>
      <c r="Y658" s="142">
        <f t="shared" si="10"/>
        <v>18.227339999999998</v>
      </c>
      <c r="Z658" s="157">
        <v>41837</v>
      </c>
      <c r="AE658" s="137">
        <v>46.38</v>
      </c>
      <c r="AF658" s="157">
        <v>41837</v>
      </c>
      <c r="AG658" s="185">
        <v>5.04</v>
      </c>
      <c r="AH658" s="157">
        <v>41837</v>
      </c>
      <c r="AM658" s="137">
        <v>87</v>
      </c>
      <c r="BM658" s="138">
        <v>59.27</v>
      </c>
      <c r="BN658" s="157">
        <v>41837</v>
      </c>
      <c r="BS658" s="138">
        <v>50.04</v>
      </c>
      <c r="BT658" s="157">
        <v>41837</v>
      </c>
      <c r="BU658" s="138">
        <v>39.299999999999997</v>
      </c>
      <c r="BV658" s="157">
        <v>41837</v>
      </c>
      <c r="BW658" s="138">
        <v>18.7</v>
      </c>
      <c r="BX658" s="157">
        <v>41837</v>
      </c>
      <c r="CC658" s="138">
        <v>9.9</v>
      </c>
      <c r="CD658" s="157">
        <v>41837</v>
      </c>
    </row>
    <row r="659" spans="1:91">
      <c r="A659" s="159" t="s">
        <v>7762</v>
      </c>
      <c r="B659" s="112" t="s">
        <v>271</v>
      </c>
      <c r="C659" s="112">
        <v>4</v>
      </c>
      <c r="D659" s="112">
        <v>91</v>
      </c>
      <c r="E659" s="113">
        <v>10</v>
      </c>
      <c r="F659" s="113">
        <v>19</v>
      </c>
      <c r="M659" s="185">
        <v>2.52</v>
      </c>
      <c r="N659" s="157">
        <v>41837</v>
      </c>
      <c r="R659" s="185"/>
      <c r="S659" s="137">
        <v>6.44</v>
      </c>
      <c r="T659" s="157">
        <v>41837</v>
      </c>
      <c r="U659" s="142">
        <v>18</v>
      </c>
      <c r="Y659" s="142">
        <f t="shared" si="10"/>
        <v>5.3754299999999997</v>
      </c>
      <c r="Z659" s="157">
        <v>41837</v>
      </c>
      <c r="AE659" s="137">
        <v>13.89</v>
      </c>
      <c r="AF659" s="157">
        <v>41837</v>
      </c>
      <c r="AG659" s="185">
        <v>4.82</v>
      </c>
      <c r="AH659" s="157">
        <v>41837</v>
      </c>
      <c r="AM659" s="137">
        <v>92</v>
      </c>
      <c r="BM659" s="138">
        <v>60.03</v>
      </c>
      <c r="BN659" s="157">
        <v>41837</v>
      </c>
      <c r="BS659" s="138">
        <v>46.39</v>
      </c>
      <c r="BT659" s="157">
        <v>41837</v>
      </c>
      <c r="BU659" s="138">
        <v>38.700000000000003</v>
      </c>
      <c r="BV659" s="157">
        <v>41837</v>
      </c>
      <c r="BW659" s="138">
        <v>48.1</v>
      </c>
      <c r="BX659" s="157">
        <v>41837</v>
      </c>
      <c r="CC659" s="138">
        <v>9</v>
      </c>
      <c r="CD659" s="157">
        <v>41837</v>
      </c>
    </row>
    <row r="660" spans="1:91">
      <c r="A660" s="159" t="s">
        <v>7612</v>
      </c>
      <c r="B660" s="112" t="s">
        <v>271</v>
      </c>
      <c r="C660" s="112">
        <v>4</v>
      </c>
      <c r="D660" s="112">
        <v>189</v>
      </c>
      <c r="E660" s="113">
        <v>11</v>
      </c>
      <c r="F660" s="113">
        <v>19</v>
      </c>
      <c r="M660" s="185">
        <v>3.75</v>
      </c>
      <c r="N660" s="157">
        <v>41837</v>
      </c>
      <c r="R660" s="185"/>
      <c r="S660" s="137">
        <v>10.050000000000001</v>
      </c>
      <c r="T660" s="157">
        <v>41837</v>
      </c>
      <c r="U660" s="142">
        <v>18</v>
      </c>
      <c r="Y660" s="142">
        <f t="shared" si="10"/>
        <v>8.2011600000000016</v>
      </c>
      <c r="Z660" s="157">
        <v>41837</v>
      </c>
      <c r="AE660" s="137">
        <v>20.71</v>
      </c>
      <c r="AF660" s="157">
        <v>41837</v>
      </c>
      <c r="AG660" s="185">
        <v>5.36</v>
      </c>
      <c r="AH660" s="157">
        <v>41837</v>
      </c>
      <c r="AM660" s="137">
        <v>92</v>
      </c>
      <c r="BM660" s="138">
        <v>62.21</v>
      </c>
      <c r="BN660" s="157">
        <v>41837</v>
      </c>
      <c r="BS660" s="138">
        <v>48.53</v>
      </c>
      <c r="BT660" s="157">
        <v>41837</v>
      </c>
      <c r="BU660" s="138">
        <v>39.6</v>
      </c>
      <c r="BV660" s="157">
        <v>41837</v>
      </c>
      <c r="BW660" s="138">
        <v>52.1</v>
      </c>
      <c r="BX660" s="157">
        <v>41837</v>
      </c>
      <c r="CC660" s="138">
        <v>8.8000000000000007</v>
      </c>
      <c r="CD660" s="157">
        <v>41837</v>
      </c>
    </row>
    <row r="661" spans="1:91">
      <c r="A661" s="159" t="s">
        <v>7653</v>
      </c>
      <c r="B661" s="112" t="s">
        <v>271</v>
      </c>
      <c r="C661" s="112">
        <v>4</v>
      </c>
      <c r="D661" s="112">
        <v>34</v>
      </c>
      <c r="E661" s="113">
        <v>12</v>
      </c>
      <c r="F661" s="113">
        <v>19</v>
      </c>
      <c r="M661" s="185">
        <v>3.15</v>
      </c>
      <c r="N661" s="157">
        <v>41837</v>
      </c>
      <c r="R661" s="185"/>
      <c r="S661" s="137">
        <v>8.08</v>
      </c>
      <c r="T661" s="157">
        <v>41837</v>
      </c>
      <c r="U661" s="142">
        <v>18</v>
      </c>
      <c r="Y661" s="142">
        <f t="shared" si="10"/>
        <v>6.7157999999999989</v>
      </c>
      <c r="Z661" s="157">
        <v>41837</v>
      </c>
      <c r="AE661" s="137">
        <v>17.22</v>
      </c>
      <c r="AF661" s="157">
        <v>41837</v>
      </c>
      <c r="AG661" s="185">
        <v>4.9000000000000004</v>
      </c>
      <c r="AH661" s="157">
        <v>41837</v>
      </c>
      <c r="AM661" s="137">
        <v>90</v>
      </c>
      <c r="BM661" s="138">
        <v>59.93</v>
      </c>
      <c r="BN661" s="157">
        <v>41837</v>
      </c>
      <c r="BS661" s="138">
        <v>46.9</v>
      </c>
      <c r="BT661" s="157">
        <v>41837</v>
      </c>
      <c r="BU661" s="138">
        <v>39</v>
      </c>
      <c r="BV661" s="157">
        <v>41837</v>
      </c>
      <c r="BW661" s="138">
        <v>50.6</v>
      </c>
      <c r="BX661" s="157">
        <v>41837</v>
      </c>
      <c r="CC661" s="138">
        <v>9.6999999999999993</v>
      </c>
      <c r="CD661" s="157">
        <v>41837</v>
      </c>
    </row>
    <row r="662" spans="1:91">
      <c r="A662" s="159" t="s">
        <v>7814</v>
      </c>
      <c r="B662" s="112" t="s">
        <v>271</v>
      </c>
      <c r="C662" s="112">
        <v>4</v>
      </c>
      <c r="D662" s="112">
        <v>35</v>
      </c>
      <c r="E662" s="113">
        <v>13</v>
      </c>
      <c r="F662" s="113">
        <v>19</v>
      </c>
      <c r="M662" s="185">
        <v>6.65</v>
      </c>
      <c r="N662" s="157">
        <v>41837</v>
      </c>
      <c r="R662" s="185"/>
      <c r="S662" s="137">
        <v>18.62</v>
      </c>
      <c r="T662" s="157">
        <v>41837</v>
      </c>
      <c r="U662" s="142">
        <v>18</v>
      </c>
      <c r="Y662" s="142">
        <f t="shared" si="10"/>
        <v>14.112160000000001</v>
      </c>
      <c r="Z662" s="157">
        <v>41837</v>
      </c>
      <c r="AE662" s="137">
        <v>36.56</v>
      </c>
      <c r="AF662" s="157">
        <v>41837</v>
      </c>
      <c r="AG662" s="185">
        <v>4.43</v>
      </c>
      <c r="AH662" s="157">
        <v>41837</v>
      </c>
      <c r="AM662" s="137">
        <v>92</v>
      </c>
      <c r="BM662" s="138">
        <v>61.39</v>
      </c>
      <c r="BN662" s="157">
        <v>41837</v>
      </c>
      <c r="BS662" s="138">
        <v>50.94</v>
      </c>
      <c r="BT662" s="157">
        <v>41837</v>
      </c>
      <c r="BU662" s="138">
        <v>38.6</v>
      </c>
      <c r="BV662" s="157">
        <v>41837</v>
      </c>
      <c r="BW662" s="138">
        <v>17.399999999999999</v>
      </c>
      <c r="BX662" s="157">
        <v>41837</v>
      </c>
      <c r="CC662" s="138">
        <v>9.1999999999999993</v>
      </c>
      <c r="CD662" s="157">
        <v>41837</v>
      </c>
    </row>
    <row r="663" spans="1:91">
      <c r="A663" s="159" t="s">
        <v>7740</v>
      </c>
      <c r="B663" s="112" t="s">
        <v>271</v>
      </c>
      <c r="C663" s="112">
        <v>4</v>
      </c>
      <c r="D663" s="112">
        <v>40</v>
      </c>
      <c r="E663" s="113">
        <v>14</v>
      </c>
      <c r="F663" s="113">
        <v>19</v>
      </c>
      <c r="M663" s="185">
        <v>1.85</v>
      </c>
      <c r="N663" s="157">
        <v>41837</v>
      </c>
      <c r="R663" s="185"/>
      <c r="S663" s="137">
        <v>4.8499999999999996</v>
      </c>
      <c r="T663" s="157">
        <v>41837</v>
      </c>
      <c r="U663" s="142">
        <v>18</v>
      </c>
      <c r="Y663" s="142">
        <f t="shared" si="10"/>
        <v>4.1520000000000001</v>
      </c>
      <c r="Z663" s="157">
        <v>41837</v>
      </c>
      <c r="AE663" s="137">
        <v>10.38</v>
      </c>
      <c r="AF663" s="157">
        <v>41837</v>
      </c>
      <c r="AG663" s="185">
        <v>5.57</v>
      </c>
      <c r="AH663" s="157">
        <v>41837</v>
      </c>
      <c r="AM663" s="137">
        <v>78</v>
      </c>
      <c r="BM663" s="138">
        <v>62.94</v>
      </c>
      <c r="BN663" s="157">
        <v>41837</v>
      </c>
      <c r="BS663" s="138">
        <v>46.68</v>
      </c>
      <c r="BT663" s="157">
        <v>41837</v>
      </c>
      <c r="BU663" s="138">
        <v>40</v>
      </c>
      <c r="BV663" s="157">
        <v>41837</v>
      </c>
      <c r="BW663" s="138">
        <v>42.3</v>
      </c>
      <c r="BX663" s="157">
        <v>41837</v>
      </c>
      <c r="CC663" s="138">
        <v>7.3</v>
      </c>
      <c r="CD663" s="157">
        <v>41837</v>
      </c>
    </row>
    <row r="664" spans="1:91">
      <c r="A664" s="189" t="s">
        <v>7749</v>
      </c>
      <c r="B664" s="190" t="s">
        <v>271</v>
      </c>
      <c r="C664" s="190">
        <v>4</v>
      </c>
      <c r="D664" s="190">
        <v>128</v>
      </c>
      <c r="E664" s="191">
        <v>15</v>
      </c>
      <c r="F664" s="191">
        <v>19</v>
      </c>
      <c r="G664" s="191"/>
      <c r="H664" s="191"/>
      <c r="I664" s="190"/>
      <c r="J664" s="190"/>
      <c r="K664" s="195"/>
      <c r="L664" s="193"/>
      <c r="M664" s="194">
        <v>4.12</v>
      </c>
      <c r="N664" s="193">
        <v>41837</v>
      </c>
      <c r="P664" s="193"/>
      <c r="Q664" s="195"/>
      <c r="R664" s="194"/>
      <c r="S664" s="195">
        <v>11.15</v>
      </c>
      <c r="T664" s="193">
        <v>41837</v>
      </c>
      <c r="U664" s="192">
        <v>18</v>
      </c>
      <c r="V664" s="193"/>
      <c r="W664" s="195"/>
      <c r="X664" s="193"/>
      <c r="Y664" s="192">
        <f t="shared" si="10"/>
        <v>9.5970000000000013</v>
      </c>
      <c r="Z664" s="193">
        <v>41837</v>
      </c>
      <c r="AA664" s="195"/>
      <c r="AB664" s="193"/>
      <c r="AC664" s="195"/>
      <c r="AD664" s="193"/>
      <c r="AE664" s="195">
        <v>22.85</v>
      </c>
      <c r="AF664" s="193">
        <v>41837</v>
      </c>
      <c r="AG664" s="194">
        <v>5</v>
      </c>
      <c r="AH664" s="193">
        <v>41837</v>
      </c>
      <c r="AI664" s="193"/>
      <c r="AJ664" s="193"/>
      <c r="AK664" s="195"/>
      <c r="AL664" s="193"/>
      <c r="AM664" s="195">
        <v>92</v>
      </c>
      <c r="AN664" s="193"/>
      <c r="AO664" s="195"/>
      <c r="AP664" s="195"/>
      <c r="AQ664" s="195"/>
      <c r="AR664" s="195"/>
      <c r="AS664" s="195"/>
      <c r="AT664" s="195"/>
      <c r="AU664" s="195"/>
      <c r="AV664" s="195"/>
      <c r="AW664" s="195"/>
      <c r="AX664" s="195"/>
      <c r="AY664" s="195"/>
      <c r="AZ664" s="195"/>
      <c r="BA664" s="195"/>
      <c r="BB664" s="195"/>
      <c r="BC664" s="195"/>
      <c r="BD664" s="195"/>
      <c r="BE664" s="196"/>
      <c r="BF664" s="196"/>
      <c r="BG664" s="196"/>
      <c r="BH664" s="196"/>
      <c r="BI664" s="196"/>
      <c r="BJ664" s="196"/>
      <c r="BK664" s="196"/>
      <c r="BL664" s="196"/>
      <c r="BM664" s="196">
        <v>61.92</v>
      </c>
      <c r="BN664" s="193">
        <v>41837</v>
      </c>
      <c r="BO664" s="196"/>
      <c r="BP664" s="196"/>
      <c r="BQ664" s="196"/>
      <c r="BR664" s="196"/>
      <c r="BS664" s="196">
        <v>48.81</v>
      </c>
      <c r="BT664" s="193">
        <v>41837</v>
      </c>
      <c r="BU664" s="196">
        <v>42</v>
      </c>
      <c r="BV664" s="193">
        <v>41837</v>
      </c>
      <c r="BW664" s="196">
        <v>62.7</v>
      </c>
      <c r="BX664" s="193">
        <v>41837</v>
      </c>
      <c r="BY664" s="196"/>
      <c r="BZ664" s="196"/>
      <c r="CA664" s="196"/>
      <c r="CB664" s="196"/>
      <c r="CC664" s="196">
        <v>8.4</v>
      </c>
      <c r="CD664" s="193">
        <v>41837</v>
      </c>
      <c r="CE664" s="196"/>
      <c r="CF664" s="196"/>
      <c r="CG664" s="196"/>
      <c r="CH664" s="196"/>
      <c r="CI664" s="196"/>
      <c r="CJ664" s="196"/>
      <c r="CK664" s="196"/>
      <c r="CL664" s="196"/>
      <c r="CM664" s="196"/>
    </row>
    <row r="665" spans="1:91">
      <c r="A665" s="186" t="s">
        <v>7732</v>
      </c>
      <c r="B665" s="187" t="s">
        <v>271</v>
      </c>
      <c r="C665" s="187">
        <v>4</v>
      </c>
      <c r="D665" s="187">
        <v>10</v>
      </c>
      <c r="E665" s="188">
        <v>16</v>
      </c>
      <c r="F665" s="188">
        <v>19</v>
      </c>
      <c r="G665" s="188"/>
      <c r="H665" s="188"/>
      <c r="I665" s="200"/>
      <c r="J665" s="187"/>
      <c r="K665" s="142"/>
      <c r="M665" s="185">
        <v>6.16</v>
      </c>
      <c r="N665" s="157">
        <v>41837</v>
      </c>
      <c r="Q665" s="142"/>
      <c r="R665" s="185"/>
      <c r="S665" s="142">
        <v>17.71</v>
      </c>
      <c r="T665" s="157">
        <v>41837</v>
      </c>
      <c r="U665" s="142">
        <v>18</v>
      </c>
      <c r="W665" s="142"/>
      <c r="Y665" s="142">
        <f t="shared" si="10"/>
        <v>13.589940000000002</v>
      </c>
      <c r="Z665" s="157">
        <v>41837</v>
      </c>
      <c r="AA665" s="142"/>
      <c r="AE665" s="142">
        <v>34.06</v>
      </c>
      <c r="AF665" s="157">
        <v>41837</v>
      </c>
      <c r="AG665" s="185">
        <v>5.2</v>
      </c>
      <c r="AH665" s="157">
        <v>41837</v>
      </c>
      <c r="AK665" s="142"/>
      <c r="AM665" s="142">
        <v>85</v>
      </c>
      <c r="BM665" s="138">
        <v>59.92</v>
      </c>
      <c r="BN665" s="157">
        <v>41837</v>
      </c>
      <c r="BS665" s="138">
        <v>52.01</v>
      </c>
      <c r="BT665" s="157">
        <v>41837</v>
      </c>
      <c r="BU665" s="138">
        <v>39.9</v>
      </c>
      <c r="BV665" s="157">
        <v>41837</v>
      </c>
      <c r="BW665" s="138">
        <v>15.5</v>
      </c>
      <c r="BX665" s="157">
        <v>41837</v>
      </c>
      <c r="CC665" s="138">
        <v>8.6999999999999993</v>
      </c>
      <c r="CD665" s="157">
        <v>41837</v>
      </c>
    </row>
    <row r="666" spans="1:91">
      <c r="A666" s="159" t="s">
        <v>7715</v>
      </c>
      <c r="B666" s="112" t="s">
        <v>271</v>
      </c>
      <c r="C666" s="112">
        <v>4</v>
      </c>
      <c r="D666" s="112">
        <v>89</v>
      </c>
      <c r="E666" s="113">
        <v>17</v>
      </c>
      <c r="F666" s="113">
        <v>19</v>
      </c>
      <c r="M666" s="185">
        <v>5.43</v>
      </c>
      <c r="N666" s="157">
        <v>41837</v>
      </c>
      <c r="R666" s="185"/>
      <c r="S666" s="137">
        <v>14.35</v>
      </c>
      <c r="T666" s="157">
        <v>41837</v>
      </c>
      <c r="U666" s="142">
        <v>18</v>
      </c>
      <c r="Y666" s="142">
        <f t="shared" si="10"/>
        <v>11.054040000000002</v>
      </c>
      <c r="Z666" s="157">
        <v>41837</v>
      </c>
      <c r="AE666" s="137">
        <v>30.12</v>
      </c>
      <c r="AF666" s="157">
        <v>41837</v>
      </c>
      <c r="AG666" s="185">
        <v>4.5199999999999996</v>
      </c>
      <c r="AH666" s="157">
        <v>41837</v>
      </c>
      <c r="AM666" s="137">
        <v>87</v>
      </c>
      <c r="BM666" s="138">
        <v>57.75</v>
      </c>
      <c r="BN666" s="157">
        <v>41837</v>
      </c>
      <c r="BS666" s="138">
        <v>47.64</v>
      </c>
      <c r="BT666" s="157">
        <v>41837</v>
      </c>
      <c r="BU666" s="138">
        <v>36.700000000000003</v>
      </c>
      <c r="BV666" s="157">
        <v>41837</v>
      </c>
      <c r="BW666" s="138">
        <v>18.899999999999999</v>
      </c>
      <c r="BX666" s="157">
        <v>41837</v>
      </c>
      <c r="CC666" s="138">
        <v>8.4</v>
      </c>
      <c r="CD666" s="157">
        <v>41837</v>
      </c>
    </row>
    <row r="667" spans="1:91">
      <c r="A667" s="159" t="s">
        <v>7714</v>
      </c>
      <c r="B667" s="112" t="s">
        <v>271</v>
      </c>
      <c r="C667" s="112">
        <v>4</v>
      </c>
      <c r="D667" s="112">
        <v>120</v>
      </c>
      <c r="E667" s="113">
        <v>18</v>
      </c>
      <c r="F667" s="113">
        <v>19</v>
      </c>
      <c r="M667" s="185">
        <v>7.43</v>
      </c>
      <c r="N667" s="157">
        <v>41837</v>
      </c>
      <c r="R667" s="185"/>
      <c r="S667" s="137">
        <v>20.010000000000002</v>
      </c>
      <c r="T667" s="157">
        <v>41837</v>
      </c>
      <c r="U667" s="142">
        <v>18</v>
      </c>
      <c r="Y667" s="142">
        <f t="shared" si="10"/>
        <v>15.397080000000001</v>
      </c>
      <c r="Z667" s="157">
        <v>41837</v>
      </c>
      <c r="AE667" s="137">
        <v>41.39</v>
      </c>
      <c r="AF667" s="157">
        <v>41837</v>
      </c>
      <c r="AG667" s="185">
        <v>4.97</v>
      </c>
      <c r="AH667" s="157">
        <v>41837</v>
      </c>
      <c r="AM667" s="137">
        <v>87</v>
      </c>
      <c r="BM667" s="138">
        <v>58.53</v>
      </c>
      <c r="BN667" s="157">
        <v>41837</v>
      </c>
      <c r="BS667" s="138">
        <v>48.34</v>
      </c>
      <c r="BT667" s="157">
        <v>41837</v>
      </c>
      <c r="BU667" s="138">
        <v>37.200000000000003</v>
      </c>
      <c r="BV667" s="157">
        <v>41837</v>
      </c>
      <c r="BW667" s="138">
        <v>13.1</v>
      </c>
      <c r="BX667" s="157">
        <v>41837</v>
      </c>
      <c r="CC667" s="138">
        <v>8</v>
      </c>
      <c r="CD667" s="157">
        <v>41837</v>
      </c>
    </row>
    <row r="668" spans="1:91">
      <c r="A668" s="159" t="s">
        <v>7644</v>
      </c>
      <c r="B668" s="112" t="s">
        <v>271</v>
      </c>
      <c r="C668" s="112">
        <v>4</v>
      </c>
      <c r="D668" s="112">
        <v>94</v>
      </c>
      <c r="E668" s="113">
        <v>19</v>
      </c>
      <c r="F668" s="113">
        <v>19</v>
      </c>
      <c r="M668" s="185">
        <v>4.63</v>
      </c>
      <c r="N668" s="157">
        <v>41837</v>
      </c>
      <c r="R668" s="185"/>
      <c r="S668" s="137">
        <v>12.25</v>
      </c>
      <c r="T668" s="157">
        <v>41837</v>
      </c>
      <c r="U668" s="142">
        <v>18</v>
      </c>
      <c r="Y668" s="142">
        <f t="shared" si="10"/>
        <v>10.519460000000002</v>
      </c>
      <c r="Z668" s="157">
        <v>41837</v>
      </c>
      <c r="AE668" s="137">
        <v>25.91</v>
      </c>
      <c r="AF668" s="157">
        <v>41837</v>
      </c>
      <c r="AG668" s="185">
        <v>6.1</v>
      </c>
      <c r="AH668" s="157">
        <v>41837</v>
      </c>
      <c r="AM668" s="137">
        <v>87</v>
      </c>
      <c r="BM668" s="138">
        <v>58.82</v>
      </c>
      <c r="BN668" s="157">
        <v>41837</v>
      </c>
      <c r="BS668" s="138">
        <v>47.27</v>
      </c>
      <c r="BT668" s="157">
        <v>41837</v>
      </c>
      <c r="BU668" s="138">
        <v>40.6</v>
      </c>
      <c r="BV668" s="157">
        <v>41837</v>
      </c>
      <c r="BW668" s="138">
        <v>56.2</v>
      </c>
      <c r="BX668" s="157">
        <v>41837</v>
      </c>
      <c r="CC668" s="138">
        <v>7.6</v>
      </c>
      <c r="CD668" s="157">
        <v>41837</v>
      </c>
    </row>
    <row r="669" spans="1:91">
      <c r="A669" s="159" t="s">
        <v>7641</v>
      </c>
      <c r="B669" s="112" t="s">
        <v>271</v>
      </c>
      <c r="C669" s="112">
        <v>4</v>
      </c>
      <c r="D669" s="112">
        <v>95</v>
      </c>
      <c r="E669" s="113">
        <v>20</v>
      </c>
      <c r="F669" s="113">
        <v>19</v>
      </c>
      <c r="M669" s="185">
        <v>5.83</v>
      </c>
      <c r="N669" s="157">
        <v>41837</v>
      </c>
      <c r="R669" s="185"/>
      <c r="S669" s="137">
        <v>16.71</v>
      </c>
      <c r="T669" s="157">
        <v>41837</v>
      </c>
      <c r="U669" s="142">
        <v>18</v>
      </c>
      <c r="Y669" s="142">
        <f t="shared" si="10"/>
        <v>13.363000000000001</v>
      </c>
      <c r="Z669" s="157">
        <v>41837</v>
      </c>
      <c r="AE669" s="137">
        <v>32.200000000000003</v>
      </c>
      <c r="AF669" s="157">
        <v>41837</v>
      </c>
      <c r="AG669" s="185">
        <v>4.95</v>
      </c>
      <c r="AH669" s="157">
        <v>41837</v>
      </c>
      <c r="AM669" s="137">
        <v>92</v>
      </c>
      <c r="BM669" s="138">
        <v>64.260000000000005</v>
      </c>
      <c r="BN669" s="157">
        <v>41837</v>
      </c>
      <c r="BS669" s="138">
        <v>51.88</v>
      </c>
      <c r="BT669" s="157">
        <v>41837</v>
      </c>
      <c r="BU669" s="138">
        <v>41.5</v>
      </c>
      <c r="BV669" s="157">
        <v>41837</v>
      </c>
      <c r="BW669" s="138">
        <v>42.3</v>
      </c>
      <c r="BX669" s="157">
        <v>41837</v>
      </c>
      <c r="CC669" s="138">
        <v>8.8000000000000007</v>
      </c>
      <c r="CD669" s="157">
        <v>41837</v>
      </c>
    </row>
    <row r="670" spans="1:91">
      <c r="A670" s="159" t="s">
        <v>7798</v>
      </c>
      <c r="B670" s="112" t="s">
        <v>271</v>
      </c>
      <c r="C670" s="112">
        <v>4</v>
      </c>
      <c r="D670" s="112">
        <v>117</v>
      </c>
      <c r="E670" s="113">
        <v>21</v>
      </c>
      <c r="F670" s="113">
        <v>19</v>
      </c>
      <c r="M670" s="185">
        <v>7.47</v>
      </c>
      <c r="N670" s="157">
        <v>41837</v>
      </c>
      <c r="R670" s="185"/>
      <c r="S670" s="137">
        <v>21.39</v>
      </c>
      <c r="T670" s="157">
        <v>41837</v>
      </c>
      <c r="U670" s="142">
        <v>18</v>
      </c>
      <c r="Y670" s="142">
        <f t="shared" si="10"/>
        <v>16.080760000000001</v>
      </c>
      <c r="Z670" s="157">
        <v>41837</v>
      </c>
      <c r="AE670" s="137">
        <v>41.66</v>
      </c>
      <c r="AF670" s="157">
        <v>41837</v>
      </c>
      <c r="AG670" s="185">
        <v>4.76</v>
      </c>
      <c r="AH670" s="157">
        <v>41837</v>
      </c>
      <c r="AM670" s="137">
        <v>92</v>
      </c>
      <c r="BM670" s="138">
        <v>60.9</v>
      </c>
      <c r="BN670" s="157">
        <v>41837</v>
      </c>
      <c r="BS670" s="138">
        <v>51.34</v>
      </c>
      <c r="BT670" s="157">
        <v>41837</v>
      </c>
      <c r="BU670" s="138">
        <v>38.6</v>
      </c>
      <c r="BV670" s="157">
        <v>41837</v>
      </c>
      <c r="BW670" s="138">
        <v>15.9</v>
      </c>
      <c r="BX670" s="157">
        <v>41837</v>
      </c>
      <c r="CC670" s="138">
        <v>7.9</v>
      </c>
      <c r="CD670" s="157">
        <v>41837</v>
      </c>
    </row>
    <row r="671" spans="1:91">
      <c r="A671" s="159" t="s">
        <v>7766</v>
      </c>
      <c r="B671" s="112" t="s">
        <v>271</v>
      </c>
      <c r="C671" s="112">
        <v>4</v>
      </c>
      <c r="D671" s="112">
        <v>96</v>
      </c>
      <c r="E671" s="113">
        <v>22</v>
      </c>
      <c r="F671" s="113">
        <v>19</v>
      </c>
      <c r="M671" s="185">
        <v>7.22</v>
      </c>
      <c r="N671" s="157">
        <v>41837</v>
      </c>
      <c r="R671" s="185"/>
      <c r="S671" s="137">
        <v>20.51</v>
      </c>
      <c r="T671" s="157">
        <v>41837</v>
      </c>
      <c r="U671" s="142">
        <v>18</v>
      </c>
      <c r="Y671" s="142">
        <f t="shared" si="10"/>
        <v>15.062280000000003</v>
      </c>
      <c r="Z671" s="157">
        <v>41837</v>
      </c>
      <c r="AE671" s="137">
        <v>40.49</v>
      </c>
      <c r="AF671" s="157">
        <v>41837</v>
      </c>
      <c r="AG671" s="185">
        <v>5.42</v>
      </c>
      <c r="AH671" s="157">
        <v>41837</v>
      </c>
      <c r="AM671" s="137">
        <v>92</v>
      </c>
      <c r="BM671" s="138">
        <v>64.38</v>
      </c>
      <c r="BN671" s="157">
        <v>41837</v>
      </c>
      <c r="BS671" s="138">
        <v>50.66</v>
      </c>
      <c r="BT671" s="157">
        <v>41837</v>
      </c>
      <c r="BU671" s="138">
        <v>37.200000000000003</v>
      </c>
      <c r="BV671" s="157">
        <v>41837</v>
      </c>
      <c r="BW671" s="138">
        <v>14.9</v>
      </c>
      <c r="BX671" s="157">
        <v>41837</v>
      </c>
      <c r="CC671" s="138">
        <v>7.4</v>
      </c>
      <c r="CD671" s="157">
        <v>41837</v>
      </c>
    </row>
    <row r="672" spans="1:91">
      <c r="A672" s="159" t="s">
        <v>7804</v>
      </c>
      <c r="B672" s="112" t="s">
        <v>271</v>
      </c>
      <c r="C672" s="112">
        <v>4</v>
      </c>
      <c r="D672" s="112">
        <v>118</v>
      </c>
      <c r="E672" s="113">
        <v>23</v>
      </c>
      <c r="F672" s="113">
        <v>19</v>
      </c>
      <c r="M672" s="185">
        <v>7.6</v>
      </c>
      <c r="N672" s="157">
        <v>41837</v>
      </c>
      <c r="R672" s="185"/>
      <c r="S672" s="137">
        <v>21.68</v>
      </c>
      <c r="T672" s="157">
        <v>41837</v>
      </c>
      <c r="U672" s="142">
        <v>18</v>
      </c>
      <c r="Y672" s="142">
        <f t="shared" si="10"/>
        <v>15.444520000000001</v>
      </c>
      <c r="Z672" s="157">
        <v>41837</v>
      </c>
      <c r="AE672" s="137">
        <v>42.43</v>
      </c>
      <c r="AF672" s="157">
        <v>41837</v>
      </c>
      <c r="AG672" s="185">
        <v>5.24</v>
      </c>
      <c r="AH672" s="157">
        <v>41837</v>
      </c>
      <c r="AM672" s="137">
        <v>92</v>
      </c>
      <c r="BM672" s="138">
        <v>62.47</v>
      </c>
      <c r="BN672" s="157">
        <v>41837</v>
      </c>
      <c r="BS672" s="138">
        <v>51.09</v>
      </c>
      <c r="BT672" s="157">
        <v>41837</v>
      </c>
      <c r="BU672" s="138">
        <v>36.4</v>
      </c>
      <c r="BV672" s="157">
        <v>41837</v>
      </c>
      <c r="BW672" s="138">
        <v>13.4</v>
      </c>
      <c r="BX672" s="157">
        <v>41837</v>
      </c>
      <c r="CC672" s="138">
        <v>7.8</v>
      </c>
      <c r="CD672" s="157">
        <v>41837</v>
      </c>
    </row>
    <row r="673" spans="1:91">
      <c r="A673" s="189" t="s">
        <v>7746</v>
      </c>
      <c r="B673" s="190" t="s">
        <v>271</v>
      </c>
      <c r="C673" s="190">
        <v>4</v>
      </c>
      <c r="D673" s="190">
        <v>6</v>
      </c>
      <c r="E673" s="191">
        <v>24</v>
      </c>
      <c r="F673" s="191">
        <v>19</v>
      </c>
      <c r="G673" s="191"/>
      <c r="H673" s="191"/>
      <c r="I673" s="201"/>
      <c r="J673" s="190"/>
      <c r="K673" s="192"/>
      <c r="L673" s="193"/>
      <c r="M673" s="194">
        <v>4.18</v>
      </c>
      <c r="N673" s="193">
        <v>41837</v>
      </c>
      <c r="P673" s="193"/>
      <c r="Q673" s="192"/>
      <c r="R673" s="194"/>
      <c r="S673" s="192">
        <v>11.6</v>
      </c>
      <c r="T673" s="193">
        <v>41837</v>
      </c>
      <c r="U673" s="192">
        <v>18</v>
      </c>
      <c r="V673" s="193"/>
      <c r="W673" s="192"/>
      <c r="X673" s="193"/>
      <c r="Y673" s="192">
        <f t="shared" si="10"/>
        <v>9.8135100000000008</v>
      </c>
      <c r="Z673" s="193">
        <v>41837</v>
      </c>
      <c r="AA673" s="192"/>
      <c r="AB673" s="193"/>
      <c r="AC673" s="195"/>
      <c r="AD673" s="193"/>
      <c r="AE673" s="192">
        <v>23.31</v>
      </c>
      <c r="AF673" s="193">
        <v>41837</v>
      </c>
      <c r="AG673" s="194">
        <v>6.99</v>
      </c>
      <c r="AH673" s="193">
        <v>41837</v>
      </c>
      <c r="AI673" s="193"/>
      <c r="AJ673" s="193"/>
      <c r="AK673" s="192"/>
      <c r="AL673" s="193"/>
      <c r="AM673" s="192">
        <v>90</v>
      </c>
      <c r="AN673" s="193"/>
      <c r="AO673" s="195"/>
      <c r="AP673" s="195"/>
      <c r="AQ673" s="195"/>
      <c r="AR673" s="195"/>
      <c r="AS673" s="195"/>
      <c r="AT673" s="195"/>
      <c r="AU673" s="195"/>
      <c r="AV673" s="195"/>
      <c r="AW673" s="195"/>
      <c r="AX673" s="195"/>
      <c r="AY673" s="195"/>
      <c r="AZ673" s="195"/>
      <c r="BA673" s="195"/>
      <c r="BB673" s="195"/>
      <c r="BC673" s="195"/>
      <c r="BD673" s="195"/>
      <c r="BE673" s="196"/>
      <c r="BF673" s="196"/>
      <c r="BG673" s="196"/>
      <c r="BH673" s="196"/>
      <c r="BI673" s="196"/>
      <c r="BJ673" s="196"/>
      <c r="BK673" s="196"/>
      <c r="BL673" s="196"/>
      <c r="BM673" s="196">
        <v>61.87</v>
      </c>
      <c r="BN673" s="193">
        <v>41837</v>
      </c>
      <c r="BO673" s="196"/>
      <c r="BP673" s="196"/>
      <c r="BQ673" s="196"/>
      <c r="BR673" s="196"/>
      <c r="BS673" s="196">
        <v>49.76</v>
      </c>
      <c r="BT673" s="193">
        <v>41837</v>
      </c>
      <c r="BU673" s="196">
        <v>42.1</v>
      </c>
      <c r="BV673" s="193">
        <v>41837</v>
      </c>
      <c r="BW673" s="196">
        <v>62.8</v>
      </c>
      <c r="BX673" s="193">
        <v>41837</v>
      </c>
      <c r="BY673" s="196"/>
      <c r="BZ673" s="196"/>
      <c r="CA673" s="196"/>
      <c r="CB673" s="196"/>
      <c r="CC673" s="196">
        <v>7.9</v>
      </c>
      <c r="CD673" s="193">
        <v>41837</v>
      </c>
      <c r="CE673" s="196"/>
      <c r="CF673" s="196"/>
      <c r="CG673" s="196"/>
      <c r="CH673" s="196"/>
      <c r="CI673" s="196"/>
      <c r="CJ673" s="196"/>
      <c r="CK673" s="196"/>
      <c r="CL673" s="196"/>
      <c r="CM673" s="196"/>
    </row>
    <row r="674" spans="1:91">
      <c r="A674" s="159" t="s">
        <v>7633</v>
      </c>
      <c r="B674" s="112" t="s">
        <v>271</v>
      </c>
      <c r="C674" s="112">
        <v>4</v>
      </c>
      <c r="D674" s="112">
        <v>98</v>
      </c>
      <c r="E674" s="113">
        <v>25</v>
      </c>
      <c r="F674" s="113">
        <v>19</v>
      </c>
      <c r="M674" s="185">
        <v>6.18</v>
      </c>
      <c r="N674" s="157">
        <v>41837</v>
      </c>
      <c r="R674" s="185"/>
      <c r="S674" s="137">
        <v>17.350000000000001</v>
      </c>
      <c r="T674" s="157">
        <v>41837</v>
      </c>
      <c r="U674" s="142">
        <v>18</v>
      </c>
      <c r="Y674" s="142">
        <f t="shared" si="10"/>
        <v>13.512240000000002</v>
      </c>
      <c r="Z674" s="157">
        <v>41837</v>
      </c>
      <c r="AE674" s="137">
        <v>34.47</v>
      </c>
      <c r="AF674" s="157">
        <v>41837</v>
      </c>
      <c r="AG674" s="185">
        <v>5.14</v>
      </c>
      <c r="AH674" s="157">
        <v>41837</v>
      </c>
      <c r="AM674" s="137">
        <v>94</v>
      </c>
      <c r="BM674" s="138">
        <v>63.43</v>
      </c>
      <c r="BN674" s="157">
        <v>41837</v>
      </c>
      <c r="BS674" s="138">
        <v>50.33</v>
      </c>
      <c r="BT674" s="157">
        <v>41837</v>
      </c>
      <c r="BU674" s="138">
        <v>39.200000000000003</v>
      </c>
      <c r="BV674" s="157">
        <v>41837</v>
      </c>
      <c r="BW674" s="138">
        <v>49.7</v>
      </c>
      <c r="BX674" s="157">
        <v>41837</v>
      </c>
      <c r="CC674" s="138">
        <v>7.9</v>
      </c>
      <c r="CD674" s="157">
        <v>41837</v>
      </c>
    </row>
    <row r="675" spans="1:91">
      <c r="A675" s="159" t="s">
        <v>7623</v>
      </c>
      <c r="B675" s="112" t="s">
        <v>271</v>
      </c>
      <c r="C675" s="112">
        <v>4</v>
      </c>
      <c r="D675" s="112">
        <v>113</v>
      </c>
      <c r="E675" s="113">
        <v>26</v>
      </c>
      <c r="F675" s="113">
        <v>19</v>
      </c>
      <c r="M675" s="185">
        <v>3.34</v>
      </c>
      <c r="N675" s="157">
        <v>41837</v>
      </c>
      <c r="R675" s="185"/>
      <c r="S675" s="137">
        <v>9.4600000000000009</v>
      </c>
      <c r="T675" s="157">
        <v>41837</v>
      </c>
      <c r="U675" s="142">
        <v>18</v>
      </c>
      <c r="Y675" s="142">
        <f t="shared" si="10"/>
        <v>7.5</v>
      </c>
      <c r="Z675" s="157">
        <v>41837</v>
      </c>
      <c r="AE675" s="137">
        <v>18.75</v>
      </c>
      <c r="AF675" s="157">
        <v>41837</v>
      </c>
      <c r="AG675" s="185">
        <v>4.4000000000000004</v>
      </c>
      <c r="AH675" s="157">
        <v>41837</v>
      </c>
      <c r="AM675" s="137">
        <v>83</v>
      </c>
      <c r="BM675" s="138">
        <v>59.43</v>
      </c>
      <c r="BN675" s="157">
        <v>41837</v>
      </c>
      <c r="BS675" s="138">
        <v>50.46</v>
      </c>
      <c r="BT675" s="157">
        <v>41837</v>
      </c>
      <c r="BU675" s="138">
        <v>40</v>
      </c>
      <c r="BV675" s="157">
        <v>41837</v>
      </c>
      <c r="BW675" s="138">
        <v>52.4</v>
      </c>
      <c r="BX675" s="157">
        <v>41837</v>
      </c>
      <c r="CC675" s="138">
        <v>7.3</v>
      </c>
      <c r="CD675" s="157">
        <v>41837</v>
      </c>
    </row>
    <row r="676" spans="1:91">
      <c r="A676" s="159" t="s">
        <v>7729</v>
      </c>
      <c r="B676" s="112" t="s">
        <v>271</v>
      </c>
      <c r="C676" s="112">
        <v>4</v>
      </c>
      <c r="D676" s="112">
        <v>50</v>
      </c>
      <c r="E676" s="113">
        <v>27</v>
      </c>
      <c r="F676" s="113">
        <v>19</v>
      </c>
      <c r="M676" s="185">
        <v>6.05</v>
      </c>
      <c r="N676" s="157">
        <v>41837</v>
      </c>
      <c r="R676" s="185"/>
      <c r="S676" s="137">
        <v>16.96</v>
      </c>
      <c r="T676" s="157">
        <v>41837</v>
      </c>
      <c r="U676" s="142">
        <v>18</v>
      </c>
      <c r="Y676" s="142">
        <f t="shared" si="10"/>
        <v>13.149319999999999</v>
      </c>
      <c r="Z676" s="157">
        <v>41837</v>
      </c>
      <c r="AE676" s="137">
        <v>33.89</v>
      </c>
      <c r="AF676" s="157">
        <v>41837</v>
      </c>
      <c r="AG676" s="185">
        <v>4.92</v>
      </c>
      <c r="AH676" s="157">
        <v>41837</v>
      </c>
      <c r="AM676" s="137">
        <v>92</v>
      </c>
      <c r="BM676" s="138">
        <v>59.62</v>
      </c>
      <c r="BN676" s="157">
        <v>41837</v>
      </c>
      <c r="BS676" s="138">
        <v>50.05</v>
      </c>
      <c r="BT676" s="157">
        <v>41837</v>
      </c>
      <c r="BU676" s="138">
        <v>38.799999999999997</v>
      </c>
      <c r="BV676" s="157">
        <v>41837</v>
      </c>
      <c r="BW676" s="138">
        <v>16.100000000000001</v>
      </c>
      <c r="BX676" s="157">
        <v>41837</v>
      </c>
      <c r="CC676" s="138">
        <v>7.5</v>
      </c>
      <c r="CD676" s="157">
        <v>41837</v>
      </c>
    </row>
    <row r="677" spans="1:91">
      <c r="A677" s="159" t="s">
        <v>7703</v>
      </c>
      <c r="B677" s="112" t="s">
        <v>271</v>
      </c>
      <c r="C677" s="112">
        <v>4</v>
      </c>
      <c r="D677" s="112">
        <v>67</v>
      </c>
      <c r="E677" s="113">
        <v>28</v>
      </c>
      <c r="F677" s="113">
        <v>19</v>
      </c>
      <c r="M677" s="185">
        <v>5.17</v>
      </c>
      <c r="N677" s="157">
        <v>41837</v>
      </c>
      <c r="R677" s="185"/>
      <c r="S677" s="137">
        <v>13.79</v>
      </c>
      <c r="T677" s="157">
        <v>41837</v>
      </c>
      <c r="U677" s="142">
        <v>18</v>
      </c>
      <c r="Y677" s="142">
        <f t="shared" si="10"/>
        <v>11.427349999999999</v>
      </c>
      <c r="Z677" s="157">
        <v>41837</v>
      </c>
      <c r="AE677" s="137">
        <v>28.93</v>
      </c>
      <c r="AF677" s="157">
        <v>41837</v>
      </c>
      <c r="AG677" s="185">
        <v>5.1100000000000003</v>
      </c>
      <c r="AH677" s="157">
        <v>41837</v>
      </c>
      <c r="AM677" s="137">
        <v>92</v>
      </c>
      <c r="BM677" s="138">
        <v>60.6</v>
      </c>
      <c r="BN677" s="157">
        <v>41837</v>
      </c>
      <c r="BS677" s="138">
        <v>47.66</v>
      </c>
      <c r="BT677" s="157">
        <v>41837</v>
      </c>
      <c r="BU677" s="138">
        <v>39.5</v>
      </c>
      <c r="BV677" s="157">
        <v>41837</v>
      </c>
      <c r="BW677" s="138">
        <v>18.5</v>
      </c>
      <c r="BX677" s="157">
        <v>41837</v>
      </c>
      <c r="CC677" s="138">
        <v>7.6</v>
      </c>
      <c r="CD677" s="157">
        <v>41837</v>
      </c>
    </row>
    <row r="678" spans="1:91">
      <c r="A678" s="159" t="s">
        <v>7796</v>
      </c>
      <c r="B678" s="112" t="s">
        <v>271</v>
      </c>
      <c r="C678" s="112">
        <v>4</v>
      </c>
      <c r="D678" s="112">
        <v>115</v>
      </c>
      <c r="E678" s="113">
        <v>29</v>
      </c>
      <c r="F678" s="113">
        <v>19</v>
      </c>
      <c r="M678" s="185">
        <v>5.99</v>
      </c>
      <c r="N678" s="157">
        <v>41837</v>
      </c>
      <c r="R678" s="185"/>
      <c r="S678" s="137">
        <v>16.71</v>
      </c>
      <c r="T678" s="157">
        <v>41837</v>
      </c>
      <c r="U678" s="142">
        <v>18</v>
      </c>
      <c r="Y678" s="142">
        <f t="shared" si="10"/>
        <v>13.039280000000002</v>
      </c>
      <c r="Z678" s="157">
        <v>41837</v>
      </c>
      <c r="AE678" s="137">
        <v>33.520000000000003</v>
      </c>
      <c r="AF678" s="157">
        <v>41837</v>
      </c>
      <c r="AG678" s="185">
        <v>4.93</v>
      </c>
      <c r="AH678" s="157">
        <v>41837</v>
      </c>
      <c r="AM678" s="137">
        <v>92</v>
      </c>
      <c r="BM678" s="138">
        <v>62.01</v>
      </c>
      <c r="BN678" s="157">
        <v>41837</v>
      </c>
      <c r="BS678" s="138">
        <v>49.84</v>
      </c>
      <c r="BT678" s="157">
        <v>41837</v>
      </c>
      <c r="BU678" s="138">
        <v>38.9</v>
      </c>
      <c r="BV678" s="157">
        <v>41837</v>
      </c>
      <c r="BW678" s="138">
        <v>16.399999999999999</v>
      </c>
      <c r="BX678" s="157">
        <v>41837</v>
      </c>
      <c r="CC678" s="138">
        <v>7.6</v>
      </c>
      <c r="CD678" s="157">
        <v>41837</v>
      </c>
    </row>
    <row r="679" spans="1:91">
      <c r="A679" s="159" t="s">
        <v>7686</v>
      </c>
      <c r="B679" s="112" t="s">
        <v>271</v>
      </c>
      <c r="C679" s="112">
        <v>4</v>
      </c>
      <c r="D679" s="112">
        <v>204</v>
      </c>
      <c r="E679" s="113">
        <v>30</v>
      </c>
      <c r="F679" s="113">
        <v>19</v>
      </c>
      <c r="M679" s="185">
        <v>5.7</v>
      </c>
      <c r="N679" s="157">
        <v>41837</v>
      </c>
      <c r="R679" s="185"/>
      <c r="S679" s="137">
        <v>16.07</v>
      </c>
      <c r="T679" s="157">
        <v>41837</v>
      </c>
      <c r="U679" s="142">
        <v>18</v>
      </c>
      <c r="Y679" s="142">
        <f t="shared" si="10"/>
        <v>12.395610000000001</v>
      </c>
      <c r="Z679" s="157">
        <v>41837</v>
      </c>
      <c r="AE679" s="137">
        <v>32.03</v>
      </c>
      <c r="AF679" s="157">
        <v>41837</v>
      </c>
      <c r="AG679" s="185">
        <v>5.91</v>
      </c>
      <c r="AH679" s="157">
        <v>41837</v>
      </c>
      <c r="AM679" s="137">
        <v>94</v>
      </c>
      <c r="BM679" s="138">
        <v>61.93</v>
      </c>
      <c r="BN679" s="157">
        <v>41837</v>
      </c>
      <c r="BS679" s="138">
        <v>50.17</v>
      </c>
      <c r="BT679" s="157">
        <v>41837</v>
      </c>
      <c r="BU679" s="138">
        <v>38.700000000000003</v>
      </c>
      <c r="BV679" s="157">
        <v>41837</v>
      </c>
      <c r="BW679" s="138">
        <v>27.4</v>
      </c>
      <c r="BX679" s="157">
        <v>41837</v>
      </c>
      <c r="CC679" s="138">
        <v>7.2</v>
      </c>
      <c r="CD679" s="157">
        <v>41837</v>
      </c>
    </row>
    <row r="680" spans="1:91">
      <c r="A680" s="159" t="s">
        <v>7809</v>
      </c>
      <c r="B680" s="112" t="s">
        <v>271</v>
      </c>
      <c r="C680" s="112">
        <v>4</v>
      </c>
      <c r="D680" s="112">
        <v>209</v>
      </c>
      <c r="E680" s="113">
        <v>31</v>
      </c>
      <c r="F680" s="113">
        <v>19</v>
      </c>
      <c r="M680" s="185">
        <v>7.28</v>
      </c>
      <c r="N680" s="157">
        <v>41837</v>
      </c>
      <c r="R680" s="185"/>
      <c r="S680" s="137">
        <v>21.57</v>
      </c>
      <c r="T680" s="157">
        <v>41837</v>
      </c>
      <c r="U680" s="142">
        <v>18</v>
      </c>
      <c r="Y680" s="142">
        <f t="shared" si="10"/>
        <v>15.028650000000003</v>
      </c>
      <c r="Z680" s="157">
        <v>41837</v>
      </c>
      <c r="AE680" s="137">
        <v>40.950000000000003</v>
      </c>
      <c r="AF680" s="157">
        <v>41837</v>
      </c>
      <c r="AG680" s="185">
        <v>4.62</v>
      </c>
      <c r="AH680" s="157">
        <v>41837</v>
      </c>
      <c r="AM680" s="137">
        <v>92</v>
      </c>
      <c r="BM680" s="138">
        <v>61.91</v>
      </c>
      <c r="BN680" s="157">
        <v>41837</v>
      </c>
      <c r="BS680" s="138">
        <v>52.68</v>
      </c>
      <c r="BT680" s="157">
        <v>41837</v>
      </c>
      <c r="BU680" s="138">
        <v>36.700000000000003</v>
      </c>
      <c r="BV680" s="157">
        <v>41837</v>
      </c>
      <c r="BW680" s="138">
        <v>14.4</v>
      </c>
      <c r="BX680" s="157">
        <v>41837</v>
      </c>
      <c r="CC680" s="138">
        <v>7.1</v>
      </c>
      <c r="CD680" s="157">
        <v>41837</v>
      </c>
    </row>
    <row r="681" spans="1:91">
      <c r="A681" s="159" t="s">
        <v>7784</v>
      </c>
      <c r="B681" s="112" t="s">
        <v>271</v>
      </c>
      <c r="C681" s="112">
        <v>4</v>
      </c>
      <c r="D681" s="112">
        <v>45</v>
      </c>
      <c r="E681" s="113">
        <v>32</v>
      </c>
      <c r="F681" s="113">
        <v>19</v>
      </c>
      <c r="M681" s="185">
        <v>8.14</v>
      </c>
      <c r="N681" s="157">
        <v>41837</v>
      </c>
      <c r="R681" s="185"/>
      <c r="S681" s="137">
        <v>23.57</v>
      </c>
      <c r="T681" s="157">
        <v>41837</v>
      </c>
      <c r="U681" s="142">
        <v>18</v>
      </c>
      <c r="Y681" s="142">
        <f t="shared" si="10"/>
        <v>16.293480000000002</v>
      </c>
      <c r="Z681" s="157">
        <v>41837</v>
      </c>
      <c r="AE681" s="137">
        <v>45.64</v>
      </c>
      <c r="AF681" s="157">
        <v>41837</v>
      </c>
      <c r="AG681" s="185">
        <v>5.58</v>
      </c>
      <c r="AH681" s="157">
        <v>41837</v>
      </c>
      <c r="AM681" s="137">
        <v>92</v>
      </c>
      <c r="BM681" s="138">
        <v>62.21</v>
      </c>
      <c r="BN681" s="157">
        <v>41837</v>
      </c>
      <c r="BS681" s="138">
        <v>51.65</v>
      </c>
      <c r="BT681" s="157">
        <v>41837</v>
      </c>
      <c r="BU681" s="138">
        <v>35.700000000000003</v>
      </c>
      <c r="BV681" s="157">
        <v>41837</v>
      </c>
      <c r="BW681" s="138">
        <v>18</v>
      </c>
      <c r="BX681" s="157">
        <v>41837</v>
      </c>
      <c r="CC681" s="138">
        <v>7.4</v>
      </c>
      <c r="CD681" s="157">
        <v>41837</v>
      </c>
    </row>
    <row r="682" spans="1:91">
      <c r="A682" s="159" t="s">
        <v>7672</v>
      </c>
      <c r="B682" s="112" t="s">
        <v>271</v>
      </c>
      <c r="C682" s="112">
        <v>4</v>
      </c>
      <c r="D682" s="112">
        <v>188</v>
      </c>
      <c r="E682" s="113">
        <v>33</v>
      </c>
      <c r="F682" s="113">
        <v>19</v>
      </c>
      <c r="M682" s="185">
        <v>5.46</v>
      </c>
      <c r="N682" s="157">
        <v>41837</v>
      </c>
      <c r="R682" s="185"/>
      <c r="S682" s="137">
        <v>15.66</v>
      </c>
      <c r="T682" s="157">
        <v>41837</v>
      </c>
      <c r="U682" s="142">
        <v>18</v>
      </c>
      <c r="Y682" s="142">
        <f t="shared" si="10"/>
        <v>11.665619999999999</v>
      </c>
      <c r="Z682" s="157">
        <v>41837</v>
      </c>
      <c r="AE682" s="137">
        <v>30.78</v>
      </c>
      <c r="AF682" s="157">
        <v>41837</v>
      </c>
      <c r="AG682" s="185">
        <v>5.36</v>
      </c>
      <c r="AH682" s="157">
        <v>41837</v>
      </c>
      <c r="AM682" s="137">
        <v>92</v>
      </c>
      <c r="BM682" s="138">
        <v>62.26</v>
      </c>
      <c r="BN682" s="157">
        <v>41837</v>
      </c>
      <c r="BS682" s="138">
        <v>50.88</v>
      </c>
      <c r="BT682" s="157">
        <v>41837</v>
      </c>
      <c r="BU682" s="138">
        <v>37.9</v>
      </c>
      <c r="BV682" s="157">
        <v>41837</v>
      </c>
      <c r="BW682" s="138">
        <v>18.2</v>
      </c>
      <c r="BX682" s="157">
        <v>41837</v>
      </c>
      <c r="CC682" s="138">
        <v>6.9</v>
      </c>
      <c r="CD682" s="157">
        <v>41837</v>
      </c>
    </row>
    <row r="683" spans="1:91">
      <c r="A683" s="159" t="s">
        <v>7679</v>
      </c>
      <c r="B683" s="112" t="s">
        <v>271</v>
      </c>
      <c r="C683" s="112">
        <v>4</v>
      </c>
      <c r="D683" s="112">
        <v>150</v>
      </c>
      <c r="E683" s="113">
        <v>34</v>
      </c>
      <c r="F683" s="113">
        <v>19</v>
      </c>
      <c r="M683" s="185">
        <v>7.23</v>
      </c>
      <c r="N683" s="157">
        <v>41837</v>
      </c>
      <c r="R683" s="185"/>
      <c r="S683" s="137">
        <v>20.59</v>
      </c>
      <c r="T683" s="157">
        <v>41837</v>
      </c>
      <c r="U683" s="142">
        <v>18</v>
      </c>
      <c r="Y683" s="142">
        <f t="shared" si="10"/>
        <v>15.977920000000001</v>
      </c>
      <c r="Z683" s="157">
        <v>41837</v>
      </c>
      <c r="AE683" s="137">
        <v>40.76</v>
      </c>
      <c r="AF683" s="157">
        <v>41837</v>
      </c>
      <c r="AG683" s="185">
        <v>5.4</v>
      </c>
      <c r="AH683" s="157">
        <v>41837</v>
      </c>
      <c r="AM683" s="137">
        <v>92</v>
      </c>
      <c r="BM683" s="138">
        <v>61.96</v>
      </c>
      <c r="BN683" s="157">
        <v>41837</v>
      </c>
      <c r="BS683" s="138">
        <v>50.51</v>
      </c>
      <c r="BT683" s="157">
        <v>41837</v>
      </c>
      <c r="BU683" s="138">
        <v>39.200000000000003</v>
      </c>
      <c r="BV683" s="157">
        <v>41837</v>
      </c>
      <c r="BW683" s="138">
        <v>17.100000000000001</v>
      </c>
      <c r="BX683" s="157">
        <v>41837</v>
      </c>
      <c r="CC683" s="138">
        <v>6.9</v>
      </c>
      <c r="CD683" s="157">
        <v>41837</v>
      </c>
    </row>
    <row r="684" spans="1:91">
      <c r="A684" s="159" t="s">
        <v>7617</v>
      </c>
      <c r="B684" s="112" t="s">
        <v>271</v>
      </c>
      <c r="C684" s="112">
        <v>4</v>
      </c>
      <c r="D684" s="112">
        <v>41</v>
      </c>
      <c r="E684" s="113">
        <v>35</v>
      </c>
      <c r="F684" s="113">
        <v>19</v>
      </c>
      <c r="M684" s="185">
        <v>4.38</v>
      </c>
      <c r="N684" s="157">
        <v>41837</v>
      </c>
      <c r="R684" s="185"/>
      <c r="S684" s="137">
        <v>12.34</v>
      </c>
      <c r="T684" s="157">
        <v>41837</v>
      </c>
      <c r="U684" s="142">
        <v>18</v>
      </c>
      <c r="Y684" s="142">
        <f t="shared" si="10"/>
        <v>10.172280000000002</v>
      </c>
      <c r="Z684" s="157">
        <v>41837</v>
      </c>
      <c r="AE684" s="137">
        <v>24.69</v>
      </c>
      <c r="AF684" s="157">
        <v>41837</v>
      </c>
      <c r="AG684" s="185">
        <v>6.51</v>
      </c>
      <c r="AH684" s="157">
        <v>41837</v>
      </c>
      <c r="AM684" s="137">
        <v>83</v>
      </c>
      <c r="BM684" s="138">
        <v>65.209999999999994</v>
      </c>
      <c r="BN684" s="157">
        <v>41837</v>
      </c>
      <c r="BS684" s="138">
        <v>49.98</v>
      </c>
      <c r="BT684" s="157">
        <v>41837</v>
      </c>
      <c r="BU684" s="138">
        <v>41.2</v>
      </c>
      <c r="BV684" s="157">
        <v>41837</v>
      </c>
      <c r="BW684" s="138">
        <v>63.5</v>
      </c>
      <c r="BX684" s="157">
        <v>41837</v>
      </c>
      <c r="CC684" s="138">
        <v>6.9</v>
      </c>
      <c r="CD684" s="157">
        <v>41837</v>
      </c>
    </row>
    <row r="685" spans="1:91">
      <c r="A685" s="159" t="s">
        <v>7689</v>
      </c>
      <c r="B685" s="112" t="s">
        <v>271</v>
      </c>
      <c r="C685" s="112">
        <v>4</v>
      </c>
      <c r="D685" s="112">
        <v>102</v>
      </c>
      <c r="E685" s="113">
        <v>36</v>
      </c>
      <c r="F685" s="113">
        <v>19</v>
      </c>
      <c r="M685" s="185">
        <v>6.15</v>
      </c>
      <c r="N685" s="157">
        <v>41837</v>
      </c>
      <c r="R685" s="185"/>
      <c r="S685" s="137">
        <v>17.52</v>
      </c>
      <c r="T685" s="157">
        <v>41837</v>
      </c>
      <c r="U685" s="142">
        <v>18</v>
      </c>
      <c r="Y685" s="142">
        <f t="shared" si="10"/>
        <v>13.228660000000001</v>
      </c>
      <c r="Z685" s="157">
        <v>41837</v>
      </c>
      <c r="AE685" s="137">
        <v>34.630000000000003</v>
      </c>
      <c r="AF685" s="157">
        <v>41837</v>
      </c>
      <c r="AG685" s="185">
        <v>5.5</v>
      </c>
      <c r="AH685" s="157">
        <v>41837</v>
      </c>
      <c r="AM685" s="137">
        <v>92</v>
      </c>
      <c r="BM685" s="138">
        <v>62.44</v>
      </c>
      <c r="BN685" s="157">
        <v>41837</v>
      </c>
      <c r="BS685" s="138">
        <v>50.59</v>
      </c>
      <c r="BT685" s="157">
        <v>41837</v>
      </c>
      <c r="BU685" s="138">
        <v>38.200000000000003</v>
      </c>
      <c r="BV685" s="157">
        <v>41837</v>
      </c>
      <c r="BW685" s="138">
        <v>16.8</v>
      </c>
      <c r="BX685" s="157">
        <v>41837</v>
      </c>
      <c r="CC685" s="138">
        <v>7</v>
      </c>
      <c r="CD685" s="157">
        <v>41837</v>
      </c>
    </row>
    <row r="686" spans="1:91">
      <c r="A686" s="159" t="s">
        <v>7722</v>
      </c>
      <c r="B686" s="112" t="s">
        <v>271</v>
      </c>
      <c r="C686" s="112">
        <v>4</v>
      </c>
      <c r="D686" s="112">
        <v>142</v>
      </c>
      <c r="E686" s="113">
        <v>1</v>
      </c>
      <c r="F686" s="113">
        <v>20</v>
      </c>
      <c r="M686" s="185">
        <v>6.61</v>
      </c>
      <c r="N686" s="157">
        <v>41837</v>
      </c>
      <c r="R686" s="185"/>
      <c r="S686" s="137">
        <v>17.579999999999998</v>
      </c>
      <c r="T686" s="157">
        <v>41837</v>
      </c>
      <c r="U686" s="142">
        <v>18</v>
      </c>
      <c r="Y686" s="142">
        <f t="shared" si="10"/>
        <v>13.751399999999999</v>
      </c>
      <c r="Z686" s="157">
        <v>41837</v>
      </c>
      <c r="AE686" s="137">
        <v>35.26</v>
      </c>
      <c r="AF686" s="157">
        <v>41837</v>
      </c>
      <c r="AG686" s="185">
        <v>4.67</v>
      </c>
      <c r="AH686" s="157">
        <v>41837</v>
      </c>
      <c r="AM686" s="137">
        <v>85</v>
      </c>
      <c r="BM686" s="138">
        <v>61.16</v>
      </c>
      <c r="BN686" s="157">
        <v>41837</v>
      </c>
      <c r="BS686" s="138">
        <v>49.85</v>
      </c>
      <c r="BT686" s="157">
        <v>41837</v>
      </c>
      <c r="BU686" s="138">
        <v>39</v>
      </c>
      <c r="BV686" s="157">
        <v>41837</v>
      </c>
      <c r="BW686" s="138">
        <v>14.1</v>
      </c>
      <c r="BX686" s="157">
        <v>41837</v>
      </c>
      <c r="CC686" s="138">
        <v>11.9</v>
      </c>
      <c r="CD686" s="157">
        <v>41837</v>
      </c>
    </row>
    <row r="687" spans="1:91">
      <c r="A687" s="159" t="s">
        <v>7702</v>
      </c>
      <c r="B687" s="112" t="s">
        <v>271</v>
      </c>
      <c r="C687" s="112">
        <v>4</v>
      </c>
      <c r="D687" s="112">
        <v>79</v>
      </c>
      <c r="E687" s="113">
        <v>2</v>
      </c>
      <c r="F687" s="113">
        <v>20</v>
      </c>
      <c r="M687" s="185">
        <v>7.36</v>
      </c>
      <c r="N687" s="157">
        <v>41837</v>
      </c>
      <c r="R687" s="185"/>
      <c r="S687" s="137">
        <v>19.989999999999998</v>
      </c>
      <c r="T687" s="157">
        <v>41837</v>
      </c>
      <c r="U687" s="142">
        <v>18</v>
      </c>
      <c r="Y687" s="142">
        <f t="shared" si="10"/>
        <v>13.764559999999999</v>
      </c>
      <c r="Z687" s="157">
        <v>41837</v>
      </c>
      <c r="AE687" s="137">
        <v>39.44</v>
      </c>
      <c r="AF687" s="157">
        <v>41837</v>
      </c>
      <c r="AG687" s="185">
        <v>5.68</v>
      </c>
      <c r="AH687" s="157">
        <v>41837</v>
      </c>
      <c r="AM687" s="137">
        <v>83</v>
      </c>
      <c r="BM687" s="138">
        <v>57.95</v>
      </c>
      <c r="BN687" s="157">
        <v>41837</v>
      </c>
      <c r="BS687" s="138">
        <v>50.69</v>
      </c>
      <c r="BT687" s="157">
        <v>41837</v>
      </c>
      <c r="BU687" s="138">
        <v>34.9</v>
      </c>
      <c r="BV687" s="157">
        <v>41837</v>
      </c>
      <c r="BW687" s="138">
        <v>16.3</v>
      </c>
      <c r="BX687" s="157">
        <v>41837</v>
      </c>
      <c r="CC687" s="138">
        <v>11.5</v>
      </c>
      <c r="CD687" s="157">
        <v>41837</v>
      </c>
    </row>
    <row r="688" spans="1:91">
      <c r="A688" s="159" t="s">
        <v>7697</v>
      </c>
      <c r="B688" s="112" t="s">
        <v>271</v>
      </c>
      <c r="C688" s="112">
        <v>4</v>
      </c>
      <c r="D688" s="112">
        <v>157</v>
      </c>
      <c r="E688" s="113">
        <v>3</v>
      </c>
      <c r="F688" s="113">
        <v>20</v>
      </c>
      <c r="M688" s="185">
        <v>7.89</v>
      </c>
      <c r="N688" s="157">
        <v>41837</v>
      </c>
      <c r="R688" s="185"/>
      <c r="S688" s="137">
        <v>21.86</v>
      </c>
      <c r="T688" s="157">
        <v>41837</v>
      </c>
      <c r="U688" s="142">
        <v>18</v>
      </c>
      <c r="Y688" s="142">
        <f t="shared" si="10"/>
        <v>16.834900000000001</v>
      </c>
      <c r="Z688" s="157">
        <v>41837</v>
      </c>
      <c r="AE688" s="137">
        <v>42.62</v>
      </c>
      <c r="AF688" s="157">
        <v>41837</v>
      </c>
      <c r="AG688" s="185">
        <v>4.53</v>
      </c>
      <c r="AH688" s="157">
        <v>41837</v>
      </c>
      <c r="AM688" s="137">
        <v>94</v>
      </c>
      <c r="BM688" s="138">
        <v>65.56</v>
      </c>
      <c r="BN688" s="157">
        <v>41837</v>
      </c>
      <c r="BS688" s="138">
        <v>51.29</v>
      </c>
      <c r="BT688" s="157">
        <v>41837</v>
      </c>
      <c r="BU688" s="138">
        <v>39.5</v>
      </c>
      <c r="BV688" s="157">
        <v>41837</v>
      </c>
      <c r="BW688" s="138">
        <v>16.5</v>
      </c>
      <c r="BX688" s="157">
        <v>41837</v>
      </c>
      <c r="CC688" s="138">
        <v>10.8</v>
      </c>
      <c r="CD688" s="157">
        <v>41837</v>
      </c>
    </row>
    <row r="689" spans="1:82">
      <c r="A689" s="159" t="s">
        <v>7856</v>
      </c>
      <c r="B689" s="112" t="s">
        <v>271</v>
      </c>
      <c r="C689" s="112">
        <v>4</v>
      </c>
      <c r="D689" s="112">
        <v>44</v>
      </c>
      <c r="E689" s="113">
        <v>4</v>
      </c>
      <c r="F689" s="113">
        <v>20</v>
      </c>
      <c r="M689" s="185">
        <v>7.55</v>
      </c>
      <c r="N689" s="157">
        <v>41837</v>
      </c>
      <c r="R689" s="185"/>
      <c r="S689" s="137">
        <v>21.5</v>
      </c>
      <c r="T689" s="157">
        <v>41837</v>
      </c>
      <c r="U689" s="142">
        <v>18</v>
      </c>
      <c r="Y689" s="142">
        <f t="shared" si="10"/>
        <v>14.92548</v>
      </c>
      <c r="Z689" s="157">
        <v>41837</v>
      </c>
      <c r="AE689" s="137">
        <v>40.78</v>
      </c>
      <c r="AF689" s="157">
        <v>41837</v>
      </c>
      <c r="AG689" s="185">
        <v>5.12</v>
      </c>
      <c r="AH689" s="157">
        <v>41837</v>
      </c>
      <c r="AM689" s="137">
        <v>80</v>
      </c>
      <c r="BM689" s="138">
        <v>61.26</v>
      </c>
      <c r="BN689" s="157">
        <v>41837</v>
      </c>
      <c r="BS689" s="138">
        <v>52.72</v>
      </c>
      <c r="BT689" s="157">
        <v>41837</v>
      </c>
      <c r="BU689" s="138">
        <v>36.6</v>
      </c>
      <c r="BV689" s="157">
        <v>41837</v>
      </c>
      <c r="BW689" s="138">
        <v>16.899999999999999</v>
      </c>
      <c r="BX689" s="157">
        <v>41837</v>
      </c>
      <c r="CC689" s="138">
        <v>10.8</v>
      </c>
      <c r="CD689" s="157">
        <v>41837</v>
      </c>
    </row>
    <row r="690" spans="1:82">
      <c r="A690" s="159" t="s">
        <v>7772</v>
      </c>
      <c r="B690" s="112" t="s">
        <v>271</v>
      </c>
      <c r="C690" s="112">
        <v>4</v>
      </c>
      <c r="D690" s="112">
        <v>203</v>
      </c>
      <c r="E690" s="113">
        <v>5</v>
      </c>
      <c r="F690" s="113">
        <v>20</v>
      </c>
      <c r="M690" s="185">
        <v>7.32</v>
      </c>
      <c r="N690" s="157">
        <v>41837</v>
      </c>
      <c r="R690" s="185"/>
      <c r="S690" s="137">
        <v>20.58</v>
      </c>
      <c r="T690" s="157">
        <v>41837</v>
      </c>
      <c r="U690" s="142">
        <v>18</v>
      </c>
      <c r="Y690" s="142">
        <f t="shared" si="10"/>
        <v>15.198719999999998</v>
      </c>
      <c r="Z690" s="157">
        <v>41837</v>
      </c>
      <c r="AE690" s="137">
        <v>39.58</v>
      </c>
      <c r="AF690" s="157">
        <v>41837</v>
      </c>
      <c r="AG690" s="185">
        <v>4.95</v>
      </c>
      <c r="AH690" s="157">
        <v>41837</v>
      </c>
      <c r="AM690" s="137">
        <v>90</v>
      </c>
      <c r="BM690" s="138">
        <v>57.98</v>
      </c>
      <c r="BN690" s="157">
        <v>41837</v>
      </c>
      <c r="BS690" s="138">
        <v>52</v>
      </c>
      <c r="BT690" s="157">
        <v>41837</v>
      </c>
      <c r="BU690" s="138">
        <v>38.4</v>
      </c>
      <c r="BV690" s="157">
        <v>41837</v>
      </c>
      <c r="BW690" s="138">
        <v>12.7</v>
      </c>
      <c r="BX690" s="157">
        <v>41837</v>
      </c>
      <c r="CC690" s="138">
        <v>10.7</v>
      </c>
      <c r="CD690" s="157">
        <v>41837</v>
      </c>
    </row>
    <row r="691" spans="1:82">
      <c r="A691" s="159" t="s">
        <v>7815</v>
      </c>
      <c r="B691" s="112" t="s">
        <v>271</v>
      </c>
      <c r="C691" s="112">
        <v>4</v>
      </c>
      <c r="D691" s="112">
        <v>185</v>
      </c>
      <c r="E691" s="113">
        <v>6</v>
      </c>
      <c r="F691" s="113">
        <v>20</v>
      </c>
      <c r="M691" s="185">
        <v>7.09</v>
      </c>
      <c r="N691" s="157">
        <v>41837</v>
      </c>
      <c r="R691" s="185"/>
      <c r="S691" s="137">
        <v>19.670000000000002</v>
      </c>
      <c r="T691" s="157">
        <v>41837</v>
      </c>
      <c r="U691" s="142">
        <v>18</v>
      </c>
      <c r="Y691" s="142">
        <f t="shared" si="10"/>
        <v>14.017639999999998</v>
      </c>
      <c r="Z691" s="157">
        <v>41837</v>
      </c>
      <c r="AE691" s="137">
        <v>38.51</v>
      </c>
      <c r="AF691" s="157">
        <v>41837</v>
      </c>
      <c r="AG691" s="185">
        <v>5.28</v>
      </c>
      <c r="AH691" s="157">
        <v>41837</v>
      </c>
      <c r="AM691" s="137">
        <v>90</v>
      </c>
      <c r="BM691" s="138">
        <v>62.03</v>
      </c>
      <c r="BN691" s="157">
        <v>41837</v>
      </c>
      <c r="BS691" s="138">
        <v>51.08</v>
      </c>
      <c r="BT691" s="157">
        <v>41837</v>
      </c>
      <c r="BU691" s="138">
        <v>36.4</v>
      </c>
      <c r="BV691" s="157">
        <v>41837</v>
      </c>
      <c r="BW691" s="138">
        <v>15.8</v>
      </c>
      <c r="BX691" s="157">
        <v>41837</v>
      </c>
      <c r="CC691" s="138">
        <v>10.3</v>
      </c>
      <c r="CD691" s="157">
        <v>41837</v>
      </c>
    </row>
    <row r="692" spans="1:82">
      <c r="A692" s="159" t="s">
        <v>7717</v>
      </c>
      <c r="B692" s="112" t="s">
        <v>271</v>
      </c>
      <c r="C692" s="112">
        <v>4</v>
      </c>
      <c r="D692" s="112">
        <v>187</v>
      </c>
      <c r="E692" s="113">
        <v>7</v>
      </c>
      <c r="F692" s="113">
        <v>20</v>
      </c>
      <c r="M692" s="185">
        <v>4.29</v>
      </c>
      <c r="N692" s="157">
        <v>41837</v>
      </c>
      <c r="R692" s="185"/>
      <c r="S692" s="137">
        <v>11.9</v>
      </c>
      <c r="T692" s="157">
        <v>41837</v>
      </c>
      <c r="U692" s="142">
        <v>18</v>
      </c>
      <c r="Y692" s="142">
        <f t="shared" si="10"/>
        <v>8.8284800000000008</v>
      </c>
      <c r="Z692" s="157">
        <v>41837</v>
      </c>
      <c r="AE692" s="137">
        <v>23.48</v>
      </c>
      <c r="AF692" s="157">
        <v>41837</v>
      </c>
      <c r="AG692" s="185">
        <v>4.46</v>
      </c>
      <c r="AH692" s="157">
        <v>41837</v>
      </c>
      <c r="AM692" s="137">
        <v>96</v>
      </c>
      <c r="BM692" s="138">
        <v>62.63</v>
      </c>
      <c r="BN692" s="157">
        <v>41837</v>
      </c>
      <c r="BS692" s="138">
        <v>50.69</v>
      </c>
      <c r="BT692" s="157">
        <v>41837</v>
      </c>
      <c r="BU692" s="138">
        <v>37.6</v>
      </c>
      <c r="BV692" s="157">
        <v>41837</v>
      </c>
      <c r="BW692" s="138">
        <v>21.2</v>
      </c>
      <c r="BX692" s="157">
        <v>41837</v>
      </c>
      <c r="CC692" s="138">
        <v>9.6</v>
      </c>
      <c r="CD692" s="157">
        <v>41837</v>
      </c>
    </row>
    <row r="693" spans="1:82">
      <c r="A693" s="159" t="s">
        <v>7661</v>
      </c>
      <c r="B693" s="112" t="s">
        <v>271</v>
      </c>
      <c r="C693" s="112">
        <v>4</v>
      </c>
      <c r="D693" s="112">
        <v>152</v>
      </c>
      <c r="E693" s="113">
        <v>8</v>
      </c>
      <c r="F693" s="113">
        <v>20</v>
      </c>
      <c r="M693" s="185">
        <v>3.37</v>
      </c>
      <c r="N693" s="157">
        <v>41837</v>
      </c>
      <c r="R693" s="185"/>
      <c r="S693" s="137">
        <v>8.91</v>
      </c>
      <c r="T693" s="157">
        <v>41837</v>
      </c>
      <c r="U693" s="142">
        <v>18</v>
      </c>
      <c r="Y693" s="142">
        <f t="shared" si="10"/>
        <v>7.6972799999999992</v>
      </c>
      <c r="Z693" s="157">
        <v>41837</v>
      </c>
      <c r="AE693" s="137">
        <v>18.239999999999998</v>
      </c>
      <c r="AF693" s="157">
        <v>41837</v>
      </c>
      <c r="AG693" s="185">
        <v>5.63</v>
      </c>
      <c r="AH693" s="157">
        <v>41837</v>
      </c>
      <c r="AM693" s="137">
        <v>90</v>
      </c>
      <c r="BM693" s="138">
        <v>59.76</v>
      </c>
      <c r="BN693" s="157">
        <v>41837</v>
      </c>
      <c r="BS693" s="138">
        <v>48.86</v>
      </c>
      <c r="BT693" s="157">
        <v>41837</v>
      </c>
      <c r="BU693" s="138">
        <v>42.2</v>
      </c>
      <c r="BV693" s="157">
        <v>41837</v>
      </c>
      <c r="BW693" s="138">
        <v>62.6</v>
      </c>
      <c r="BX693" s="157">
        <v>41837</v>
      </c>
      <c r="CC693" s="138">
        <v>10.6</v>
      </c>
      <c r="CD693" s="157">
        <v>41837</v>
      </c>
    </row>
    <row r="694" spans="1:82">
      <c r="A694" s="159" t="s">
        <v>7857</v>
      </c>
      <c r="B694" s="112" t="s">
        <v>271</v>
      </c>
      <c r="C694" s="112">
        <v>4</v>
      </c>
      <c r="D694" s="112">
        <v>122</v>
      </c>
      <c r="E694" s="113">
        <v>9</v>
      </c>
      <c r="F694" s="113">
        <v>20</v>
      </c>
      <c r="M694" s="185">
        <v>8.19</v>
      </c>
      <c r="N694" s="157">
        <v>41837</v>
      </c>
      <c r="R694" s="185"/>
      <c r="S694" s="137">
        <v>23.61</v>
      </c>
      <c r="T694" s="157">
        <v>41837</v>
      </c>
      <c r="U694" s="142">
        <v>18</v>
      </c>
      <c r="Y694" s="142">
        <f t="shared" si="10"/>
        <v>16.5168</v>
      </c>
      <c r="Z694" s="157">
        <v>41837</v>
      </c>
      <c r="AE694" s="137">
        <v>44.64</v>
      </c>
      <c r="AF694" s="157">
        <v>41837</v>
      </c>
      <c r="AG694" s="185">
        <v>5.15</v>
      </c>
      <c r="AH694" s="157">
        <v>41837</v>
      </c>
      <c r="AM694" s="137">
        <v>92</v>
      </c>
      <c r="BM694" s="138">
        <v>60.23</v>
      </c>
      <c r="BN694" s="157">
        <v>41837</v>
      </c>
      <c r="BS694" s="138">
        <v>52.9</v>
      </c>
      <c r="BT694" s="157">
        <v>41837</v>
      </c>
      <c r="BU694" s="138">
        <v>37</v>
      </c>
      <c r="BV694" s="157">
        <v>41837</v>
      </c>
      <c r="BW694" s="138">
        <v>15.2</v>
      </c>
      <c r="BX694" s="157">
        <v>41837</v>
      </c>
      <c r="CC694" s="138">
        <v>10</v>
      </c>
      <c r="CD694" s="157">
        <v>41837</v>
      </c>
    </row>
    <row r="695" spans="1:82">
      <c r="A695" s="159" t="s">
        <v>7665</v>
      </c>
      <c r="B695" s="112" t="s">
        <v>271</v>
      </c>
      <c r="C695" s="112">
        <v>4</v>
      </c>
      <c r="D695" s="112">
        <v>168</v>
      </c>
      <c r="E695" s="113">
        <v>10</v>
      </c>
      <c r="F695" s="113">
        <v>20</v>
      </c>
      <c r="M695" s="185">
        <v>6.65</v>
      </c>
      <c r="N695" s="157">
        <v>41837</v>
      </c>
      <c r="R695" s="185"/>
      <c r="S695" s="137">
        <v>18.600000000000001</v>
      </c>
      <c r="T695" s="157">
        <v>41837</v>
      </c>
      <c r="U695" s="142">
        <v>18</v>
      </c>
      <c r="Y695" s="142">
        <f t="shared" si="10"/>
        <v>13.91616</v>
      </c>
      <c r="Z695" s="157">
        <v>41837</v>
      </c>
      <c r="AE695" s="137">
        <v>36.24</v>
      </c>
      <c r="AF695" s="157">
        <v>41837</v>
      </c>
      <c r="AG695" s="185">
        <v>4.8099999999999996</v>
      </c>
      <c r="AH695" s="157">
        <v>41837</v>
      </c>
      <c r="AM695" s="137">
        <v>94</v>
      </c>
      <c r="BM695" s="138">
        <v>60.27</v>
      </c>
      <c r="BN695" s="157">
        <v>41837</v>
      </c>
      <c r="BS695" s="138">
        <v>51.33</v>
      </c>
      <c r="BT695" s="157">
        <v>41837</v>
      </c>
      <c r="BU695" s="138">
        <v>38.4</v>
      </c>
      <c r="BV695" s="157">
        <v>41837</v>
      </c>
      <c r="BW695" s="138">
        <v>12.3</v>
      </c>
      <c r="BX695" s="157">
        <v>41837</v>
      </c>
      <c r="CC695" s="138">
        <v>10</v>
      </c>
      <c r="CD695" s="157">
        <v>41837</v>
      </c>
    </row>
    <row r="696" spans="1:82">
      <c r="A696" s="159" t="s">
        <v>7791</v>
      </c>
      <c r="B696" s="112" t="s">
        <v>271</v>
      </c>
      <c r="C696" s="112">
        <v>4</v>
      </c>
      <c r="D696" s="112">
        <v>127</v>
      </c>
      <c r="E696" s="113">
        <v>11</v>
      </c>
      <c r="F696" s="113">
        <v>20</v>
      </c>
      <c r="M696" s="185">
        <v>6.96</v>
      </c>
      <c r="N696" s="157">
        <v>41837</v>
      </c>
      <c r="R696" s="185"/>
      <c r="S696" s="137">
        <v>19.05</v>
      </c>
      <c r="T696" s="157">
        <v>41837</v>
      </c>
      <c r="U696" s="142">
        <v>18</v>
      </c>
      <c r="Y696" s="142">
        <f t="shared" si="10"/>
        <v>15.074090000000002</v>
      </c>
      <c r="Z696" s="157">
        <v>41837</v>
      </c>
      <c r="AE696" s="137">
        <v>37.97</v>
      </c>
      <c r="AF696" s="157">
        <v>41837</v>
      </c>
      <c r="AG696" s="185">
        <v>5.83</v>
      </c>
      <c r="AH696" s="157">
        <v>41837</v>
      </c>
      <c r="AM696" s="137">
        <v>83</v>
      </c>
      <c r="BM696" s="138">
        <v>61.48</v>
      </c>
      <c r="BN696" s="157">
        <v>41837</v>
      </c>
      <c r="BS696" s="138">
        <v>50.16</v>
      </c>
      <c r="BT696" s="157">
        <v>41837</v>
      </c>
      <c r="BU696" s="138">
        <v>39.700000000000003</v>
      </c>
      <c r="BV696" s="157">
        <v>41837</v>
      </c>
      <c r="BW696" s="138">
        <v>14.9</v>
      </c>
      <c r="BX696" s="157">
        <v>41837</v>
      </c>
      <c r="CC696" s="138">
        <v>9.9</v>
      </c>
      <c r="CD696" s="157">
        <v>41837</v>
      </c>
    </row>
    <row r="697" spans="1:82">
      <c r="A697" s="159" t="s">
        <v>8126</v>
      </c>
      <c r="B697" s="112" t="s">
        <v>271</v>
      </c>
      <c r="C697" s="112">
        <v>4</v>
      </c>
      <c r="D697" s="112">
        <v>160</v>
      </c>
      <c r="E697" s="113">
        <v>12</v>
      </c>
      <c r="F697" s="113">
        <v>20</v>
      </c>
      <c r="M697" s="185">
        <v>8.64</v>
      </c>
      <c r="N697" s="157">
        <v>41837</v>
      </c>
      <c r="R697" s="185"/>
      <c r="S697" s="137">
        <v>24.59</v>
      </c>
      <c r="T697" s="157">
        <v>41837</v>
      </c>
      <c r="U697" s="142">
        <v>18</v>
      </c>
      <c r="Y697" s="142">
        <f t="shared" si="10"/>
        <v>17.614200000000004</v>
      </c>
      <c r="Z697" s="157">
        <v>41837</v>
      </c>
      <c r="AE697" s="137">
        <v>47.35</v>
      </c>
      <c r="AF697" s="157">
        <v>41837</v>
      </c>
      <c r="AG697" s="185">
        <v>4.72</v>
      </c>
      <c r="AH697" s="157">
        <v>41837</v>
      </c>
      <c r="AM697" s="137">
        <v>85</v>
      </c>
      <c r="BM697" s="138">
        <v>61.09</v>
      </c>
      <c r="BN697" s="157">
        <v>41837</v>
      </c>
      <c r="BS697" s="138">
        <v>51.94</v>
      </c>
      <c r="BT697" s="157">
        <v>41837</v>
      </c>
      <c r="BU697" s="138">
        <v>37.200000000000003</v>
      </c>
      <c r="BV697" s="157">
        <v>41837</v>
      </c>
      <c r="BW697" s="138">
        <v>17.5</v>
      </c>
      <c r="BX697" s="157">
        <v>41837</v>
      </c>
      <c r="CC697" s="138">
        <v>9.5</v>
      </c>
      <c r="CD697" s="157">
        <v>41837</v>
      </c>
    </row>
    <row r="698" spans="1:82">
      <c r="A698" s="159" t="s">
        <v>7627</v>
      </c>
      <c r="B698" s="112" t="s">
        <v>271</v>
      </c>
      <c r="C698" s="112">
        <v>4</v>
      </c>
      <c r="D698" s="112">
        <v>53</v>
      </c>
      <c r="E698" s="113">
        <v>13</v>
      </c>
      <c r="F698" s="113">
        <v>20</v>
      </c>
      <c r="M698" s="185">
        <v>4.16</v>
      </c>
      <c r="N698" s="157">
        <v>41837</v>
      </c>
      <c r="R698" s="185"/>
      <c r="S698" s="137">
        <v>10.95</v>
      </c>
      <c r="T698" s="157">
        <v>41837</v>
      </c>
      <c r="U698" s="142">
        <v>18</v>
      </c>
      <c r="Y698" s="142">
        <f t="shared" si="10"/>
        <v>9.613999999999999</v>
      </c>
      <c r="Z698" s="157">
        <v>41837</v>
      </c>
      <c r="AE698" s="137">
        <v>23</v>
      </c>
      <c r="AF698" s="157">
        <v>41837</v>
      </c>
      <c r="AG698" s="185">
        <v>5.09</v>
      </c>
      <c r="AH698" s="157">
        <v>41837</v>
      </c>
      <c r="AM698" s="137">
        <v>90</v>
      </c>
      <c r="BM698" s="138">
        <v>61.68</v>
      </c>
      <c r="BN698" s="157">
        <v>41837</v>
      </c>
      <c r="BS698" s="138">
        <v>47.6</v>
      </c>
      <c r="BT698" s="157">
        <v>41837</v>
      </c>
      <c r="BU698" s="138">
        <v>41.8</v>
      </c>
      <c r="BV698" s="157">
        <v>41837</v>
      </c>
      <c r="BW698" s="138">
        <v>51.6</v>
      </c>
      <c r="BX698" s="157">
        <v>41837</v>
      </c>
      <c r="CC698" s="138">
        <v>8.6999999999999993</v>
      </c>
      <c r="CD698" s="157">
        <v>41837</v>
      </c>
    </row>
    <row r="699" spans="1:82">
      <c r="A699" s="159" t="s">
        <v>7655</v>
      </c>
      <c r="B699" s="112" t="s">
        <v>271</v>
      </c>
      <c r="C699" s="112">
        <v>4</v>
      </c>
      <c r="D699" s="112">
        <v>85</v>
      </c>
      <c r="E699" s="113">
        <v>14</v>
      </c>
      <c r="F699" s="113">
        <v>20</v>
      </c>
      <c r="M699" s="185">
        <v>0.28000000000000003</v>
      </c>
      <c r="N699" s="157">
        <v>41837</v>
      </c>
      <c r="R699" s="185"/>
      <c r="S699" s="137">
        <v>0.78</v>
      </c>
      <c r="T699" s="157">
        <v>41837</v>
      </c>
      <c r="U699" s="142">
        <v>18</v>
      </c>
      <c r="Y699" s="142">
        <f t="shared" si="10"/>
        <v>0.65205000000000002</v>
      </c>
      <c r="Z699" s="157">
        <v>41837</v>
      </c>
      <c r="AE699" s="137">
        <v>1.61</v>
      </c>
      <c r="AF699" s="157">
        <v>41837</v>
      </c>
      <c r="AG699" s="185">
        <v>4.9000000000000004</v>
      </c>
      <c r="AH699" s="157">
        <v>41837</v>
      </c>
      <c r="AM699" s="137">
        <v>92</v>
      </c>
      <c r="BM699" s="138">
        <v>60.98</v>
      </c>
      <c r="BN699" s="157">
        <v>41837</v>
      </c>
      <c r="BS699" s="138">
        <v>48.44</v>
      </c>
      <c r="BT699" s="157">
        <v>41837</v>
      </c>
      <c r="BU699" s="138">
        <v>40.5</v>
      </c>
      <c r="BV699" s="157">
        <v>41837</v>
      </c>
      <c r="BW699" s="138">
        <v>45.8</v>
      </c>
      <c r="BX699" s="157">
        <v>41837</v>
      </c>
      <c r="CC699" s="138">
        <v>5</v>
      </c>
      <c r="CD699" s="157">
        <v>41837</v>
      </c>
    </row>
    <row r="700" spans="1:82">
      <c r="A700" s="159" t="s">
        <v>7649</v>
      </c>
      <c r="B700" s="112" t="s">
        <v>271</v>
      </c>
      <c r="C700" s="112">
        <v>4</v>
      </c>
      <c r="D700" s="112">
        <v>202</v>
      </c>
      <c r="E700" s="113">
        <v>15</v>
      </c>
      <c r="F700" s="113">
        <v>20</v>
      </c>
      <c r="M700" s="185">
        <v>4.67</v>
      </c>
      <c r="N700" s="157">
        <v>41837</v>
      </c>
      <c r="R700" s="185"/>
      <c r="S700" s="137">
        <v>12.37</v>
      </c>
      <c r="T700" s="157">
        <v>41837</v>
      </c>
      <c r="U700" s="142">
        <v>18</v>
      </c>
      <c r="Y700" s="142">
        <f t="shared" si="10"/>
        <v>9.7774000000000001</v>
      </c>
      <c r="Z700" s="157">
        <v>41837</v>
      </c>
      <c r="AE700" s="137">
        <v>25.73</v>
      </c>
      <c r="AF700" s="157">
        <v>41837</v>
      </c>
      <c r="AG700" s="185">
        <v>5.38</v>
      </c>
      <c r="AH700" s="157">
        <v>41837</v>
      </c>
      <c r="AM700" s="137">
        <v>90</v>
      </c>
      <c r="BM700" s="138">
        <v>59.05</v>
      </c>
      <c r="BN700" s="157">
        <v>41837</v>
      </c>
      <c r="BS700" s="138">
        <v>48.08</v>
      </c>
      <c r="BT700" s="157">
        <v>41837</v>
      </c>
      <c r="BU700" s="138">
        <v>38</v>
      </c>
      <c r="BV700" s="157">
        <v>41837</v>
      </c>
      <c r="BW700" s="138">
        <v>56.9</v>
      </c>
      <c r="BX700" s="157">
        <v>41837</v>
      </c>
      <c r="CC700" s="138">
        <v>9</v>
      </c>
      <c r="CD700" s="157">
        <v>41837</v>
      </c>
    </row>
    <row r="701" spans="1:82">
      <c r="A701" s="159" t="s">
        <v>7616</v>
      </c>
      <c r="B701" s="112" t="s">
        <v>271</v>
      </c>
      <c r="C701" s="112">
        <v>4</v>
      </c>
      <c r="D701" s="112">
        <v>72</v>
      </c>
      <c r="E701" s="113">
        <v>16</v>
      </c>
      <c r="F701" s="113">
        <v>20</v>
      </c>
      <c r="M701" s="185">
        <v>2.1</v>
      </c>
      <c r="N701" s="157">
        <v>41837</v>
      </c>
      <c r="R701" s="185"/>
      <c r="S701" s="137">
        <v>5.5</v>
      </c>
      <c r="T701" s="157">
        <v>41837</v>
      </c>
      <c r="U701" s="142">
        <v>18</v>
      </c>
      <c r="Y701" s="142">
        <f t="shared" si="10"/>
        <v>4.8277999999999999</v>
      </c>
      <c r="Z701" s="157">
        <v>41837</v>
      </c>
      <c r="AE701" s="137">
        <v>11.95</v>
      </c>
      <c r="AF701" s="157">
        <v>41837</v>
      </c>
      <c r="AG701" s="185">
        <v>5.5</v>
      </c>
      <c r="AH701" s="157">
        <v>41837</v>
      </c>
      <c r="AM701" s="137">
        <v>78</v>
      </c>
      <c r="BM701" s="138">
        <v>60.12</v>
      </c>
      <c r="BN701" s="157">
        <v>41837</v>
      </c>
      <c r="BS701" s="138">
        <v>46</v>
      </c>
      <c r="BT701" s="157">
        <v>41837</v>
      </c>
      <c r="BU701" s="138">
        <v>40.4</v>
      </c>
      <c r="BV701" s="157">
        <v>41837</v>
      </c>
      <c r="BW701" s="138">
        <v>51.9</v>
      </c>
      <c r="BX701" s="157">
        <v>41837</v>
      </c>
      <c r="CC701" s="138">
        <v>6</v>
      </c>
      <c r="CD701" s="157">
        <v>41837</v>
      </c>
    </row>
    <row r="702" spans="1:82">
      <c r="A702" s="159" t="s">
        <v>7707</v>
      </c>
      <c r="B702" s="112" t="s">
        <v>271</v>
      </c>
      <c r="C702" s="112">
        <v>4</v>
      </c>
      <c r="D702" s="112">
        <v>195</v>
      </c>
      <c r="E702" s="113">
        <v>17</v>
      </c>
      <c r="F702" s="113">
        <v>20</v>
      </c>
      <c r="M702" s="185">
        <v>5.17</v>
      </c>
      <c r="N702" s="157">
        <v>41837</v>
      </c>
      <c r="R702" s="185"/>
      <c r="S702" s="137">
        <v>13.64</v>
      </c>
      <c r="T702" s="157">
        <v>41837</v>
      </c>
      <c r="U702" s="142">
        <v>18</v>
      </c>
      <c r="Y702" s="142">
        <f t="shared" si="10"/>
        <v>11.303199999999999</v>
      </c>
      <c r="Z702" s="157">
        <v>41837</v>
      </c>
      <c r="AE702" s="137">
        <v>28.4</v>
      </c>
      <c r="AF702" s="157">
        <v>41837</v>
      </c>
      <c r="AG702" s="185">
        <v>4.6399999999999997</v>
      </c>
      <c r="AH702" s="157">
        <v>41837</v>
      </c>
      <c r="AM702" s="137">
        <v>90</v>
      </c>
      <c r="BM702" s="138">
        <v>60.52</v>
      </c>
      <c r="BN702" s="157">
        <v>41837</v>
      </c>
      <c r="BS702" s="138">
        <v>48.04</v>
      </c>
      <c r="BT702" s="157">
        <v>41837</v>
      </c>
      <c r="BU702" s="138">
        <v>39.799999999999997</v>
      </c>
      <c r="BV702" s="157">
        <v>41837</v>
      </c>
      <c r="BW702" s="138">
        <v>21.6</v>
      </c>
      <c r="BX702" s="157">
        <v>41837</v>
      </c>
      <c r="CC702" s="138">
        <v>9.3000000000000007</v>
      </c>
      <c r="CD702" s="157">
        <v>41837</v>
      </c>
    </row>
    <row r="703" spans="1:82">
      <c r="A703" s="159" t="s">
        <v>7758</v>
      </c>
      <c r="B703" s="112" t="s">
        <v>271</v>
      </c>
      <c r="C703" s="112">
        <v>4</v>
      </c>
      <c r="D703" s="112">
        <v>213</v>
      </c>
      <c r="E703" s="113">
        <v>18</v>
      </c>
      <c r="F703" s="113">
        <v>20</v>
      </c>
      <c r="M703" s="185">
        <v>6.33</v>
      </c>
      <c r="N703" s="157">
        <v>41837</v>
      </c>
      <c r="R703" s="185"/>
      <c r="S703" s="137">
        <v>17.399999999999999</v>
      </c>
      <c r="T703" s="157">
        <v>41837</v>
      </c>
      <c r="U703" s="142">
        <v>18</v>
      </c>
      <c r="Y703" s="142">
        <f t="shared" si="10"/>
        <v>13.759289999999998</v>
      </c>
      <c r="Z703" s="157">
        <v>41837</v>
      </c>
      <c r="AE703" s="137">
        <v>35.19</v>
      </c>
      <c r="AF703" s="157">
        <v>41837</v>
      </c>
      <c r="AG703" s="185">
        <v>5.08</v>
      </c>
      <c r="AH703" s="157">
        <v>41837</v>
      </c>
      <c r="AM703" s="137">
        <v>87</v>
      </c>
      <c r="BM703" s="138">
        <v>59.95</v>
      </c>
      <c r="BN703" s="157">
        <v>41837</v>
      </c>
      <c r="BS703" s="138">
        <v>49.45</v>
      </c>
      <c r="BT703" s="157">
        <v>41837</v>
      </c>
      <c r="BU703" s="138">
        <v>39.1</v>
      </c>
      <c r="BV703" s="157">
        <v>41837</v>
      </c>
      <c r="BW703" s="138">
        <v>13.8</v>
      </c>
      <c r="BX703" s="157">
        <v>41837</v>
      </c>
      <c r="CC703" s="138">
        <v>8.1999999999999993</v>
      </c>
      <c r="CD703" s="157">
        <v>41837</v>
      </c>
    </row>
    <row r="704" spans="1:82">
      <c r="A704" s="159" t="s">
        <v>7628</v>
      </c>
      <c r="B704" s="112" t="s">
        <v>271</v>
      </c>
      <c r="C704" s="112">
        <v>4</v>
      </c>
      <c r="D704" s="112">
        <v>145</v>
      </c>
      <c r="E704" s="113">
        <v>19</v>
      </c>
      <c r="F704" s="113">
        <v>20</v>
      </c>
      <c r="M704" s="185">
        <v>4.01</v>
      </c>
      <c r="N704" s="157">
        <v>41837</v>
      </c>
      <c r="R704" s="185"/>
      <c r="S704" s="137">
        <v>10.24</v>
      </c>
      <c r="T704" s="157">
        <v>41837</v>
      </c>
      <c r="U704" s="142">
        <v>18</v>
      </c>
      <c r="Y704" s="142">
        <f t="shared" si="10"/>
        <v>8.8835499999999996</v>
      </c>
      <c r="Z704" s="157">
        <v>41837</v>
      </c>
      <c r="AE704" s="137">
        <v>22.49</v>
      </c>
      <c r="AF704" s="157">
        <v>41837</v>
      </c>
      <c r="AG704" s="185">
        <v>5.56</v>
      </c>
      <c r="AH704" s="157">
        <v>41837</v>
      </c>
      <c r="AM704" s="137">
        <v>96</v>
      </c>
      <c r="BM704" s="138">
        <v>65.62</v>
      </c>
      <c r="BN704" s="157">
        <v>41837</v>
      </c>
      <c r="BS704" s="138">
        <v>45.51</v>
      </c>
      <c r="BT704" s="157">
        <v>41837</v>
      </c>
      <c r="BU704" s="138">
        <v>39.5</v>
      </c>
      <c r="BV704" s="157">
        <v>41837</v>
      </c>
      <c r="BW704" s="138">
        <v>58.5</v>
      </c>
      <c r="BX704" s="157">
        <v>41837</v>
      </c>
      <c r="CC704" s="138">
        <v>7.4</v>
      </c>
      <c r="CD704" s="157">
        <v>41837</v>
      </c>
    </row>
    <row r="705" spans="1:91">
      <c r="A705" s="159" t="s">
        <v>7797</v>
      </c>
      <c r="B705" s="112" t="s">
        <v>271</v>
      </c>
      <c r="C705" s="112">
        <v>4</v>
      </c>
      <c r="D705" s="112">
        <v>16</v>
      </c>
      <c r="E705" s="113">
        <v>20</v>
      </c>
      <c r="F705" s="113">
        <v>20</v>
      </c>
      <c r="I705" s="200"/>
      <c r="K705" s="142"/>
      <c r="M705" s="185">
        <v>8.92</v>
      </c>
      <c r="N705" s="157">
        <v>41837</v>
      </c>
      <c r="Q705" s="142"/>
      <c r="R705" s="185"/>
      <c r="S705" s="142">
        <v>25.52</v>
      </c>
      <c r="T705" s="157">
        <v>41837</v>
      </c>
      <c r="U705" s="142">
        <v>18</v>
      </c>
      <c r="W705" s="142"/>
      <c r="Y705" s="142">
        <f t="shared" si="10"/>
        <v>18.348300000000002</v>
      </c>
      <c r="Z705" s="157">
        <v>41837</v>
      </c>
      <c r="AA705" s="142"/>
      <c r="AE705" s="142">
        <v>49.59</v>
      </c>
      <c r="AF705" s="157">
        <v>41837</v>
      </c>
      <c r="AG705" s="185">
        <v>4.6399999999999997</v>
      </c>
      <c r="AH705" s="157">
        <v>41837</v>
      </c>
      <c r="AK705" s="142"/>
      <c r="AM705" s="142">
        <v>83</v>
      </c>
      <c r="BM705" s="138">
        <v>62.21</v>
      </c>
      <c r="BN705" s="157">
        <v>41837</v>
      </c>
      <c r="BS705" s="138">
        <v>51.47</v>
      </c>
      <c r="BT705" s="157">
        <v>41837</v>
      </c>
      <c r="BU705" s="138">
        <v>37</v>
      </c>
      <c r="BV705" s="157">
        <v>41837</v>
      </c>
      <c r="BW705" s="138">
        <v>17.7</v>
      </c>
      <c r="BX705" s="157">
        <v>41837</v>
      </c>
      <c r="CC705" s="138">
        <v>8.1999999999999993</v>
      </c>
      <c r="CD705" s="157">
        <v>41837</v>
      </c>
    </row>
    <row r="706" spans="1:91">
      <c r="A706" s="159" t="s">
        <v>7620</v>
      </c>
      <c r="B706" s="112" t="s">
        <v>271</v>
      </c>
      <c r="C706" s="112">
        <v>4</v>
      </c>
      <c r="D706" s="112">
        <v>148</v>
      </c>
      <c r="E706" s="113">
        <v>21</v>
      </c>
      <c r="F706" s="113">
        <v>20</v>
      </c>
      <c r="M706" s="185">
        <v>3.35</v>
      </c>
      <c r="N706" s="157">
        <v>41837</v>
      </c>
      <c r="R706" s="185"/>
      <c r="S706" s="137">
        <v>9.02</v>
      </c>
      <c r="T706" s="157">
        <v>41837</v>
      </c>
      <c r="U706" s="142">
        <v>18</v>
      </c>
      <c r="Y706" s="142">
        <f t="shared" ref="Y706:Y769" si="11">(AE706*BU706)/100</f>
        <v>7.608439999999999</v>
      </c>
      <c r="Z706" s="157">
        <v>41837</v>
      </c>
      <c r="AE706" s="137">
        <v>18.739999999999998</v>
      </c>
      <c r="AF706" s="157">
        <v>41837</v>
      </c>
      <c r="AG706" s="185">
        <v>4.7699999999999996</v>
      </c>
      <c r="AH706" s="157">
        <v>41837</v>
      </c>
      <c r="AM706" s="137">
        <v>90</v>
      </c>
      <c r="BM706" s="138">
        <v>63.34</v>
      </c>
      <c r="BN706" s="157">
        <v>41837</v>
      </c>
      <c r="BS706" s="138">
        <v>48.11</v>
      </c>
      <c r="BT706" s="157">
        <v>41837</v>
      </c>
      <c r="BU706" s="138">
        <v>40.6</v>
      </c>
      <c r="BV706" s="157">
        <v>41837</v>
      </c>
      <c r="BW706" s="138">
        <v>52.3</v>
      </c>
      <c r="BX706" s="157">
        <v>41837</v>
      </c>
      <c r="CC706" s="138">
        <v>7.6</v>
      </c>
      <c r="CD706" s="157">
        <v>41837</v>
      </c>
    </row>
    <row r="707" spans="1:91">
      <c r="A707" s="189" t="s">
        <v>7795</v>
      </c>
      <c r="B707" s="190" t="s">
        <v>271</v>
      </c>
      <c r="C707" s="190">
        <v>4</v>
      </c>
      <c r="D707" s="190">
        <v>9</v>
      </c>
      <c r="E707" s="191">
        <v>22</v>
      </c>
      <c r="F707" s="191">
        <v>20</v>
      </c>
      <c r="G707" s="191"/>
      <c r="H707" s="191"/>
      <c r="I707" s="201"/>
      <c r="J707" s="190"/>
      <c r="K707" s="192"/>
      <c r="L707" s="193"/>
      <c r="M707" s="194">
        <v>7.09</v>
      </c>
      <c r="N707" s="193">
        <v>41837</v>
      </c>
      <c r="P707" s="193"/>
      <c r="Q707" s="192"/>
      <c r="R707" s="194"/>
      <c r="S707" s="192">
        <v>20.18</v>
      </c>
      <c r="T707" s="193">
        <v>41837</v>
      </c>
      <c r="U707" s="192">
        <v>18</v>
      </c>
      <c r="V707" s="193"/>
      <c r="W707" s="192"/>
      <c r="X707" s="193"/>
      <c r="Y707" s="192">
        <f t="shared" si="11"/>
        <v>14.827500000000001</v>
      </c>
      <c r="Z707" s="193">
        <v>41837</v>
      </c>
      <c r="AA707" s="192"/>
      <c r="AB707" s="193"/>
      <c r="AC707" s="195"/>
      <c r="AD707" s="193"/>
      <c r="AE707" s="192">
        <v>39.54</v>
      </c>
      <c r="AF707" s="193">
        <v>41837</v>
      </c>
      <c r="AG707" s="194">
        <v>5.56</v>
      </c>
      <c r="AH707" s="193">
        <v>41837</v>
      </c>
      <c r="AI707" s="193"/>
      <c r="AJ707" s="193"/>
      <c r="AK707" s="192"/>
      <c r="AL707" s="193"/>
      <c r="AM707" s="192">
        <v>85</v>
      </c>
      <c r="AN707" s="193"/>
      <c r="AO707" s="195"/>
      <c r="AP707" s="195"/>
      <c r="AQ707" s="195"/>
      <c r="AR707" s="195"/>
      <c r="AS707" s="195"/>
      <c r="AT707" s="195"/>
      <c r="AU707" s="195"/>
      <c r="AV707" s="195"/>
      <c r="AW707" s="195"/>
      <c r="AX707" s="195"/>
      <c r="AY707" s="195"/>
      <c r="AZ707" s="195"/>
      <c r="BA707" s="195"/>
      <c r="BB707" s="195"/>
      <c r="BC707" s="195"/>
      <c r="BD707" s="195"/>
      <c r="BE707" s="196"/>
      <c r="BF707" s="196"/>
      <c r="BG707" s="196"/>
      <c r="BH707" s="196"/>
      <c r="BI707" s="196"/>
      <c r="BJ707" s="196"/>
      <c r="BK707" s="196"/>
      <c r="BL707" s="196"/>
      <c r="BM707" s="196">
        <v>60.79</v>
      </c>
      <c r="BN707" s="193">
        <v>41837</v>
      </c>
      <c r="BO707" s="196"/>
      <c r="BP707" s="196"/>
      <c r="BQ707" s="196"/>
      <c r="BR707" s="196"/>
      <c r="BS707" s="196">
        <v>51.04</v>
      </c>
      <c r="BT707" s="193">
        <v>41837</v>
      </c>
      <c r="BU707" s="196">
        <v>37.5</v>
      </c>
      <c r="BV707" s="193">
        <v>41837</v>
      </c>
      <c r="BW707" s="196">
        <v>10.7</v>
      </c>
      <c r="BX707" s="193">
        <v>41837</v>
      </c>
      <c r="BY707" s="196"/>
      <c r="BZ707" s="196"/>
      <c r="CA707" s="196"/>
      <c r="CB707" s="196"/>
      <c r="CC707" s="196">
        <v>7.9</v>
      </c>
      <c r="CD707" s="193">
        <v>41837</v>
      </c>
      <c r="CE707" s="196"/>
      <c r="CF707" s="196"/>
      <c r="CG707" s="196"/>
      <c r="CH707" s="196"/>
      <c r="CI707" s="196"/>
      <c r="CJ707" s="196"/>
      <c r="CK707" s="196"/>
      <c r="CL707" s="196"/>
      <c r="CM707" s="196"/>
    </row>
    <row r="708" spans="1:91">
      <c r="A708" s="159" t="s">
        <v>7718</v>
      </c>
      <c r="B708" s="112" t="s">
        <v>271</v>
      </c>
      <c r="C708" s="112">
        <v>4</v>
      </c>
      <c r="D708" s="112">
        <v>193</v>
      </c>
      <c r="E708" s="113">
        <v>23</v>
      </c>
      <c r="F708" s="113">
        <v>20</v>
      </c>
      <c r="M708" s="185">
        <v>7.42</v>
      </c>
      <c r="N708" s="157">
        <v>41837</v>
      </c>
      <c r="R708" s="185"/>
      <c r="S708" s="137">
        <v>21.57</v>
      </c>
      <c r="T708" s="157">
        <v>41837</v>
      </c>
      <c r="U708" s="142">
        <v>18</v>
      </c>
      <c r="Y708" s="142">
        <f t="shared" si="11"/>
        <v>15.84</v>
      </c>
      <c r="Z708" s="157">
        <v>41837</v>
      </c>
      <c r="AE708" s="137">
        <v>41.25</v>
      </c>
      <c r="AF708" s="157">
        <v>41837</v>
      </c>
      <c r="AG708" s="185">
        <v>4.9000000000000004</v>
      </c>
      <c r="AH708" s="157">
        <v>41837</v>
      </c>
      <c r="AM708" s="137">
        <v>83</v>
      </c>
      <c r="BM708" s="138">
        <v>60.21</v>
      </c>
      <c r="BN708" s="157">
        <v>41837</v>
      </c>
      <c r="BS708" s="138">
        <v>52.29</v>
      </c>
      <c r="BT708" s="157">
        <v>41837</v>
      </c>
      <c r="BU708" s="138">
        <v>38.4</v>
      </c>
      <c r="BV708" s="157">
        <v>41837</v>
      </c>
      <c r="BW708" s="138">
        <v>13.4</v>
      </c>
      <c r="BX708" s="157">
        <v>41837</v>
      </c>
      <c r="CC708" s="138">
        <v>8.1999999999999993</v>
      </c>
      <c r="CD708" s="157">
        <v>41837</v>
      </c>
    </row>
    <row r="709" spans="1:91">
      <c r="A709" s="159" t="s">
        <v>7659</v>
      </c>
      <c r="B709" s="112" t="s">
        <v>271</v>
      </c>
      <c r="C709" s="112">
        <v>4</v>
      </c>
      <c r="D709" s="112">
        <v>71</v>
      </c>
      <c r="E709" s="113">
        <v>24</v>
      </c>
      <c r="F709" s="113">
        <v>20</v>
      </c>
      <c r="M709" s="185">
        <v>5.75</v>
      </c>
      <c r="N709" s="157">
        <v>41837</v>
      </c>
      <c r="R709" s="185"/>
      <c r="S709" s="137">
        <v>15.09</v>
      </c>
      <c r="T709" s="157">
        <v>41837</v>
      </c>
      <c r="U709" s="142">
        <v>18</v>
      </c>
      <c r="Y709" s="142">
        <f t="shared" si="11"/>
        <v>13.25095</v>
      </c>
      <c r="Z709" s="157">
        <v>41837</v>
      </c>
      <c r="AE709" s="137">
        <v>31.93</v>
      </c>
      <c r="AF709" s="157">
        <v>41837</v>
      </c>
      <c r="AG709" s="185">
        <v>5.55</v>
      </c>
      <c r="AH709" s="157">
        <v>41837</v>
      </c>
      <c r="AM709" s="137">
        <v>85</v>
      </c>
      <c r="BM709" s="138">
        <v>57.28</v>
      </c>
      <c r="BN709" s="157">
        <v>41837</v>
      </c>
      <c r="BS709" s="138">
        <v>47.27</v>
      </c>
      <c r="BT709" s="157">
        <v>41837</v>
      </c>
      <c r="BU709" s="138">
        <v>41.5</v>
      </c>
      <c r="BV709" s="157">
        <v>41837</v>
      </c>
      <c r="BW709" s="138">
        <v>22.3</v>
      </c>
      <c r="BX709" s="157">
        <v>41837</v>
      </c>
      <c r="CC709" s="138">
        <v>8.3000000000000007</v>
      </c>
      <c r="CD709" s="157">
        <v>41837</v>
      </c>
    </row>
    <row r="710" spans="1:91">
      <c r="A710" s="159" t="s">
        <v>7692</v>
      </c>
      <c r="B710" s="112" t="s">
        <v>271</v>
      </c>
      <c r="C710" s="112">
        <v>4</v>
      </c>
      <c r="D710" s="112">
        <v>54</v>
      </c>
      <c r="E710" s="113">
        <v>25</v>
      </c>
      <c r="F710" s="113">
        <v>20</v>
      </c>
      <c r="M710" s="185">
        <v>7.1</v>
      </c>
      <c r="N710" s="157">
        <v>41837</v>
      </c>
      <c r="R710" s="185"/>
      <c r="S710" s="137">
        <v>19.920000000000002</v>
      </c>
      <c r="T710" s="157">
        <v>41837</v>
      </c>
      <c r="U710" s="142">
        <v>18</v>
      </c>
      <c r="Y710" s="142">
        <f t="shared" si="11"/>
        <v>15.70135</v>
      </c>
      <c r="Z710" s="157">
        <v>41837</v>
      </c>
      <c r="AE710" s="137">
        <v>39.549999999999997</v>
      </c>
      <c r="AF710" s="157">
        <v>41837</v>
      </c>
      <c r="AG710" s="185">
        <v>4.5999999999999996</v>
      </c>
      <c r="AH710" s="157">
        <v>41837</v>
      </c>
      <c r="AM710" s="137">
        <v>85</v>
      </c>
      <c r="BM710" s="138">
        <v>63.99</v>
      </c>
      <c r="BN710" s="157">
        <v>41837</v>
      </c>
      <c r="BS710" s="138">
        <v>50.37</v>
      </c>
      <c r="BT710" s="157">
        <v>41837</v>
      </c>
      <c r="BU710" s="138">
        <v>39.700000000000003</v>
      </c>
      <c r="BV710" s="157">
        <v>41837</v>
      </c>
      <c r="BW710" s="138">
        <v>16.600000000000001</v>
      </c>
      <c r="BX710" s="157">
        <v>41837</v>
      </c>
      <c r="CC710" s="138">
        <v>8</v>
      </c>
      <c r="CD710" s="157">
        <v>41837</v>
      </c>
    </row>
    <row r="711" spans="1:91">
      <c r="A711" s="159" t="s">
        <v>7812</v>
      </c>
      <c r="B711" s="112" t="s">
        <v>271</v>
      </c>
      <c r="C711" s="112">
        <v>4</v>
      </c>
      <c r="D711" s="112">
        <v>58</v>
      </c>
      <c r="E711" s="113">
        <v>26</v>
      </c>
      <c r="F711" s="113">
        <v>20</v>
      </c>
      <c r="M711" s="185">
        <v>8</v>
      </c>
      <c r="N711" s="157">
        <v>41837</v>
      </c>
      <c r="R711" s="185"/>
      <c r="S711" s="137">
        <v>23.68</v>
      </c>
      <c r="T711" s="157">
        <v>41837</v>
      </c>
      <c r="U711" s="142">
        <v>18</v>
      </c>
      <c r="Y711" s="142">
        <f t="shared" si="11"/>
        <v>17.520710000000001</v>
      </c>
      <c r="Z711" s="157">
        <v>41837</v>
      </c>
      <c r="AE711" s="137">
        <v>44.81</v>
      </c>
      <c r="AF711" s="157">
        <v>41837</v>
      </c>
      <c r="AG711" s="185">
        <v>5.66</v>
      </c>
      <c r="AH711" s="157">
        <v>41837</v>
      </c>
      <c r="AM711" s="137">
        <v>87</v>
      </c>
      <c r="BM711" s="138">
        <v>64.31</v>
      </c>
      <c r="BN711" s="157">
        <v>41837</v>
      </c>
      <c r="BS711" s="138">
        <v>52.84</v>
      </c>
      <c r="BT711" s="157">
        <v>41837</v>
      </c>
      <c r="BU711" s="138">
        <v>39.1</v>
      </c>
      <c r="BV711" s="157">
        <v>41837</v>
      </c>
      <c r="BW711" s="138">
        <v>18.7</v>
      </c>
      <c r="BX711" s="157">
        <v>41837</v>
      </c>
      <c r="CC711" s="138">
        <v>7.5</v>
      </c>
      <c r="CD711" s="157">
        <v>41837</v>
      </c>
    </row>
    <row r="712" spans="1:91">
      <c r="A712" s="159" t="s">
        <v>7708</v>
      </c>
      <c r="B712" s="112" t="s">
        <v>271</v>
      </c>
      <c r="C712" s="112">
        <v>4</v>
      </c>
      <c r="D712" s="112">
        <v>156</v>
      </c>
      <c r="E712" s="113">
        <v>27</v>
      </c>
      <c r="F712" s="113">
        <v>20</v>
      </c>
      <c r="M712" s="185">
        <v>5.8</v>
      </c>
      <c r="N712" s="157">
        <v>41837</v>
      </c>
      <c r="R712" s="185"/>
      <c r="S712" s="137">
        <v>15.78</v>
      </c>
      <c r="T712" s="157">
        <v>41837</v>
      </c>
      <c r="U712" s="142">
        <v>18</v>
      </c>
      <c r="Y712" s="142">
        <f t="shared" si="11"/>
        <v>12.006500000000001</v>
      </c>
      <c r="Z712" s="157">
        <v>41837</v>
      </c>
      <c r="AE712" s="137">
        <v>32.450000000000003</v>
      </c>
      <c r="AF712" s="157">
        <v>41837</v>
      </c>
      <c r="AG712" s="185">
        <v>4.2300000000000004</v>
      </c>
      <c r="AH712" s="157">
        <v>41837</v>
      </c>
      <c r="AM712" s="137">
        <v>94</v>
      </c>
      <c r="BM712" s="138">
        <v>62.59</v>
      </c>
      <c r="BN712" s="157">
        <v>41837</v>
      </c>
      <c r="BS712" s="138">
        <v>48.64</v>
      </c>
      <c r="BT712" s="157">
        <v>41837</v>
      </c>
      <c r="BU712" s="138">
        <v>37</v>
      </c>
      <c r="BV712" s="157">
        <v>41837</v>
      </c>
      <c r="BW712" s="138">
        <v>14.9</v>
      </c>
      <c r="BX712" s="157">
        <v>41837</v>
      </c>
      <c r="CC712" s="138">
        <v>7.6</v>
      </c>
      <c r="CD712" s="157">
        <v>41837</v>
      </c>
    </row>
    <row r="713" spans="1:91">
      <c r="A713" s="189" t="s">
        <v>7704</v>
      </c>
      <c r="B713" s="190" t="s">
        <v>271</v>
      </c>
      <c r="C713" s="190">
        <v>4</v>
      </c>
      <c r="D713" s="190">
        <v>7</v>
      </c>
      <c r="E713" s="191">
        <v>28</v>
      </c>
      <c r="F713" s="191">
        <v>20</v>
      </c>
      <c r="G713" s="191"/>
      <c r="H713" s="191"/>
      <c r="I713" s="201"/>
      <c r="J713" s="190"/>
      <c r="K713" s="192"/>
      <c r="L713" s="193"/>
      <c r="M713" s="194">
        <v>6.21</v>
      </c>
      <c r="N713" s="193">
        <v>41837</v>
      </c>
      <c r="P713" s="193"/>
      <c r="Q713" s="192"/>
      <c r="R713" s="194"/>
      <c r="S713" s="192">
        <v>16.260000000000002</v>
      </c>
      <c r="T713" s="193">
        <v>41837</v>
      </c>
      <c r="U713" s="192">
        <v>18</v>
      </c>
      <c r="V713" s="193"/>
      <c r="W713" s="192"/>
      <c r="X713" s="193"/>
      <c r="Y713" s="192">
        <f t="shared" si="11"/>
        <v>13.355600000000003</v>
      </c>
      <c r="Z713" s="193">
        <v>41837</v>
      </c>
      <c r="AA713" s="192"/>
      <c r="AB713" s="193"/>
      <c r="AC713" s="195"/>
      <c r="AD713" s="193"/>
      <c r="AE713" s="192">
        <v>34.6</v>
      </c>
      <c r="AF713" s="193">
        <v>41837</v>
      </c>
      <c r="AG713" s="194">
        <v>5.0599999999999996</v>
      </c>
      <c r="AH713" s="193">
        <v>41837</v>
      </c>
      <c r="AI713" s="193"/>
      <c r="AJ713" s="193"/>
      <c r="AK713" s="192"/>
      <c r="AL713" s="193"/>
      <c r="AM713" s="192">
        <v>90</v>
      </c>
      <c r="AN713" s="193"/>
      <c r="AO713" s="195"/>
      <c r="AP713" s="195"/>
      <c r="AQ713" s="195"/>
      <c r="AR713" s="195"/>
      <c r="AS713" s="195"/>
      <c r="AT713" s="195"/>
      <c r="AU713" s="195"/>
      <c r="AV713" s="195"/>
      <c r="AW713" s="195"/>
      <c r="AX713" s="195"/>
      <c r="AY713" s="195"/>
      <c r="AZ713" s="195"/>
      <c r="BA713" s="195"/>
      <c r="BB713" s="195"/>
      <c r="BC713" s="195"/>
      <c r="BD713" s="195"/>
      <c r="BE713" s="196"/>
      <c r="BF713" s="196"/>
      <c r="BG713" s="196"/>
      <c r="BH713" s="196"/>
      <c r="BI713" s="196"/>
      <c r="BJ713" s="196"/>
      <c r="BK713" s="196"/>
      <c r="BL713" s="196"/>
      <c r="BM713" s="196">
        <v>62.59</v>
      </c>
      <c r="BN713" s="193">
        <v>41837</v>
      </c>
      <c r="BO713" s="196"/>
      <c r="BP713" s="196"/>
      <c r="BQ713" s="196"/>
      <c r="BR713" s="196"/>
      <c r="BS713" s="196">
        <v>46.99</v>
      </c>
      <c r="BT713" s="193">
        <v>41837</v>
      </c>
      <c r="BU713" s="196">
        <v>38.6</v>
      </c>
      <c r="BV713" s="193">
        <v>41837</v>
      </c>
      <c r="BW713" s="196">
        <v>27.5</v>
      </c>
      <c r="BX713" s="193">
        <v>41837</v>
      </c>
      <c r="BY713" s="196"/>
      <c r="BZ713" s="196"/>
      <c r="CA713" s="196"/>
      <c r="CB713" s="196"/>
      <c r="CC713" s="196">
        <v>8</v>
      </c>
      <c r="CD713" s="193">
        <v>41837</v>
      </c>
      <c r="CE713" s="196"/>
      <c r="CF713" s="196"/>
      <c r="CG713" s="196"/>
      <c r="CH713" s="196"/>
      <c r="CI713" s="196"/>
      <c r="CJ713" s="196"/>
      <c r="CK713" s="196"/>
      <c r="CL713" s="196"/>
      <c r="CM713" s="196"/>
    </row>
    <row r="714" spans="1:91">
      <c r="A714" s="159" t="s">
        <v>7761</v>
      </c>
      <c r="B714" s="112" t="s">
        <v>271</v>
      </c>
      <c r="C714" s="112">
        <v>4</v>
      </c>
      <c r="D714" s="112">
        <v>73</v>
      </c>
      <c r="E714" s="113">
        <v>29</v>
      </c>
      <c r="F714" s="113">
        <v>20</v>
      </c>
      <c r="M714" s="185">
        <v>3.61</v>
      </c>
      <c r="N714" s="157">
        <v>41837</v>
      </c>
      <c r="R714" s="185"/>
      <c r="S714" s="137">
        <v>10.130000000000001</v>
      </c>
      <c r="T714" s="157">
        <v>41837</v>
      </c>
      <c r="U714" s="142">
        <v>18</v>
      </c>
      <c r="Y714" s="142">
        <f t="shared" si="11"/>
        <v>7.6760000000000002</v>
      </c>
      <c r="Z714" s="157">
        <v>41837</v>
      </c>
      <c r="AE714" s="137">
        <v>20.2</v>
      </c>
      <c r="AF714" s="157">
        <v>41837</v>
      </c>
      <c r="AG714" s="185">
        <v>5.17</v>
      </c>
      <c r="AH714" s="157">
        <v>41837</v>
      </c>
      <c r="AM714" s="137">
        <v>90</v>
      </c>
      <c r="BM714" s="138">
        <v>62.92</v>
      </c>
      <c r="BN714" s="157">
        <v>41837</v>
      </c>
      <c r="BS714" s="138">
        <v>50.15</v>
      </c>
      <c r="BT714" s="157">
        <v>41837</v>
      </c>
      <c r="BU714" s="138">
        <v>38</v>
      </c>
      <c r="BV714" s="157">
        <v>41837</v>
      </c>
      <c r="BW714" s="138">
        <v>59.2</v>
      </c>
      <c r="BX714" s="157">
        <v>41837</v>
      </c>
      <c r="CC714" s="138">
        <v>7.6</v>
      </c>
      <c r="CD714" s="157">
        <v>41837</v>
      </c>
    </row>
    <row r="715" spans="1:91">
      <c r="A715" s="189" t="s">
        <v>7611</v>
      </c>
      <c r="B715" s="190" t="s">
        <v>271</v>
      </c>
      <c r="C715" s="190">
        <v>4</v>
      </c>
      <c r="D715" s="190">
        <v>153</v>
      </c>
      <c r="E715" s="191">
        <v>30</v>
      </c>
      <c r="F715" s="191">
        <v>20</v>
      </c>
      <c r="G715" s="191"/>
      <c r="H715" s="191"/>
      <c r="I715" s="190"/>
      <c r="J715" s="190"/>
      <c r="K715" s="195"/>
      <c r="L715" s="193"/>
      <c r="M715" s="194">
        <v>3.27</v>
      </c>
      <c r="N715" s="193">
        <v>41837</v>
      </c>
      <c r="P715" s="193"/>
      <c r="Q715" s="195"/>
      <c r="R715" s="194"/>
      <c r="S715" s="195">
        <v>8.76</v>
      </c>
      <c r="T715" s="193">
        <v>41837</v>
      </c>
      <c r="U715" s="192">
        <v>18</v>
      </c>
      <c r="V715" s="193"/>
      <c r="W715" s="195"/>
      <c r="X715" s="193"/>
      <c r="Y715" s="192">
        <f t="shared" si="11"/>
        <v>7.0746000000000002</v>
      </c>
      <c r="Z715" s="193">
        <v>41837</v>
      </c>
      <c r="AA715" s="195"/>
      <c r="AB715" s="193"/>
      <c r="AC715" s="195"/>
      <c r="AD715" s="193"/>
      <c r="AE715" s="195">
        <v>18.14</v>
      </c>
      <c r="AF715" s="193">
        <v>41837</v>
      </c>
      <c r="AG715" s="194">
        <v>5.09</v>
      </c>
      <c r="AH715" s="193">
        <v>41837</v>
      </c>
      <c r="AI715" s="193"/>
      <c r="AJ715" s="193"/>
      <c r="AK715" s="195"/>
      <c r="AL715" s="193"/>
      <c r="AM715" s="195">
        <v>90</v>
      </c>
      <c r="AN715" s="193"/>
      <c r="AO715" s="195"/>
      <c r="AP715" s="195"/>
      <c r="AQ715" s="195"/>
      <c r="AR715" s="195"/>
      <c r="AS715" s="195"/>
      <c r="AT715" s="195"/>
      <c r="AU715" s="195"/>
      <c r="AV715" s="195"/>
      <c r="AW715" s="195"/>
      <c r="AX715" s="195"/>
      <c r="AY715" s="195"/>
      <c r="AZ715" s="195"/>
      <c r="BA715" s="195"/>
      <c r="BB715" s="195"/>
      <c r="BC715" s="195"/>
      <c r="BD715" s="195"/>
      <c r="BE715" s="196"/>
      <c r="BF715" s="196"/>
      <c r="BG715" s="196"/>
      <c r="BH715" s="196"/>
      <c r="BI715" s="196"/>
      <c r="BJ715" s="196"/>
      <c r="BK715" s="196"/>
      <c r="BL715" s="196"/>
      <c r="BM715" s="196">
        <v>60.37</v>
      </c>
      <c r="BN715" s="193">
        <v>41837</v>
      </c>
      <c r="BO715" s="196"/>
      <c r="BP715" s="196"/>
      <c r="BQ715" s="196"/>
      <c r="BR715" s="196"/>
      <c r="BS715" s="196">
        <v>48.28</v>
      </c>
      <c r="BT715" s="193">
        <v>41837</v>
      </c>
      <c r="BU715" s="196">
        <v>39</v>
      </c>
      <c r="BV715" s="193">
        <v>41837</v>
      </c>
      <c r="BW715" s="196">
        <v>52.2</v>
      </c>
      <c r="BX715" s="193">
        <v>41837</v>
      </c>
      <c r="BY715" s="196"/>
      <c r="BZ715" s="196"/>
      <c r="CA715" s="196"/>
      <c r="CB715" s="196"/>
      <c r="CC715" s="196">
        <v>8.4</v>
      </c>
      <c r="CD715" s="193">
        <v>41837</v>
      </c>
      <c r="CE715" s="196"/>
      <c r="CF715" s="196"/>
      <c r="CG715" s="196"/>
      <c r="CH715" s="196"/>
      <c r="CI715" s="196"/>
      <c r="CJ715" s="196"/>
      <c r="CK715" s="196"/>
      <c r="CL715" s="196"/>
      <c r="CM715" s="196"/>
    </row>
    <row r="716" spans="1:91">
      <c r="A716" s="159" t="s">
        <v>7733</v>
      </c>
      <c r="B716" s="112" t="s">
        <v>271</v>
      </c>
      <c r="C716" s="112">
        <v>4</v>
      </c>
      <c r="D716" s="112">
        <v>77</v>
      </c>
      <c r="E716" s="113">
        <v>31</v>
      </c>
      <c r="F716" s="113">
        <v>20</v>
      </c>
      <c r="M716" s="185">
        <v>5.84</v>
      </c>
      <c r="N716" s="157">
        <v>41837</v>
      </c>
      <c r="R716" s="185"/>
      <c r="S716" s="137">
        <v>15.28</v>
      </c>
      <c r="T716" s="157">
        <v>41837</v>
      </c>
      <c r="U716" s="142">
        <v>18</v>
      </c>
      <c r="Y716" s="142">
        <f t="shared" si="11"/>
        <v>12.82752</v>
      </c>
      <c r="Z716" s="157">
        <v>41837</v>
      </c>
      <c r="AE716" s="137">
        <v>32.64</v>
      </c>
      <c r="AF716" s="157">
        <v>41837</v>
      </c>
      <c r="AG716" s="185">
        <v>4.6500000000000004</v>
      </c>
      <c r="AH716" s="157">
        <v>41837</v>
      </c>
      <c r="AM716" s="137">
        <v>94</v>
      </c>
      <c r="BM716" s="138">
        <v>59.35</v>
      </c>
      <c r="BN716" s="157">
        <v>41837</v>
      </c>
      <c r="BS716" s="138">
        <v>46.8</v>
      </c>
      <c r="BT716" s="157">
        <v>41837</v>
      </c>
      <c r="BU716" s="138">
        <v>39.299999999999997</v>
      </c>
      <c r="BV716" s="157">
        <v>41837</v>
      </c>
      <c r="BW716" s="138">
        <v>15.5</v>
      </c>
      <c r="BX716" s="157">
        <v>41837</v>
      </c>
      <c r="CC716" s="138">
        <v>7.7</v>
      </c>
      <c r="CD716" s="157">
        <v>41837</v>
      </c>
    </row>
    <row r="717" spans="1:91">
      <c r="A717" s="189" t="s">
        <v>7768</v>
      </c>
      <c r="B717" s="190" t="s">
        <v>271</v>
      </c>
      <c r="C717" s="190">
        <v>4</v>
      </c>
      <c r="D717" s="190">
        <v>2</v>
      </c>
      <c r="E717" s="191">
        <v>32</v>
      </c>
      <c r="F717" s="191">
        <v>20</v>
      </c>
      <c r="G717" s="191"/>
      <c r="H717" s="191"/>
      <c r="I717" s="201"/>
      <c r="J717" s="190"/>
      <c r="K717" s="192"/>
      <c r="L717" s="193"/>
      <c r="M717" s="194">
        <v>7.49</v>
      </c>
      <c r="N717" s="193">
        <v>41837</v>
      </c>
      <c r="P717" s="193"/>
      <c r="Q717" s="192"/>
      <c r="R717" s="194"/>
      <c r="S717" s="192">
        <v>21.14</v>
      </c>
      <c r="T717" s="193">
        <v>41837</v>
      </c>
      <c r="U717" s="192">
        <v>18</v>
      </c>
      <c r="V717" s="193"/>
      <c r="W717" s="192"/>
      <c r="X717" s="193"/>
      <c r="Y717" s="192">
        <f t="shared" si="11"/>
        <v>16.409120000000001</v>
      </c>
      <c r="Z717" s="193">
        <v>41837</v>
      </c>
      <c r="AA717" s="192"/>
      <c r="AB717" s="193"/>
      <c r="AC717" s="195"/>
      <c r="AD717" s="193"/>
      <c r="AE717" s="192">
        <v>41.86</v>
      </c>
      <c r="AF717" s="193">
        <v>41837</v>
      </c>
      <c r="AG717" s="194">
        <v>6.16</v>
      </c>
      <c r="AH717" s="193">
        <v>41837</v>
      </c>
      <c r="AI717" s="193"/>
      <c r="AJ717" s="193"/>
      <c r="AK717" s="192"/>
      <c r="AL717" s="193"/>
      <c r="AM717" s="192">
        <v>80</v>
      </c>
      <c r="AN717" s="193"/>
      <c r="AO717" s="195"/>
      <c r="AP717" s="195"/>
      <c r="AQ717" s="195"/>
      <c r="AR717" s="195"/>
      <c r="AS717" s="195"/>
      <c r="AT717" s="195"/>
      <c r="AU717" s="195"/>
      <c r="AV717" s="195"/>
      <c r="AW717" s="195"/>
      <c r="AX717" s="195"/>
      <c r="AY717" s="195"/>
      <c r="AZ717" s="195"/>
      <c r="BA717" s="195"/>
      <c r="BB717" s="195"/>
      <c r="BC717" s="195"/>
      <c r="BD717" s="195"/>
      <c r="BE717" s="196"/>
      <c r="BF717" s="196"/>
      <c r="BG717" s="196"/>
      <c r="BH717" s="196"/>
      <c r="BI717" s="196"/>
      <c r="BJ717" s="196"/>
      <c r="BK717" s="196"/>
      <c r="BL717" s="196"/>
      <c r="BM717" s="196">
        <v>61.8</v>
      </c>
      <c r="BN717" s="193">
        <v>41837</v>
      </c>
      <c r="BO717" s="196"/>
      <c r="BP717" s="196"/>
      <c r="BQ717" s="196"/>
      <c r="BR717" s="196"/>
      <c r="BS717" s="196">
        <v>50.51</v>
      </c>
      <c r="BT717" s="193">
        <v>41837</v>
      </c>
      <c r="BU717" s="196">
        <v>39.200000000000003</v>
      </c>
      <c r="BV717" s="193">
        <v>41837</v>
      </c>
      <c r="BW717" s="196">
        <v>13.4</v>
      </c>
      <c r="BX717" s="193">
        <v>41837</v>
      </c>
      <c r="BY717" s="196"/>
      <c r="BZ717" s="196"/>
      <c r="CA717" s="196"/>
      <c r="CB717" s="196"/>
      <c r="CC717" s="196">
        <v>7.7</v>
      </c>
      <c r="CD717" s="193">
        <v>41837</v>
      </c>
      <c r="CE717" s="196"/>
      <c r="CF717" s="196"/>
      <c r="CG717" s="196"/>
      <c r="CH717" s="196"/>
      <c r="CI717" s="196"/>
      <c r="CJ717" s="196"/>
      <c r="CK717" s="196"/>
      <c r="CL717" s="196"/>
      <c r="CM717" s="196"/>
    </row>
    <row r="718" spans="1:91">
      <c r="A718" s="159" t="s">
        <v>7622</v>
      </c>
      <c r="B718" s="112" t="s">
        <v>271</v>
      </c>
      <c r="C718" s="112">
        <v>4</v>
      </c>
      <c r="D718" s="112">
        <v>75</v>
      </c>
      <c r="E718" s="113">
        <v>33</v>
      </c>
      <c r="F718" s="113">
        <v>20</v>
      </c>
      <c r="M718" s="185">
        <v>5.53</v>
      </c>
      <c r="N718" s="157">
        <v>41837</v>
      </c>
      <c r="R718" s="185"/>
      <c r="S718" s="137">
        <v>15.72</v>
      </c>
      <c r="T718" s="157">
        <v>41837</v>
      </c>
      <c r="U718" s="142">
        <v>18</v>
      </c>
      <c r="Y718" s="142">
        <f t="shared" si="11"/>
        <v>12.711719999999998</v>
      </c>
      <c r="Z718" s="157">
        <v>41837</v>
      </c>
      <c r="AE718" s="137">
        <v>31.08</v>
      </c>
      <c r="AF718" s="157">
        <v>41837</v>
      </c>
      <c r="AG718" s="185">
        <v>4.93</v>
      </c>
      <c r="AH718" s="157">
        <v>41837</v>
      </c>
      <c r="AM718" s="137">
        <v>87</v>
      </c>
      <c r="BM718" s="138">
        <v>64.12</v>
      </c>
      <c r="BN718" s="157">
        <v>41837</v>
      </c>
      <c r="BS718" s="138">
        <v>50.58</v>
      </c>
      <c r="BT718" s="157">
        <v>41837</v>
      </c>
      <c r="BU718" s="138">
        <v>40.9</v>
      </c>
      <c r="BV718" s="157">
        <v>41837</v>
      </c>
      <c r="BW718" s="138">
        <v>49.4</v>
      </c>
      <c r="BX718" s="157">
        <v>41837</v>
      </c>
      <c r="CC718" s="138">
        <v>7.2</v>
      </c>
      <c r="CD718" s="157">
        <v>41837</v>
      </c>
    </row>
    <row r="719" spans="1:91">
      <c r="A719" s="159" t="s">
        <v>7770</v>
      </c>
      <c r="B719" s="112" t="s">
        <v>271</v>
      </c>
      <c r="C719" s="112">
        <v>4</v>
      </c>
      <c r="D719" s="112">
        <v>151</v>
      </c>
      <c r="E719" s="113">
        <v>34</v>
      </c>
      <c r="F719" s="113">
        <v>20</v>
      </c>
      <c r="M719" s="185">
        <v>7.61</v>
      </c>
      <c r="N719" s="157">
        <v>41837</v>
      </c>
      <c r="R719" s="185"/>
      <c r="S719" s="137">
        <v>21.96</v>
      </c>
      <c r="T719" s="157">
        <v>41837</v>
      </c>
      <c r="U719" s="142">
        <v>18</v>
      </c>
      <c r="Y719" s="142">
        <f t="shared" si="11"/>
        <v>16.629679999999997</v>
      </c>
      <c r="Z719" s="157">
        <v>41837</v>
      </c>
      <c r="AE719" s="137">
        <v>42.86</v>
      </c>
      <c r="AF719" s="157">
        <v>41837</v>
      </c>
      <c r="AG719" s="185">
        <v>4.79</v>
      </c>
      <c r="AH719" s="157">
        <v>41837</v>
      </c>
      <c r="AM719" s="137">
        <v>87</v>
      </c>
      <c r="BM719" s="138">
        <v>59.02</v>
      </c>
      <c r="BN719" s="157">
        <v>41837</v>
      </c>
      <c r="BS719" s="138">
        <v>51.24</v>
      </c>
      <c r="BT719" s="157">
        <v>41837</v>
      </c>
      <c r="BU719" s="138">
        <v>38.799999999999997</v>
      </c>
      <c r="BV719" s="157">
        <v>41837</v>
      </c>
      <c r="BW719" s="138">
        <v>11.5</v>
      </c>
      <c r="BX719" s="157">
        <v>41837</v>
      </c>
      <c r="CC719" s="138">
        <v>7</v>
      </c>
      <c r="CD719" s="157">
        <v>41837</v>
      </c>
    </row>
    <row r="720" spans="1:91">
      <c r="A720" s="159" t="s">
        <v>7782</v>
      </c>
      <c r="B720" s="112" t="s">
        <v>271</v>
      </c>
      <c r="C720" s="112">
        <v>4</v>
      </c>
      <c r="D720" s="112">
        <v>37</v>
      </c>
      <c r="E720" s="113">
        <v>35</v>
      </c>
      <c r="F720" s="113">
        <v>20</v>
      </c>
      <c r="M720" s="185">
        <v>7.66</v>
      </c>
      <c r="N720" s="157">
        <v>41837</v>
      </c>
      <c r="R720" s="185"/>
      <c r="S720" s="137">
        <v>22.04</v>
      </c>
      <c r="T720" s="157">
        <v>41837</v>
      </c>
      <c r="U720" s="142">
        <v>18</v>
      </c>
      <c r="Y720" s="142">
        <f t="shared" si="11"/>
        <v>16.019780000000001</v>
      </c>
      <c r="Z720" s="157">
        <v>41837</v>
      </c>
      <c r="AE720" s="137">
        <v>43.18</v>
      </c>
      <c r="AF720" s="157">
        <v>41837</v>
      </c>
      <c r="AG720" s="185">
        <v>5.09</v>
      </c>
      <c r="AH720" s="157">
        <v>41837</v>
      </c>
      <c r="AM720" s="137">
        <v>92</v>
      </c>
      <c r="BM720" s="138">
        <v>62.1</v>
      </c>
      <c r="BN720" s="157">
        <v>41837</v>
      </c>
      <c r="BS720" s="138">
        <v>51.05</v>
      </c>
      <c r="BT720" s="157">
        <v>41837</v>
      </c>
      <c r="BU720" s="138">
        <v>37.1</v>
      </c>
      <c r="BV720" s="157">
        <v>41837</v>
      </c>
      <c r="BW720" s="138">
        <v>14.5</v>
      </c>
      <c r="BX720" s="157">
        <v>41837</v>
      </c>
      <c r="CC720" s="138">
        <v>6.9</v>
      </c>
      <c r="CD720" s="157">
        <v>41837</v>
      </c>
    </row>
    <row r="721" spans="1:91">
      <c r="A721" s="189" t="s">
        <v>7625</v>
      </c>
      <c r="B721" s="190" t="s">
        <v>271</v>
      </c>
      <c r="C721" s="190">
        <v>4</v>
      </c>
      <c r="D721" s="190">
        <v>30</v>
      </c>
      <c r="E721" s="191">
        <v>36</v>
      </c>
      <c r="F721" s="191">
        <v>20</v>
      </c>
      <c r="G721" s="191"/>
      <c r="H721" s="191"/>
      <c r="I721" s="190"/>
      <c r="J721" s="190"/>
      <c r="K721" s="195"/>
      <c r="L721" s="193"/>
      <c r="M721" s="194">
        <v>5.15</v>
      </c>
      <c r="N721" s="193">
        <v>41837</v>
      </c>
      <c r="P721" s="193"/>
      <c r="Q721" s="195"/>
      <c r="R721" s="194"/>
      <c r="S721" s="195">
        <v>13.36</v>
      </c>
      <c r="T721" s="193">
        <v>41837</v>
      </c>
      <c r="U721" s="192">
        <v>18</v>
      </c>
      <c r="V721" s="193"/>
      <c r="W721" s="195"/>
      <c r="X721" s="193"/>
      <c r="Y721" s="192">
        <f t="shared" si="11"/>
        <v>11.39575</v>
      </c>
      <c r="Z721" s="193">
        <v>41837</v>
      </c>
      <c r="AA721" s="195"/>
      <c r="AB721" s="193"/>
      <c r="AC721" s="195"/>
      <c r="AD721" s="193"/>
      <c r="AE721" s="195">
        <v>28.85</v>
      </c>
      <c r="AF721" s="193">
        <v>41837</v>
      </c>
      <c r="AG721" s="194">
        <v>5.09</v>
      </c>
      <c r="AH721" s="193">
        <v>41837</v>
      </c>
      <c r="AI721" s="193"/>
      <c r="AJ721" s="193"/>
      <c r="AK721" s="195"/>
      <c r="AL721" s="193"/>
      <c r="AM721" s="195">
        <v>90</v>
      </c>
      <c r="AN721" s="193"/>
      <c r="AO721" s="195"/>
      <c r="AP721" s="195"/>
      <c r="AQ721" s="195"/>
      <c r="AR721" s="195"/>
      <c r="AS721" s="195"/>
      <c r="AT721" s="195"/>
      <c r="AU721" s="195"/>
      <c r="AV721" s="195"/>
      <c r="AW721" s="195"/>
      <c r="AX721" s="195"/>
      <c r="AY721" s="195"/>
      <c r="AZ721" s="195"/>
      <c r="BA721" s="195"/>
      <c r="BB721" s="195"/>
      <c r="BC721" s="195"/>
      <c r="BD721" s="195"/>
      <c r="BE721" s="196"/>
      <c r="BF721" s="196"/>
      <c r="BG721" s="196"/>
      <c r="BH721" s="196"/>
      <c r="BI721" s="196"/>
      <c r="BJ721" s="196"/>
      <c r="BK721" s="196"/>
      <c r="BL721" s="196"/>
      <c r="BM721" s="196">
        <v>58.98</v>
      </c>
      <c r="BN721" s="193">
        <v>41837</v>
      </c>
      <c r="BO721" s="196"/>
      <c r="BP721" s="196"/>
      <c r="BQ721" s="196"/>
      <c r="BR721" s="196"/>
      <c r="BS721" s="196">
        <v>46.3</v>
      </c>
      <c r="BT721" s="193">
        <v>41837</v>
      </c>
      <c r="BU721" s="196">
        <v>39.5</v>
      </c>
      <c r="BV721" s="193">
        <v>41837</v>
      </c>
      <c r="BW721" s="196">
        <v>67.099999999999994</v>
      </c>
      <c r="BX721" s="193">
        <v>41837</v>
      </c>
      <c r="BY721" s="196"/>
      <c r="BZ721" s="196"/>
      <c r="CA721" s="196"/>
      <c r="CB721" s="196"/>
      <c r="CC721" s="196">
        <v>7.5</v>
      </c>
      <c r="CD721" s="193">
        <v>41837</v>
      </c>
      <c r="CE721" s="196"/>
      <c r="CF721" s="196"/>
      <c r="CG721" s="196"/>
      <c r="CH721" s="196"/>
      <c r="CI721" s="196"/>
      <c r="CJ721" s="196"/>
      <c r="CK721" s="196"/>
      <c r="CL721" s="196"/>
      <c r="CM721" s="196"/>
    </row>
    <row r="722" spans="1:91">
      <c r="A722" s="159" t="s">
        <v>7660</v>
      </c>
      <c r="B722" s="112" t="s">
        <v>271</v>
      </c>
      <c r="C722" s="112">
        <v>4</v>
      </c>
      <c r="D722" s="112">
        <v>90</v>
      </c>
      <c r="E722" s="113">
        <v>1</v>
      </c>
      <c r="F722" s="113">
        <v>21</v>
      </c>
      <c r="M722" s="185">
        <v>6.54</v>
      </c>
      <c r="N722" s="157">
        <v>41837</v>
      </c>
      <c r="R722" s="185"/>
      <c r="S722" s="137">
        <v>17.399999999999999</v>
      </c>
      <c r="T722" s="157">
        <v>41837</v>
      </c>
      <c r="U722" s="142">
        <v>18</v>
      </c>
      <c r="Y722" s="142">
        <f t="shared" si="11"/>
        <v>13.07878</v>
      </c>
      <c r="Z722" s="157">
        <v>41837</v>
      </c>
      <c r="AE722" s="137">
        <v>34.97</v>
      </c>
      <c r="AF722" s="157">
        <v>41837</v>
      </c>
      <c r="AG722" s="185">
        <v>5.48</v>
      </c>
      <c r="AH722" s="157">
        <v>41837</v>
      </c>
      <c r="AM722" s="137">
        <v>90</v>
      </c>
      <c r="BM722" s="138">
        <v>60.2</v>
      </c>
      <c r="BN722" s="157">
        <v>41837</v>
      </c>
      <c r="BS722" s="138">
        <v>49.76</v>
      </c>
      <c r="BT722" s="157">
        <v>41837</v>
      </c>
      <c r="BU722" s="138">
        <v>37.4</v>
      </c>
      <c r="BV722" s="157">
        <v>41837</v>
      </c>
      <c r="BW722" s="138">
        <v>56.6</v>
      </c>
      <c r="BX722" s="157">
        <v>41837</v>
      </c>
      <c r="CC722" s="138">
        <v>11.7</v>
      </c>
      <c r="CD722" s="157">
        <v>41837</v>
      </c>
    </row>
    <row r="723" spans="1:91">
      <c r="A723" s="159" t="s">
        <v>8126</v>
      </c>
      <c r="B723" s="112" t="s">
        <v>271</v>
      </c>
      <c r="C723" s="112">
        <v>4</v>
      </c>
      <c r="D723" s="112">
        <v>143</v>
      </c>
      <c r="E723" s="113">
        <v>2</v>
      </c>
      <c r="F723" s="113">
        <v>21</v>
      </c>
      <c r="M723" s="185">
        <v>10.24</v>
      </c>
      <c r="N723" s="157">
        <v>41837</v>
      </c>
      <c r="R723" s="185"/>
      <c r="S723" s="137">
        <v>28.62</v>
      </c>
      <c r="T723" s="157">
        <v>41837</v>
      </c>
      <c r="U723" s="142">
        <v>18</v>
      </c>
      <c r="Y723" s="142">
        <f t="shared" si="11"/>
        <v>20.387249999999998</v>
      </c>
      <c r="Z723" s="157">
        <v>41837</v>
      </c>
      <c r="AE723" s="137">
        <v>55.25</v>
      </c>
      <c r="AF723" s="157">
        <v>41837</v>
      </c>
      <c r="AG723" s="185">
        <v>4.45</v>
      </c>
      <c r="AH723" s="157">
        <v>41837</v>
      </c>
      <c r="AM723" s="137">
        <v>85</v>
      </c>
      <c r="BM723" s="138">
        <v>60.21</v>
      </c>
      <c r="BN723" s="157">
        <v>41837</v>
      </c>
      <c r="BS723" s="138">
        <v>51.8</v>
      </c>
      <c r="BT723" s="157">
        <v>41837</v>
      </c>
      <c r="BU723" s="138">
        <v>36.9</v>
      </c>
      <c r="BV723" s="157">
        <v>41837</v>
      </c>
      <c r="BW723" s="138">
        <v>16.600000000000001</v>
      </c>
      <c r="BX723" s="157">
        <v>41837</v>
      </c>
      <c r="CC723" s="138">
        <v>10.9</v>
      </c>
      <c r="CD723" s="157">
        <v>41837</v>
      </c>
    </row>
    <row r="724" spans="1:91">
      <c r="A724" s="159" t="s">
        <v>7645</v>
      </c>
      <c r="B724" s="112" t="s">
        <v>271</v>
      </c>
      <c r="C724" s="112">
        <v>4</v>
      </c>
      <c r="D724" s="112">
        <v>198</v>
      </c>
      <c r="E724" s="113">
        <v>3</v>
      </c>
      <c r="F724" s="113">
        <v>21</v>
      </c>
      <c r="M724" s="185">
        <v>6.27</v>
      </c>
      <c r="N724" s="157">
        <v>41837</v>
      </c>
      <c r="R724" s="185"/>
      <c r="S724" s="137">
        <v>17.16</v>
      </c>
      <c r="T724" s="157">
        <v>41837</v>
      </c>
      <c r="U724" s="142">
        <v>18</v>
      </c>
      <c r="Y724" s="142">
        <f t="shared" si="11"/>
        <v>13.0603</v>
      </c>
      <c r="Z724" s="157">
        <v>41837</v>
      </c>
      <c r="AE724" s="137">
        <v>34.1</v>
      </c>
      <c r="AF724" s="157">
        <v>41837</v>
      </c>
      <c r="AG724" s="185">
        <v>4.54</v>
      </c>
      <c r="AH724" s="157">
        <v>41837</v>
      </c>
      <c r="AM724" s="137">
        <v>92</v>
      </c>
      <c r="BM724" s="138">
        <v>64.400000000000006</v>
      </c>
      <c r="BN724" s="157">
        <v>41837</v>
      </c>
      <c r="BS724" s="138">
        <v>50.32</v>
      </c>
      <c r="BT724" s="157">
        <v>41837</v>
      </c>
      <c r="BU724" s="138">
        <v>38.299999999999997</v>
      </c>
      <c r="BV724" s="157">
        <v>41837</v>
      </c>
      <c r="BW724" s="138">
        <v>27.8</v>
      </c>
      <c r="BX724" s="157">
        <v>41837</v>
      </c>
      <c r="CC724" s="138">
        <v>10.199999999999999</v>
      </c>
      <c r="CD724" s="157">
        <v>41837</v>
      </c>
    </row>
    <row r="725" spans="1:91">
      <c r="A725" s="159" t="s">
        <v>7624</v>
      </c>
      <c r="B725" s="112" t="s">
        <v>271</v>
      </c>
      <c r="C725" s="112">
        <v>4</v>
      </c>
      <c r="D725" s="112">
        <v>169</v>
      </c>
      <c r="E725" s="113">
        <v>4</v>
      </c>
      <c r="F725" s="113">
        <v>21</v>
      </c>
      <c r="M725" s="185">
        <v>4.2699999999999996</v>
      </c>
      <c r="N725" s="157">
        <v>41837</v>
      </c>
      <c r="R725" s="185"/>
      <c r="S725" s="137">
        <v>11.09</v>
      </c>
      <c r="T725" s="157">
        <v>41837</v>
      </c>
      <c r="U725" s="142">
        <v>18</v>
      </c>
      <c r="Y725" s="142">
        <f t="shared" si="11"/>
        <v>9.7580000000000009</v>
      </c>
      <c r="Z725" s="157">
        <v>41837</v>
      </c>
      <c r="AE725" s="137">
        <v>22.96</v>
      </c>
      <c r="AF725" s="157">
        <v>41837</v>
      </c>
      <c r="AG725" s="185">
        <v>4.54</v>
      </c>
      <c r="AH725" s="157">
        <v>41837</v>
      </c>
      <c r="AM725" s="137">
        <v>85</v>
      </c>
      <c r="BM725" s="138">
        <v>60.49</v>
      </c>
      <c r="BN725" s="157">
        <v>41837</v>
      </c>
      <c r="BS725" s="138">
        <v>48.32</v>
      </c>
      <c r="BT725" s="157">
        <v>41837</v>
      </c>
      <c r="BU725" s="138">
        <v>42.5</v>
      </c>
      <c r="BV725" s="157">
        <v>41837</v>
      </c>
      <c r="BW725" s="138">
        <v>60</v>
      </c>
      <c r="BX725" s="157">
        <v>41837</v>
      </c>
      <c r="CC725" s="138">
        <v>11.2</v>
      </c>
      <c r="CD725" s="157">
        <v>41837</v>
      </c>
    </row>
    <row r="726" spans="1:91">
      <c r="A726" s="159" t="s">
        <v>7690</v>
      </c>
      <c r="B726" s="112" t="s">
        <v>271</v>
      </c>
      <c r="C726" s="112">
        <v>4</v>
      </c>
      <c r="D726" s="112">
        <v>36</v>
      </c>
      <c r="E726" s="113">
        <v>5</v>
      </c>
      <c r="F726" s="113">
        <v>21</v>
      </c>
      <c r="M726" s="185">
        <v>7.32</v>
      </c>
      <c r="N726" s="157">
        <v>41837</v>
      </c>
      <c r="R726" s="185"/>
      <c r="S726" s="137">
        <v>19.71</v>
      </c>
      <c r="T726" s="157">
        <v>41837</v>
      </c>
      <c r="U726" s="142">
        <v>18</v>
      </c>
      <c r="Y726" s="142">
        <f t="shared" si="11"/>
        <v>15.325999999999999</v>
      </c>
      <c r="Z726" s="157">
        <v>41837</v>
      </c>
      <c r="AE726" s="137">
        <v>39.5</v>
      </c>
      <c r="AF726" s="157">
        <v>41837</v>
      </c>
      <c r="AG726" s="185">
        <v>5.31</v>
      </c>
      <c r="AH726" s="157">
        <v>41837</v>
      </c>
      <c r="AM726" s="137">
        <v>90</v>
      </c>
      <c r="BM726" s="138">
        <v>60.36</v>
      </c>
      <c r="BN726" s="157">
        <v>41837</v>
      </c>
      <c r="BS726" s="138">
        <v>49.9</v>
      </c>
      <c r="BT726" s="157">
        <v>41837</v>
      </c>
      <c r="BU726" s="138">
        <v>38.799999999999997</v>
      </c>
      <c r="BV726" s="157">
        <v>41837</v>
      </c>
      <c r="BW726" s="138">
        <v>14.4</v>
      </c>
      <c r="BX726" s="157">
        <v>41837</v>
      </c>
      <c r="CC726" s="138">
        <v>10.9</v>
      </c>
      <c r="CD726" s="157">
        <v>41837</v>
      </c>
    </row>
    <row r="727" spans="1:91">
      <c r="A727" s="159" t="s">
        <v>7613</v>
      </c>
      <c r="B727" s="112" t="s">
        <v>271</v>
      </c>
      <c r="C727" s="112">
        <v>4</v>
      </c>
      <c r="D727" s="112">
        <v>51</v>
      </c>
      <c r="E727" s="113">
        <v>6</v>
      </c>
      <c r="F727" s="113">
        <v>21</v>
      </c>
      <c r="M727" s="185">
        <v>2.02</v>
      </c>
      <c r="N727" s="157">
        <v>41837</v>
      </c>
      <c r="R727" s="185"/>
      <c r="S727" s="137">
        <v>5.13</v>
      </c>
      <c r="T727" s="157">
        <v>41837</v>
      </c>
      <c r="U727" s="142">
        <v>18</v>
      </c>
      <c r="Y727" s="142">
        <f t="shared" si="11"/>
        <v>4.3182400000000003</v>
      </c>
      <c r="Z727" s="157">
        <v>41837</v>
      </c>
      <c r="AE727" s="137">
        <v>10.96</v>
      </c>
      <c r="AF727" s="157">
        <v>41837</v>
      </c>
      <c r="AG727" s="185">
        <v>4.71</v>
      </c>
      <c r="AH727" s="157">
        <v>41837</v>
      </c>
      <c r="AM727" s="137">
        <v>87</v>
      </c>
      <c r="BM727" s="138">
        <v>62.68</v>
      </c>
      <c r="BN727" s="157">
        <v>41837</v>
      </c>
      <c r="BS727" s="138">
        <v>46.79</v>
      </c>
      <c r="BT727" s="157">
        <v>41837</v>
      </c>
      <c r="BU727" s="138">
        <v>39.4</v>
      </c>
      <c r="BV727" s="157">
        <v>41837</v>
      </c>
      <c r="BW727" s="138">
        <v>49.7</v>
      </c>
      <c r="BX727" s="157">
        <v>41837</v>
      </c>
      <c r="CC727" s="138">
        <v>10.4</v>
      </c>
      <c r="CD727" s="157">
        <v>41837</v>
      </c>
    </row>
    <row r="728" spans="1:91">
      <c r="A728" s="159" t="s">
        <v>7696</v>
      </c>
      <c r="B728" s="112" t="s">
        <v>271</v>
      </c>
      <c r="C728" s="112">
        <v>4</v>
      </c>
      <c r="D728" s="112">
        <v>22</v>
      </c>
      <c r="E728" s="113">
        <v>7</v>
      </c>
      <c r="F728" s="113">
        <v>21</v>
      </c>
      <c r="I728" s="200"/>
      <c r="K728" s="142"/>
      <c r="M728" s="185">
        <v>6.37</v>
      </c>
      <c r="N728" s="157">
        <v>41837</v>
      </c>
      <c r="Q728" s="142"/>
      <c r="R728" s="185"/>
      <c r="S728" s="142">
        <v>17.38</v>
      </c>
      <c r="T728" s="157">
        <v>41837</v>
      </c>
      <c r="U728" s="142">
        <v>18</v>
      </c>
      <c r="W728" s="142"/>
      <c r="Y728" s="142">
        <f t="shared" si="11"/>
        <v>13.96683</v>
      </c>
      <c r="Z728" s="157">
        <v>41837</v>
      </c>
      <c r="AA728" s="142"/>
      <c r="AE728" s="142">
        <v>34.83</v>
      </c>
      <c r="AF728" s="157">
        <v>41837</v>
      </c>
      <c r="AG728" s="185">
        <v>4.91</v>
      </c>
      <c r="AH728" s="157">
        <v>41837</v>
      </c>
      <c r="AK728" s="142"/>
      <c r="AM728" s="142">
        <v>85</v>
      </c>
      <c r="BM728" s="138">
        <v>61.34</v>
      </c>
      <c r="BN728" s="157">
        <v>41837</v>
      </c>
      <c r="BS728" s="138">
        <v>49.9</v>
      </c>
      <c r="BT728" s="157">
        <v>41837</v>
      </c>
      <c r="BU728" s="138">
        <v>40.1</v>
      </c>
      <c r="BV728" s="157">
        <v>41837</v>
      </c>
      <c r="BW728" s="138">
        <v>15</v>
      </c>
      <c r="BX728" s="157">
        <v>41837</v>
      </c>
      <c r="CC728" s="138">
        <v>9.6999999999999993</v>
      </c>
      <c r="CD728" s="157">
        <v>41837</v>
      </c>
    </row>
    <row r="729" spans="1:91">
      <c r="A729" s="159" t="s">
        <v>7698</v>
      </c>
      <c r="B729" s="112" t="s">
        <v>271</v>
      </c>
      <c r="C729" s="112">
        <v>4</v>
      </c>
      <c r="D729" s="112">
        <v>47</v>
      </c>
      <c r="E729" s="113">
        <v>8</v>
      </c>
      <c r="F729" s="113">
        <v>21</v>
      </c>
      <c r="M729" s="185">
        <v>6.05</v>
      </c>
      <c r="N729" s="157">
        <v>41837</v>
      </c>
      <c r="R729" s="185"/>
      <c r="S729" s="137">
        <v>16.39</v>
      </c>
      <c r="T729" s="157">
        <v>41837</v>
      </c>
      <c r="U729" s="142">
        <v>18</v>
      </c>
      <c r="Y729" s="142">
        <f t="shared" si="11"/>
        <v>12.57202</v>
      </c>
      <c r="Z729" s="157">
        <v>41837</v>
      </c>
      <c r="AE729" s="137">
        <v>32.57</v>
      </c>
      <c r="AF729" s="157">
        <v>41837</v>
      </c>
      <c r="AG729" s="185">
        <v>5.8</v>
      </c>
      <c r="AH729" s="157">
        <v>41837</v>
      </c>
      <c r="AM729" s="137">
        <v>90</v>
      </c>
      <c r="BM729" s="138">
        <v>59.78</v>
      </c>
      <c r="BN729" s="157">
        <v>41837</v>
      </c>
      <c r="BS729" s="138">
        <v>50.32</v>
      </c>
      <c r="BT729" s="157">
        <v>41837</v>
      </c>
      <c r="BU729" s="138">
        <v>38.6</v>
      </c>
      <c r="BV729" s="157">
        <v>41837</v>
      </c>
      <c r="BW729" s="138">
        <v>12.9</v>
      </c>
      <c r="BX729" s="157">
        <v>41837</v>
      </c>
      <c r="CC729" s="138">
        <v>11.1</v>
      </c>
      <c r="CD729" s="157">
        <v>41837</v>
      </c>
    </row>
    <row r="730" spans="1:91">
      <c r="A730" s="159" t="s">
        <v>7667</v>
      </c>
      <c r="B730" s="112" t="s">
        <v>271</v>
      </c>
      <c r="C730" s="112">
        <v>4</v>
      </c>
      <c r="D730" s="112">
        <v>175</v>
      </c>
      <c r="E730" s="113">
        <v>9</v>
      </c>
      <c r="F730" s="113">
        <v>21</v>
      </c>
      <c r="M730" s="185">
        <v>4.34</v>
      </c>
      <c r="N730" s="157">
        <v>41837</v>
      </c>
      <c r="R730" s="185"/>
      <c r="S730" s="137">
        <v>11.3</v>
      </c>
      <c r="T730" s="157">
        <v>41837</v>
      </c>
      <c r="U730" s="142">
        <v>18</v>
      </c>
      <c r="Y730" s="142">
        <f t="shared" si="11"/>
        <v>8.4359099999999998</v>
      </c>
      <c r="Z730" s="157">
        <v>41837</v>
      </c>
      <c r="AE730" s="137">
        <v>23.63</v>
      </c>
      <c r="AF730" s="157">
        <v>41837</v>
      </c>
      <c r="AG730" s="185">
        <v>4.28</v>
      </c>
      <c r="AH730" s="157">
        <v>41837</v>
      </c>
      <c r="AM730" s="137">
        <v>96</v>
      </c>
      <c r="BM730" s="138">
        <v>58.27</v>
      </c>
      <c r="BN730" s="157">
        <v>41837</v>
      </c>
      <c r="BS730" s="138">
        <v>47.81</v>
      </c>
      <c r="BT730" s="157">
        <v>41837</v>
      </c>
      <c r="BU730" s="138">
        <v>35.700000000000003</v>
      </c>
      <c r="BV730" s="157">
        <v>41837</v>
      </c>
      <c r="BW730" s="138">
        <v>17.2</v>
      </c>
      <c r="BX730" s="157">
        <v>41837</v>
      </c>
      <c r="CC730" s="138">
        <v>10.1</v>
      </c>
      <c r="CD730" s="157">
        <v>41837</v>
      </c>
    </row>
    <row r="731" spans="1:91">
      <c r="A731" s="159" t="s">
        <v>7739</v>
      </c>
      <c r="B731" s="112" t="s">
        <v>271</v>
      </c>
      <c r="C731" s="112">
        <v>4</v>
      </c>
      <c r="D731" s="112">
        <v>159</v>
      </c>
      <c r="E731" s="113">
        <v>10</v>
      </c>
      <c r="F731" s="113">
        <v>21</v>
      </c>
      <c r="M731" s="185">
        <v>4.5199999999999996</v>
      </c>
      <c r="N731" s="157">
        <v>41837</v>
      </c>
      <c r="R731" s="185"/>
      <c r="S731" s="137">
        <v>12.2</v>
      </c>
      <c r="T731" s="157">
        <v>41837</v>
      </c>
      <c r="U731" s="142">
        <v>18</v>
      </c>
      <c r="Y731" s="142">
        <f t="shared" si="11"/>
        <v>9.0945999999999998</v>
      </c>
      <c r="Z731" s="157">
        <v>41837</v>
      </c>
      <c r="AE731" s="137">
        <v>24.58</v>
      </c>
      <c r="AF731" s="157">
        <v>41837</v>
      </c>
      <c r="AG731" s="185">
        <v>4.8</v>
      </c>
      <c r="AH731" s="157">
        <v>41837</v>
      </c>
      <c r="AM731" s="137">
        <v>92</v>
      </c>
      <c r="BM731" s="138">
        <v>57.42</v>
      </c>
      <c r="BN731" s="157">
        <v>41837</v>
      </c>
      <c r="BS731" s="138">
        <v>49.65</v>
      </c>
      <c r="BT731" s="157">
        <v>41837</v>
      </c>
      <c r="BU731" s="138">
        <v>37</v>
      </c>
      <c r="BV731" s="157">
        <v>41837</v>
      </c>
      <c r="BW731" s="138">
        <v>20.2</v>
      </c>
      <c r="BX731" s="157">
        <v>41837</v>
      </c>
      <c r="CC731" s="138">
        <v>10.199999999999999</v>
      </c>
      <c r="CD731" s="157">
        <v>41837</v>
      </c>
    </row>
    <row r="732" spans="1:91">
      <c r="A732" s="159" t="s">
        <v>7636</v>
      </c>
      <c r="B732" s="112" t="s">
        <v>271</v>
      </c>
      <c r="C732" s="112">
        <v>4</v>
      </c>
      <c r="D732" s="112">
        <v>80</v>
      </c>
      <c r="E732" s="113">
        <v>11</v>
      </c>
      <c r="F732" s="113">
        <v>21</v>
      </c>
      <c r="M732" s="185">
        <v>3.94</v>
      </c>
      <c r="N732" s="157">
        <v>41837</v>
      </c>
      <c r="R732" s="185"/>
      <c r="S732" s="137">
        <v>9.82</v>
      </c>
      <c r="T732" s="157">
        <v>41837</v>
      </c>
      <c r="U732" s="142">
        <v>18</v>
      </c>
      <c r="Y732" s="142">
        <f t="shared" si="11"/>
        <v>8.2928999999999995</v>
      </c>
      <c r="Z732" s="157">
        <v>41837</v>
      </c>
      <c r="AE732" s="137">
        <v>21.54</v>
      </c>
      <c r="AF732" s="157">
        <v>41837</v>
      </c>
      <c r="AG732" s="185">
        <v>4.79</v>
      </c>
      <c r="AH732" s="157">
        <v>41837</v>
      </c>
      <c r="AM732" s="137">
        <v>92</v>
      </c>
      <c r="BM732" s="138">
        <v>60.16</v>
      </c>
      <c r="BN732" s="157">
        <v>41837</v>
      </c>
      <c r="BS732" s="138">
        <v>45.58</v>
      </c>
      <c r="BT732" s="157">
        <v>41837</v>
      </c>
      <c r="BU732" s="138">
        <v>38.5</v>
      </c>
      <c r="BV732" s="157">
        <v>41837</v>
      </c>
      <c r="BW732" s="138">
        <v>54.9</v>
      </c>
      <c r="BX732" s="157">
        <v>41837</v>
      </c>
      <c r="CC732" s="138">
        <v>9.6999999999999993</v>
      </c>
      <c r="CD732" s="157">
        <v>41837</v>
      </c>
    </row>
    <row r="733" spans="1:91">
      <c r="A733" s="159" t="s">
        <v>7671</v>
      </c>
      <c r="B733" s="112" t="s">
        <v>271</v>
      </c>
      <c r="C733" s="112">
        <v>4</v>
      </c>
      <c r="D733" s="112">
        <v>133</v>
      </c>
      <c r="E733" s="113">
        <v>12</v>
      </c>
      <c r="F733" s="113">
        <v>21</v>
      </c>
      <c r="M733" s="185">
        <v>4.9400000000000004</v>
      </c>
      <c r="N733" s="157">
        <v>41837</v>
      </c>
      <c r="R733" s="185"/>
      <c r="S733" s="137">
        <v>12.19</v>
      </c>
      <c r="T733" s="157">
        <v>41837</v>
      </c>
      <c r="U733" s="142">
        <v>18</v>
      </c>
      <c r="Y733" s="142">
        <f t="shared" si="11"/>
        <v>10.621379999999998</v>
      </c>
      <c r="Z733" s="157">
        <v>41837</v>
      </c>
      <c r="AE733" s="137">
        <v>26.62</v>
      </c>
      <c r="AF733" s="157">
        <v>41837</v>
      </c>
      <c r="AG733" s="185">
        <v>4.9800000000000004</v>
      </c>
      <c r="AH733" s="157">
        <v>41837</v>
      </c>
      <c r="AM733" s="137">
        <v>96</v>
      </c>
      <c r="BM733" s="138">
        <v>59.37</v>
      </c>
      <c r="BN733" s="157">
        <v>41837</v>
      </c>
      <c r="BS733" s="138">
        <v>45.79</v>
      </c>
      <c r="BT733" s="157">
        <v>41837</v>
      </c>
      <c r="BU733" s="138">
        <v>39.9</v>
      </c>
      <c r="BV733" s="157">
        <v>41837</v>
      </c>
      <c r="BW733" s="138">
        <v>13.6</v>
      </c>
      <c r="BX733" s="157">
        <v>41837</v>
      </c>
      <c r="CC733" s="138">
        <v>11</v>
      </c>
      <c r="CD733" s="157">
        <v>41837</v>
      </c>
    </row>
    <row r="734" spans="1:91">
      <c r="A734" s="159" t="s">
        <v>7621</v>
      </c>
      <c r="B734" s="112" t="s">
        <v>271</v>
      </c>
      <c r="C734" s="112">
        <v>4</v>
      </c>
      <c r="D734" s="112">
        <v>149</v>
      </c>
      <c r="E734" s="113">
        <v>13</v>
      </c>
      <c r="F734" s="113">
        <v>21</v>
      </c>
      <c r="M734" s="185">
        <v>6.2</v>
      </c>
      <c r="N734" s="157">
        <v>41837</v>
      </c>
      <c r="R734" s="185"/>
      <c r="S734" s="137">
        <v>17.59</v>
      </c>
      <c r="T734" s="157">
        <v>41837</v>
      </c>
      <c r="U734" s="142">
        <v>18</v>
      </c>
      <c r="Y734" s="142">
        <f t="shared" si="11"/>
        <v>14.0097</v>
      </c>
      <c r="Z734" s="157">
        <v>41837</v>
      </c>
      <c r="AE734" s="137">
        <v>34.17</v>
      </c>
      <c r="AF734" s="157">
        <v>41837</v>
      </c>
      <c r="AG734" s="185">
        <v>5.01</v>
      </c>
      <c r="AH734" s="157">
        <v>41837</v>
      </c>
      <c r="AM734" s="137">
        <v>96</v>
      </c>
      <c r="BM734" s="138">
        <v>63.61</v>
      </c>
      <c r="BN734" s="157">
        <v>41837</v>
      </c>
      <c r="BS734" s="138">
        <v>51.49</v>
      </c>
      <c r="BT734" s="157">
        <v>41837</v>
      </c>
      <c r="BU734" s="138">
        <v>41</v>
      </c>
      <c r="BV734" s="157">
        <v>41837</v>
      </c>
      <c r="BW734" s="138">
        <v>59.9</v>
      </c>
      <c r="BX734" s="157">
        <v>41837</v>
      </c>
      <c r="CC734" s="138">
        <v>9</v>
      </c>
      <c r="CD734" s="157">
        <v>41837</v>
      </c>
    </row>
    <row r="735" spans="1:91">
      <c r="A735" s="159" t="s">
        <v>7744</v>
      </c>
      <c r="B735" s="112" t="s">
        <v>271</v>
      </c>
      <c r="C735" s="112">
        <v>4</v>
      </c>
      <c r="D735" s="112">
        <v>196</v>
      </c>
      <c r="E735" s="113">
        <v>14</v>
      </c>
      <c r="F735" s="113">
        <v>21</v>
      </c>
      <c r="M735" s="185">
        <v>2.4700000000000002</v>
      </c>
      <c r="N735" s="157">
        <v>41837</v>
      </c>
      <c r="R735" s="185"/>
      <c r="S735" s="137">
        <v>6.52</v>
      </c>
      <c r="T735" s="157">
        <v>41837</v>
      </c>
      <c r="U735" s="142">
        <v>18</v>
      </c>
      <c r="Y735" s="142">
        <f t="shared" si="11"/>
        <v>5.4468400000000008</v>
      </c>
      <c r="Z735" s="157">
        <v>41837</v>
      </c>
      <c r="AE735" s="137">
        <v>13.72</v>
      </c>
      <c r="AF735" s="157">
        <v>41837</v>
      </c>
      <c r="AG735" s="185">
        <v>4.1100000000000003</v>
      </c>
      <c r="AH735" s="157">
        <v>41837</v>
      </c>
      <c r="AM735" s="137">
        <v>92</v>
      </c>
      <c r="BM735" s="138">
        <v>62.11</v>
      </c>
      <c r="BN735" s="157">
        <v>41837</v>
      </c>
      <c r="BS735" s="138">
        <v>47.53</v>
      </c>
      <c r="BT735" s="157">
        <v>41837</v>
      </c>
      <c r="BU735" s="138">
        <v>39.700000000000003</v>
      </c>
      <c r="BV735" s="157">
        <v>41837</v>
      </c>
      <c r="BW735" s="138">
        <v>64.2</v>
      </c>
      <c r="BX735" s="157">
        <v>41837</v>
      </c>
      <c r="CC735" s="138">
        <v>8.3000000000000007</v>
      </c>
      <c r="CD735" s="157">
        <v>41837</v>
      </c>
    </row>
    <row r="736" spans="1:91">
      <c r="A736" s="159" t="s">
        <v>7670</v>
      </c>
      <c r="B736" s="112" t="s">
        <v>271</v>
      </c>
      <c r="C736" s="112">
        <v>4</v>
      </c>
      <c r="D736" s="112">
        <v>32</v>
      </c>
      <c r="E736" s="113">
        <v>15</v>
      </c>
      <c r="F736" s="113">
        <v>21</v>
      </c>
      <c r="M736" s="185">
        <v>6.81</v>
      </c>
      <c r="N736" s="157">
        <v>41837</v>
      </c>
      <c r="R736" s="185"/>
      <c r="S736" s="137">
        <v>19.13</v>
      </c>
      <c r="T736" s="157">
        <v>41837</v>
      </c>
      <c r="U736" s="142">
        <v>18</v>
      </c>
      <c r="Y736" s="142">
        <f t="shared" si="11"/>
        <v>14.984699999999998</v>
      </c>
      <c r="Z736" s="157">
        <v>41837</v>
      </c>
      <c r="AE736" s="137">
        <v>37.65</v>
      </c>
      <c r="AF736" s="157">
        <v>41837</v>
      </c>
      <c r="AG736" s="185">
        <v>5.31</v>
      </c>
      <c r="AH736" s="157">
        <v>41837</v>
      </c>
      <c r="AM736" s="137">
        <v>90</v>
      </c>
      <c r="BM736" s="138">
        <v>61.01</v>
      </c>
      <c r="BN736" s="157">
        <v>41837</v>
      </c>
      <c r="BS736" s="138">
        <v>50.81</v>
      </c>
      <c r="BT736" s="157">
        <v>41837</v>
      </c>
      <c r="BU736" s="138">
        <v>39.799999999999997</v>
      </c>
      <c r="BV736" s="157">
        <v>41837</v>
      </c>
      <c r="BW736" s="138">
        <v>20.399999999999999</v>
      </c>
      <c r="BX736" s="157">
        <v>41837</v>
      </c>
      <c r="CC736" s="138">
        <v>8.6999999999999993</v>
      </c>
      <c r="CD736" s="157">
        <v>41837</v>
      </c>
    </row>
    <row r="737" spans="1:91">
      <c r="A737" s="159" t="s">
        <v>7709</v>
      </c>
      <c r="B737" s="112" t="s">
        <v>271</v>
      </c>
      <c r="C737" s="112">
        <v>4</v>
      </c>
      <c r="D737" s="112">
        <v>17</v>
      </c>
      <c r="E737" s="113">
        <v>16</v>
      </c>
      <c r="F737" s="113">
        <v>21</v>
      </c>
      <c r="I737" s="200"/>
      <c r="K737" s="142"/>
      <c r="M737" s="185">
        <v>7.46</v>
      </c>
      <c r="N737" s="157">
        <v>41837</v>
      </c>
      <c r="Q737" s="142"/>
      <c r="R737" s="185"/>
      <c r="S737" s="142">
        <v>19.940000000000001</v>
      </c>
      <c r="T737" s="157">
        <v>41837</v>
      </c>
      <c r="U737" s="142">
        <v>18</v>
      </c>
      <c r="W737" s="142"/>
      <c r="Y737" s="142">
        <f t="shared" si="11"/>
        <v>16.438369999999999</v>
      </c>
      <c r="Z737" s="157">
        <v>41837</v>
      </c>
      <c r="AA737" s="142"/>
      <c r="AE737" s="142">
        <v>40.79</v>
      </c>
      <c r="AF737" s="157">
        <v>41837</v>
      </c>
      <c r="AG737" s="185">
        <v>5.38</v>
      </c>
      <c r="AH737" s="157">
        <v>41837</v>
      </c>
      <c r="AK737" s="142"/>
      <c r="AM737" s="142">
        <v>90</v>
      </c>
      <c r="BM737" s="138">
        <v>59.8</v>
      </c>
      <c r="BN737" s="157">
        <v>41837</v>
      </c>
      <c r="BS737" s="138">
        <v>48.89</v>
      </c>
      <c r="BT737" s="157">
        <v>41837</v>
      </c>
      <c r="BU737" s="138">
        <v>40.299999999999997</v>
      </c>
      <c r="BV737" s="157">
        <v>41837</v>
      </c>
      <c r="BW737" s="138">
        <v>15.4</v>
      </c>
      <c r="BX737" s="157">
        <v>41837</v>
      </c>
      <c r="CC737" s="138">
        <v>9.6999999999999993</v>
      </c>
      <c r="CD737" s="157">
        <v>41837</v>
      </c>
    </row>
    <row r="738" spans="1:91">
      <c r="A738" s="159" t="s">
        <v>8126</v>
      </c>
      <c r="B738" s="112" t="s">
        <v>271</v>
      </c>
      <c r="C738" s="112">
        <v>4</v>
      </c>
      <c r="D738" s="112">
        <v>93</v>
      </c>
      <c r="E738" s="113">
        <v>17</v>
      </c>
      <c r="F738" s="113">
        <v>21</v>
      </c>
      <c r="M738" s="185">
        <v>9.32</v>
      </c>
      <c r="N738" s="157">
        <v>41837</v>
      </c>
      <c r="R738" s="185"/>
      <c r="S738" s="137">
        <v>26.37</v>
      </c>
      <c r="T738" s="157">
        <v>41837</v>
      </c>
      <c r="U738" s="142">
        <v>18</v>
      </c>
      <c r="Y738" s="142">
        <f t="shared" si="11"/>
        <v>18.79504</v>
      </c>
      <c r="Z738" s="157">
        <v>41837</v>
      </c>
      <c r="AE738" s="137">
        <v>51.92</v>
      </c>
      <c r="AF738" s="157">
        <v>41837</v>
      </c>
      <c r="AG738" s="185">
        <v>4.54</v>
      </c>
      <c r="AH738" s="157">
        <v>41837</v>
      </c>
      <c r="AM738" s="137">
        <v>87</v>
      </c>
      <c r="BM738" s="138">
        <v>60.83</v>
      </c>
      <c r="BN738" s="157">
        <v>41837</v>
      </c>
      <c r="BS738" s="138">
        <v>50.79</v>
      </c>
      <c r="BT738" s="157">
        <v>41837</v>
      </c>
      <c r="BU738" s="138">
        <v>36.200000000000003</v>
      </c>
      <c r="BV738" s="157">
        <v>41837</v>
      </c>
      <c r="BW738" s="138">
        <v>16.5</v>
      </c>
      <c r="BX738" s="157">
        <v>41837</v>
      </c>
      <c r="CC738" s="138">
        <v>8</v>
      </c>
      <c r="CD738" s="157">
        <v>41837</v>
      </c>
    </row>
    <row r="739" spans="1:91">
      <c r="A739" s="159" t="s">
        <v>7780</v>
      </c>
      <c r="B739" s="112" t="s">
        <v>271</v>
      </c>
      <c r="C739" s="112">
        <v>4</v>
      </c>
      <c r="D739" s="112">
        <v>74</v>
      </c>
      <c r="E739" s="113">
        <v>18</v>
      </c>
      <c r="F739" s="113">
        <v>21</v>
      </c>
      <c r="M739" s="185">
        <v>6.85</v>
      </c>
      <c r="N739" s="157">
        <v>41837</v>
      </c>
      <c r="R739" s="185"/>
      <c r="S739" s="137">
        <v>19.5</v>
      </c>
      <c r="T739" s="157">
        <v>41837</v>
      </c>
      <c r="U739" s="142">
        <v>18</v>
      </c>
      <c r="Y739" s="142">
        <f t="shared" si="11"/>
        <v>14.37124</v>
      </c>
      <c r="Z739" s="157">
        <v>41837</v>
      </c>
      <c r="AE739" s="137">
        <v>38.119999999999997</v>
      </c>
      <c r="AF739" s="157">
        <v>41837</v>
      </c>
      <c r="AG739" s="185">
        <v>6.02</v>
      </c>
      <c r="AH739" s="157">
        <v>41837</v>
      </c>
      <c r="AM739" s="137">
        <v>90</v>
      </c>
      <c r="BM739" s="138">
        <v>57.94</v>
      </c>
      <c r="BN739" s="157">
        <v>41837</v>
      </c>
      <c r="BS739" s="138">
        <v>51.16</v>
      </c>
      <c r="BT739" s="157">
        <v>41837</v>
      </c>
      <c r="BU739" s="138">
        <v>37.700000000000003</v>
      </c>
      <c r="BV739" s="157">
        <v>41837</v>
      </c>
      <c r="BW739" s="138">
        <v>15.7</v>
      </c>
      <c r="BX739" s="157">
        <v>41837</v>
      </c>
      <c r="CC739" s="138">
        <v>8.1</v>
      </c>
      <c r="CD739" s="157">
        <v>41837</v>
      </c>
    </row>
    <row r="740" spans="1:91">
      <c r="A740" s="159" t="s">
        <v>7765</v>
      </c>
      <c r="B740" s="112" t="s">
        <v>271</v>
      </c>
      <c r="C740" s="112">
        <v>4</v>
      </c>
      <c r="D740" s="112">
        <v>200</v>
      </c>
      <c r="E740" s="113">
        <v>19</v>
      </c>
      <c r="F740" s="113">
        <v>21</v>
      </c>
      <c r="M740" s="185">
        <v>6.83</v>
      </c>
      <c r="N740" s="157">
        <v>41837</v>
      </c>
      <c r="R740" s="185"/>
      <c r="S740" s="137">
        <v>19.32</v>
      </c>
      <c r="T740" s="157">
        <v>41837</v>
      </c>
      <c r="U740" s="142">
        <v>18</v>
      </c>
      <c r="Y740" s="142">
        <f t="shared" si="11"/>
        <v>15.061349999999999</v>
      </c>
      <c r="Z740" s="157">
        <v>41837</v>
      </c>
      <c r="AE740" s="137">
        <v>38.130000000000003</v>
      </c>
      <c r="AF740" s="157">
        <v>41837</v>
      </c>
      <c r="AG740" s="185">
        <v>5.66</v>
      </c>
      <c r="AH740" s="157">
        <v>41837</v>
      </c>
      <c r="AM740" s="137">
        <v>90</v>
      </c>
      <c r="BM740" s="138">
        <v>62.02</v>
      </c>
      <c r="BN740" s="157">
        <v>41837</v>
      </c>
      <c r="BS740" s="138">
        <v>50.66</v>
      </c>
      <c r="BT740" s="157">
        <v>41837</v>
      </c>
      <c r="BU740" s="138">
        <v>39.5</v>
      </c>
      <c r="BV740" s="157">
        <v>41837</v>
      </c>
      <c r="BW740" s="138">
        <v>20.5</v>
      </c>
      <c r="BX740" s="157">
        <v>41837</v>
      </c>
      <c r="CC740" s="138">
        <v>7.8</v>
      </c>
      <c r="CD740" s="157">
        <v>41837</v>
      </c>
    </row>
    <row r="741" spans="1:91">
      <c r="A741" s="159" t="s">
        <v>7656</v>
      </c>
      <c r="B741" s="112" t="s">
        <v>271</v>
      </c>
      <c r="C741" s="112">
        <v>4</v>
      </c>
      <c r="D741" s="112">
        <v>124</v>
      </c>
      <c r="E741" s="113">
        <v>20</v>
      </c>
      <c r="F741" s="113">
        <v>21</v>
      </c>
      <c r="M741" s="185">
        <v>6.55</v>
      </c>
      <c r="N741" s="157">
        <v>41837</v>
      </c>
      <c r="R741" s="185"/>
      <c r="S741" s="137">
        <v>18.52</v>
      </c>
      <c r="T741" s="157">
        <v>41837</v>
      </c>
      <c r="U741" s="142">
        <v>18</v>
      </c>
      <c r="Y741" s="142">
        <f t="shared" si="11"/>
        <v>15.033880000000002</v>
      </c>
      <c r="Z741" s="157">
        <v>41837</v>
      </c>
      <c r="AE741" s="137">
        <v>36.49</v>
      </c>
      <c r="AF741" s="157">
        <v>41837</v>
      </c>
      <c r="AG741" s="185">
        <v>4.63</v>
      </c>
      <c r="AH741" s="157">
        <v>41837</v>
      </c>
      <c r="AM741" s="137">
        <v>85</v>
      </c>
      <c r="BM741" s="138">
        <v>58.27</v>
      </c>
      <c r="BN741" s="157">
        <v>41837</v>
      </c>
      <c r="BS741" s="138">
        <v>50.76</v>
      </c>
      <c r="BT741" s="157">
        <v>41837</v>
      </c>
      <c r="BU741" s="138">
        <v>41.2</v>
      </c>
      <c r="BV741" s="157">
        <v>41837</v>
      </c>
      <c r="BW741" s="138">
        <v>53.2</v>
      </c>
      <c r="BX741" s="157">
        <v>41837</v>
      </c>
      <c r="CC741" s="138">
        <v>8</v>
      </c>
      <c r="CD741" s="157">
        <v>41837</v>
      </c>
    </row>
    <row r="742" spans="1:91">
      <c r="A742" s="159" t="s">
        <v>7652</v>
      </c>
      <c r="B742" s="112" t="s">
        <v>271</v>
      </c>
      <c r="C742" s="112">
        <v>4</v>
      </c>
      <c r="D742" s="112">
        <v>103</v>
      </c>
      <c r="E742" s="113">
        <v>21</v>
      </c>
      <c r="F742" s="113">
        <v>21</v>
      </c>
      <c r="M742" s="185">
        <v>3.8</v>
      </c>
      <c r="N742" s="157">
        <v>41837</v>
      </c>
      <c r="R742" s="185"/>
      <c r="S742" s="137">
        <v>10.41</v>
      </c>
      <c r="T742" s="157">
        <v>41837</v>
      </c>
      <c r="U742" s="142">
        <v>18</v>
      </c>
      <c r="Y742" s="142">
        <f t="shared" si="11"/>
        <v>8.7321500000000007</v>
      </c>
      <c r="Z742" s="157">
        <v>41837</v>
      </c>
      <c r="AE742" s="137">
        <v>21.35</v>
      </c>
      <c r="AF742" s="157">
        <v>41837</v>
      </c>
      <c r="AG742" s="185">
        <v>5.21</v>
      </c>
      <c r="AH742" s="157">
        <v>41837</v>
      </c>
      <c r="AM742" s="137">
        <v>85</v>
      </c>
      <c r="BM742" s="138">
        <v>57.2</v>
      </c>
      <c r="BN742" s="157">
        <v>41837</v>
      </c>
      <c r="BS742" s="138">
        <v>48.76</v>
      </c>
      <c r="BT742" s="157">
        <v>41837</v>
      </c>
      <c r="BU742" s="138">
        <v>40.9</v>
      </c>
      <c r="BV742" s="157">
        <v>41837</v>
      </c>
      <c r="BW742" s="138">
        <v>61.4</v>
      </c>
      <c r="BX742" s="157">
        <v>41837</v>
      </c>
      <c r="CC742" s="138">
        <v>7.2</v>
      </c>
      <c r="CD742" s="157">
        <v>41837</v>
      </c>
    </row>
    <row r="743" spans="1:91">
      <c r="A743" s="159" t="s">
        <v>7635</v>
      </c>
      <c r="B743" s="112" t="s">
        <v>271</v>
      </c>
      <c r="C743" s="112">
        <v>4</v>
      </c>
      <c r="D743" s="112">
        <v>66</v>
      </c>
      <c r="E743" s="113">
        <v>22</v>
      </c>
      <c r="F743" s="113">
        <v>21</v>
      </c>
      <c r="M743" s="185">
        <v>2.36</v>
      </c>
      <c r="N743" s="157">
        <v>41837</v>
      </c>
      <c r="R743" s="185"/>
      <c r="S743" s="137">
        <v>6.41</v>
      </c>
      <c r="T743" s="157">
        <v>41837</v>
      </c>
      <c r="U743" s="142">
        <v>18</v>
      </c>
      <c r="Y743" s="142">
        <f t="shared" si="11"/>
        <v>5.411999999999999</v>
      </c>
      <c r="Z743" s="157">
        <v>41837</v>
      </c>
      <c r="AE743" s="137">
        <v>13.2</v>
      </c>
      <c r="AF743" s="157">
        <v>41837</v>
      </c>
      <c r="AG743" s="185">
        <v>5.41</v>
      </c>
      <c r="AH743" s="157">
        <v>41837</v>
      </c>
      <c r="AM743" s="137">
        <v>85</v>
      </c>
      <c r="BM743" s="138">
        <v>59.49</v>
      </c>
      <c r="BN743" s="157">
        <v>41837</v>
      </c>
      <c r="BS743" s="138">
        <v>48.59</v>
      </c>
      <c r="BT743" s="157">
        <v>41837</v>
      </c>
      <c r="BU743" s="138">
        <v>41</v>
      </c>
      <c r="BV743" s="157">
        <v>41837</v>
      </c>
      <c r="BW743" s="138">
        <v>46.4</v>
      </c>
      <c r="BX743" s="157">
        <v>41837</v>
      </c>
      <c r="CC743" s="138">
        <v>7.6</v>
      </c>
      <c r="CD743" s="157">
        <v>41837</v>
      </c>
    </row>
    <row r="744" spans="1:91">
      <c r="A744" s="159" t="s">
        <v>7626</v>
      </c>
      <c r="B744" s="112" t="s">
        <v>271</v>
      </c>
      <c r="C744" s="112">
        <v>4</v>
      </c>
      <c r="D744" s="112">
        <v>49</v>
      </c>
      <c r="E744" s="113">
        <v>23</v>
      </c>
      <c r="F744" s="113">
        <v>21</v>
      </c>
      <c r="M744" s="185">
        <v>5.93</v>
      </c>
      <c r="N744" s="157">
        <v>41837</v>
      </c>
      <c r="R744" s="185"/>
      <c r="S744" s="137">
        <v>16.39</v>
      </c>
      <c r="T744" s="157">
        <v>41837</v>
      </c>
      <c r="U744" s="142">
        <v>18</v>
      </c>
      <c r="Y744" s="142">
        <f t="shared" si="11"/>
        <v>13.68219</v>
      </c>
      <c r="Z744" s="157">
        <v>41837</v>
      </c>
      <c r="AE744" s="137">
        <v>33.29</v>
      </c>
      <c r="AF744" s="157">
        <v>41837</v>
      </c>
      <c r="AG744" s="185">
        <v>5.51</v>
      </c>
      <c r="AH744" s="157">
        <v>41837</v>
      </c>
      <c r="AM744" s="137">
        <v>92</v>
      </c>
      <c r="BM744" s="138">
        <v>64.58</v>
      </c>
      <c r="BN744" s="157">
        <v>41837</v>
      </c>
      <c r="BS744" s="138">
        <v>49.23</v>
      </c>
      <c r="BT744" s="157">
        <v>41837</v>
      </c>
      <c r="BU744" s="138">
        <v>41.1</v>
      </c>
      <c r="BV744" s="157">
        <v>41837</v>
      </c>
      <c r="BW744" s="138">
        <v>49.7</v>
      </c>
      <c r="BX744" s="157">
        <v>41837</v>
      </c>
      <c r="CC744" s="138">
        <v>7.3</v>
      </c>
      <c r="CD744" s="157">
        <v>41837</v>
      </c>
    </row>
    <row r="745" spans="1:91">
      <c r="A745" s="159" t="s">
        <v>7673</v>
      </c>
      <c r="B745" s="112" t="s">
        <v>271</v>
      </c>
      <c r="C745" s="112">
        <v>4</v>
      </c>
      <c r="D745" s="112">
        <v>78</v>
      </c>
      <c r="E745" s="113">
        <v>24</v>
      </c>
      <c r="F745" s="113">
        <v>21</v>
      </c>
      <c r="M745" s="185">
        <v>5</v>
      </c>
      <c r="N745" s="157">
        <v>41837</v>
      </c>
      <c r="R745" s="185"/>
      <c r="S745" s="137">
        <v>13.49</v>
      </c>
      <c r="T745" s="157">
        <v>41837</v>
      </c>
      <c r="U745" s="142">
        <v>18</v>
      </c>
      <c r="Y745" s="142">
        <f t="shared" si="11"/>
        <v>10.751959999999999</v>
      </c>
      <c r="Z745" s="157">
        <v>41837</v>
      </c>
      <c r="AE745" s="137">
        <v>27.64</v>
      </c>
      <c r="AF745" s="157">
        <v>41837</v>
      </c>
      <c r="AG745" s="185">
        <v>5.12</v>
      </c>
      <c r="AH745" s="157">
        <v>41837</v>
      </c>
      <c r="AM745" s="137">
        <v>83</v>
      </c>
      <c r="BM745" s="138">
        <v>61.64</v>
      </c>
      <c r="BN745" s="157">
        <v>41837</v>
      </c>
      <c r="BS745" s="138">
        <v>48.81</v>
      </c>
      <c r="BT745" s="157">
        <v>41837</v>
      </c>
      <c r="BU745" s="138">
        <v>38.9</v>
      </c>
      <c r="BV745" s="157">
        <v>41837</v>
      </c>
      <c r="BW745" s="138">
        <v>35.6</v>
      </c>
      <c r="BX745" s="157">
        <v>41837</v>
      </c>
      <c r="CC745" s="138">
        <v>8.6999999999999993</v>
      </c>
      <c r="CD745" s="157">
        <v>41837</v>
      </c>
    </row>
    <row r="746" spans="1:91">
      <c r="A746" s="159" t="s">
        <v>7677</v>
      </c>
      <c r="B746" s="112" t="s">
        <v>271</v>
      </c>
      <c r="C746" s="112">
        <v>4</v>
      </c>
      <c r="D746" s="112">
        <v>157</v>
      </c>
      <c r="E746" s="113">
        <v>25</v>
      </c>
      <c r="F746" s="113">
        <v>21</v>
      </c>
      <c r="M746" s="185">
        <v>6.09</v>
      </c>
      <c r="N746" s="157">
        <v>41837</v>
      </c>
      <c r="R746" s="185"/>
      <c r="S746" s="137">
        <v>17.21</v>
      </c>
      <c r="T746" s="157">
        <v>41837</v>
      </c>
      <c r="U746" s="142">
        <v>18</v>
      </c>
      <c r="Y746" s="142">
        <f t="shared" si="11"/>
        <v>13.17648</v>
      </c>
      <c r="Z746" s="157">
        <v>41837</v>
      </c>
      <c r="AE746" s="137">
        <v>33.96</v>
      </c>
      <c r="AF746" s="157">
        <v>41837</v>
      </c>
      <c r="AG746" s="185">
        <v>6.32</v>
      </c>
      <c r="AH746" s="157">
        <v>41837</v>
      </c>
      <c r="AM746" s="137">
        <v>90</v>
      </c>
      <c r="BM746" s="138">
        <v>60.05</v>
      </c>
      <c r="BN746" s="157">
        <v>41837</v>
      </c>
      <c r="BS746" s="138">
        <v>50.69</v>
      </c>
      <c r="BT746" s="157">
        <v>41837</v>
      </c>
      <c r="BU746" s="138">
        <v>38.799999999999997</v>
      </c>
      <c r="BV746" s="157">
        <v>41837</v>
      </c>
      <c r="BW746" s="138">
        <v>15.3</v>
      </c>
      <c r="BX746" s="157">
        <v>41837</v>
      </c>
      <c r="CC746" s="138">
        <v>7.9</v>
      </c>
      <c r="CD746" s="157">
        <v>41837</v>
      </c>
    </row>
    <row r="747" spans="1:91">
      <c r="A747" s="189" t="s">
        <v>7741</v>
      </c>
      <c r="B747" s="190" t="s">
        <v>271</v>
      </c>
      <c r="C747" s="190">
        <v>4</v>
      </c>
      <c r="D747" s="190">
        <v>6</v>
      </c>
      <c r="E747" s="191">
        <v>26</v>
      </c>
      <c r="F747" s="191">
        <v>21</v>
      </c>
      <c r="G747" s="191"/>
      <c r="H747" s="191"/>
      <c r="I747" s="201"/>
      <c r="J747" s="190"/>
      <c r="K747" s="192"/>
      <c r="L747" s="193"/>
      <c r="M747" s="194">
        <v>6.01</v>
      </c>
      <c r="N747" s="193">
        <v>41837</v>
      </c>
      <c r="P747" s="193"/>
      <c r="Q747" s="192"/>
      <c r="R747" s="194"/>
      <c r="S747" s="192">
        <v>17.41</v>
      </c>
      <c r="T747" s="193">
        <v>41837</v>
      </c>
      <c r="U747" s="192">
        <v>18</v>
      </c>
      <c r="V747" s="193"/>
      <c r="W747" s="192"/>
      <c r="X747" s="193"/>
      <c r="Y747" s="192">
        <f t="shared" si="11"/>
        <v>14.183400000000001</v>
      </c>
      <c r="Z747" s="193">
        <v>41837</v>
      </c>
      <c r="AA747" s="192"/>
      <c r="AB747" s="193"/>
      <c r="AC747" s="195"/>
      <c r="AD747" s="193"/>
      <c r="AE747" s="192">
        <v>33.770000000000003</v>
      </c>
      <c r="AF747" s="193">
        <v>41837</v>
      </c>
      <c r="AG747" s="194">
        <v>5.46</v>
      </c>
      <c r="AH747" s="193">
        <v>41837</v>
      </c>
      <c r="AI747" s="193"/>
      <c r="AJ747" s="193"/>
      <c r="AK747" s="192"/>
      <c r="AL747" s="193"/>
      <c r="AM747" s="192">
        <v>90</v>
      </c>
      <c r="AN747" s="193"/>
      <c r="AO747" s="195"/>
      <c r="AP747" s="195"/>
      <c r="AQ747" s="195"/>
      <c r="AR747" s="195"/>
      <c r="AS747" s="195"/>
      <c r="AT747" s="195"/>
      <c r="AU747" s="195"/>
      <c r="AV747" s="195"/>
      <c r="AW747" s="195"/>
      <c r="AX747" s="195"/>
      <c r="AY747" s="195"/>
      <c r="AZ747" s="195"/>
      <c r="BA747" s="195"/>
      <c r="BB747" s="195"/>
      <c r="BC747" s="195"/>
      <c r="BD747" s="195"/>
      <c r="BE747" s="196"/>
      <c r="BF747" s="196"/>
      <c r="BG747" s="196"/>
      <c r="BH747" s="196"/>
      <c r="BI747" s="196"/>
      <c r="BJ747" s="196"/>
      <c r="BK747" s="196"/>
      <c r="BL747" s="196"/>
      <c r="BM747" s="196">
        <v>65.430000000000007</v>
      </c>
      <c r="BN747" s="193">
        <v>41837</v>
      </c>
      <c r="BO747" s="196"/>
      <c r="BP747" s="196"/>
      <c r="BQ747" s="196"/>
      <c r="BR747" s="196"/>
      <c r="BS747" s="196">
        <v>51.54</v>
      </c>
      <c r="BT747" s="193">
        <v>41837</v>
      </c>
      <c r="BU747" s="196">
        <v>42</v>
      </c>
      <c r="BV747" s="193">
        <v>41837</v>
      </c>
      <c r="BW747" s="196">
        <v>59.9</v>
      </c>
      <c r="BX747" s="193">
        <v>41837</v>
      </c>
      <c r="BY747" s="196"/>
      <c r="BZ747" s="196"/>
      <c r="CA747" s="196"/>
      <c r="CB747" s="196"/>
      <c r="CC747" s="196">
        <v>7.2</v>
      </c>
      <c r="CD747" s="193">
        <v>41837</v>
      </c>
      <c r="CE747" s="196"/>
      <c r="CF747" s="196"/>
      <c r="CG747" s="196"/>
      <c r="CH747" s="196"/>
      <c r="CI747" s="196"/>
      <c r="CJ747" s="196"/>
      <c r="CK747" s="196"/>
      <c r="CL747" s="196"/>
      <c r="CM747" s="196"/>
    </row>
    <row r="748" spans="1:91">
      <c r="A748" s="159" t="s">
        <v>7640</v>
      </c>
      <c r="B748" s="112" t="s">
        <v>271</v>
      </c>
      <c r="C748" s="112">
        <v>4</v>
      </c>
      <c r="D748" s="112">
        <v>69</v>
      </c>
      <c r="E748" s="113">
        <v>27</v>
      </c>
      <c r="F748" s="113">
        <v>21</v>
      </c>
      <c r="M748" s="185">
        <v>7.08</v>
      </c>
      <c r="N748" s="157">
        <v>41837</v>
      </c>
      <c r="R748" s="185"/>
      <c r="S748" s="137">
        <v>21.11</v>
      </c>
      <c r="T748" s="157">
        <v>41837</v>
      </c>
      <c r="U748" s="142">
        <v>18</v>
      </c>
      <c r="Y748" s="142">
        <f t="shared" si="11"/>
        <v>16.846240000000002</v>
      </c>
      <c r="Z748" s="157">
        <v>41837</v>
      </c>
      <c r="AE748" s="137">
        <v>39.92</v>
      </c>
      <c r="AF748" s="157">
        <v>41837</v>
      </c>
      <c r="AG748" s="185">
        <v>5.28</v>
      </c>
      <c r="AH748" s="157">
        <v>41837</v>
      </c>
      <c r="AM748" s="137">
        <v>85</v>
      </c>
      <c r="BM748" s="138">
        <v>66.69</v>
      </c>
      <c r="BN748" s="157">
        <v>41837</v>
      </c>
      <c r="BS748" s="138">
        <v>52.87</v>
      </c>
      <c r="BT748" s="157">
        <v>41837</v>
      </c>
      <c r="BU748" s="138">
        <v>42.2</v>
      </c>
      <c r="BV748" s="157">
        <v>41837</v>
      </c>
      <c r="BW748" s="138">
        <v>22</v>
      </c>
      <c r="BX748" s="157">
        <v>41837</v>
      </c>
      <c r="CC748" s="138">
        <v>6.9</v>
      </c>
      <c r="CD748" s="157">
        <v>41837</v>
      </c>
    </row>
    <row r="749" spans="1:91">
      <c r="A749" s="159" t="s">
        <v>7726</v>
      </c>
      <c r="B749" s="112" t="s">
        <v>271</v>
      </c>
      <c r="C749" s="112">
        <v>4</v>
      </c>
      <c r="D749" s="112">
        <v>73</v>
      </c>
      <c r="E749" s="113">
        <v>28</v>
      </c>
      <c r="F749" s="113">
        <v>21</v>
      </c>
      <c r="M749" s="185">
        <v>4.78</v>
      </c>
      <c r="N749" s="157">
        <v>41837</v>
      </c>
      <c r="R749" s="185"/>
      <c r="S749" s="137">
        <v>13.41</v>
      </c>
      <c r="T749" s="157">
        <v>41837</v>
      </c>
      <c r="U749" s="142">
        <v>18</v>
      </c>
      <c r="Y749" s="142">
        <f t="shared" si="11"/>
        <v>10.119399999999999</v>
      </c>
      <c r="Z749" s="157">
        <v>41837</v>
      </c>
      <c r="AE749" s="137">
        <v>26.63</v>
      </c>
      <c r="AF749" s="157">
        <v>41837</v>
      </c>
      <c r="AG749" s="185">
        <v>5.4</v>
      </c>
      <c r="AH749" s="157">
        <v>41837</v>
      </c>
      <c r="AM749" s="137">
        <v>85</v>
      </c>
      <c r="BM749" s="138">
        <v>61.02</v>
      </c>
      <c r="BN749" s="157">
        <v>41837</v>
      </c>
      <c r="BS749" s="138">
        <v>50.34</v>
      </c>
      <c r="BT749" s="157">
        <v>41837</v>
      </c>
      <c r="BU749" s="138">
        <v>38</v>
      </c>
      <c r="BV749" s="157">
        <v>41837</v>
      </c>
      <c r="BW749" s="138">
        <v>18.899999999999999</v>
      </c>
      <c r="BX749" s="157">
        <v>41837</v>
      </c>
      <c r="CC749" s="138">
        <v>8</v>
      </c>
      <c r="CD749" s="157">
        <v>41837</v>
      </c>
    </row>
    <row r="750" spans="1:91">
      <c r="A750" s="159" t="s">
        <v>7731</v>
      </c>
      <c r="B750" s="112" t="s">
        <v>271</v>
      </c>
      <c r="C750" s="112">
        <v>4</v>
      </c>
      <c r="D750" s="112">
        <v>166</v>
      </c>
      <c r="E750" s="113">
        <v>29</v>
      </c>
      <c r="F750" s="113">
        <v>21</v>
      </c>
      <c r="M750" s="185">
        <v>5.54</v>
      </c>
      <c r="N750" s="157">
        <v>41837</v>
      </c>
      <c r="R750" s="185"/>
      <c r="S750" s="137">
        <v>15.05</v>
      </c>
      <c r="T750" s="157">
        <v>41837</v>
      </c>
      <c r="U750" s="142">
        <v>18</v>
      </c>
      <c r="Y750" s="142">
        <f t="shared" si="11"/>
        <v>12.433859999999999</v>
      </c>
      <c r="Z750" s="157">
        <v>41837</v>
      </c>
      <c r="AE750" s="137">
        <v>30.93</v>
      </c>
      <c r="AF750" s="157">
        <v>41837</v>
      </c>
      <c r="AG750" s="185">
        <v>4.87</v>
      </c>
      <c r="AH750" s="157">
        <v>41837</v>
      </c>
      <c r="AM750" s="137">
        <v>92</v>
      </c>
      <c r="BM750" s="138">
        <v>59.62</v>
      </c>
      <c r="BN750" s="157">
        <v>41837</v>
      </c>
      <c r="BS750" s="138">
        <v>48.67</v>
      </c>
      <c r="BT750" s="157">
        <v>41837</v>
      </c>
      <c r="BU750" s="138">
        <v>40.200000000000003</v>
      </c>
      <c r="BV750" s="157">
        <v>41837</v>
      </c>
      <c r="BW750" s="138">
        <v>12.9</v>
      </c>
      <c r="BX750" s="157">
        <v>41837</v>
      </c>
      <c r="CC750" s="138">
        <v>7.8</v>
      </c>
      <c r="CD750" s="157">
        <v>41837</v>
      </c>
    </row>
    <row r="751" spans="1:91">
      <c r="A751" s="186" t="s">
        <v>7684</v>
      </c>
      <c r="B751" s="187" t="s">
        <v>271</v>
      </c>
      <c r="C751" s="187">
        <v>4</v>
      </c>
      <c r="D751" s="187">
        <v>10</v>
      </c>
      <c r="E751" s="188">
        <v>30</v>
      </c>
      <c r="F751" s="188">
        <v>21</v>
      </c>
      <c r="G751" s="188"/>
      <c r="H751" s="188"/>
      <c r="I751" s="200"/>
      <c r="J751" s="187"/>
      <c r="K751" s="142"/>
      <c r="M751" s="185">
        <v>5.98</v>
      </c>
      <c r="N751" s="157">
        <v>41837</v>
      </c>
      <c r="Q751" s="142"/>
      <c r="R751" s="185"/>
      <c r="S751" s="142">
        <v>16.3</v>
      </c>
      <c r="T751" s="157">
        <v>41837</v>
      </c>
      <c r="U751" s="142">
        <v>18</v>
      </c>
      <c r="W751" s="142"/>
      <c r="Y751" s="142">
        <f t="shared" si="11"/>
        <v>13.484379999999998</v>
      </c>
      <c r="Z751" s="157">
        <v>41837</v>
      </c>
      <c r="AA751" s="142"/>
      <c r="AE751" s="142">
        <v>33.46</v>
      </c>
      <c r="AF751" s="157">
        <v>41837</v>
      </c>
      <c r="AG751" s="185">
        <v>6.11</v>
      </c>
      <c r="AH751" s="157">
        <v>41837</v>
      </c>
      <c r="AK751" s="142"/>
      <c r="AM751" s="142">
        <v>92</v>
      </c>
      <c r="BM751" s="138">
        <v>67.150000000000006</v>
      </c>
      <c r="BN751" s="157">
        <v>41837</v>
      </c>
      <c r="BS751" s="138">
        <v>48.72</v>
      </c>
      <c r="BT751" s="157">
        <v>41837</v>
      </c>
      <c r="BU751" s="138">
        <v>40.299999999999997</v>
      </c>
      <c r="BV751" s="157">
        <v>41837</v>
      </c>
      <c r="BW751" s="138">
        <v>23.9</v>
      </c>
      <c r="BX751" s="157">
        <v>41837</v>
      </c>
      <c r="CC751" s="138">
        <v>7.6</v>
      </c>
      <c r="CD751" s="157">
        <v>41837</v>
      </c>
    </row>
    <row r="752" spans="1:91">
      <c r="A752" s="159" t="s">
        <v>7712</v>
      </c>
      <c r="B752" s="112" t="s">
        <v>271</v>
      </c>
      <c r="C752" s="112">
        <v>4</v>
      </c>
      <c r="D752" s="112">
        <v>18</v>
      </c>
      <c r="E752" s="113">
        <v>31</v>
      </c>
      <c r="F752" s="113">
        <v>21</v>
      </c>
      <c r="I752" s="200"/>
      <c r="K752" s="142"/>
      <c r="M752" s="185">
        <v>6.85</v>
      </c>
      <c r="N752" s="157">
        <v>41837</v>
      </c>
      <c r="Q752" s="142"/>
      <c r="R752" s="185"/>
      <c r="S752" s="142">
        <v>19.18</v>
      </c>
      <c r="T752" s="157">
        <v>41837</v>
      </c>
      <c r="U752" s="142">
        <v>18</v>
      </c>
      <c r="W752" s="142"/>
      <c r="Y752" s="142">
        <f t="shared" si="11"/>
        <v>14.595799999999999</v>
      </c>
      <c r="Z752" s="157">
        <v>41837</v>
      </c>
      <c r="AA752" s="142"/>
      <c r="AE752" s="142">
        <v>38.409999999999997</v>
      </c>
      <c r="AF752" s="157">
        <v>41837</v>
      </c>
      <c r="AG752" s="185">
        <v>5.44</v>
      </c>
      <c r="AH752" s="157">
        <v>41837</v>
      </c>
      <c r="AK752" s="142"/>
      <c r="AM752" s="142">
        <v>90</v>
      </c>
      <c r="BM752" s="138">
        <v>60.6</v>
      </c>
      <c r="BN752" s="157">
        <v>41837</v>
      </c>
      <c r="BS752" s="138">
        <v>49.93</v>
      </c>
      <c r="BT752" s="157">
        <v>41837</v>
      </c>
      <c r="BU752" s="138">
        <v>38</v>
      </c>
      <c r="BV752" s="157">
        <v>41837</v>
      </c>
      <c r="BW752" s="138">
        <v>15.4</v>
      </c>
      <c r="BX752" s="157">
        <v>41837</v>
      </c>
      <c r="CC752" s="138">
        <v>7.4</v>
      </c>
      <c r="CD752" s="157">
        <v>41837</v>
      </c>
    </row>
    <row r="753" spans="1:82">
      <c r="A753" s="159" t="s">
        <v>7654</v>
      </c>
      <c r="B753" s="112" t="s">
        <v>271</v>
      </c>
      <c r="C753" s="112">
        <v>4</v>
      </c>
      <c r="D753" s="112">
        <v>83</v>
      </c>
      <c r="E753" s="113">
        <v>32</v>
      </c>
      <c r="F753" s="113">
        <v>21</v>
      </c>
      <c r="M753" s="185">
        <v>4.63</v>
      </c>
      <c r="N753" s="157">
        <v>41837</v>
      </c>
      <c r="R753" s="185"/>
      <c r="S753" s="137">
        <v>12.34</v>
      </c>
      <c r="T753" s="157">
        <v>41837</v>
      </c>
      <c r="U753" s="142">
        <v>18</v>
      </c>
      <c r="Y753" s="142">
        <f t="shared" si="11"/>
        <v>10.015560000000001</v>
      </c>
      <c r="Z753" s="157">
        <v>41837</v>
      </c>
      <c r="AE753" s="137">
        <v>25.88</v>
      </c>
      <c r="AF753" s="157">
        <v>41837</v>
      </c>
      <c r="AG753" s="185">
        <v>4.33</v>
      </c>
      <c r="AH753" s="157">
        <v>41837</v>
      </c>
      <c r="AM753" s="137">
        <v>90</v>
      </c>
      <c r="BM753" s="138">
        <v>57.28</v>
      </c>
      <c r="BN753" s="157">
        <v>41837</v>
      </c>
      <c r="BS753" s="138">
        <v>47.68</v>
      </c>
      <c r="BT753" s="157">
        <v>41837</v>
      </c>
      <c r="BU753" s="138">
        <v>38.700000000000003</v>
      </c>
      <c r="BV753" s="157">
        <v>41837</v>
      </c>
      <c r="BW753" s="138">
        <v>69.900000000000006</v>
      </c>
      <c r="BX753" s="157">
        <v>41837</v>
      </c>
      <c r="CC753" s="138">
        <v>7.7</v>
      </c>
      <c r="CD753" s="157">
        <v>41837</v>
      </c>
    </row>
    <row r="754" spans="1:82">
      <c r="A754" s="159" t="s">
        <v>7779</v>
      </c>
      <c r="B754" s="112" t="s">
        <v>271</v>
      </c>
      <c r="C754" s="112">
        <v>4</v>
      </c>
      <c r="D754" s="112">
        <v>199</v>
      </c>
      <c r="E754" s="113">
        <v>33</v>
      </c>
      <c r="F754" s="113">
        <v>21</v>
      </c>
      <c r="M754" s="185">
        <v>6.66</v>
      </c>
      <c r="N754" s="157">
        <v>41837</v>
      </c>
      <c r="R754" s="185"/>
      <c r="S754" s="137">
        <v>18.8</v>
      </c>
      <c r="T754" s="157">
        <v>41837</v>
      </c>
      <c r="U754" s="142">
        <v>18</v>
      </c>
      <c r="Y754" s="142">
        <f t="shared" si="11"/>
        <v>14.575829999999998</v>
      </c>
      <c r="Z754" s="157">
        <v>41837</v>
      </c>
      <c r="AE754" s="137">
        <v>37.47</v>
      </c>
      <c r="AF754" s="157">
        <v>41837</v>
      </c>
      <c r="AG754" s="185">
        <v>4.93</v>
      </c>
      <c r="AH754" s="157">
        <v>41837</v>
      </c>
      <c r="AM754" s="137">
        <v>90</v>
      </c>
      <c r="BM754" s="138">
        <v>58.84</v>
      </c>
      <c r="BN754" s="157">
        <v>41837</v>
      </c>
      <c r="BS754" s="138">
        <v>50.18</v>
      </c>
      <c r="BT754" s="157">
        <v>41837</v>
      </c>
      <c r="BU754" s="138">
        <v>38.9</v>
      </c>
      <c r="BV754" s="157">
        <v>41837</v>
      </c>
      <c r="BW754" s="138">
        <v>15.3</v>
      </c>
      <c r="BX754" s="157">
        <v>41837</v>
      </c>
      <c r="CC754" s="138">
        <v>7.1</v>
      </c>
      <c r="CD754" s="157">
        <v>41837</v>
      </c>
    </row>
    <row r="755" spans="1:82">
      <c r="A755" s="159" t="s">
        <v>7856</v>
      </c>
      <c r="B755" s="112" t="s">
        <v>271</v>
      </c>
      <c r="C755" s="112">
        <v>4</v>
      </c>
      <c r="D755" s="112">
        <v>118</v>
      </c>
      <c r="E755" s="113">
        <v>34</v>
      </c>
      <c r="F755" s="113">
        <v>21</v>
      </c>
      <c r="M755" s="185">
        <v>8.56</v>
      </c>
      <c r="N755" s="157">
        <v>41837</v>
      </c>
      <c r="R755" s="185"/>
      <c r="S755" s="137">
        <v>25.1</v>
      </c>
      <c r="T755" s="157">
        <v>41837</v>
      </c>
      <c r="U755" s="142">
        <v>18</v>
      </c>
      <c r="Y755" s="142">
        <f t="shared" si="11"/>
        <v>17.3736</v>
      </c>
      <c r="Z755" s="157">
        <v>41837</v>
      </c>
      <c r="AE755" s="137">
        <v>48.26</v>
      </c>
      <c r="AF755" s="157">
        <v>41837</v>
      </c>
      <c r="AG755" s="185">
        <v>4.78</v>
      </c>
      <c r="AH755" s="157">
        <v>41837</v>
      </c>
      <c r="AM755" s="137">
        <v>83</v>
      </c>
      <c r="BM755" s="138">
        <v>61.59</v>
      </c>
      <c r="BN755" s="157">
        <v>41837</v>
      </c>
      <c r="BS755" s="138">
        <v>52</v>
      </c>
      <c r="BT755" s="157">
        <v>41837</v>
      </c>
      <c r="BU755" s="138">
        <v>36</v>
      </c>
      <c r="BV755" s="157">
        <v>41837</v>
      </c>
      <c r="BW755" s="138">
        <v>17.5</v>
      </c>
      <c r="BX755" s="157">
        <v>41837</v>
      </c>
      <c r="CC755" s="138">
        <v>6.9</v>
      </c>
      <c r="CD755" s="157">
        <v>41837</v>
      </c>
    </row>
    <row r="756" spans="1:82">
      <c r="A756" s="159" t="s">
        <v>7759</v>
      </c>
      <c r="B756" s="112" t="s">
        <v>271</v>
      </c>
      <c r="C756" s="112">
        <v>4</v>
      </c>
      <c r="D756" s="112">
        <v>17</v>
      </c>
      <c r="E756" s="113">
        <v>35</v>
      </c>
      <c r="F756" s="113">
        <v>21</v>
      </c>
      <c r="I756" s="200"/>
      <c r="K756" s="142"/>
      <c r="M756" s="185">
        <v>5.16</v>
      </c>
      <c r="N756" s="157">
        <v>41837</v>
      </c>
      <c r="Q756" s="142"/>
      <c r="R756" s="185"/>
      <c r="S756" s="142">
        <v>14.06</v>
      </c>
      <c r="T756" s="157">
        <v>41837</v>
      </c>
      <c r="U756" s="142">
        <v>18</v>
      </c>
      <c r="W756" s="142"/>
      <c r="Y756" s="142">
        <f t="shared" si="11"/>
        <v>11.007359999999998</v>
      </c>
      <c r="Z756" s="157">
        <v>41837</v>
      </c>
      <c r="AA756" s="142"/>
      <c r="AE756" s="142">
        <v>29.12</v>
      </c>
      <c r="AF756" s="157">
        <v>41837</v>
      </c>
      <c r="AG756" s="185">
        <v>4.3899999999999997</v>
      </c>
      <c r="AH756" s="157">
        <v>41837</v>
      </c>
      <c r="AK756" s="142"/>
      <c r="AM756" s="142">
        <v>85</v>
      </c>
      <c r="BM756" s="138">
        <v>59.2</v>
      </c>
      <c r="BN756" s="157">
        <v>41837</v>
      </c>
      <c r="BS756" s="138">
        <v>48.28</v>
      </c>
      <c r="BT756" s="157">
        <v>41837</v>
      </c>
      <c r="BU756" s="138">
        <v>37.799999999999997</v>
      </c>
      <c r="BV756" s="157">
        <v>41837</v>
      </c>
      <c r="BW756" s="138">
        <v>13.4</v>
      </c>
      <c r="BX756" s="157">
        <v>41837</v>
      </c>
      <c r="CC756" s="138">
        <v>6.8</v>
      </c>
      <c r="CD756" s="157">
        <v>41837</v>
      </c>
    </row>
    <row r="757" spans="1:82">
      <c r="A757" s="159" t="s">
        <v>7764</v>
      </c>
      <c r="B757" s="112" t="s">
        <v>271</v>
      </c>
      <c r="C757" s="112">
        <v>4</v>
      </c>
      <c r="D757" s="112">
        <v>65</v>
      </c>
      <c r="E757" s="113">
        <v>36</v>
      </c>
      <c r="F757" s="113">
        <v>21</v>
      </c>
      <c r="M757" s="185">
        <v>6.82</v>
      </c>
      <c r="N757" s="157">
        <v>41837</v>
      </c>
      <c r="R757" s="185"/>
      <c r="S757" s="137">
        <v>18.649999999999999</v>
      </c>
      <c r="T757" s="157">
        <v>41837</v>
      </c>
      <c r="U757" s="142">
        <v>18</v>
      </c>
      <c r="Y757" s="142">
        <f t="shared" si="11"/>
        <v>14.350379999999998</v>
      </c>
      <c r="Z757" s="157">
        <v>41837</v>
      </c>
      <c r="AE757" s="137">
        <v>38.369999999999997</v>
      </c>
      <c r="AF757" s="157">
        <v>41837</v>
      </c>
      <c r="AG757" s="185">
        <v>5.32</v>
      </c>
      <c r="AH757" s="157">
        <v>41837</v>
      </c>
      <c r="AM757" s="137">
        <v>90</v>
      </c>
      <c r="BM757" s="138">
        <v>56.33</v>
      </c>
      <c r="BN757" s="157">
        <v>41837</v>
      </c>
      <c r="BS757" s="138">
        <v>48.61</v>
      </c>
      <c r="BT757" s="157">
        <v>41837</v>
      </c>
      <c r="BU757" s="138">
        <v>37.4</v>
      </c>
      <c r="BV757" s="157">
        <v>41837</v>
      </c>
      <c r="BW757" s="138">
        <v>17.8</v>
      </c>
      <c r="BX757" s="157">
        <v>41837</v>
      </c>
      <c r="CC757" s="138">
        <v>7.1</v>
      </c>
      <c r="CD757" s="157">
        <v>41837</v>
      </c>
    </row>
    <row r="758" spans="1:82">
      <c r="A758" s="159" t="s">
        <v>7680</v>
      </c>
      <c r="B758" s="112" t="s">
        <v>271</v>
      </c>
      <c r="C758" s="112">
        <v>4</v>
      </c>
      <c r="D758" s="112">
        <v>62</v>
      </c>
      <c r="E758" s="113">
        <v>1</v>
      </c>
      <c r="F758" s="113">
        <v>22</v>
      </c>
      <c r="M758" s="185">
        <v>6.78</v>
      </c>
      <c r="N758" s="157">
        <v>41837</v>
      </c>
      <c r="R758" s="185"/>
      <c r="S758" s="137">
        <v>18.28</v>
      </c>
      <c r="T758" s="157">
        <v>41837</v>
      </c>
      <c r="U758" s="142">
        <v>18</v>
      </c>
      <c r="Y758" s="142">
        <f t="shared" si="11"/>
        <v>12.595410000000001</v>
      </c>
      <c r="Z758" s="157">
        <v>41837</v>
      </c>
      <c r="AE758" s="137">
        <v>36.090000000000003</v>
      </c>
      <c r="AF758" s="157">
        <v>41837</v>
      </c>
      <c r="AG758" s="185">
        <v>4.58</v>
      </c>
      <c r="AH758" s="157">
        <v>41837</v>
      </c>
      <c r="AM758" s="137">
        <v>90</v>
      </c>
      <c r="BM758" s="138">
        <v>56.39</v>
      </c>
      <c r="BN758" s="157">
        <v>41837</v>
      </c>
      <c r="BS758" s="138">
        <v>50.64</v>
      </c>
      <c r="BT758" s="157">
        <v>41837</v>
      </c>
      <c r="BU758" s="138">
        <v>34.9</v>
      </c>
      <c r="BV758" s="157">
        <v>41837</v>
      </c>
      <c r="BW758" s="138">
        <v>14.6</v>
      </c>
      <c r="BX758" s="157">
        <v>41837</v>
      </c>
      <c r="CC758" s="138">
        <v>12.1</v>
      </c>
      <c r="CD758" s="157">
        <v>41837</v>
      </c>
    </row>
    <row r="759" spans="1:82">
      <c r="A759" s="159" t="s">
        <v>7711</v>
      </c>
      <c r="B759" s="112" t="s">
        <v>271</v>
      </c>
      <c r="C759" s="112">
        <v>4</v>
      </c>
      <c r="D759" s="112">
        <v>121</v>
      </c>
      <c r="E759" s="113">
        <v>2</v>
      </c>
      <c r="F759" s="113">
        <v>22</v>
      </c>
      <c r="M759" s="185">
        <v>4.9000000000000004</v>
      </c>
      <c r="N759" s="157">
        <v>41837</v>
      </c>
      <c r="R759" s="185"/>
      <c r="S759" s="137">
        <v>12.69</v>
      </c>
      <c r="T759" s="157">
        <v>41837</v>
      </c>
      <c r="U759" s="142">
        <v>18</v>
      </c>
      <c r="Y759" s="142">
        <f t="shared" si="11"/>
        <v>10.8527</v>
      </c>
      <c r="Z759" s="157">
        <v>41837</v>
      </c>
      <c r="AE759" s="137">
        <v>26.47</v>
      </c>
      <c r="AF759" s="157">
        <v>41837</v>
      </c>
      <c r="AG759" s="185">
        <v>5.33</v>
      </c>
      <c r="AH759" s="157">
        <v>41837</v>
      </c>
      <c r="AM759" s="137">
        <v>87</v>
      </c>
      <c r="BM759" s="138">
        <v>60.96</v>
      </c>
      <c r="BN759" s="157">
        <v>41837</v>
      </c>
      <c r="BS759" s="138">
        <v>47.95</v>
      </c>
      <c r="BT759" s="157">
        <v>41837</v>
      </c>
      <c r="BU759" s="138">
        <v>41</v>
      </c>
      <c r="BV759" s="157">
        <v>41837</v>
      </c>
      <c r="BW759" s="138">
        <v>8.3000000000000007</v>
      </c>
      <c r="BX759" s="157">
        <v>41837</v>
      </c>
      <c r="CC759" s="138">
        <v>10.8</v>
      </c>
      <c r="CD759" s="157">
        <v>41837</v>
      </c>
    </row>
    <row r="760" spans="1:82">
      <c r="A760" s="159" t="s">
        <v>7801</v>
      </c>
      <c r="B760" s="112" t="s">
        <v>271</v>
      </c>
      <c r="C760" s="112">
        <v>4</v>
      </c>
      <c r="D760" s="112">
        <v>162</v>
      </c>
      <c r="E760" s="113">
        <v>3</v>
      </c>
      <c r="F760" s="113">
        <v>22</v>
      </c>
      <c r="M760" s="185">
        <v>7.8</v>
      </c>
      <c r="N760" s="157">
        <v>41837</v>
      </c>
      <c r="R760" s="185"/>
      <c r="S760" s="137">
        <v>21.12</v>
      </c>
      <c r="T760" s="157">
        <v>41837</v>
      </c>
      <c r="U760" s="142">
        <v>18</v>
      </c>
      <c r="Y760" s="142">
        <f t="shared" si="11"/>
        <v>15.685559999999999</v>
      </c>
      <c r="Z760" s="157">
        <v>41837</v>
      </c>
      <c r="AE760" s="137">
        <v>41.94</v>
      </c>
      <c r="AF760" s="157">
        <v>41837</v>
      </c>
      <c r="AG760" s="185">
        <v>5.61</v>
      </c>
      <c r="AH760" s="157">
        <v>41837</v>
      </c>
      <c r="AM760" s="137">
        <v>87</v>
      </c>
      <c r="BM760" s="138">
        <v>62.22</v>
      </c>
      <c r="BN760" s="157">
        <v>41837</v>
      </c>
      <c r="BS760" s="138">
        <v>50.35</v>
      </c>
      <c r="BT760" s="157">
        <v>41837</v>
      </c>
      <c r="BU760" s="138">
        <v>37.4</v>
      </c>
      <c r="BV760" s="157">
        <v>41837</v>
      </c>
      <c r="BW760" s="138">
        <v>11.3</v>
      </c>
      <c r="BX760" s="157">
        <v>41837</v>
      </c>
      <c r="CC760" s="138">
        <v>11.2</v>
      </c>
      <c r="CD760" s="157">
        <v>41837</v>
      </c>
    </row>
    <row r="761" spans="1:82">
      <c r="A761" s="159" t="s">
        <v>7787</v>
      </c>
      <c r="B761" s="112" t="s">
        <v>271</v>
      </c>
      <c r="C761" s="112">
        <v>4</v>
      </c>
      <c r="D761" s="112">
        <v>171</v>
      </c>
      <c r="E761" s="113">
        <v>4</v>
      </c>
      <c r="F761" s="113">
        <v>22</v>
      </c>
      <c r="M761" s="185">
        <v>7.21</v>
      </c>
      <c r="N761" s="157">
        <v>41837</v>
      </c>
      <c r="R761" s="185"/>
      <c r="S761" s="137">
        <v>19.420000000000002</v>
      </c>
      <c r="T761" s="157">
        <v>41837</v>
      </c>
      <c r="U761" s="142">
        <v>18</v>
      </c>
      <c r="Y761" s="142">
        <f t="shared" si="11"/>
        <v>14.41272</v>
      </c>
      <c r="Z761" s="157">
        <v>41837</v>
      </c>
      <c r="AE761" s="137">
        <v>38.64</v>
      </c>
      <c r="AF761" s="157">
        <v>41837</v>
      </c>
      <c r="AG761" s="185">
        <v>5.24</v>
      </c>
      <c r="AH761" s="157">
        <v>41837</v>
      </c>
      <c r="AM761" s="137">
        <v>87</v>
      </c>
      <c r="BM761" s="138">
        <v>58.33</v>
      </c>
      <c r="BN761" s="157">
        <v>41837</v>
      </c>
      <c r="BS761" s="138">
        <v>50.27</v>
      </c>
      <c r="BT761" s="157">
        <v>41837</v>
      </c>
      <c r="BU761" s="138">
        <v>37.299999999999997</v>
      </c>
      <c r="BV761" s="157">
        <v>41837</v>
      </c>
      <c r="BW761" s="138">
        <v>13.3</v>
      </c>
      <c r="BX761" s="157">
        <v>41837</v>
      </c>
      <c r="CC761" s="138">
        <v>11.5</v>
      </c>
      <c r="CD761" s="157">
        <v>41837</v>
      </c>
    </row>
    <row r="762" spans="1:82">
      <c r="A762" s="159" t="s">
        <v>7786</v>
      </c>
      <c r="B762" s="112" t="s">
        <v>271</v>
      </c>
      <c r="C762" s="112">
        <v>4</v>
      </c>
      <c r="D762" s="112">
        <v>199</v>
      </c>
      <c r="E762" s="113">
        <v>5</v>
      </c>
      <c r="F762" s="113">
        <v>22</v>
      </c>
      <c r="M762" s="185">
        <v>6.95</v>
      </c>
      <c r="N762" s="157">
        <v>41837</v>
      </c>
      <c r="R762" s="185"/>
      <c r="S762" s="137">
        <v>18.78</v>
      </c>
      <c r="T762" s="157">
        <v>41837</v>
      </c>
      <c r="U762" s="142">
        <v>18</v>
      </c>
      <c r="Y762" s="142">
        <f t="shared" si="11"/>
        <v>14.728970000000002</v>
      </c>
      <c r="Z762" s="157">
        <v>41837</v>
      </c>
      <c r="AE762" s="137">
        <v>37.67</v>
      </c>
      <c r="AF762" s="157">
        <v>41837</v>
      </c>
      <c r="AG762" s="185">
        <v>4.58</v>
      </c>
      <c r="AH762" s="157">
        <v>41837</v>
      </c>
      <c r="AM762" s="137">
        <v>87</v>
      </c>
      <c r="BM762" s="138">
        <v>62.08</v>
      </c>
      <c r="BN762" s="157">
        <v>41837</v>
      </c>
      <c r="BS762" s="138">
        <v>49.85</v>
      </c>
      <c r="BT762" s="157">
        <v>41837</v>
      </c>
      <c r="BU762" s="138">
        <v>39.1</v>
      </c>
      <c r="BV762" s="157">
        <v>41837</v>
      </c>
      <c r="BW762" s="138">
        <v>11.7</v>
      </c>
      <c r="BX762" s="157">
        <v>41837</v>
      </c>
      <c r="CC762" s="138">
        <v>10.5</v>
      </c>
      <c r="CD762" s="157">
        <v>41837</v>
      </c>
    </row>
    <row r="763" spans="1:82">
      <c r="A763" s="159" t="s">
        <v>7783</v>
      </c>
      <c r="B763" s="112" t="s">
        <v>271</v>
      </c>
      <c r="C763" s="112">
        <v>4</v>
      </c>
      <c r="D763" s="112">
        <v>20</v>
      </c>
      <c r="E763" s="113">
        <v>6</v>
      </c>
      <c r="F763" s="113">
        <v>22</v>
      </c>
      <c r="I763" s="200"/>
      <c r="K763" s="142"/>
      <c r="M763" s="185">
        <v>7.15</v>
      </c>
      <c r="N763" s="157">
        <v>41837</v>
      </c>
      <c r="Q763" s="142"/>
      <c r="R763" s="185"/>
      <c r="S763" s="142">
        <v>19.309999999999999</v>
      </c>
      <c r="T763" s="157">
        <v>41837</v>
      </c>
      <c r="U763" s="142">
        <v>18</v>
      </c>
      <c r="W763" s="142"/>
      <c r="Y763" s="142">
        <f t="shared" si="11"/>
        <v>14.71176</v>
      </c>
      <c r="Z763" s="157">
        <v>41837</v>
      </c>
      <c r="AA763" s="142"/>
      <c r="AE763" s="142">
        <v>38.92</v>
      </c>
      <c r="AF763" s="157">
        <v>41837</v>
      </c>
      <c r="AG763" s="185">
        <v>5.4</v>
      </c>
      <c r="AH763" s="157">
        <v>41837</v>
      </c>
      <c r="AK763" s="142"/>
      <c r="AM763" s="142">
        <v>90</v>
      </c>
      <c r="BM763" s="138">
        <v>61.74</v>
      </c>
      <c r="BN763" s="157">
        <v>41837</v>
      </c>
      <c r="BS763" s="138">
        <v>49.61</v>
      </c>
      <c r="BT763" s="157">
        <v>41837</v>
      </c>
      <c r="BU763" s="138">
        <v>37.799999999999997</v>
      </c>
      <c r="BV763" s="157">
        <v>41837</v>
      </c>
      <c r="BW763" s="138">
        <v>17.3</v>
      </c>
      <c r="BX763" s="157">
        <v>41837</v>
      </c>
      <c r="CC763" s="138">
        <v>10.1</v>
      </c>
      <c r="CD763" s="157">
        <v>41837</v>
      </c>
    </row>
    <row r="764" spans="1:82">
      <c r="A764" s="159" t="s">
        <v>7755</v>
      </c>
      <c r="B764" s="112" t="s">
        <v>271</v>
      </c>
      <c r="C764" s="112">
        <v>4</v>
      </c>
      <c r="D764" s="112">
        <v>175</v>
      </c>
      <c r="E764" s="113">
        <v>7</v>
      </c>
      <c r="F764" s="113">
        <v>22</v>
      </c>
      <c r="M764" s="185">
        <v>4.01</v>
      </c>
      <c r="N764" s="157">
        <v>41837</v>
      </c>
      <c r="R764" s="185"/>
      <c r="S764" s="137">
        <v>10.58</v>
      </c>
      <c r="T764" s="157">
        <v>41837</v>
      </c>
      <c r="U764" s="142">
        <v>18</v>
      </c>
      <c r="Y764" s="142">
        <f t="shared" si="11"/>
        <v>9.087299999999999</v>
      </c>
      <c r="Z764" s="157">
        <v>41837</v>
      </c>
      <c r="AE764" s="137">
        <v>21.95</v>
      </c>
      <c r="AF764" s="157">
        <v>41837</v>
      </c>
      <c r="AG764" s="185">
        <v>5.33</v>
      </c>
      <c r="AH764" s="157">
        <v>41837</v>
      </c>
      <c r="AM764" s="137">
        <v>90</v>
      </c>
      <c r="BM764" s="138">
        <v>61.9</v>
      </c>
      <c r="BN764" s="157">
        <v>41837</v>
      </c>
      <c r="BS764" s="138">
        <v>48.19</v>
      </c>
      <c r="BT764" s="157">
        <v>41837</v>
      </c>
      <c r="BU764" s="138">
        <v>41.4</v>
      </c>
      <c r="BV764" s="157">
        <v>41837</v>
      </c>
      <c r="BW764" s="138">
        <v>62.3</v>
      </c>
      <c r="BX764" s="157">
        <v>41837</v>
      </c>
      <c r="CC764" s="138">
        <v>9.6</v>
      </c>
      <c r="CD764" s="157">
        <v>41837</v>
      </c>
    </row>
    <row r="765" spans="1:82">
      <c r="A765" s="159" t="s">
        <v>7793</v>
      </c>
      <c r="B765" s="112" t="s">
        <v>271</v>
      </c>
      <c r="C765" s="112">
        <v>4</v>
      </c>
      <c r="D765" s="112">
        <v>159</v>
      </c>
      <c r="E765" s="113">
        <v>8</v>
      </c>
      <c r="F765" s="113">
        <v>22</v>
      </c>
      <c r="M765" s="185">
        <v>7.99</v>
      </c>
      <c r="N765" s="157">
        <v>41837</v>
      </c>
      <c r="R765" s="185"/>
      <c r="S765" s="137">
        <v>22.33</v>
      </c>
      <c r="T765" s="157">
        <v>41837</v>
      </c>
      <c r="U765" s="142">
        <v>18</v>
      </c>
      <c r="Y765" s="142">
        <f t="shared" si="11"/>
        <v>16.482060000000001</v>
      </c>
      <c r="Z765" s="157">
        <v>41837</v>
      </c>
      <c r="AE765" s="137">
        <v>43.26</v>
      </c>
      <c r="AF765" s="157">
        <v>41837</v>
      </c>
      <c r="AG765" s="185">
        <v>5.38</v>
      </c>
      <c r="AH765" s="157">
        <v>41837</v>
      </c>
      <c r="AM765" s="137">
        <v>87</v>
      </c>
      <c r="BM765" s="138">
        <v>58.6</v>
      </c>
      <c r="BN765" s="157">
        <v>41837</v>
      </c>
      <c r="BS765" s="138">
        <v>51.61</v>
      </c>
      <c r="BT765" s="157">
        <v>41837</v>
      </c>
      <c r="BU765" s="138">
        <v>38.1</v>
      </c>
      <c r="BV765" s="157">
        <v>41837</v>
      </c>
      <c r="BW765" s="138">
        <v>17.7</v>
      </c>
      <c r="BX765" s="157">
        <v>41837</v>
      </c>
      <c r="CC765" s="138">
        <v>10.6</v>
      </c>
      <c r="CD765" s="157">
        <v>41837</v>
      </c>
    </row>
    <row r="766" spans="1:82">
      <c r="A766" s="159" t="s">
        <v>7790</v>
      </c>
      <c r="B766" s="112" t="s">
        <v>271</v>
      </c>
      <c r="C766" s="112">
        <v>4</v>
      </c>
      <c r="D766" s="112">
        <v>45</v>
      </c>
      <c r="E766" s="113">
        <v>9</v>
      </c>
      <c r="F766" s="113">
        <v>22</v>
      </c>
      <c r="M766" s="185">
        <v>7.63</v>
      </c>
      <c r="N766" s="157">
        <v>41837</v>
      </c>
      <c r="R766" s="185"/>
      <c r="S766" s="137">
        <v>21.06</v>
      </c>
      <c r="T766" s="157">
        <v>41837</v>
      </c>
      <c r="U766" s="142">
        <v>18</v>
      </c>
      <c r="Y766" s="142">
        <f t="shared" si="11"/>
        <v>15.853599999999998</v>
      </c>
      <c r="Z766" s="157">
        <v>41837</v>
      </c>
      <c r="AE766" s="137">
        <v>41.72</v>
      </c>
      <c r="AF766" s="157">
        <v>41837</v>
      </c>
      <c r="AG766" s="185">
        <v>4.41</v>
      </c>
      <c r="AH766" s="157">
        <v>41837</v>
      </c>
      <c r="AM766" s="137">
        <v>90</v>
      </c>
      <c r="BM766" s="138">
        <v>61.66</v>
      </c>
      <c r="BN766" s="157">
        <v>41837</v>
      </c>
      <c r="BS766" s="138">
        <v>50.49</v>
      </c>
      <c r="BT766" s="157">
        <v>41837</v>
      </c>
      <c r="BU766" s="138">
        <v>38</v>
      </c>
      <c r="BV766" s="157">
        <v>41837</v>
      </c>
      <c r="BW766" s="138">
        <v>12.9</v>
      </c>
      <c r="BX766" s="157">
        <v>41837</v>
      </c>
      <c r="CC766" s="138">
        <v>9.6999999999999993</v>
      </c>
      <c r="CD766" s="157">
        <v>41837</v>
      </c>
    </row>
    <row r="767" spans="1:82">
      <c r="A767" s="159" t="s">
        <v>7651</v>
      </c>
      <c r="B767" s="112" t="s">
        <v>271</v>
      </c>
      <c r="C767" s="112">
        <v>4</v>
      </c>
      <c r="D767" s="112">
        <v>90</v>
      </c>
      <c r="E767" s="113">
        <v>10</v>
      </c>
      <c r="F767" s="113">
        <v>22</v>
      </c>
      <c r="M767" s="185">
        <v>1.87</v>
      </c>
      <c r="N767" s="157">
        <v>41837</v>
      </c>
      <c r="R767" s="185"/>
      <c r="S767" s="137">
        <v>5.05</v>
      </c>
      <c r="T767" s="157">
        <v>41837</v>
      </c>
      <c r="U767" s="142">
        <v>18</v>
      </c>
      <c r="Y767" s="142">
        <f t="shared" si="11"/>
        <v>4.1145000000000005</v>
      </c>
      <c r="Z767" s="157">
        <v>41837</v>
      </c>
      <c r="AE767" s="137">
        <v>10.55</v>
      </c>
      <c r="AF767" s="157">
        <v>41837</v>
      </c>
      <c r="AG767" s="185">
        <v>4.63</v>
      </c>
      <c r="AH767" s="157">
        <v>41837</v>
      </c>
      <c r="AM767" s="137">
        <v>92</v>
      </c>
      <c r="BM767" s="138">
        <v>57.85</v>
      </c>
      <c r="BN767" s="157">
        <v>41837</v>
      </c>
      <c r="BS767" s="138">
        <v>47.85</v>
      </c>
      <c r="BT767" s="157">
        <v>41837</v>
      </c>
      <c r="BU767" s="138">
        <v>39</v>
      </c>
      <c r="BV767" s="157">
        <v>41837</v>
      </c>
      <c r="BW767" s="138">
        <v>34.4</v>
      </c>
      <c r="BX767" s="157">
        <v>41837</v>
      </c>
      <c r="CC767" s="138">
        <v>6.8</v>
      </c>
      <c r="CD767" s="157">
        <v>41837</v>
      </c>
    </row>
    <row r="768" spans="1:82">
      <c r="A768" s="159" t="s">
        <v>7750</v>
      </c>
      <c r="B768" s="112" t="s">
        <v>271</v>
      </c>
      <c r="C768" s="112">
        <v>4</v>
      </c>
      <c r="D768" s="112">
        <v>198</v>
      </c>
      <c r="E768" s="113">
        <v>11</v>
      </c>
      <c r="F768" s="113">
        <v>22</v>
      </c>
      <c r="M768" s="185">
        <v>2.59</v>
      </c>
      <c r="N768" s="157">
        <v>41837</v>
      </c>
      <c r="R768" s="185"/>
      <c r="S768" s="137">
        <v>6.9</v>
      </c>
      <c r="T768" s="157">
        <v>41837</v>
      </c>
      <c r="U768" s="142">
        <v>18</v>
      </c>
      <c r="Y768" s="142">
        <f t="shared" si="11"/>
        <v>5.914159999999999</v>
      </c>
      <c r="Z768" s="157">
        <v>41837</v>
      </c>
      <c r="AE768" s="137">
        <v>14.32</v>
      </c>
      <c r="AF768" s="157">
        <v>41837</v>
      </c>
      <c r="AG768" s="185">
        <v>4.79</v>
      </c>
      <c r="AH768" s="157">
        <v>41837</v>
      </c>
      <c r="AM768" s="137">
        <v>90</v>
      </c>
      <c r="BM768" s="138">
        <v>62.1</v>
      </c>
      <c r="BN768" s="157">
        <v>41837</v>
      </c>
      <c r="BS768" s="138">
        <v>48.21</v>
      </c>
      <c r="BT768" s="157">
        <v>41837</v>
      </c>
      <c r="BU768" s="138">
        <v>41.3</v>
      </c>
      <c r="BV768" s="157">
        <v>41837</v>
      </c>
      <c r="BW768" s="138">
        <v>48.2</v>
      </c>
      <c r="BX768" s="157">
        <v>41837</v>
      </c>
      <c r="CC768" s="138">
        <v>8.6999999999999993</v>
      </c>
      <c r="CD768" s="157">
        <v>41837</v>
      </c>
    </row>
    <row r="769" spans="1:82">
      <c r="A769" s="159" t="s">
        <v>7745</v>
      </c>
      <c r="B769" s="112" t="s">
        <v>271</v>
      </c>
      <c r="C769" s="112">
        <v>4</v>
      </c>
      <c r="D769" s="112">
        <v>165</v>
      </c>
      <c r="E769" s="113">
        <v>12</v>
      </c>
      <c r="F769" s="113">
        <v>22</v>
      </c>
      <c r="M769" s="185">
        <v>3.38</v>
      </c>
      <c r="N769" s="157">
        <v>41837</v>
      </c>
      <c r="R769" s="185"/>
      <c r="S769" s="137">
        <v>8.75</v>
      </c>
      <c r="T769" s="157">
        <v>41837</v>
      </c>
      <c r="U769" s="142">
        <v>18</v>
      </c>
      <c r="Y769" s="142">
        <f t="shared" si="11"/>
        <v>7.6467200000000002</v>
      </c>
      <c r="Z769" s="157">
        <v>41837</v>
      </c>
      <c r="AE769" s="137">
        <v>18.559999999999999</v>
      </c>
      <c r="AF769" s="157">
        <v>41837</v>
      </c>
      <c r="AG769" s="185">
        <v>4.6500000000000004</v>
      </c>
      <c r="AH769" s="157">
        <v>41837</v>
      </c>
      <c r="AM769" s="137">
        <v>96</v>
      </c>
      <c r="BM769" s="138">
        <v>63.94</v>
      </c>
      <c r="BN769" s="157">
        <v>41837</v>
      </c>
      <c r="BS769" s="138">
        <v>47.16</v>
      </c>
      <c r="BT769" s="157">
        <v>41837</v>
      </c>
      <c r="BU769" s="138">
        <v>41.2</v>
      </c>
      <c r="BV769" s="157">
        <v>41837</v>
      </c>
      <c r="BW769" s="138">
        <v>57.7</v>
      </c>
      <c r="BX769" s="157">
        <v>41837</v>
      </c>
      <c r="CC769" s="138">
        <v>9.3000000000000007</v>
      </c>
      <c r="CD769" s="157">
        <v>41837</v>
      </c>
    </row>
    <row r="770" spans="1:82">
      <c r="A770" s="159" t="s">
        <v>7792</v>
      </c>
      <c r="B770" s="112" t="s">
        <v>271</v>
      </c>
      <c r="C770" s="112">
        <v>4</v>
      </c>
      <c r="D770" s="112">
        <v>178</v>
      </c>
      <c r="E770" s="113">
        <v>13</v>
      </c>
      <c r="F770" s="113">
        <v>22</v>
      </c>
      <c r="M770" s="185">
        <v>6.77</v>
      </c>
      <c r="N770" s="157">
        <v>41837</v>
      </c>
      <c r="R770" s="185"/>
      <c r="S770" s="137">
        <v>18.96</v>
      </c>
      <c r="T770" s="157">
        <v>41837</v>
      </c>
      <c r="U770" s="142">
        <v>18</v>
      </c>
      <c r="Y770" s="142">
        <f t="shared" ref="Y770:Y833" si="12">(AE770*BU770)/100</f>
        <v>15.111320000000001</v>
      </c>
      <c r="Z770" s="157">
        <v>41837</v>
      </c>
      <c r="AE770" s="137">
        <v>37.22</v>
      </c>
      <c r="AF770" s="157">
        <v>41837</v>
      </c>
      <c r="AG770" s="185">
        <v>5.23</v>
      </c>
      <c r="AH770" s="157">
        <v>41837</v>
      </c>
      <c r="AM770" s="137">
        <v>94</v>
      </c>
      <c r="BM770" s="138">
        <v>60.38</v>
      </c>
      <c r="BN770" s="157">
        <v>41837</v>
      </c>
      <c r="BS770" s="138">
        <v>50.94</v>
      </c>
      <c r="BT770" s="157">
        <v>41837</v>
      </c>
      <c r="BU770" s="138">
        <v>40.6</v>
      </c>
      <c r="BV770" s="157">
        <v>41837</v>
      </c>
      <c r="BW770" s="138">
        <v>14.1</v>
      </c>
      <c r="BX770" s="157">
        <v>41837</v>
      </c>
      <c r="CC770" s="138">
        <v>9.1999999999999993</v>
      </c>
      <c r="CD770" s="157">
        <v>41837</v>
      </c>
    </row>
    <row r="771" spans="1:82">
      <c r="A771" s="159" t="s">
        <v>7619</v>
      </c>
      <c r="B771" s="112" t="s">
        <v>271</v>
      </c>
      <c r="C771" s="112">
        <v>4</v>
      </c>
      <c r="D771" s="112">
        <v>84</v>
      </c>
      <c r="E771" s="113">
        <v>14</v>
      </c>
      <c r="F771" s="113">
        <v>22</v>
      </c>
      <c r="M771" s="185">
        <v>4.45</v>
      </c>
      <c r="N771" s="157">
        <v>41837</v>
      </c>
      <c r="R771" s="185"/>
      <c r="S771" s="137">
        <v>11.94</v>
      </c>
      <c r="T771" s="157">
        <v>41837</v>
      </c>
      <c r="U771" s="142">
        <v>18</v>
      </c>
      <c r="Y771" s="142">
        <f t="shared" si="12"/>
        <v>10.118659999999998</v>
      </c>
      <c r="Z771" s="157">
        <v>41837</v>
      </c>
      <c r="AE771" s="137">
        <v>24.74</v>
      </c>
      <c r="AF771" s="157">
        <v>41837</v>
      </c>
      <c r="AG771" s="185">
        <v>5.45</v>
      </c>
      <c r="AH771" s="157">
        <v>41837</v>
      </c>
      <c r="AM771" s="137">
        <v>96</v>
      </c>
      <c r="BM771" s="138">
        <v>63.36</v>
      </c>
      <c r="BN771" s="157">
        <v>41837</v>
      </c>
      <c r="BS771" s="138">
        <v>48.28</v>
      </c>
      <c r="BT771" s="157">
        <v>41837</v>
      </c>
      <c r="BU771" s="138">
        <v>40.9</v>
      </c>
      <c r="BV771" s="157">
        <v>41837</v>
      </c>
      <c r="BW771" s="138">
        <v>60.5</v>
      </c>
      <c r="BX771" s="157">
        <v>41837</v>
      </c>
      <c r="CC771" s="138">
        <v>8.1999999999999993</v>
      </c>
      <c r="CD771" s="157">
        <v>41837</v>
      </c>
    </row>
    <row r="772" spans="1:82">
      <c r="A772" s="159" t="s">
        <v>7619</v>
      </c>
      <c r="B772" s="112" t="s">
        <v>271</v>
      </c>
      <c r="C772" s="112">
        <v>4</v>
      </c>
      <c r="D772" s="112">
        <v>92</v>
      </c>
      <c r="E772" s="113">
        <v>15</v>
      </c>
      <c r="F772" s="113">
        <v>22</v>
      </c>
      <c r="M772" s="185">
        <v>3.47</v>
      </c>
      <c r="N772" s="157">
        <v>41837</v>
      </c>
      <c r="R772" s="185"/>
      <c r="S772" s="137">
        <v>9.7100000000000009</v>
      </c>
      <c r="T772" s="157">
        <v>41837</v>
      </c>
      <c r="U772" s="142">
        <v>18</v>
      </c>
      <c r="Y772" s="142">
        <f t="shared" si="12"/>
        <v>8.1564000000000014</v>
      </c>
      <c r="Z772" s="157">
        <v>41837</v>
      </c>
      <c r="AE772" s="137">
        <v>19.420000000000002</v>
      </c>
      <c r="AF772" s="157">
        <v>41837</v>
      </c>
      <c r="AG772" s="185">
        <v>5.0999999999999996</v>
      </c>
      <c r="AH772" s="157">
        <v>41837</v>
      </c>
      <c r="AM772" s="137">
        <v>96</v>
      </c>
      <c r="BM772" s="138">
        <v>62.93</v>
      </c>
      <c r="BN772" s="157">
        <v>41837</v>
      </c>
      <c r="BS772" s="138">
        <v>50</v>
      </c>
      <c r="BT772" s="157">
        <v>41837</v>
      </c>
      <c r="BU772" s="138">
        <v>42</v>
      </c>
      <c r="BV772" s="157">
        <v>41837</v>
      </c>
      <c r="BW772" s="138">
        <v>50.3</v>
      </c>
      <c r="BX772" s="157">
        <v>41837</v>
      </c>
      <c r="CC772" s="138">
        <v>7.6</v>
      </c>
      <c r="CD772" s="157">
        <v>41837</v>
      </c>
    </row>
    <row r="773" spans="1:82">
      <c r="A773" s="159" t="s">
        <v>7805</v>
      </c>
      <c r="B773" s="112" t="s">
        <v>271</v>
      </c>
      <c r="C773" s="112">
        <v>4</v>
      </c>
      <c r="D773" s="112">
        <v>144</v>
      </c>
      <c r="E773" s="113">
        <v>16</v>
      </c>
      <c r="F773" s="113">
        <v>22</v>
      </c>
      <c r="M773" s="185">
        <v>6.17</v>
      </c>
      <c r="N773" s="157">
        <v>41837</v>
      </c>
      <c r="R773" s="185"/>
      <c r="S773" s="137">
        <v>17.690000000000001</v>
      </c>
      <c r="T773" s="157">
        <v>41837</v>
      </c>
      <c r="U773" s="142">
        <v>18</v>
      </c>
      <c r="Y773" s="142">
        <f t="shared" si="12"/>
        <v>13.039080000000002</v>
      </c>
      <c r="Z773" s="157">
        <v>41837</v>
      </c>
      <c r="AE773" s="137">
        <v>33.78</v>
      </c>
      <c r="AF773" s="157">
        <v>41837</v>
      </c>
      <c r="AG773" s="185">
        <v>5.63</v>
      </c>
      <c r="AH773" s="157">
        <v>41837</v>
      </c>
      <c r="AM773" s="137">
        <v>80</v>
      </c>
      <c r="BM773" s="138">
        <v>63.02</v>
      </c>
      <c r="BN773" s="157">
        <v>41837</v>
      </c>
      <c r="BS773" s="138">
        <v>52.37</v>
      </c>
      <c r="BT773" s="157">
        <v>41837</v>
      </c>
      <c r="BU773" s="138">
        <v>38.6</v>
      </c>
      <c r="BV773" s="157">
        <v>41837</v>
      </c>
      <c r="BW773" s="138">
        <v>8.8000000000000007</v>
      </c>
      <c r="BX773" s="157">
        <v>41837</v>
      </c>
      <c r="CC773" s="138">
        <v>9.6</v>
      </c>
      <c r="CD773" s="157">
        <v>41837</v>
      </c>
    </row>
    <row r="774" spans="1:82">
      <c r="A774" s="159" t="s">
        <v>7713</v>
      </c>
      <c r="B774" s="112" t="s">
        <v>271</v>
      </c>
      <c r="C774" s="112">
        <v>4</v>
      </c>
      <c r="D774" s="112">
        <v>31</v>
      </c>
      <c r="E774" s="113">
        <v>17</v>
      </c>
      <c r="F774" s="113">
        <v>22</v>
      </c>
      <c r="M774" s="185">
        <v>6.52</v>
      </c>
      <c r="N774" s="157">
        <v>41837</v>
      </c>
      <c r="R774" s="185"/>
      <c r="S774" s="137">
        <v>17.91</v>
      </c>
      <c r="T774" s="157">
        <v>41837</v>
      </c>
      <c r="U774" s="142">
        <v>18</v>
      </c>
      <c r="Y774" s="142">
        <f t="shared" si="12"/>
        <v>13.971879999999999</v>
      </c>
      <c r="Z774" s="157">
        <v>41837</v>
      </c>
      <c r="AE774" s="137">
        <v>36.01</v>
      </c>
      <c r="AF774" s="157">
        <v>41837</v>
      </c>
      <c r="AG774" s="185">
        <v>4.5999999999999996</v>
      </c>
      <c r="AH774" s="157">
        <v>41837</v>
      </c>
      <c r="AM774" s="137">
        <v>90</v>
      </c>
      <c r="BM774" s="138">
        <v>60.78</v>
      </c>
      <c r="BN774" s="157">
        <v>41837</v>
      </c>
      <c r="BS774" s="138">
        <v>49.75</v>
      </c>
      <c r="BT774" s="157">
        <v>41837</v>
      </c>
      <c r="BU774" s="138">
        <v>38.799999999999997</v>
      </c>
      <c r="BV774" s="157">
        <v>41837</v>
      </c>
      <c r="BW774" s="138">
        <v>11.1</v>
      </c>
      <c r="BX774" s="157">
        <v>41837</v>
      </c>
      <c r="CC774" s="138">
        <v>8.8000000000000007</v>
      </c>
      <c r="CD774" s="157">
        <v>41837</v>
      </c>
    </row>
    <row r="775" spans="1:82">
      <c r="A775" s="159" t="s">
        <v>7662</v>
      </c>
      <c r="B775" s="112" t="s">
        <v>271</v>
      </c>
      <c r="C775" s="112">
        <v>4</v>
      </c>
      <c r="D775" s="112">
        <v>152</v>
      </c>
      <c r="E775" s="113">
        <v>18</v>
      </c>
      <c r="F775" s="113">
        <v>22</v>
      </c>
      <c r="M775" s="185">
        <v>7.72</v>
      </c>
      <c r="N775" s="157">
        <v>41837</v>
      </c>
      <c r="R775" s="185"/>
      <c r="S775" s="137">
        <v>22.75</v>
      </c>
      <c r="T775" s="157">
        <v>41837</v>
      </c>
      <c r="U775" s="142">
        <v>18</v>
      </c>
      <c r="Y775" s="142">
        <f t="shared" si="12"/>
        <v>16.824640000000002</v>
      </c>
      <c r="Z775" s="157">
        <v>41837</v>
      </c>
      <c r="AE775" s="137">
        <v>42.92</v>
      </c>
      <c r="AF775" s="157">
        <v>41837</v>
      </c>
      <c r="AG775" s="185">
        <v>5.96</v>
      </c>
      <c r="AH775" s="157">
        <v>41837</v>
      </c>
      <c r="AM775" s="137">
        <v>92</v>
      </c>
      <c r="BM775" s="138">
        <v>62.91</v>
      </c>
      <c r="BN775" s="157">
        <v>41837</v>
      </c>
      <c r="BS775" s="138">
        <v>53.01</v>
      </c>
      <c r="BT775" s="157">
        <v>41837</v>
      </c>
      <c r="BU775" s="138">
        <v>39.200000000000003</v>
      </c>
      <c r="BV775" s="157">
        <v>41837</v>
      </c>
      <c r="BW775" s="138">
        <v>14</v>
      </c>
      <c r="BX775" s="157">
        <v>41837</v>
      </c>
      <c r="CC775" s="138">
        <v>8.1999999999999993</v>
      </c>
      <c r="CD775" s="157">
        <v>41837</v>
      </c>
    </row>
    <row r="776" spans="1:82">
      <c r="A776" s="159" t="s">
        <v>7634</v>
      </c>
      <c r="B776" s="112" t="s">
        <v>271</v>
      </c>
      <c r="C776" s="112">
        <v>4</v>
      </c>
      <c r="D776" s="112">
        <v>197</v>
      </c>
      <c r="E776" s="113">
        <v>19</v>
      </c>
      <c r="F776" s="113">
        <v>22</v>
      </c>
      <c r="M776" s="185">
        <v>3.37</v>
      </c>
      <c r="N776" s="157">
        <v>41837</v>
      </c>
      <c r="R776" s="185"/>
      <c r="S776" s="137">
        <v>9.5399999999999991</v>
      </c>
      <c r="T776" s="157">
        <v>41837</v>
      </c>
      <c r="U776" s="142">
        <v>18</v>
      </c>
      <c r="Y776" s="142">
        <f t="shared" si="12"/>
        <v>7.6733700000000011</v>
      </c>
      <c r="Z776" s="157">
        <v>41837</v>
      </c>
      <c r="AE776" s="137">
        <v>18.670000000000002</v>
      </c>
      <c r="AF776" s="157">
        <v>41837</v>
      </c>
      <c r="AG776" s="185">
        <v>5.37</v>
      </c>
      <c r="AH776" s="157">
        <v>41837</v>
      </c>
      <c r="AM776" s="137">
        <v>78</v>
      </c>
      <c r="BM776" s="138">
        <v>60.2</v>
      </c>
      <c r="BN776" s="157">
        <v>41837</v>
      </c>
      <c r="BS776" s="138">
        <v>51.12</v>
      </c>
      <c r="BT776" s="157">
        <v>41837</v>
      </c>
      <c r="BU776" s="138">
        <v>41.1</v>
      </c>
      <c r="BV776" s="157">
        <v>41837</v>
      </c>
      <c r="BW776" s="138">
        <v>47.7</v>
      </c>
      <c r="BX776" s="157">
        <v>41837</v>
      </c>
      <c r="CC776" s="138">
        <v>8.5</v>
      </c>
      <c r="CD776" s="157">
        <v>41837</v>
      </c>
    </row>
    <row r="777" spans="1:82">
      <c r="A777" s="159" t="s">
        <v>7701</v>
      </c>
      <c r="B777" s="112" t="s">
        <v>271</v>
      </c>
      <c r="C777" s="112">
        <v>4</v>
      </c>
      <c r="D777" s="112">
        <v>54</v>
      </c>
      <c r="E777" s="113">
        <v>20</v>
      </c>
      <c r="F777" s="113">
        <v>22</v>
      </c>
      <c r="M777" s="185">
        <v>5.74</v>
      </c>
      <c r="N777" s="157">
        <v>41837</v>
      </c>
      <c r="R777" s="185"/>
      <c r="S777" s="137">
        <v>16.18</v>
      </c>
      <c r="T777" s="157">
        <v>41837</v>
      </c>
      <c r="U777" s="142">
        <v>18</v>
      </c>
      <c r="Y777" s="142">
        <f t="shared" si="12"/>
        <v>11.887499999999999</v>
      </c>
      <c r="Z777" s="157">
        <v>41837</v>
      </c>
      <c r="AE777" s="137">
        <v>31.7</v>
      </c>
      <c r="AF777" s="157">
        <v>41837</v>
      </c>
      <c r="AG777" s="185">
        <v>5.04</v>
      </c>
      <c r="AH777" s="157">
        <v>41837</v>
      </c>
      <c r="AM777" s="137">
        <v>92</v>
      </c>
      <c r="BM777" s="138">
        <v>59</v>
      </c>
      <c r="BN777" s="157">
        <v>41837</v>
      </c>
      <c r="BS777" s="138">
        <v>51.04</v>
      </c>
      <c r="BT777" s="157">
        <v>41837</v>
      </c>
      <c r="BU777" s="138">
        <v>37.5</v>
      </c>
      <c r="BV777" s="157">
        <v>41837</v>
      </c>
      <c r="BW777" s="138">
        <v>11.9</v>
      </c>
      <c r="BX777" s="157">
        <v>41837</v>
      </c>
      <c r="CC777" s="138">
        <v>8.8000000000000007</v>
      </c>
      <c r="CD777" s="157">
        <v>41837</v>
      </c>
    </row>
    <row r="778" spans="1:82">
      <c r="A778" s="159" t="s">
        <v>7730</v>
      </c>
      <c r="B778" s="112" t="s">
        <v>271</v>
      </c>
      <c r="C778" s="112">
        <v>4</v>
      </c>
      <c r="D778" s="112">
        <v>15</v>
      </c>
      <c r="E778" s="113">
        <v>21</v>
      </c>
      <c r="F778" s="113">
        <v>22</v>
      </c>
      <c r="I778" s="200"/>
      <c r="K778" s="142"/>
      <c r="M778" s="185">
        <v>7.63</v>
      </c>
      <c r="N778" s="157">
        <v>41837</v>
      </c>
      <c r="Q778" s="142"/>
      <c r="R778" s="185"/>
      <c r="S778" s="142">
        <v>21.67</v>
      </c>
      <c r="T778" s="157">
        <v>41837</v>
      </c>
      <c r="U778" s="142">
        <v>18</v>
      </c>
      <c r="W778" s="142"/>
      <c r="Y778" s="142">
        <f t="shared" si="12"/>
        <v>15.871149999999998</v>
      </c>
      <c r="Z778" s="157">
        <v>41837</v>
      </c>
      <c r="AA778" s="142"/>
      <c r="AE778" s="142">
        <v>42.55</v>
      </c>
      <c r="AF778" s="157">
        <v>41837</v>
      </c>
      <c r="AG778" s="185">
        <v>4.8899999999999997</v>
      </c>
      <c r="AH778" s="157">
        <v>41837</v>
      </c>
      <c r="AK778" s="142"/>
      <c r="AM778" s="142">
        <v>87</v>
      </c>
      <c r="BM778" s="138">
        <v>60.72</v>
      </c>
      <c r="BN778" s="157">
        <v>41837</v>
      </c>
      <c r="BS778" s="138">
        <v>50.93</v>
      </c>
      <c r="BT778" s="157">
        <v>41837</v>
      </c>
      <c r="BU778" s="138">
        <v>37.299999999999997</v>
      </c>
      <c r="BV778" s="157">
        <v>41837</v>
      </c>
      <c r="BW778" s="138">
        <v>19.3</v>
      </c>
      <c r="BX778" s="157">
        <v>41837</v>
      </c>
      <c r="CC778" s="138">
        <v>7.9</v>
      </c>
      <c r="CD778" s="157">
        <v>41837</v>
      </c>
    </row>
    <row r="779" spans="1:82">
      <c r="A779" s="159" t="s">
        <v>7663</v>
      </c>
      <c r="B779" s="112" t="s">
        <v>271</v>
      </c>
      <c r="C779" s="112">
        <v>4</v>
      </c>
      <c r="D779" s="112">
        <v>75</v>
      </c>
      <c r="E779" s="113">
        <v>22</v>
      </c>
      <c r="F779" s="113">
        <v>22</v>
      </c>
      <c r="M779" s="185">
        <v>6.03</v>
      </c>
      <c r="N779" s="157">
        <v>41837</v>
      </c>
      <c r="R779" s="185"/>
      <c r="S779" s="137">
        <v>16.71</v>
      </c>
      <c r="T779" s="157">
        <v>41837</v>
      </c>
      <c r="U779" s="142">
        <v>18</v>
      </c>
      <c r="Y779" s="142">
        <f t="shared" si="12"/>
        <v>13.02364</v>
      </c>
      <c r="Z779" s="157">
        <v>41837</v>
      </c>
      <c r="AE779" s="137">
        <v>33.74</v>
      </c>
      <c r="AF779" s="157">
        <v>41837</v>
      </c>
      <c r="AG779" s="185">
        <v>4.8499999999999996</v>
      </c>
      <c r="AH779" s="157">
        <v>41837</v>
      </c>
      <c r="AM779" s="137">
        <v>90</v>
      </c>
      <c r="BM779" s="138">
        <v>59.92</v>
      </c>
      <c r="BN779" s="157">
        <v>41837</v>
      </c>
      <c r="BS779" s="138">
        <v>49.52</v>
      </c>
      <c r="BT779" s="157">
        <v>41837</v>
      </c>
      <c r="BU779" s="138">
        <v>38.6</v>
      </c>
      <c r="BV779" s="157">
        <v>41837</v>
      </c>
      <c r="BW779" s="138">
        <v>41.3</v>
      </c>
      <c r="BX779" s="157">
        <v>41837</v>
      </c>
      <c r="CC779" s="138">
        <v>7.6</v>
      </c>
      <c r="CD779" s="157">
        <v>41837</v>
      </c>
    </row>
    <row r="780" spans="1:82">
      <c r="A780" s="159" t="s">
        <v>7720</v>
      </c>
      <c r="B780" s="112" t="s">
        <v>271</v>
      </c>
      <c r="C780" s="112">
        <v>4</v>
      </c>
      <c r="D780" s="112">
        <v>86</v>
      </c>
      <c r="E780" s="113">
        <v>23</v>
      </c>
      <c r="F780" s="113">
        <v>22</v>
      </c>
      <c r="M780" s="185">
        <v>6.26</v>
      </c>
      <c r="N780" s="157">
        <v>41837</v>
      </c>
      <c r="R780" s="185"/>
      <c r="S780" s="137">
        <v>17.510000000000002</v>
      </c>
      <c r="T780" s="157">
        <v>41837</v>
      </c>
      <c r="U780" s="142">
        <v>18</v>
      </c>
      <c r="Y780" s="142">
        <f t="shared" si="12"/>
        <v>13.490700000000002</v>
      </c>
      <c r="Z780" s="157">
        <v>41837</v>
      </c>
      <c r="AE780" s="137">
        <v>34.950000000000003</v>
      </c>
      <c r="AF780" s="157">
        <v>41837</v>
      </c>
      <c r="AG780" s="185">
        <v>4.5999999999999996</v>
      </c>
      <c r="AH780" s="157">
        <v>41837</v>
      </c>
      <c r="AM780" s="137">
        <v>87</v>
      </c>
      <c r="BM780" s="138">
        <v>63.29</v>
      </c>
      <c r="BN780" s="157">
        <v>41837</v>
      </c>
      <c r="BS780" s="138">
        <v>50.09</v>
      </c>
      <c r="BT780" s="157">
        <v>41837</v>
      </c>
      <c r="BU780" s="138">
        <v>38.6</v>
      </c>
      <c r="BV780" s="157">
        <v>41837</v>
      </c>
      <c r="BW780" s="138">
        <v>20.3</v>
      </c>
      <c r="BX780" s="157">
        <v>41837</v>
      </c>
      <c r="CC780" s="138">
        <v>7.8</v>
      </c>
      <c r="CD780" s="157">
        <v>41837</v>
      </c>
    </row>
    <row r="781" spans="1:82">
      <c r="A781" s="159" t="s">
        <v>7756</v>
      </c>
      <c r="B781" s="112" t="s">
        <v>271</v>
      </c>
      <c r="C781" s="112">
        <v>4</v>
      </c>
      <c r="D781" s="112">
        <v>108</v>
      </c>
      <c r="E781" s="113">
        <v>24</v>
      </c>
      <c r="F781" s="113">
        <v>22</v>
      </c>
      <c r="M781" s="185">
        <v>4.46</v>
      </c>
      <c r="N781" s="157">
        <v>41837</v>
      </c>
      <c r="R781" s="185"/>
      <c r="S781" s="137">
        <v>11.41</v>
      </c>
      <c r="T781" s="157">
        <v>41837</v>
      </c>
      <c r="U781" s="142">
        <v>18</v>
      </c>
      <c r="Y781" s="142">
        <f t="shared" si="12"/>
        <v>10.122900000000001</v>
      </c>
      <c r="Z781" s="157">
        <v>41837</v>
      </c>
      <c r="AE781" s="137">
        <v>24.69</v>
      </c>
      <c r="AF781" s="157">
        <v>41837</v>
      </c>
      <c r="AG781" s="185">
        <v>5.01</v>
      </c>
      <c r="AH781" s="157">
        <v>41837</v>
      </c>
      <c r="AM781" s="137">
        <v>85</v>
      </c>
      <c r="BM781" s="138">
        <v>62.41</v>
      </c>
      <c r="BN781" s="157">
        <v>41837</v>
      </c>
      <c r="BS781" s="138">
        <v>46.21</v>
      </c>
      <c r="BT781" s="157">
        <v>41837</v>
      </c>
      <c r="BU781" s="138">
        <v>41</v>
      </c>
      <c r="BV781" s="157">
        <v>41837</v>
      </c>
      <c r="BW781" s="138">
        <v>58</v>
      </c>
      <c r="BX781" s="157">
        <v>41837</v>
      </c>
      <c r="CC781" s="138">
        <v>8.6</v>
      </c>
      <c r="CD781" s="157">
        <v>41837</v>
      </c>
    </row>
    <row r="782" spans="1:82">
      <c r="A782" s="159" t="s">
        <v>7806</v>
      </c>
      <c r="B782" s="112" t="s">
        <v>271</v>
      </c>
      <c r="C782" s="112">
        <v>4</v>
      </c>
      <c r="D782" s="112">
        <v>27</v>
      </c>
      <c r="E782" s="113">
        <v>25</v>
      </c>
      <c r="F782" s="113">
        <v>22</v>
      </c>
      <c r="M782" s="185">
        <v>8.43</v>
      </c>
      <c r="N782" s="157">
        <v>41837</v>
      </c>
      <c r="R782" s="185"/>
      <c r="S782" s="137">
        <v>24.82</v>
      </c>
      <c r="T782" s="157">
        <v>41837</v>
      </c>
      <c r="U782" s="142">
        <v>18</v>
      </c>
      <c r="Y782" s="142">
        <f t="shared" si="12"/>
        <v>18.349129999999999</v>
      </c>
      <c r="Z782" s="157">
        <v>41837</v>
      </c>
      <c r="AE782" s="137">
        <v>47.17</v>
      </c>
      <c r="AF782" s="157">
        <v>41837</v>
      </c>
      <c r="AG782" s="185">
        <v>5.35</v>
      </c>
      <c r="AH782" s="157">
        <v>41837</v>
      </c>
      <c r="AM782" s="137">
        <v>92</v>
      </c>
      <c r="BM782" s="138">
        <v>62.09</v>
      </c>
      <c r="BN782" s="157">
        <v>41837</v>
      </c>
      <c r="BS782" s="138">
        <v>52.61</v>
      </c>
      <c r="BT782" s="157">
        <v>41837</v>
      </c>
      <c r="BU782" s="138">
        <v>38.9</v>
      </c>
      <c r="BV782" s="157">
        <v>41837</v>
      </c>
      <c r="BW782" s="138">
        <v>12.4</v>
      </c>
      <c r="BX782" s="157">
        <v>41837</v>
      </c>
      <c r="CC782" s="138">
        <v>7.6</v>
      </c>
      <c r="CD782" s="157">
        <v>41837</v>
      </c>
    </row>
    <row r="783" spans="1:82">
      <c r="A783" s="159" t="s">
        <v>7757</v>
      </c>
      <c r="B783" s="112" t="s">
        <v>271</v>
      </c>
      <c r="C783" s="112">
        <v>4</v>
      </c>
      <c r="D783" s="112">
        <v>106</v>
      </c>
      <c r="E783" s="113">
        <v>26</v>
      </c>
      <c r="F783" s="113">
        <v>22</v>
      </c>
      <c r="M783" s="185">
        <v>5.41</v>
      </c>
      <c r="N783" s="157">
        <v>41837</v>
      </c>
      <c r="R783" s="185"/>
      <c r="S783" s="137">
        <v>14.98</v>
      </c>
      <c r="T783" s="157">
        <v>41837</v>
      </c>
      <c r="U783" s="142">
        <v>18</v>
      </c>
      <c r="Y783" s="142">
        <f t="shared" si="12"/>
        <v>12.056890000000001</v>
      </c>
      <c r="Z783" s="157">
        <v>41837</v>
      </c>
      <c r="AE783" s="137">
        <v>30.37</v>
      </c>
      <c r="AF783" s="157">
        <v>41837</v>
      </c>
      <c r="AG783" s="185">
        <v>4.4800000000000004</v>
      </c>
      <c r="AH783" s="157">
        <v>41837</v>
      </c>
      <c r="AM783" s="137">
        <v>94</v>
      </c>
      <c r="BM783" s="138">
        <v>62.59</v>
      </c>
      <c r="BN783" s="157">
        <v>41837</v>
      </c>
      <c r="BS783" s="138">
        <v>49.31</v>
      </c>
      <c r="BT783" s="157">
        <v>41837</v>
      </c>
      <c r="BU783" s="138">
        <v>39.700000000000003</v>
      </c>
      <c r="BV783" s="157">
        <v>41837</v>
      </c>
      <c r="BW783" s="138">
        <v>46.8</v>
      </c>
      <c r="BX783" s="157">
        <v>41837</v>
      </c>
      <c r="CC783" s="138">
        <v>7.3</v>
      </c>
      <c r="CD783" s="157">
        <v>41837</v>
      </c>
    </row>
    <row r="784" spans="1:82">
      <c r="A784" s="159" t="s">
        <v>7631</v>
      </c>
      <c r="B784" s="112" t="s">
        <v>271</v>
      </c>
      <c r="C784" s="112">
        <v>4</v>
      </c>
      <c r="D784" s="112">
        <v>180</v>
      </c>
      <c r="E784" s="113">
        <v>27</v>
      </c>
      <c r="F784" s="113">
        <v>22</v>
      </c>
      <c r="M784" s="185">
        <v>4.5199999999999996</v>
      </c>
      <c r="N784" s="157">
        <v>41837</v>
      </c>
      <c r="R784" s="185"/>
      <c r="S784" s="137">
        <v>11.56</v>
      </c>
      <c r="T784" s="157">
        <v>41837</v>
      </c>
      <c r="U784" s="142">
        <v>18</v>
      </c>
      <c r="Y784" s="142">
        <f t="shared" si="12"/>
        <v>9.9450400000000005</v>
      </c>
      <c r="Z784" s="157">
        <v>41837</v>
      </c>
      <c r="AE784" s="137">
        <v>25.37</v>
      </c>
      <c r="AF784" s="157">
        <v>41837</v>
      </c>
      <c r="AG784" s="185">
        <v>4.5999999999999996</v>
      </c>
      <c r="AH784" s="157">
        <v>41837</v>
      </c>
      <c r="AM784" s="137">
        <v>96</v>
      </c>
      <c r="BM784" s="138">
        <v>65.59</v>
      </c>
      <c r="BN784" s="157">
        <v>41837</v>
      </c>
      <c r="BS784" s="138">
        <v>45.58</v>
      </c>
      <c r="BT784" s="157">
        <v>41837</v>
      </c>
      <c r="BU784" s="138">
        <v>39.200000000000003</v>
      </c>
      <c r="BV784" s="157">
        <v>41837</v>
      </c>
      <c r="BW784" s="138">
        <v>61</v>
      </c>
      <c r="BX784" s="157">
        <v>41837</v>
      </c>
      <c r="CC784" s="138">
        <v>7.3</v>
      </c>
      <c r="CD784" s="157">
        <v>41837</v>
      </c>
    </row>
    <row r="785" spans="1:91">
      <c r="A785" s="159" t="s">
        <v>7705</v>
      </c>
      <c r="B785" s="112" t="s">
        <v>271</v>
      </c>
      <c r="C785" s="112">
        <v>4</v>
      </c>
      <c r="D785" s="112">
        <v>50</v>
      </c>
      <c r="E785" s="113">
        <v>28</v>
      </c>
      <c r="F785" s="113">
        <v>22</v>
      </c>
      <c r="M785" s="185">
        <v>7.35</v>
      </c>
      <c r="N785" s="157">
        <v>41837</v>
      </c>
      <c r="R785" s="185"/>
      <c r="S785" s="137">
        <v>21.39</v>
      </c>
      <c r="T785" s="157">
        <v>41837</v>
      </c>
      <c r="U785" s="142">
        <v>18</v>
      </c>
      <c r="Y785" s="142">
        <f t="shared" si="12"/>
        <v>16.731260000000002</v>
      </c>
      <c r="Z785" s="157">
        <v>41837</v>
      </c>
      <c r="AE785" s="137">
        <v>41.21</v>
      </c>
      <c r="AF785" s="157">
        <v>41837</v>
      </c>
      <c r="AG785" s="185">
        <v>4.79</v>
      </c>
      <c r="AH785" s="157">
        <v>41837</v>
      </c>
      <c r="AM785" s="137">
        <v>85</v>
      </c>
      <c r="BM785" s="138">
        <v>63.46</v>
      </c>
      <c r="BN785" s="157">
        <v>41837</v>
      </c>
      <c r="BS785" s="138">
        <v>51.91</v>
      </c>
      <c r="BT785" s="157">
        <v>41837</v>
      </c>
      <c r="BU785" s="138">
        <v>40.6</v>
      </c>
      <c r="BV785" s="157">
        <v>41837</v>
      </c>
      <c r="BW785" s="138">
        <v>13.9</v>
      </c>
      <c r="BX785" s="157">
        <v>41837</v>
      </c>
      <c r="CC785" s="138">
        <v>7.4</v>
      </c>
      <c r="CD785" s="157">
        <v>41837</v>
      </c>
    </row>
    <row r="786" spans="1:91">
      <c r="A786" s="159" t="s">
        <v>7777</v>
      </c>
      <c r="B786" s="112" t="s">
        <v>271</v>
      </c>
      <c r="C786" s="112">
        <v>4</v>
      </c>
      <c r="D786" s="112">
        <v>197</v>
      </c>
      <c r="E786" s="113">
        <v>29</v>
      </c>
      <c r="F786" s="113">
        <v>22</v>
      </c>
      <c r="M786" s="185">
        <v>8.06</v>
      </c>
      <c r="N786" s="157">
        <v>41837</v>
      </c>
      <c r="R786" s="185"/>
      <c r="S786" s="137">
        <v>23.71</v>
      </c>
      <c r="T786" s="157">
        <v>41837</v>
      </c>
      <c r="U786" s="142">
        <v>18</v>
      </c>
      <c r="Y786" s="142">
        <f t="shared" si="12"/>
        <v>17.346069999999997</v>
      </c>
      <c r="Z786" s="157">
        <v>41837</v>
      </c>
      <c r="AE786" s="137">
        <v>45.29</v>
      </c>
      <c r="AF786" s="157">
        <v>41837</v>
      </c>
      <c r="AG786" s="185">
        <v>4.8899999999999997</v>
      </c>
      <c r="AH786" s="157">
        <v>41837</v>
      </c>
      <c r="AM786" s="137">
        <v>83</v>
      </c>
      <c r="BM786" s="138">
        <v>61.19</v>
      </c>
      <c r="BN786" s="157">
        <v>41837</v>
      </c>
      <c r="BS786" s="138">
        <v>52.36</v>
      </c>
      <c r="BT786" s="157">
        <v>41837</v>
      </c>
      <c r="BU786" s="138">
        <v>38.299999999999997</v>
      </c>
      <c r="BV786" s="157">
        <v>41837</v>
      </c>
      <c r="BW786" s="138">
        <v>15.2</v>
      </c>
      <c r="BX786" s="157">
        <v>41837</v>
      </c>
      <c r="CC786" s="138">
        <v>7.2</v>
      </c>
      <c r="CD786" s="157">
        <v>41837</v>
      </c>
    </row>
    <row r="787" spans="1:91">
      <c r="A787" s="159" t="s">
        <v>7760</v>
      </c>
      <c r="B787" s="112" t="s">
        <v>271</v>
      </c>
      <c r="C787" s="112">
        <v>4</v>
      </c>
      <c r="D787" s="112">
        <v>25</v>
      </c>
      <c r="E787" s="113">
        <v>30</v>
      </c>
      <c r="F787" s="113">
        <v>22</v>
      </c>
      <c r="M787" s="185">
        <v>7.39</v>
      </c>
      <c r="N787" s="157">
        <v>41837</v>
      </c>
      <c r="R787" s="185"/>
      <c r="S787" s="137">
        <v>20.76</v>
      </c>
      <c r="T787" s="157">
        <v>41837</v>
      </c>
      <c r="U787" s="142">
        <v>18</v>
      </c>
      <c r="Y787" s="142">
        <f t="shared" si="12"/>
        <v>16.86608</v>
      </c>
      <c r="Z787" s="157">
        <v>41837</v>
      </c>
      <c r="AE787" s="137">
        <v>41.44</v>
      </c>
      <c r="AF787" s="157">
        <v>41837</v>
      </c>
      <c r="AG787" s="185">
        <v>5.74</v>
      </c>
      <c r="AH787" s="157">
        <v>41837</v>
      </c>
      <c r="AM787" s="137">
        <v>92</v>
      </c>
      <c r="BM787" s="138">
        <v>61.29</v>
      </c>
      <c r="BN787" s="157">
        <v>41837</v>
      </c>
      <c r="BS787" s="138">
        <v>50.1</v>
      </c>
      <c r="BT787" s="157">
        <v>41837</v>
      </c>
      <c r="BU787" s="138">
        <v>40.700000000000003</v>
      </c>
      <c r="BV787" s="157">
        <v>41837</v>
      </c>
      <c r="BW787" s="138">
        <v>10.7</v>
      </c>
      <c r="BX787" s="157">
        <v>41837</v>
      </c>
      <c r="CC787" s="138">
        <v>7.4</v>
      </c>
      <c r="CD787" s="157">
        <v>41837</v>
      </c>
    </row>
    <row r="788" spans="1:91">
      <c r="A788" s="159" t="s">
        <v>7675</v>
      </c>
      <c r="B788" s="112" t="s">
        <v>271</v>
      </c>
      <c r="C788" s="112">
        <v>4</v>
      </c>
      <c r="D788" s="112">
        <v>63</v>
      </c>
      <c r="E788" s="113">
        <v>31</v>
      </c>
      <c r="F788" s="113">
        <v>22</v>
      </c>
      <c r="M788" s="185">
        <v>6.86</v>
      </c>
      <c r="N788" s="157">
        <v>41837</v>
      </c>
      <c r="R788" s="185"/>
      <c r="S788" s="137">
        <v>19.579999999999998</v>
      </c>
      <c r="T788" s="157">
        <v>41837</v>
      </c>
      <c r="U788" s="142">
        <v>18</v>
      </c>
      <c r="Y788" s="142">
        <f t="shared" si="12"/>
        <v>15.529260000000001</v>
      </c>
      <c r="Z788" s="157">
        <v>41837</v>
      </c>
      <c r="AE788" s="137">
        <v>38.630000000000003</v>
      </c>
      <c r="AF788" s="157">
        <v>41837</v>
      </c>
      <c r="AG788" s="185">
        <v>5.75</v>
      </c>
      <c r="AH788" s="157">
        <v>41837</v>
      </c>
      <c r="AM788" s="137">
        <v>83</v>
      </c>
      <c r="BM788" s="138">
        <v>62.25</v>
      </c>
      <c r="BN788" s="157">
        <v>41837</v>
      </c>
      <c r="BS788" s="138">
        <v>50.69</v>
      </c>
      <c r="BT788" s="157">
        <v>41837</v>
      </c>
      <c r="BU788" s="138">
        <v>40.200000000000003</v>
      </c>
      <c r="BV788" s="157">
        <v>41837</v>
      </c>
      <c r="BW788" s="138">
        <v>12.9</v>
      </c>
      <c r="BX788" s="157">
        <v>41837</v>
      </c>
      <c r="CC788" s="138">
        <v>7</v>
      </c>
      <c r="CD788" s="157">
        <v>41837</v>
      </c>
    </row>
    <row r="789" spans="1:91">
      <c r="A789" s="159" t="s">
        <v>7699</v>
      </c>
      <c r="B789" s="112" t="s">
        <v>271</v>
      </c>
      <c r="C789" s="112">
        <v>4</v>
      </c>
      <c r="D789" s="112">
        <v>13</v>
      </c>
      <c r="E789" s="113">
        <v>32</v>
      </c>
      <c r="F789" s="113">
        <v>22</v>
      </c>
      <c r="I789" s="200"/>
      <c r="K789" s="142"/>
      <c r="M789" s="185">
        <v>6.24</v>
      </c>
      <c r="N789" s="157">
        <v>41837</v>
      </c>
      <c r="Q789" s="142"/>
      <c r="R789" s="185"/>
      <c r="S789" s="142">
        <v>17.07</v>
      </c>
      <c r="T789" s="157">
        <v>41837</v>
      </c>
      <c r="U789" s="142">
        <v>18</v>
      </c>
      <c r="W789" s="142"/>
      <c r="Y789" s="142">
        <f t="shared" si="12"/>
        <v>13.805250000000001</v>
      </c>
      <c r="Z789" s="157">
        <v>41837</v>
      </c>
      <c r="AA789" s="142"/>
      <c r="AE789" s="142">
        <v>34.950000000000003</v>
      </c>
      <c r="AF789" s="157">
        <v>41837</v>
      </c>
      <c r="AG789" s="185">
        <v>5.04</v>
      </c>
      <c r="AH789" s="157">
        <v>41837</v>
      </c>
      <c r="AK789" s="142"/>
      <c r="AM789" s="142">
        <v>87</v>
      </c>
      <c r="BM789" s="138">
        <v>57.93</v>
      </c>
      <c r="BN789" s="157">
        <v>41837</v>
      </c>
      <c r="BS789" s="138">
        <v>48.85</v>
      </c>
      <c r="BT789" s="157">
        <v>41837</v>
      </c>
      <c r="BU789" s="138">
        <v>39.5</v>
      </c>
      <c r="BV789" s="157">
        <v>41837</v>
      </c>
      <c r="BW789" s="138">
        <v>16.3</v>
      </c>
      <c r="BX789" s="157">
        <v>41837</v>
      </c>
      <c r="CC789" s="138">
        <v>7.5</v>
      </c>
      <c r="CD789" s="157">
        <v>41837</v>
      </c>
    </row>
    <row r="790" spans="1:91">
      <c r="A790" s="159" t="s">
        <v>7723</v>
      </c>
      <c r="B790" s="112" t="s">
        <v>271</v>
      </c>
      <c r="C790" s="112">
        <v>4</v>
      </c>
      <c r="D790" s="112">
        <v>170</v>
      </c>
      <c r="E790" s="113">
        <v>33</v>
      </c>
      <c r="F790" s="113">
        <v>22</v>
      </c>
      <c r="M790" s="185">
        <v>8.09</v>
      </c>
      <c r="N790" s="157">
        <v>41837</v>
      </c>
      <c r="R790" s="185"/>
      <c r="S790" s="137">
        <v>23.24</v>
      </c>
      <c r="T790" s="157">
        <v>41837</v>
      </c>
      <c r="U790" s="142">
        <v>18</v>
      </c>
      <c r="Y790" s="142">
        <f t="shared" si="12"/>
        <v>17.45664</v>
      </c>
      <c r="Z790" s="157">
        <v>41837</v>
      </c>
      <c r="AE790" s="137">
        <v>45.46</v>
      </c>
      <c r="AF790" s="157">
        <v>41837</v>
      </c>
      <c r="AG790" s="185">
        <v>5.26</v>
      </c>
      <c r="AH790" s="157">
        <v>41837</v>
      </c>
      <c r="AM790" s="137">
        <v>85</v>
      </c>
      <c r="BM790" s="138">
        <v>61.78</v>
      </c>
      <c r="BN790" s="157">
        <v>41837</v>
      </c>
      <c r="BS790" s="138">
        <v>51.13</v>
      </c>
      <c r="BT790" s="157">
        <v>41837</v>
      </c>
      <c r="BU790" s="138">
        <v>38.4</v>
      </c>
      <c r="BV790" s="157">
        <v>41837</v>
      </c>
      <c r="BW790" s="138">
        <v>15.2</v>
      </c>
      <c r="BX790" s="157">
        <v>41837</v>
      </c>
      <c r="CC790" s="138">
        <v>7.2</v>
      </c>
      <c r="CD790" s="157">
        <v>41837</v>
      </c>
    </row>
    <row r="791" spans="1:91">
      <c r="A791" s="159" t="s">
        <v>7678</v>
      </c>
      <c r="B791" s="112" t="s">
        <v>271</v>
      </c>
      <c r="C791" s="112">
        <v>4</v>
      </c>
      <c r="D791" s="112">
        <v>114</v>
      </c>
      <c r="E791" s="113">
        <v>34</v>
      </c>
      <c r="F791" s="113">
        <v>22</v>
      </c>
      <c r="M791" s="185">
        <v>5.09</v>
      </c>
      <c r="N791" s="157">
        <v>41837</v>
      </c>
      <c r="R791" s="185"/>
      <c r="S791" s="137">
        <v>14.07</v>
      </c>
      <c r="T791" s="157">
        <v>41837</v>
      </c>
      <c r="U791" s="142">
        <v>18</v>
      </c>
      <c r="Y791" s="142">
        <f t="shared" si="12"/>
        <v>11.31962</v>
      </c>
      <c r="Z791" s="157">
        <v>41837</v>
      </c>
      <c r="AE791" s="137">
        <v>28.73</v>
      </c>
      <c r="AF791" s="157">
        <v>41837</v>
      </c>
      <c r="AG791" s="185">
        <v>5.17</v>
      </c>
      <c r="AH791" s="157">
        <v>41837</v>
      </c>
      <c r="AM791" s="137">
        <v>92</v>
      </c>
      <c r="BM791" s="138">
        <v>56.65</v>
      </c>
      <c r="BN791" s="157">
        <v>41837</v>
      </c>
      <c r="BS791" s="138">
        <v>48.98</v>
      </c>
      <c r="BT791" s="157">
        <v>41837</v>
      </c>
      <c r="BU791" s="138">
        <v>39.4</v>
      </c>
      <c r="BV791" s="157">
        <v>41837</v>
      </c>
      <c r="BW791" s="138">
        <v>19.600000000000001</v>
      </c>
      <c r="BX791" s="157">
        <v>41837</v>
      </c>
      <c r="CC791" s="138">
        <v>6.8</v>
      </c>
      <c r="CD791" s="157">
        <v>41837</v>
      </c>
    </row>
    <row r="792" spans="1:91">
      <c r="A792" s="159" t="s">
        <v>7643</v>
      </c>
      <c r="B792" s="112" t="s">
        <v>271</v>
      </c>
      <c r="C792" s="112">
        <v>4</v>
      </c>
      <c r="D792" s="112">
        <v>33</v>
      </c>
      <c r="E792" s="113">
        <v>35</v>
      </c>
      <c r="F792" s="113">
        <v>22</v>
      </c>
      <c r="M792" s="185">
        <v>6.13</v>
      </c>
      <c r="N792" s="157">
        <v>41837</v>
      </c>
      <c r="R792" s="185"/>
      <c r="S792" s="137">
        <v>16.239999999999998</v>
      </c>
      <c r="T792" s="157">
        <v>41837</v>
      </c>
      <c r="U792" s="142">
        <v>18</v>
      </c>
      <c r="Y792" s="142">
        <f t="shared" si="12"/>
        <v>14.116800000000001</v>
      </c>
      <c r="Z792" s="157">
        <v>41837</v>
      </c>
      <c r="AE792" s="137">
        <v>34.6</v>
      </c>
      <c r="AF792" s="157">
        <v>41837</v>
      </c>
      <c r="AG792" s="185">
        <v>5.36</v>
      </c>
      <c r="AH792" s="157">
        <v>41837</v>
      </c>
      <c r="AM792" s="137">
        <v>92</v>
      </c>
      <c r="BM792" s="138">
        <v>59.13</v>
      </c>
      <c r="BN792" s="157">
        <v>41837</v>
      </c>
      <c r="BS792" s="138">
        <v>46.95</v>
      </c>
      <c r="BT792" s="157">
        <v>41837</v>
      </c>
      <c r="BU792" s="138">
        <v>40.799999999999997</v>
      </c>
      <c r="BV792" s="157">
        <v>41837</v>
      </c>
      <c r="BW792" s="138">
        <v>69.400000000000006</v>
      </c>
      <c r="BX792" s="157">
        <v>41837</v>
      </c>
      <c r="CC792" s="138">
        <v>6.8</v>
      </c>
      <c r="CD792" s="157">
        <v>41837</v>
      </c>
    </row>
    <row r="793" spans="1:91">
      <c r="A793" s="159" t="s">
        <v>7669</v>
      </c>
      <c r="B793" s="112" t="s">
        <v>271</v>
      </c>
      <c r="C793" s="112">
        <v>4</v>
      </c>
      <c r="D793" s="112">
        <v>129</v>
      </c>
      <c r="E793" s="113">
        <v>36</v>
      </c>
      <c r="F793" s="113">
        <v>22</v>
      </c>
      <c r="M793" s="185">
        <v>6.8</v>
      </c>
      <c r="N793" s="157">
        <v>41837</v>
      </c>
      <c r="R793" s="185"/>
      <c r="S793" s="137">
        <v>19.53</v>
      </c>
      <c r="T793" s="157">
        <v>41837</v>
      </c>
      <c r="U793" s="142">
        <v>18</v>
      </c>
      <c r="Y793" s="142">
        <f t="shared" si="12"/>
        <v>14.914260000000002</v>
      </c>
      <c r="Z793" s="157">
        <v>41837</v>
      </c>
      <c r="AE793" s="137">
        <v>38.340000000000003</v>
      </c>
      <c r="AF793" s="157">
        <v>41837</v>
      </c>
      <c r="AG793" s="185">
        <v>4.95</v>
      </c>
      <c r="AH793" s="157">
        <v>41837</v>
      </c>
      <c r="AM793" s="137">
        <v>85</v>
      </c>
      <c r="BM793" s="138">
        <v>59.29</v>
      </c>
      <c r="BN793" s="157">
        <v>41837</v>
      </c>
      <c r="BS793" s="138">
        <v>50.94</v>
      </c>
      <c r="BT793" s="157">
        <v>41837</v>
      </c>
      <c r="BU793" s="138">
        <v>38.9</v>
      </c>
      <c r="BV793" s="157">
        <v>41837</v>
      </c>
      <c r="BW793" s="138">
        <v>15.4</v>
      </c>
      <c r="BX793" s="157">
        <v>41837</v>
      </c>
      <c r="CC793" s="138">
        <v>6.9</v>
      </c>
      <c r="CD793" s="157">
        <v>41837</v>
      </c>
    </row>
    <row r="794" spans="1:91">
      <c r="A794" s="159" t="s">
        <v>7685</v>
      </c>
      <c r="B794" s="112" t="s">
        <v>271</v>
      </c>
      <c r="C794" s="112">
        <v>4</v>
      </c>
      <c r="D794" s="112">
        <v>27</v>
      </c>
      <c r="E794" s="113">
        <v>1</v>
      </c>
      <c r="F794" s="113">
        <v>23</v>
      </c>
      <c r="M794" s="185">
        <v>7.49</v>
      </c>
      <c r="N794" s="157">
        <v>41837</v>
      </c>
      <c r="R794" s="185"/>
      <c r="S794" s="137">
        <v>20.88</v>
      </c>
      <c r="T794" s="157">
        <v>41837</v>
      </c>
      <c r="U794" s="142">
        <v>18</v>
      </c>
      <c r="Y794" s="142">
        <f t="shared" si="12"/>
        <v>14.672940000000001</v>
      </c>
      <c r="Z794" s="157">
        <v>41837</v>
      </c>
      <c r="AE794" s="137">
        <v>40.090000000000003</v>
      </c>
      <c r="AF794" s="157">
        <v>41837</v>
      </c>
      <c r="AG794" s="185">
        <v>4.5199999999999996</v>
      </c>
      <c r="AH794" s="157">
        <v>41837</v>
      </c>
      <c r="AM794" s="137">
        <v>92</v>
      </c>
      <c r="BM794" s="138">
        <v>60.64</v>
      </c>
      <c r="BN794" s="157">
        <v>41837</v>
      </c>
      <c r="BS794" s="138">
        <v>52.09</v>
      </c>
      <c r="BT794" s="157">
        <v>41837</v>
      </c>
      <c r="BU794" s="138">
        <v>36.6</v>
      </c>
      <c r="BV794" s="157">
        <v>41837</v>
      </c>
      <c r="BW794" s="138">
        <v>15.4</v>
      </c>
      <c r="BX794" s="157">
        <v>41837</v>
      </c>
      <c r="CC794" s="138">
        <v>11.6</v>
      </c>
      <c r="CD794" s="157">
        <v>41837</v>
      </c>
    </row>
    <row r="795" spans="1:91">
      <c r="A795" s="159" t="s">
        <v>7743</v>
      </c>
      <c r="B795" s="112" t="s">
        <v>271</v>
      </c>
      <c r="C795" s="112">
        <v>4</v>
      </c>
      <c r="D795" s="112">
        <v>28</v>
      </c>
      <c r="E795" s="113">
        <v>2</v>
      </c>
      <c r="F795" s="113">
        <v>23</v>
      </c>
      <c r="M795" s="185">
        <v>1.69</v>
      </c>
      <c r="N795" s="157">
        <v>41837</v>
      </c>
      <c r="R795" s="185"/>
      <c r="S795" s="137">
        <v>4.4400000000000004</v>
      </c>
      <c r="T795" s="157">
        <v>41837</v>
      </c>
      <c r="U795" s="142">
        <v>18</v>
      </c>
      <c r="Y795" s="142">
        <f t="shared" si="12"/>
        <v>3.9418799999999998</v>
      </c>
      <c r="Z795" s="157">
        <v>41837</v>
      </c>
      <c r="AE795" s="137">
        <v>9.2100000000000009</v>
      </c>
      <c r="AF795" s="157">
        <v>41837</v>
      </c>
      <c r="AG795" s="185">
        <v>5.34</v>
      </c>
      <c r="AH795" s="157">
        <v>41837</v>
      </c>
      <c r="AM795" s="137">
        <v>96</v>
      </c>
      <c r="BM795" s="138">
        <v>62.64</v>
      </c>
      <c r="BN795" s="157">
        <v>41837</v>
      </c>
      <c r="BS795" s="138">
        <v>48.18</v>
      </c>
      <c r="BT795" s="157">
        <v>41837</v>
      </c>
      <c r="BU795" s="138">
        <v>42.8</v>
      </c>
      <c r="BV795" s="157">
        <v>41837</v>
      </c>
      <c r="BW795" s="138">
        <v>40.200000000000003</v>
      </c>
      <c r="BX795" s="157">
        <v>41837</v>
      </c>
      <c r="CC795" s="138">
        <v>10</v>
      </c>
      <c r="CD795" s="157">
        <v>41837</v>
      </c>
    </row>
    <row r="796" spans="1:91">
      <c r="A796" s="159" t="s">
        <v>7629</v>
      </c>
      <c r="B796" s="112" t="s">
        <v>271</v>
      </c>
      <c r="C796" s="112">
        <v>4</v>
      </c>
      <c r="D796" s="112">
        <v>179</v>
      </c>
      <c r="E796" s="113">
        <v>3</v>
      </c>
      <c r="F796" s="113">
        <v>23</v>
      </c>
      <c r="M796" s="185">
        <v>3.32</v>
      </c>
      <c r="N796" s="157">
        <v>41837</v>
      </c>
      <c r="R796" s="185"/>
      <c r="S796" s="137">
        <v>8.69</v>
      </c>
      <c r="T796" s="157">
        <v>41837</v>
      </c>
      <c r="U796" s="142">
        <v>18</v>
      </c>
      <c r="Y796" s="142">
        <f t="shared" si="12"/>
        <v>7.2078600000000002</v>
      </c>
      <c r="Z796" s="157">
        <v>41837</v>
      </c>
      <c r="AE796" s="137">
        <v>17.93</v>
      </c>
      <c r="AF796" s="157">
        <v>41837</v>
      </c>
      <c r="AG796" s="185">
        <v>5.0199999999999996</v>
      </c>
      <c r="AH796" s="157">
        <v>41837</v>
      </c>
      <c r="AM796" s="137">
        <v>78</v>
      </c>
      <c r="BM796" s="138">
        <v>60.26</v>
      </c>
      <c r="BN796" s="157">
        <v>41837</v>
      </c>
      <c r="BS796" s="138">
        <v>48.48</v>
      </c>
      <c r="BT796" s="157">
        <v>41837</v>
      </c>
      <c r="BU796" s="138">
        <v>40.200000000000003</v>
      </c>
      <c r="BV796" s="157">
        <v>41837</v>
      </c>
      <c r="BW796" s="138">
        <v>51.9</v>
      </c>
      <c r="BX796" s="157">
        <v>41837</v>
      </c>
      <c r="CC796" s="138">
        <v>10.8</v>
      </c>
      <c r="CD796" s="157">
        <v>41837</v>
      </c>
    </row>
    <row r="797" spans="1:91">
      <c r="A797" s="159" t="s">
        <v>7693</v>
      </c>
      <c r="B797" s="112" t="s">
        <v>271</v>
      </c>
      <c r="C797" s="112">
        <v>4</v>
      </c>
      <c r="D797" s="112">
        <v>173</v>
      </c>
      <c r="E797" s="113">
        <v>4</v>
      </c>
      <c r="F797" s="113">
        <v>23</v>
      </c>
      <c r="M797" s="185">
        <v>5.81</v>
      </c>
      <c r="N797" s="157">
        <v>41837</v>
      </c>
      <c r="R797" s="185"/>
      <c r="S797" s="137">
        <v>15.45</v>
      </c>
      <c r="T797" s="157">
        <v>41837</v>
      </c>
      <c r="U797" s="142">
        <v>18</v>
      </c>
      <c r="Y797" s="142">
        <f t="shared" si="12"/>
        <v>12.108880000000001</v>
      </c>
      <c r="Z797" s="157">
        <v>41837</v>
      </c>
      <c r="AE797" s="137">
        <v>30.89</v>
      </c>
      <c r="AF797" s="157">
        <v>41837</v>
      </c>
      <c r="AG797" s="185">
        <v>5.13</v>
      </c>
      <c r="AH797" s="157">
        <v>41837</v>
      </c>
      <c r="AM797" s="137">
        <v>90</v>
      </c>
      <c r="BM797" s="138">
        <v>59.47</v>
      </c>
      <c r="BN797" s="157">
        <v>41837</v>
      </c>
      <c r="BS797" s="138">
        <v>50.01</v>
      </c>
      <c r="BT797" s="157">
        <v>41837</v>
      </c>
      <c r="BU797" s="138">
        <v>39.200000000000003</v>
      </c>
      <c r="BV797" s="157">
        <v>41837</v>
      </c>
      <c r="BW797" s="138">
        <v>15.9</v>
      </c>
      <c r="BX797" s="157">
        <v>41837</v>
      </c>
      <c r="CC797" s="138">
        <v>12.2</v>
      </c>
      <c r="CD797" s="157">
        <v>41837</v>
      </c>
    </row>
    <row r="798" spans="1:91">
      <c r="A798" s="159" t="s">
        <v>7754</v>
      </c>
      <c r="B798" s="112" t="s">
        <v>271</v>
      </c>
      <c r="C798" s="112">
        <v>4</v>
      </c>
      <c r="D798" s="112">
        <v>190</v>
      </c>
      <c r="E798" s="113">
        <v>5</v>
      </c>
      <c r="F798" s="113">
        <v>23</v>
      </c>
      <c r="M798" s="185">
        <v>4.95</v>
      </c>
      <c r="N798" s="157">
        <v>41837</v>
      </c>
      <c r="R798" s="185"/>
      <c r="S798" s="137">
        <v>12.59</v>
      </c>
      <c r="T798" s="157">
        <v>41837</v>
      </c>
      <c r="U798" s="142">
        <v>18</v>
      </c>
      <c r="Y798" s="142">
        <f t="shared" si="12"/>
        <v>11.0495</v>
      </c>
      <c r="Z798" s="157">
        <v>41837</v>
      </c>
      <c r="AE798" s="137">
        <v>26.95</v>
      </c>
      <c r="AF798" s="157">
        <v>41837</v>
      </c>
      <c r="AG798" s="185">
        <v>4.2</v>
      </c>
      <c r="AH798" s="157">
        <v>41837</v>
      </c>
      <c r="AM798" s="137">
        <v>96</v>
      </c>
      <c r="BM798" s="138">
        <v>61.7</v>
      </c>
      <c r="BN798" s="157">
        <v>41837</v>
      </c>
      <c r="BS798" s="138">
        <v>46.7</v>
      </c>
      <c r="BT798" s="157">
        <v>41837</v>
      </c>
      <c r="BU798" s="138">
        <v>41</v>
      </c>
      <c r="BV798" s="157">
        <v>41837</v>
      </c>
      <c r="BW798" s="138">
        <v>66.400000000000006</v>
      </c>
      <c r="BX798" s="157">
        <v>41837</v>
      </c>
      <c r="CC798" s="138">
        <v>10.1</v>
      </c>
      <c r="CD798" s="157">
        <v>41837</v>
      </c>
    </row>
    <row r="799" spans="1:91">
      <c r="A799" s="189" t="s">
        <v>7751</v>
      </c>
      <c r="B799" s="190" t="s">
        <v>271</v>
      </c>
      <c r="C799" s="190">
        <v>4</v>
      </c>
      <c r="D799" s="190">
        <v>52</v>
      </c>
      <c r="E799" s="191">
        <v>6</v>
      </c>
      <c r="F799" s="191">
        <v>23</v>
      </c>
      <c r="G799" s="191"/>
      <c r="H799" s="191"/>
      <c r="I799" s="190"/>
      <c r="J799" s="190"/>
      <c r="K799" s="195"/>
      <c r="L799" s="193"/>
      <c r="M799" s="194">
        <v>3.53</v>
      </c>
      <c r="N799" s="193">
        <v>41837</v>
      </c>
      <c r="P799" s="193"/>
      <c r="Q799" s="195"/>
      <c r="R799" s="194"/>
      <c r="S799" s="195">
        <v>8.93</v>
      </c>
      <c r="T799" s="193">
        <v>41837</v>
      </c>
      <c r="U799" s="192">
        <v>18</v>
      </c>
      <c r="V799" s="193"/>
      <c r="W799" s="195"/>
      <c r="X799" s="193"/>
      <c r="Y799" s="192">
        <f t="shared" si="12"/>
        <v>7.6216999999999988</v>
      </c>
      <c r="Z799" s="193">
        <v>41837</v>
      </c>
      <c r="AA799" s="195"/>
      <c r="AB799" s="193"/>
      <c r="AC799" s="195"/>
      <c r="AD799" s="193"/>
      <c r="AE799" s="195">
        <v>19.149999999999999</v>
      </c>
      <c r="AF799" s="193">
        <v>41837</v>
      </c>
      <c r="AG799" s="194">
        <v>5.48</v>
      </c>
      <c r="AH799" s="193">
        <v>41837</v>
      </c>
      <c r="AI799" s="193"/>
      <c r="AJ799" s="193"/>
      <c r="AK799" s="195"/>
      <c r="AL799" s="193"/>
      <c r="AM799" s="195">
        <v>92</v>
      </c>
      <c r="AN799" s="193"/>
      <c r="AO799" s="195"/>
      <c r="AP799" s="195"/>
      <c r="AQ799" s="195"/>
      <c r="AR799" s="195"/>
      <c r="AS799" s="195"/>
      <c r="AT799" s="195"/>
      <c r="AU799" s="195"/>
      <c r="AV799" s="195"/>
      <c r="AW799" s="195"/>
      <c r="AX799" s="195"/>
      <c r="AY799" s="195"/>
      <c r="AZ799" s="195"/>
      <c r="BA799" s="195"/>
      <c r="BB799" s="195"/>
      <c r="BC799" s="195"/>
      <c r="BD799" s="195"/>
      <c r="BE799" s="196"/>
      <c r="BF799" s="196"/>
      <c r="BG799" s="196"/>
      <c r="BH799" s="196"/>
      <c r="BI799" s="196"/>
      <c r="BJ799" s="196"/>
      <c r="BK799" s="196"/>
      <c r="BL799" s="196"/>
      <c r="BM799" s="196">
        <v>61.58</v>
      </c>
      <c r="BN799" s="193">
        <v>41837</v>
      </c>
      <c r="BO799" s="196"/>
      <c r="BP799" s="196"/>
      <c r="BQ799" s="196"/>
      <c r="BR799" s="196"/>
      <c r="BS799" s="196">
        <v>46.65</v>
      </c>
      <c r="BT799" s="193">
        <v>41837</v>
      </c>
      <c r="BU799" s="196">
        <v>39.799999999999997</v>
      </c>
      <c r="BV799" s="193">
        <v>41837</v>
      </c>
      <c r="BW799" s="196">
        <v>61.1</v>
      </c>
      <c r="BX799" s="193">
        <v>41837</v>
      </c>
      <c r="BY799" s="196"/>
      <c r="BZ799" s="196"/>
      <c r="CA799" s="196"/>
      <c r="CB799" s="196"/>
      <c r="CC799" s="196">
        <v>10.4</v>
      </c>
      <c r="CD799" s="193">
        <v>41837</v>
      </c>
      <c r="CE799" s="196"/>
      <c r="CF799" s="196"/>
      <c r="CG799" s="196"/>
      <c r="CH799" s="196"/>
      <c r="CI799" s="196"/>
      <c r="CJ799" s="196"/>
      <c r="CK799" s="196"/>
      <c r="CL799" s="196"/>
      <c r="CM799" s="196"/>
    </row>
    <row r="800" spans="1:91">
      <c r="A800" s="159" t="s">
        <v>7857</v>
      </c>
      <c r="B800" s="112" t="s">
        <v>271</v>
      </c>
      <c r="C800" s="112">
        <v>4</v>
      </c>
      <c r="D800" s="112">
        <v>19</v>
      </c>
      <c r="E800" s="113">
        <v>7</v>
      </c>
      <c r="F800" s="113">
        <v>23</v>
      </c>
      <c r="I800" s="200"/>
      <c r="K800" s="142"/>
      <c r="M800" s="185">
        <v>8.99</v>
      </c>
      <c r="N800" s="157">
        <v>41837</v>
      </c>
      <c r="Q800" s="142"/>
      <c r="R800" s="185"/>
      <c r="S800" s="142">
        <v>25.46</v>
      </c>
      <c r="T800" s="157">
        <v>41837</v>
      </c>
      <c r="U800" s="142">
        <v>18</v>
      </c>
      <c r="W800" s="142"/>
      <c r="Y800" s="142">
        <f t="shared" si="12"/>
        <v>18.276999999999997</v>
      </c>
      <c r="Z800" s="157">
        <v>41837</v>
      </c>
      <c r="AA800" s="142"/>
      <c r="AE800" s="142">
        <v>49</v>
      </c>
      <c r="AF800" s="157">
        <v>41837</v>
      </c>
      <c r="AG800" s="185">
        <v>5.77</v>
      </c>
      <c r="AH800" s="157">
        <v>41837</v>
      </c>
      <c r="AK800" s="142"/>
      <c r="AM800" s="142">
        <v>94</v>
      </c>
      <c r="BM800" s="138">
        <v>60.06</v>
      </c>
      <c r="BN800" s="157">
        <v>41837</v>
      </c>
      <c r="BS800" s="138">
        <v>51.95</v>
      </c>
      <c r="BT800" s="157">
        <v>41837</v>
      </c>
      <c r="BU800" s="138">
        <v>37.299999999999997</v>
      </c>
      <c r="BV800" s="157">
        <v>41837</v>
      </c>
      <c r="BW800" s="138">
        <v>15.8</v>
      </c>
      <c r="BX800" s="157">
        <v>41837</v>
      </c>
      <c r="CC800" s="138">
        <v>10</v>
      </c>
      <c r="CD800" s="157">
        <v>41837</v>
      </c>
    </row>
    <row r="801" spans="1:91">
      <c r="A801" s="159" t="s">
        <v>7724</v>
      </c>
      <c r="B801" s="112" t="s">
        <v>271</v>
      </c>
      <c r="C801" s="112">
        <v>4</v>
      </c>
      <c r="D801" s="112">
        <v>39</v>
      </c>
      <c r="E801" s="113">
        <v>8</v>
      </c>
      <c r="F801" s="113">
        <v>23</v>
      </c>
      <c r="M801" s="185">
        <v>6.01</v>
      </c>
      <c r="N801" s="157">
        <v>41837</v>
      </c>
      <c r="R801" s="185"/>
      <c r="S801" s="137">
        <v>15.52</v>
      </c>
      <c r="T801" s="157">
        <v>41837</v>
      </c>
      <c r="U801" s="142">
        <v>18</v>
      </c>
      <c r="Y801" s="142">
        <f t="shared" si="12"/>
        <v>12.0989</v>
      </c>
      <c r="Z801" s="157">
        <v>41837</v>
      </c>
      <c r="AE801" s="137">
        <v>32.35</v>
      </c>
      <c r="AF801" s="157">
        <v>41837</v>
      </c>
      <c r="AG801" s="185">
        <v>5.55</v>
      </c>
      <c r="AH801" s="157">
        <v>41837</v>
      </c>
      <c r="AM801" s="137">
        <v>90</v>
      </c>
      <c r="BM801" s="138">
        <v>61.56</v>
      </c>
      <c r="BN801" s="157">
        <v>41837</v>
      </c>
      <c r="BS801" s="138">
        <v>47.97</v>
      </c>
      <c r="BT801" s="157">
        <v>41837</v>
      </c>
      <c r="BU801" s="138">
        <v>37.4</v>
      </c>
      <c r="BV801" s="157">
        <v>41837</v>
      </c>
      <c r="BW801" s="138">
        <v>15.9</v>
      </c>
      <c r="BX801" s="157">
        <v>41837</v>
      </c>
      <c r="CC801" s="138">
        <v>11.1</v>
      </c>
      <c r="CD801" s="157">
        <v>41837</v>
      </c>
    </row>
    <row r="802" spans="1:91">
      <c r="A802" s="159" t="s">
        <v>7752</v>
      </c>
      <c r="B802" s="112" t="s">
        <v>271</v>
      </c>
      <c r="C802" s="112">
        <v>4</v>
      </c>
      <c r="D802" s="112">
        <v>216</v>
      </c>
      <c r="E802" s="113">
        <v>9</v>
      </c>
      <c r="F802" s="113">
        <v>23</v>
      </c>
      <c r="M802" s="185">
        <v>5.34</v>
      </c>
      <c r="N802" s="157">
        <v>41837</v>
      </c>
      <c r="R802" s="185"/>
      <c r="S802" s="137">
        <v>14.28</v>
      </c>
      <c r="T802" s="157">
        <v>41837</v>
      </c>
      <c r="U802" s="142">
        <v>18</v>
      </c>
      <c r="Y802" s="142">
        <f t="shared" si="12"/>
        <v>12.184200000000001</v>
      </c>
      <c r="Z802" s="157">
        <v>41837</v>
      </c>
      <c r="AE802" s="137">
        <v>29.01</v>
      </c>
      <c r="AF802" s="157">
        <v>41837</v>
      </c>
      <c r="AG802" s="185">
        <v>5.81</v>
      </c>
      <c r="AH802" s="157">
        <v>41837</v>
      </c>
      <c r="AM802" s="137">
        <v>87</v>
      </c>
      <c r="BM802" s="138">
        <v>62.91</v>
      </c>
      <c r="BN802" s="157">
        <v>41837</v>
      </c>
      <c r="BS802" s="138">
        <v>49.22</v>
      </c>
      <c r="BT802" s="157">
        <v>41837</v>
      </c>
      <c r="BU802" s="138">
        <v>42</v>
      </c>
      <c r="BV802" s="157">
        <v>41837</v>
      </c>
      <c r="BW802" s="138">
        <v>61.3</v>
      </c>
      <c r="BX802" s="157">
        <v>41837</v>
      </c>
      <c r="CC802" s="138">
        <v>10.3</v>
      </c>
      <c r="CD802" s="157">
        <v>41837</v>
      </c>
    </row>
    <row r="803" spans="1:91">
      <c r="A803" s="159" t="s">
        <v>7856</v>
      </c>
      <c r="B803" s="112" t="s">
        <v>271</v>
      </c>
      <c r="C803" s="112">
        <v>4</v>
      </c>
      <c r="D803" s="112">
        <v>23</v>
      </c>
      <c r="E803" s="113">
        <v>10</v>
      </c>
      <c r="F803" s="113">
        <v>23</v>
      </c>
      <c r="I803" s="200"/>
      <c r="K803" s="142"/>
      <c r="M803" s="185">
        <v>7.11</v>
      </c>
      <c r="N803" s="157">
        <v>41837</v>
      </c>
      <c r="Q803" s="142"/>
      <c r="R803" s="185"/>
      <c r="S803" s="142">
        <v>20.28</v>
      </c>
      <c r="T803" s="157">
        <v>41837</v>
      </c>
      <c r="U803" s="142">
        <v>18</v>
      </c>
      <c r="W803" s="142"/>
      <c r="Y803" s="142">
        <f t="shared" si="12"/>
        <v>14.64771</v>
      </c>
      <c r="Z803" s="157">
        <v>41837</v>
      </c>
      <c r="AA803" s="142"/>
      <c r="AE803" s="142">
        <v>39.270000000000003</v>
      </c>
      <c r="AF803" s="157">
        <v>41837</v>
      </c>
      <c r="AG803" s="185">
        <v>5.41</v>
      </c>
      <c r="AH803" s="157">
        <v>41837</v>
      </c>
      <c r="AK803" s="142"/>
      <c r="AM803" s="142">
        <v>85</v>
      </c>
      <c r="BM803" s="138">
        <v>59.9</v>
      </c>
      <c r="BN803" s="157">
        <v>41837</v>
      </c>
      <c r="BS803" s="138">
        <v>51.63</v>
      </c>
      <c r="BT803" s="157">
        <v>41837</v>
      </c>
      <c r="BU803" s="138">
        <v>37.299999999999997</v>
      </c>
      <c r="BV803" s="157">
        <v>41837</v>
      </c>
      <c r="BW803" s="138">
        <v>19.8</v>
      </c>
      <c r="BX803" s="157">
        <v>41837</v>
      </c>
      <c r="CC803" s="138">
        <v>8.8000000000000007</v>
      </c>
      <c r="CD803" s="157">
        <v>41837</v>
      </c>
    </row>
    <row r="804" spans="1:91">
      <c r="A804" s="159" t="s">
        <v>7706</v>
      </c>
      <c r="B804" s="112" t="s">
        <v>271</v>
      </c>
      <c r="C804" s="112">
        <v>4</v>
      </c>
      <c r="D804" s="112">
        <v>58</v>
      </c>
      <c r="E804" s="113">
        <v>11</v>
      </c>
      <c r="F804" s="113">
        <v>23</v>
      </c>
      <c r="M804" s="185">
        <v>5.52</v>
      </c>
      <c r="N804" s="157">
        <v>41837</v>
      </c>
      <c r="R804" s="185"/>
      <c r="S804" s="137">
        <v>15</v>
      </c>
      <c r="T804" s="157">
        <v>41837</v>
      </c>
      <c r="U804" s="142">
        <v>18</v>
      </c>
      <c r="Y804" s="142">
        <f t="shared" si="12"/>
        <v>11.6347</v>
      </c>
      <c r="Z804" s="157">
        <v>41837</v>
      </c>
      <c r="AE804" s="137">
        <v>30.22</v>
      </c>
      <c r="AF804" s="157">
        <v>41837</v>
      </c>
      <c r="AG804" s="185">
        <v>5.34</v>
      </c>
      <c r="AH804" s="157">
        <v>41837</v>
      </c>
      <c r="AM804" s="137">
        <v>92</v>
      </c>
      <c r="BM804" s="138">
        <v>61.55</v>
      </c>
      <c r="BN804" s="157">
        <v>41837</v>
      </c>
      <c r="BS804" s="138">
        <v>49.62</v>
      </c>
      <c r="BT804" s="157">
        <v>41837</v>
      </c>
      <c r="BU804" s="138">
        <v>38.5</v>
      </c>
      <c r="BV804" s="157">
        <v>41837</v>
      </c>
      <c r="BW804" s="138">
        <v>15.7</v>
      </c>
      <c r="BX804" s="157">
        <v>41837</v>
      </c>
      <c r="CC804" s="138">
        <v>9.6</v>
      </c>
      <c r="CD804" s="157">
        <v>41837</v>
      </c>
    </row>
    <row r="805" spans="1:91">
      <c r="A805" s="159" t="s">
        <v>7773</v>
      </c>
      <c r="B805" s="112" t="s">
        <v>271</v>
      </c>
      <c r="C805" s="112">
        <v>4</v>
      </c>
      <c r="D805" s="112">
        <v>186</v>
      </c>
      <c r="E805" s="113">
        <v>12</v>
      </c>
      <c r="F805" s="113">
        <v>23</v>
      </c>
      <c r="M805" s="185">
        <v>6.46</v>
      </c>
      <c r="N805" s="157">
        <v>41837</v>
      </c>
      <c r="R805" s="185"/>
      <c r="S805" s="137">
        <v>16.899999999999999</v>
      </c>
      <c r="T805" s="157">
        <v>41837</v>
      </c>
      <c r="U805" s="142">
        <v>18</v>
      </c>
      <c r="Y805" s="142">
        <f t="shared" si="12"/>
        <v>13.48992</v>
      </c>
      <c r="Z805" s="157">
        <v>41837</v>
      </c>
      <c r="AE805" s="137">
        <v>35.130000000000003</v>
      </c>
      <c r="AF805" s="157">
        <v>41837</v>
      </c>
      <c r="AG805" s="185">
        <v>4.83</v>
      </c>
      <c r="AH805" s="157">
        <v>41837</v>
      </c>
      <c r="AM805" s="137">
        <v>92</v>
      </c>
      <c r="BM805" s="138">
        <v>62.6</v>
      </c>
      <c r="BN805" s="157">
        <v>41837</v>
      </c>
      <c r="BS805" s="138">
        <v>48.12</v>
      </c>
      <c r="BT805" s="157">
        <v>41837</v>
      </c>
      <c r="BU805" s="138">
        <v>38.4</v>
      </c>
      <c r="BV805" s="157">
        <v>41837</v>
      </c>
      <c r="BW805" s="138">
        <v>13.4</v>
      </c>
      <c r="BX805" s="157">
        <v>41837</v>
      </c>
      <c r="CC805" s="138">
        <v>10.199999999999999</v>
      </c>
      <c r="CD805" s="157">
        <v>41837</v>
      </c>
    </row>
    <row r="806" spans="1:91">
      <c r="A806" s="189" t="s">
        <v>7648</v>
      </c>
      <c r="B806" s="190" t="s">
        <v>271</v>
      </c>
      <c r="C806" s="190">
        <v>4</v>
      </c>
      <c r="D806" s="190">
        <v>141</v>
      </c>
      <c r="E806" s="191">
        <v>13</v>
      </c>
      <c r="F806" s="191">
        <v>23</v>
      </c>
      <c r="G806" s="191"/>
      <c r="H806" s="191"/>
      <c r="I806" s="190"/>
      <c r="J806" s="190"/>
      <c r="K806" s="195"/>
      <c r="L806" s="193"/>
      <c r="M806" s="194">
        <v>7.1</v>
      </c>
      <c r="N806" s="193">
        <v>41837</v>
      </c>
      <c r="P806" s="193"/>
      <c r="Q806" s="195"/>
      <c r="R806" s="194"/>
      <c r="S806" s="195">
        <v>18.27</v>
      </c>
      <c r="T806" s="193">
        <v>41837</v>
      </c>
      <c r="U806" s="192">
        <v>18</v>
      </c>
      <c r="V806" s="193"/>
      <c r="W806" s="195"/>
      <c r="X806" s="193"/>
      <c r="Y806" s="192">
        <f t="shared" si="12"/>
        <v>16.0228</v>
      </c>
      <c r="Z806" s="193">
        <v>41837</v>
      </c>
      <c r="AA806" s="195"/>
      <c r="AB806" s="193"/>
      <c r="AC806" s="195"/>
      <c r="AD806" s="193"/>
      <c r="AE806" s="195">
        <v>39.08</v>
      </c>
      <c r="AF806" s="193">
        <v>41837</v>
      </c>
      <c r="AG806" s="194">
        <v>6.15</v>
      </c>
      <c r="AH806" s="193">
        <v>41837</v>
      </c>
      <c r="AI806" s="193"/>
      <c r="AJ806" s="193"/>
      <c r="AK806" s="195"/>
      <c r="AL806" s="193"/>
      <c r="AM806" s="195">
        <v>90</v>
      </c>
      <c r="AN806" s="193"/>
      <c r="AO806" s="195"/>
      <c r="AP806" s="195"/>
      <c r="AQ806" s="195"/>
      <c r="AR806" s="195"/>
      <c r="AS806" s="195"/>
      <c r="AT806" s="195"/>
      <c r="AU806" s="195"/>
      <c r="AV806" s="195"/>
      <c r="AW806" s="195"/>
      <c r="AX806" s="195"/>
      <c r="AY806" s="195"/>
      <c r="AZ806" s="195"/>
      <c r="BA806" s="195"/>
      <c r="BB806" s="195"/>
      <c r="BC806" s="195"/>
      <c r="BD806" s="195"/>
      <c r="BE806" s="196"/>
      <c r="BF806" s="196"/>
      <c r="BG806" s="196"/>
      <c r="BH806" s="196"/>
      <c r="BI806" s="196"/>
      <c r="BJ806" s="196"/>
      <c r="BK806" s="196"/>
      <c r="BL806" s="196"/>
      <c r="BM806" s="196">
        <v>61.06</v>
      </c>
      <c r="BN806" s="193">
        <v>41837</v>
      </c>
      <c r="BO806" s="196"/>
      <c r="BP806" s="196"/>
      <c r="BQ806" s="196"/>
      <c r="BR806" s="196"/>
      <c r="BS806" s="196">
        <v>46.75</v>
      </c>
      <c r="BT806" s="193">
        <v>41837</v>
      </c>
      <c r="BU806" s="196">
        <v>41</v>
      </c>
      <c r="BV806" s="193">
        <v>41837</v>
      </c>
      <c r="BW806" s="196">
        <v>58.7</v>
      </c>
      <c r="BX806" s="193">
        <v>41837</v>
      </c>
      <c r="BY806" s="196"/>
      <c r="BZ806" s="196"/>
      <c r="CA806" s="196"/>
      <c r="CB806" s="196"/>
      <c r="CC806" s="196">
        <v>9.1</v>
      </c>
      <c r="CD806" s="193">
        <v>41837</v>
      </c>
      <c r="CE806" s="196"/>
      <c r="CF806" s="196"/>
      <c r="CG806" s="196"/>
      <c r="CH806" s="196"/>
      <c r="CI806" s="196"/>
      <c r="CJ806" s="196"/>
      <c r="CK806" s="196"/>
      <c r="CL806" s="196"/>
      <c r="CM806" s="196"/>
    </row>
    <row r="807" spans="1:91">
      <c r="A807" s="159" t="s">
        <v>7662</v>
      </c>
      <c r="B807" s="112" t="s">
        <v>271</v>
      </c>
      <c r="C807" s="112">
        <v>4</v>
      </c>
      <c r="D807" s="112">
        <v>138</v>
      </c>
      <c r="E807" s="113">
        <v>14</v>
      </c>
      <c r="F807" s="113">
        <v>23</v>
      </c>
      <c r="M807" s="185">
        <v>7.3</v>
      </c>
      <c r="N807" s="157">
        <v>41837</v>
      </c>
      <c r="R807" s="185"/>
      <c r="S807" s="137">
        <v>21.22</v>
      </c>
      <c r="T807" s="157">
        <v>41837</v>
      </c>
      <c r="U807" s="142">
        <v>18</v>
      </c>
      <c r="Y807" s="142">
        <f t="shared" si="12"/>
        <v>15.88608</v>
      </c>
      <c r="Z807" s="157">
        <v>41837</v>
      </c>
      <c r="AE807" s="137">
        <v>40.32</v>
      </c>
      <c r="AF807" s="157">
        <v>41837</v>
      </c>
      <c r="AG807" s="185">
        <v>6.1</v>
      </c>
      <c r="AH807" s="157">
        <v>41837</v>
      </c>
      <c r="AM807" s="137">
        <v>90</v>
      </c>
      <c r="BM807" s="138">
        <v>63.7</v>
      </c>
      <c r="BN807" s="157">
        <v>41837</v>
      </c>
      <c r="BS807" s="138">
        <v>52.64</v>
      </c>
      <c r="BT807" s="157">
        <v>41837</v>
      </c>
      <c r="BU807" s="138">
        <v>39.4</v>
      </c>
      <c r="BV807" s="157">
        <v>41837</v>
      </c>
      <c r="BW807" s="138">
        <v>17.8</v>
      </c>
      <c r="BX807" s="157">
        <v>41837</v>
      </c>
      <c r="CC807" s="138">
        <v>8.8000000000000007</v>
      </c>
      <c r="CD807" s="157">
        <v>41837</v>
      </c>
    </row>
    <row r="808" spans="1:91">
      <c r="A808" s="159" t="s">
        <v>7856</v>
      </c>
      <c r="B808" s="112" t="s">
        <v>271</v>
      </c>
      <c r="C808" s="112">
        <v>4</v>
      </c>
      <c r="D808" s="112">
        <v>99</v>
      </c>
      <c r="E808" s="113">
        <v>15</v>
      </c>
      <c r="F808" s="113">
        <v>23</v>
      </c>
      <c r="M808" s="185">
        <v>7.02</v>
      </c>
      <c r="N808" s="157">
        <v>41837</v>
      </c>
      <c r="R808" s="185"/>
      <c r="S808" s="137">
        <v>20.37</v>
      </c>
      <c r="T808" s="157">
        <v>41837</v>
      </c>
      <c r="U808" s="142">
        <v>18</v>
      </c>
      <c r="Y808" s="142">
        <f t="shared" si="12"/>
        <v>14.827600000000002</v>
      </c>
      <c r="Z808" s="157">
        <v>41837</v>
      </c>
      <c r="AE808" s="137">
        <v>39.020000000000003</v>
      </c>
      <c r="AF808" s="157">
        <v>41837</v>
      </c>
      <c r="AG808" s="185">
        <v>4.5599999999999996</v>
      </c>
      <c r="AH808" s="157">
        <v>41837</v>
      </c>
      <c r="AM808" s="137">
        <v>85</v>
      </c>
      <c r="BM808" s="138">
        <v>60.56</v>
      </c>
      <c r="BN808" s="157">
        <v>41837</v>
      </c>
      <c r="BS808" s="138">
        <v>52.21</v>
      </c>
      <c r="BT808" s="157">
        <v>41837</v>
      </c>
      <c r="BU808" s="138">
        <v>38</v>
      </c>
      <c r="BV808" s="157">
        <v>41837</v>
      </c>
      <c r="BW808" s="138">
        <v>18.7</v>
      </c>
      <c r="BX808" s="157">
        <v>41837</v>
      </c>
      <c r="CC808" s="138">
        <v>8.1999999999999993</v>
      </c>
      <c r="CD808" s="157">
        <v>41837</v>
      </c>
    </row>
    <row r="809" spans="1:91">
      <c r="A809" s="159" t="s">
        <v>7781</v>
      </c>
      <c r="B809" s="112" t="s">
        <v>271</v>
      </c>
      <c r="C809" s="112">
        <v>4</v>
      </c>
      <c r="D809" s="112">
        <v>67</v>
      </c>
      <c r="E809" s="113">
        <v>16</v>
      </c>
      <c r="F809" s="113">
        <v>23</v>
      </c>
      <c r="M809" s="185">
        <v>6.28</v>
      </c>
      <c r="N809" s="157">
        <v>41837</v>
      </c>
      <c r="R809" s="185"/>
      <c r="S809" s="137">
        <v>16.559999999999999</v>
      </c>
      <c r="T809" s="157">
        <v>41837</v>
      </c>
      <c r="U809" s="142">
        <v>18</v>
      </c>
      <c r="Y809" s="142">
        <f t="shared" si="12"/>
        <v>12.804240000000002</v>
      </c>
      <c r="Z809" s="157">
        <v>41837</v>
      </c>
      <c r="AE809" s="137">
        <v>34.42</v>
      </c>
      <c r="AF809" s="157">
        <v>41837</v>
      </c>
      <c r="AG809" s="185">
        <v>5.55</v>
      </c>
      <c r="AH809" s="157">
        <v>41837</v>
      </c>
      <c r="AM809" s="137">
        <v>92</v>
      </c>
      <c r="BM809" s="138">
        <v>60.56</v>
      </c>
      <c r="BN809" s="157">
        <v>41837</v>
      </c>
      <c r="BS809" s="138">
        <v>48.12</v>
      </c>
      <c r="BT809" s="157">
        <v>41837</v>
      </c>
      <c r="BU809" s="138">
        <v>37.200000000000003</v>
      </c>
      <c r="BV809" s="157">
        <v>41837</v>
      </c>
      <c r="BW809" s="138">
        <v>16</v>
      </c>
      <c r="BX809" s="157">
        <v>41837</v>
      </c>
      <c r="CC809" s="138">
        <v>9.5</v>
      </c>
      <c r="CD809" s="157">
        <v>41837</v>
      </c>
    </row>
    <row r="810" spans="1:91">
      <c r="A810" s="159" t="s">
        <v>7674</v>
      </c>
      <c r="B810" s="112" t="s">
        <v>271</v>
      </c>
      <c r="C810" s="112">
        <v>4</v>
      </c>
      <c r="D810" s="112">
        <v>39</v>
      </c>
      <c r="E810" s="113">
        <v>17</v>
      </c>
      <c r="F810" s="113">
        <v>23</v>
      </c>
      <c r="M810" s="185">
        <v>7.22</v>
      </c>
      <c r="N810" s="157">
        <v>41837</v>
      </c>
      <c r="R810" s="185"/>
      <c r="S810" s="137">
        <v>20.329999999999998</v>
      </c>
      <c r="T810" s="157">
        <v>41837</v>
      </c>
      <c r="U810" s="142">
        <v>18</v>
      </c>
      <c r="Y810" s="142">
        <f t="shared" si="12"/>
        <v>16.06392</v>
      </c>
      <c r="Z810" s="157">
        <v>41837</v>
      </c>
      <c r="AE810" s="137">
        <v>39.96</v>
      </c>
      <c r="AF810" s="157">
        <v>41837</v>
      </c>
      <c r="AG810" s="185">
        <v>5.69</v>
      </c>
      <c r="AH810" s="157">
        <v>41837</v>
      </c>
      <c r="AM810" s="137">
        <v>94</v>
      </c>
      <c r="BM810" s="138">
        <v>60.34</v>
      </c>
      <c r="BN810" s="157">
        <v>41837</v>
      </c>
      <c r="BS810" s="138">
        <v>50.88</v>
      </c>
      <c r="BT810" s="157">
        <v>41837</v>
      </c>
      <c r="BU810" s="138">
        <v>40.200000000000003</v>
      </c>
      <c r="BV810" s="157">
        <v>41837</v>
      </c>
      <c r="BW810" s="138">
        <v>14.5</v>
      </c>
      <c r="BX810" s="157">
        <v>41837</v>
      </c>
      <c r="CC810" s="138">
        <v>8.6</v>
      </c>
      <c r="CD810" s="157">
        <v>41837</v>
      </c>
    </row>
    <row r="811" spans="1:91">
      <c r="A811" s="159" t="s">
        <v>7753</v>
      </c>
      <c r="B811" s="112" t="s">
        <v>271</v>
      </c>
      <c r="C811" s="112">
        <v>4</v>
      </c>
      <c r="D811" s="112">
        <v>81</v>
      </c>
      <c r="E811" s="113">
        <v>18</v>
      </c>
      <c r="F811" s="113">
        <v>23</v>
      </c>
      <c r="M811" s="185">
        <v>4.3099999999999996</v>
      </c>
      <c r="N811" s="157">
        <v>41837</v>
      </c>
      <c r="R811" s="185"/>
      <c r="S811" s="137">
        <v>11.84</v>
      </c>
      <c r="T811" s="157">
        <v>41837</v>
      </c>
      <c r="U811" s="142">
        <v>18</v>
      </c>
      <c r="Y811" s="142">
        <f t="shared" si="12"/>
        <v>10.272250000000001</v>
      </c>
      <c r="Z811" s="157">
        <v>41837</v>
      </c>
      <c r="AE811" s="137">
        <v>24.17</v>
      </c>
      <c r="AF811" s="157">
        <v>41837</v>
      </c>
      <c r="AG811" s="185">
        <v>5.69</v>
      </c>
      <c r="AH811" s="157">
        <v>41837</v>
      </c>
      <c r="AM811" s="137">
        <v>94</v>
      </c>
      <c r="BM811" s="138">
        <v>63.96</v>
      </c>
      <c r="BN811" s="157">
        <v>41837</v>
      </c>
      <c r="BS811" s="138">
        <v>48.99</v>
      </c>
      <c r="BT811" s="157">
        <v>41837</v>
      </c>
      <c r="BU811" s="138">
        <v>42.5</v>
      </c>
      <c r="BV811" s="157">
        <v>41837</v>
      </c>
      <c r="BW811" s="138">
        <v>47.6</v>
      </c>
      <c r="BX811" s="157">
        <v>41837</v>
      </c>
      <c r="CC811" s="138">
        <v>7.4</v>
      </c>
      <c r="CD811" s="157">
        <v>41837</v>
      </c>
    </row>
    <row r="812" spans="1:91">
      <c r="A812" s="159" t="s">
        <v>7666</v>
      </c>
      <c r="B812" s="112" t="s">
        <v>271</v>
      </c>
      <c r="C812" s="112">
        <v>4</v>
      </c>
      <c r="D812" s="112">
        <v>70</v>
      </c>
      <c r="E812" s="113">
        <v>19</v>
      </c>
      <c r="F812" s="113">
        <v>23</v>
      </c>
      <c r="M812" s="185">
        <v>5.67</v>
      </c>
      <c r="N812" s="157">
        <v>41837</v>
      </c>
      <c r="R812" s="185"/>
      <c r="S812" s="137">
        <v>15.95</v>
      </c>
      <c r="T812" s="157">
        <v>41837</v>
      </c>
      <c r="U812" s="142">
        <v>18</v>
      </c>
      <c r="Y812" s="142">
        <f t="shared" si="12"/>
        <v>12.11046</v>
      </c>
      <c r="Z812" s="157">
        <v>41837</v>
      </c>
      <c r="AE812" s="137">
        <v>31.62</v>
      </c>
      <c r="AF812" s="157">
        <v>41837</v>
      </c>
      <c r="AG812" s="185">
        <v>5.24</v>
      </c>
      <c r="AH812" s="157">
        <v>41837</v>
      </c>
      <c r="AM812" s="137">
        <v>92</v>
      </c>
      <c r="BM812" s="138">
        <v>60.97</v>
      </c>
      <c r="BN812" s="157">
        <v>41837</v>
      </c>
      <c r="BS812" s="138">
        <v>50.44</v>
      </c>
      <c r="BT812" s="157">
        <v>41837</v>
      </c>
      <c r="BU812" s="138">
        <v>38.299999999999997</v>
      </c>
      <c r="BV812" s="157">
        <v>41837</v>
      </c>
      <c r="BW812" s="138">
        <v>17.7</v>
      </c>
      <c r="BX812" s="157">
        <v>41837</v>
      </c>
      <c r="CC812" s="138">
        <v>7.9</v>
      </c>
      <c r="CD812" s="157">
        <v>41837</v>
      </c>
    </row>
    <row r="813" spans="1:91">
      <c r="A813" s="159" t="s">
        <v>7657</v>
      </c>
      <c r="B813" s="112" t="s">
        <v>271</v>
      </c>
      <c r="C813" s="112">
        <v>4</v>
      </c>
      <c r="D813" s="112">
        <v>161</v>
      </c>
      <c r="E813" s="113">
        <v>20</v>
      </c>
      <c r="F813" s="113">
        <v>23</v>
      </c>
      <c r="M813" s="185">
        <v>2.92</v>
      </c>
      <c r="N813" s="157">
        <v>41837</v>
      </c>
      <c r="R813" s="185"/>
      <c r="S813" s="137">
        <v>7.96</v>
      </c>
      <c r="T813" s="157">
        <v>41837</v>
      </c>
      <c r="U813" s="142">
        <v>18</v>
      </c>
      <c r="Y813" s="142">
        <f t="shared" si="12"/>
        <v>6.4412699999999994</v>
      </c>
      <c r="Z813" s="157">
        <v>41837</v>
      </c>
      <c r="AE813" s="137">
        <v>16.39</v>
      </c>
      <c r="AF813" s="157">
        <v>41837</v>
      </c>
      <c r="AG813" s="185">
        <v>4.6900000000000004</v>
      </c>
      <c r="AH813" s="157">
        <v>41837</v>
      </c>
      <c r="AM813" s="137">
        <v>87</v>
      </c>
      <c r="BM813" s="138">
        <v>57.24</v>
      </c>
      <c r="BN813" s="157">
        <v>41837</v>
      </c>
      <c r="BS813" s="138">
        <v>48.54</v>
      </c>
      <c r="BT813" s="157">
        <v>41837</v>
      </c>
      <c r="BU813" s="138">
        <v>39.299999999999997</v>
      </c>
      <c r="BV813" s="157">
        <v>41837</v>
      </c>
      <c r="BW813" s="138">
        <v>45.2</v>
      </c>
      <c r="BX813" s="157">
        <v>41837</v>
      </c>
      <c r="CC813" s="138">
        <v>7.3</v>
      </c>
      <c r="CD813" s="157">
        <v>41837</v>
      </c>
    </row>
    <row r="814" spans="1:91">
      <c r="A814" s="159" t="s">
        <v>7775</v>
      </c>
      <c r="B814" s="112" t="s">
        <v>271</v>
      </c>
      <c r="C814" s="112">
        <v>4</v>
      </c>
      <c r="D814" s="112">
        <v>211</v>
      </c>
      <c r="E814" s="113">
        <v>21</v>
      </c>
      <c r="F814" s="113">
        <v>23</v>
      </c>
      <c r="M814" s="185">
        <v>7.26</v>
      </c>
      <c r="N814" s="157">
        <v>41837</v>
      </c>
      <c r="R814" s="185"/>
      <c r="S814" s="137">
        <v>19.940000000000001</v>
      </c>
      <c r="T814" s="157">
        <v>41837</v>
      </c>
      <c r="U814" s="142">
        <v>18</v>
      </c>
      <c r="Y814" s="142">
        <f t="shared" si="12"/>
        <v>15.457879999999998</v>
      </c>
      <c r="Z814" s="157">
        <v>41837</v>
      </c>
      <c r="AE814" s="137">
        <v>40.36</v>
      </c>
      <c r="AF814" s="157">
        <v>41837</v>
      </c>
      <c r="AG814" s="185">
        <v>5.57</v>
      </c>
      <c r="AH814" s="157">
        <v>41837</v>
      </c>
      <c r="AM814" s="137">
        <v>90</v>
      </c>
      <c r="BM814" s="138">
        <v>58.1</v>
      </c>
      <c r="BN814" s="157">
        <v>41837</v>
      </c>
      <c r="BS814" s="138">
        <v>49.41</v>
      </c>
      <c r="BT814" s="157">
        <v>41837</v>
      </c>
      <c r="BU814" s="138">
        <v>38.299999999999997</v>
      </c>
      <c r="BV814" s="157">
        <v>41837</v>
      </c>
      <c r="BW814" s="138">
        <v>16.3</v>
      </c>
      <c r="BX814" s="157">
        <v>41837</v>
      </c>
      <c r="CC814" s="138">
        <v>8.1999999999999993</v>
      </c>
      <c r="CD814" s="157">
        <v>41837</v>
      </c>
    </row>
    <row r="815" spans="1:91">
      <c r="A815" s="159" t="s">
        <v>7747</v>
      </c>
      <c r="B815" s="112" t="s">
        <v>271</v>
      </c>
      <c r="C815" s="112">
        <v>4</v>
      </c>
      <c r="D815" s="112">
        <v>69</v>
      </c>
      <c r="E815" s="113">
        <v>22</v>
      </c>
      <c r="F815" s="113">
        <v>23</v>
      </c>
      <c r="M815" s="185">
        <v>4.97</v>
      </c>
      <c r="N815" s="157">
        <v>41837</v>
      </c>
      <c r="R815" s="185"/>
      <c r="S815" s="137">
        <v>13.59</v>
      </c>
      <c r="T815" s="157">
        <v>41837</v>
      </c>
      <c r="U815" s="142">
        <v>18</v>
      </c>
      <c r="Y815" s="142">
        <f t="shared" si="12"/>
        <v>11.31165</v>
      </c>
      <c r="Z815" s="157">
        <v>41837</v>
      </c>
      <c r="AE815" s="137">
        <v>27.93</v>
      </c>
      <c r="AF815" s="157">
        <v>41837</v>
      </c>
      <c r="AG815" s="185">
        <v>5.14</v>
      </c>
      <c r="AH815" s="157">
        <v>41837</v>
      </c>
      <c r="AM815" s="137">
        <v>87</v>
      </c>
      <c r="BM815" s="138">
        <v>63.28</v>
      </c>
      <c r="BN815" s="157">
        <v>41837</v>
      </c>
      <c r="BS815" s="138">
        <v>48.64</v>
      </c>
      <c r="BT815" s="157">
        <v>41837</v>
      </c>
      <c r="BU815" s="138">
        <v>40.5</v>
      </c>
      <c r="BV815" s="157">
        <v>41837</v>
      </c>
      <c r="BW815" s="138">
        <v>78.5</v>
      </c>
      <c r="BX815" s="157">
        <v>41837</v>
      </c>
      <c r="CC815" s="138">
        <v>7.2</v>
      </c>
      <c r="CD815" s="157">
        <v>41837</v>
      </c>
    </row>
    <row r="816" spans="1:91">
      <c r="A816" s="159" t="s">
        <v>7637</v>
      </c>
      <c r="B816" s="112" t="s">
        <v>271</v>
      </c>
      <c r="C816" s="112">
        <v>4</v>
      </c>
      <c r="D816" s="112">
        <v>112</v>
      </c>
      <c r="E816" s="113">
        <v>23</v>
      </c>
      <c r="F816" s="113">
        <v>23</v>
      </c>
      <c r="M816" s="185">
        <v>4.41</v>
      </c>
      <c r="N816" s="157">
        <v>41837</v>
      </c>
      <c r="R816" s="185"/>
      <c r="S816" s="137">
        <v>11.62</v>
      </c>
      <c r="T816" s="157">
        <v>41837</v>
      </c>
      <c r="U816" s="142">
        <v>18</v>
      </c>
      <c r="Y816" s="142">
        <f t="shared" si="12"/>
        <v>10.03251</v>
      </c>
      <c r="Z816" s="157">
        <v>41837</v>
      </c>
      <c r="AE816" s="137">
        <v>24.41</v>
      </c>
      <c r="AF816" s="157">
        <v>41837</v>
      </c>
      <c r="AG816" s="185">
        <v>5.56</v>
      </c>
      <c r="AH816" s="157">
        <v>41837</v>
      </c>
      <c r="AM816" s="137">
        <v>96</v>
      </c>
      <c r="BM816" s="138">
        <v>63.45</v>
      </c>
      <c r="BN816" s="157">
        <v>41837</v>
      </c>
      <c r="BS816" s="138">
        <v>47.59</v>
      </c>
      <c r="BT816" s="157">
        <v>41837</v>
      </c>
      <c r="BU816" s="138">
        <v>41.1</v>
      </c>
      <c r="BV816" s="157">
        <v>41837</v>
      </c>
      <c r="BW816" s="138">
        <v>57.6</v>
      </c>
      <c r="BX816" s="157">
        <v>41837</v>
      </c>
      <c r="CC816" s="138">
        <v>8.6</v>
      </c>
      <c r="CD816" s="157">
        <v>41837</v>
      </c>
    </row>
    <row r="817" spans="1:91">
      <c r="A817" s="159" t="s">
        <v>7683</v>
      </c>
      <c r="B817" s="112" t="s">
        <v>271</v>
      </c>
      <c r="C817" s="112">
        <v>4</v>
      </c>
      <c r="D817" s="112">
        <v>204</v>
      </c>
      <c r="E817" s="113">
        <v>24</v>
      </c>
      <c r="F817" s="113">
        <v>23</v>
      </c>
      <c r="M817" s="185">
        <v>5.59</v>
      </c>
      <c r="N817" s="157">
        <v>41837</v>
      </c>
      <c r="R817" s="185"/>
      <c r="S817" s="137">
        <v>14.84</v>
      </c>
      <c r="T817" s="157">
        <v>41837</v>
      </c>
      <c r="U817" s="142">
        <v>18</v>
      </c>
      <c r="Y817" s="142">
        <f t="shared" si="12"/>
        <v>12.56409</v>
      </c>
      <c r="Z817" s="157">
        <v>41837</v>
      </c>
      <c r="AE817" s="137">
        <v>30.87</v>
      </c>
      <c r="AF817" s="157">
        <v>41837</v>
      </c>
      <c r="AG817" s="185">
        <v>5.8</v>
      </c>
      <c r="AH817" s="157">
        <v>41837</v>
      </c>
      <c r="AM817" s="137">
        <v>92</v>
      </c>
      <c r="BM817" s="138">
        <v>60.74</v>
      </c>
      <c r="BN817" s="157">
        <v>41837</v>
      </c>
      <c r="BS817" s="138">
        <v>48.07</v>
      </c>
      <c r="BT817" s="157">
        <v>41837</v>
      </c>
      <c r="BU817" s="138">
        <v>40.700000000000003</v>
      </c>
      <c r="BV817" s="157">
        <v>41837</v>
      </c>
      <c r="BW817" s="138">
        <v>22.6</v>
      </c>
      <c r="BX817" s="157">
        <v>41837</v>
      </c>
      <c r="CC817" s="138">
        <v>8.8000000000000007</v>
      </c>
      <c r="CD817" s="157">
        <v>41837</v>
      </c>
    </row>
    <row r="818" spans="1:91">
      <c r="A818" s="159" t="s">
        <v>7630</v>
      </c>
      <c r="B818" s="112" t="s">
        <v>271</v>
      </c>
      <c r="C818" s="112">
        <v>4</v>
      </c>
      <c r="D818" s="112">
        <v>196</v>
      </c>
      <c r="E818" s="113">
        <v>25</v>
      </c>
      <c r="F818" s="113">
        <v>23</v>
      </c>
      <c r="M818" s="185">
        <v>5.92</v>
      </c>
      <c r="N818" s="157">
        <v>41837</v>
      </c>
      <c r="R818" s="185"/>
      <c r="S818" s="137">
        <v>15.87</v>
      </c>
      <c r="T818" s="157">
        <v>41837</v>
      </c>
      <c r="U818" s="142">
        <v>18</v>
      </c>
      <c r="Y818" s="142">
        <f t="shared" si="12"/>
        <v>12.8849</v>
      </c>
      <c r="Z818" s="157">
        <v>41837</v>
      </c>
      <c r="AE818" s="137">
        <v>32.619999999999997</v>
      </c>
      <c r="AF818" s="157">
        <v>41837</v>
      </c>
      <c r="AG818" s="185">
        <v>6.09</v>
      </c>
      <c r="AH818" s="157">
        <v>41837</v>
      </c>
      <c r="AM818" s="137">
        <v>87</v>
      </c>
      <c r="BM818" s="138">
        <v>63.06</v>
      </c>
      <c r="BN818" s="157">
        <v>41837</v>
      </c>
      <c r="BS818" s="138">
        <v>48.66</v>
      </c>
      <c r="BT818" s="157">
        <v>41837</v>
      </c>
      <c r="BU818" s="138">
        <v>39.5</v>
      </c>
      <c r="BV818" s="157">
        <v>41837</v>
      </c>
      <c r="BW818" s="138">
        <v>56.9</v>
      </c>
      <c r="BX818" s="157">
        <v>41837</v>
      </c>
      <c r="CC818" s="138">
        <v>9</v>
      </c>
      <c r="CD818" s="157">
        <v>41837</v>
      </c>
    </row>
    <row r="819" spans="1:91">
      <c r="A819" s="159" t="s">
        <v>7664</v>
      </c>
      <c r="B819" s="112" t="s">
        <v>271</v>
      </c>
      <c r="C819" s="112">
        <v>4</v>
      </c>
      <c r="D819" s="112">
        <v>29</v>
      </c>
      <c r="E819" s="113">
        <v>26</v>
      </c>
      <c r="F819" s="113">
        <v>23</v>
      </c>
      <c r="M819" s="185">
        <v>6.93</v>
      </c>
      <c r="N819" s="157">
        <v>41837</v>
      </c>
      <c r="R819" s="185"/>
      <c r="S819" s="137">
        <v>18.510000000000002</v>
      </c>
      <c r="T819" s="157">
        <v>41837</v>
      </c>
      <c r="U819" s="142">
        <v>18</v>
      </c>
      <c r="Y819" s="142">
        <f t="shared" si="12"/>
        <v>14.751600000000002</v>
      </c>
      <c r="Z819" s="157">
        <v>41837</v>
      </c>
      <c r="AE819" s="137">
        <v>38.82</v>
      </c>
      <c r="AF819" s="157">
        <v>41837</v>
      </c>
      <c r="AG819" s="185">
        <v>4.88</v>
      </c>
      <c r="AH819" s="157">
        <v>41837</v>
      </c>
      <c r="AM819" s="137">
        <v>96</v>
      </c>
      <c r="BM819" s="138">
        <v>64.489999999999995</v>
      </c>
      <c r="BN819" s="157">
        <v>41837</v>
      </c>
      <c r="BS819" s="138">
        <v>47.67</v>
      </c>
      <c r="BT819" s="157">
        <v>41837</v>
      </c>
      <c r="BU819" s="138">
        <v>38</v>
      </c>
      <c r="BV819" s="157">
        <v>41837</v>
      </c>
      <c r="BW819" s="138">
        <v>13.5</v>
      </c>
      <c r="BX819" s="157">
        <v>41837</v>
      </c>
      <c r="CC819" s="138">
        <v>7.5</v>
      </c>
      <c r="CD819" s="157">
        <v>41837</v>
      </c>
    </row>
    <row r="820" spans="1:91">
      <c r="A820" s="159" t="s">
        <v>7716</v>
      </c>
      <c r="B820" s="112" t="s">
        <v>271</v>
      </c>
      <c r="C820" s="112">
        <v>4</v>
      </c>
      <c r="D820" s="112">
        <v>13</v>
      </c>
      <c r="E820" s="113">
        <v>27</v>
      </c>
      <c r="F820" s="113">
        <v>23</v>
      </c>
      <c r="I820" s="200"/>
      <c r="K820" s="142"/>
      <c r="M820" s="185">
        <v>6.21</v>
      </c>
      <c r="N820" s="157">
        <v>41837</v>
      </c>
      <c r="Q820" s="142"/>
      <c r="R820" s="185"/>
      <c r="S820" s="142">
        <v>18</v>
      </c>
      <c r="T820" s="157">
        <v>41837</v>
      </c>
      <c r="U820" s="142">
        <v>18</v>
      </c>
      <c r="W820" s="142"/>
      <c r="Y820" s="142">
        <f t="shared" si="12"/>
        <v>14.05794</v>
      </c>
      <c r="Z820" s="157">
        <v>41837</v>
      </c>
      <c r="AA820" s="142"/>
      <c r="AE820" s="142">
        <v>34.97</v>
      </c>
      <c r="AF820" s="157">
        <v>41837</v>
      </c>
      <c r="AG820" s="185">
        <v>5.03</v>
      </c>
      <c r="AH820" s="157">
        <v>41837</v>
      </c>
      <c r="AK820" s="142"/>
      <c r="AM820" s="142">
        <v>87</v>
      </c>
      <c r="BM820" s="138">
        <v>63.02</v>
      </c>
      <c r="BN820" s="157">
        <v>41837</v>
      </c>
      <c r="BS820" s="138">
        <v>51.47</v>
      </c>
      <c r="BT820" s="157">
        <v>41837</v>
      </c>
      <c r="BU820" s="138">
        <v>40.200000000000003</v>
      </c>
      <c r="BV820" s="157">
        <v>41837</v>
      </c>
      <c r="BW820" s="138">
        <v>15.7</v>
      </c>
      <c r="BX820" s="157">
        <v>41837</v>
      </c>
      <c r="CC820" s="138">
        <v>7</v>
      </c>
      <c r="CD820" s="157">
        <v>41837</v>
      </c>
    </row>
    <row r="821" spans="1:91">
      <c r="A821" s="159" t="s">
        <v>7727</v>
      </c>
      <c r="B821" s="112" t="s">
        <v>271</v>
      </c>
      <c r="C821" s="112">
        <v>4</v>
      </c>
      <c r="D821" s="112">
        <v>116</v>
      </c>
      <c r="E821" s="113">
        <v>28</v>
      </c>
      <c r="F821" s="113">
        <v>23</v>
      </c>
      <c r="M821" s="185">
        <v>7.53</v>
      </c>
      <c r="N821" s="157">
        <v>41837</v>
      </c>
      <c r="R821" s="185"/>
      <c r="S821" s="137">
        <v>20.92</v>
      </c>
      <c r="T821" s="157">
        <v>41837</v>
      </c>
      <c r="U821" s="142">
        <v>18</v>
      </c>
      <c r="Y821" s="142">
        <f t="shared" si="12"/>
        <v>16.911439999999999</v>
      </c>
      <c r="Z821" s="157">
        <v>41837</v>
      </c>
      <c r="AE821" s="137">
        <v>41.86</v>
      </c>
      <c r="AF821" s="157">
        <v>41837</v>
      </c>
      <c r="AG821" s="185">
        <v>6.05</v>
      </c>
      <c r="AH821" s="157">
        <v>41837</v>
      </c>
      <c r="AM821" s="137">
        <v>90</v>
      </c>
      <c r="BM821" s="138">
        <v>61.8</v>
      </c>
      <c r="BN821" s="157">
        <v>41837</v>
      </c>
      <c r="BS821" s="138">
        <v>49.97</v>
      </c>
      <c r="BT821" s="157">
        <v>41837</v>
      </c>
      <c r="BU821" s="138">
        <v>40.4</v>
      </c>
      <c r="BV821" s="157">
        <v>41837</v>
      </c>
      <c r="BW821" s="138">
        <v>9</v>
      </c>
      <c r="BX821" s="157">
        <v>41837</v>
      </c>
      <c r="CC821" s="138">
        <v>8.1999999999999993</v>
      </c>
      <c r="CD821" s="157">
        <v>41837</v>
      </c>
    </row>
    <row r="822" spans="1:91">
      <c r="A822" s="159" t="s">
        <v>7736</v>
      </c>
      <c r="B822" s="112" t="s">
        <v>271</v>
      </c>
      <c r="C822" s="112">
        <v>4</v>
      </c>
      <c r="D822" s="112">
        <v>147</v>
      </c>
      <c r="E822" s="113">
        <v>29</v>
      </c>
      <c r="F822" s="113">
        <v>23</v>
      </c>
      <c r="M822" s="185">
        <v>5.76</v>
      </c>
      <c r="N822" s="157">
        <v>41837</v>
      </c>
      <c r="R822" s="185"/>
      <c r="S822" s="137">
        <v>16.05</v>
      </c>
      <c r="T822" s="157">
        <v>41837</v>
      </c>
      <c r="U822" s="142">
        <v>18</v>
      </c>
      <c r="Y822" s="142">
        <f t="shared" si="12"/>
        <v>11.81373</v>
      </c>
      <c r="Z822" s="157">
        <v>41837</v>
      </c>
      <c r="AE822" s="137">
        <v>32.19</v>
      </c>
      <c r="AF822" s="157">
        <v>41837</v>
      </c>
      <c r="AG822" s="185">
        <v>4.62</v>
      </c>
      <c r="AH822" s="157">
        <v>41837</v>
      </c>
      <c r="AM822" s="137">
        <v>90</v>
      </c>
      <c r="BM822" s="138">
        <v>58.91</v>
      </c>
      <c r="BN822" s="157">
        <v>41837</v>
      </c>
      <c r="BS822" s="138">
        <v>49.86</v>
      </c>
      <c r="BT822" s="157">
        <v>41837</v>
      </c>
      <c r="BU822" s="138">
        <v>36.700000000000003</v>
      </c>
      <c r="BV822" s="157">
        <v>41837</v>
      </c>
      <c r="BW822" s="138">
        <v>17.899999999999999</v>
      </c>
      <c r="BX822" s="157">
        <v>41837</v>
      </c>
      <c r="CC822" s="138">
        <v>7.7</v>
      </c>
      <c r="CD822" s="157">
        <v>41837</v>
      </c>
    </row>
    <row r="823" spans="1:91">
      <c r="A823" s="159" t="s">
        <v>7646</v>
      </c>
      <c r="B823" s="112" t="s">
        <v>271</v>
      </c>
      <c r="C823" s="112">
        <v>4</v>
      </c>
      <c r="D823" s="112">
        <v>43</v>
      </c>
      <c r="E823" s="113">
        <v>30</v>
      </c>
      <c r="F823" s="113">
        <v>23</v>
      </c>
      <c r="M823" s="185">
        <v>4.7699999999999996</v>
      </c>
      <c r="N823" s="157">
        <v>41837</v>
      </c>
      <c r="R823" s="185"/>
      <c r="S823" s="137">
        <v>12.94</v>
      </c>
      <c r="T823" s="157">
        <v>41837</v>
      </c>
      <c r="U823" s="142">
        <v>18</v>
      </c>
      <c r="Y823" s="142">
        <f t="shared" si="12"/>
        <v>10.195399999999999</v>
      </c>
      <c r="Z823" s="157">
        <v>41837</v>
      </c>
      <c r="AE823" s="137">
        <v>26.83</v>
      </c>
      <c r="AF823" s="157">
        <v>41837</v>
      </c>
      <c r="AG823" s="185">
        <v>5</v>
      </c>
      <c r="AH823" s="157">
        <v>41837</v>
      </c>
      <c r="AM823" s="137">
        <v>90</v>
      </c>
      <c r="BM823" s="138">
        <v>59.5</v>
      </c>
      <c r="BN823" s="157">
        <v>41837</v>
      </c>
      <c r="BS823" s="138">
        <v>48.22</v>
      </c>
      <c r="BT823" s="157">
        <v>41837</v>
      </c>
      <c r="BU823" s="138">
        <v>38</v>
      </c>
      <c r="BV823" s="157">
        <v>41837</v>
      </c>
      <c r="BW823" s="138">
        <v>52.7</v>
      </c>
      <c r="BX823" s="157">
        <v>41837</v>
      </c>
      <c r="CC823" s="138">
        <v>7.1</v>
      </c>
      <c r="CD823" s="157">
        <v>41837</v>
      </c>
    </row>
    <row r="824" spans="1:91">
      <c r="A824" s="159" t="s">
        <v>7658</v>
      </c>
      <c r="B824" s="112" t="s">
        <v>271</v>
      </c>
      <c r="C824" s="112">
        <v>4</v>
      </c>
      <c r="D824" s="112">
        <v>160</v>
      </c>
      <c r="E824" s="113">
        <v>31</v>
      </c>
      <c r="F824" s="113">
        <v>23</v>
      </c>
      <c r="M824" s="185">
        <v>5</v>
      </c>
      <c r="N824" s="157">
        <v>41837</v>
      </c>
      <c r="R824" s="185"/>
      <c r="S824" s="137">
        <v>13.01</v>
      </c>
      <c r="T824" s="157">
        <v>41837</v>
      </c>
      <c r="U824" s="142">
        <v>18</v>
      </c>
      <c r="Y824" s="142">
        <f t="shared" si="12"/>
        <v>10.742380000000001</v>
      </c>
      <c r="Z824" s="157">
        <v>41837</v>
      </c>
      <c r="AE824" s="137">
        <v>27.83</v>
      </c>
      <c r="AF824" s="157">
        <v>41837</v>
      </c>
      <c r="AG824" s="185">
        <v>5.35</v>
      </c>
      <c r="AH824" s="157">
        <v>41837</v>
      </c>
      <c r="AM824" s="137">
        <v>87</v>
      </c>
      <c r="BM824" s="138">
        <v>60.21</v>
      </c>
      <c r="BN824" s="157">
        <v>41837</v>
      </c>
      <c r="BS824" s="138">
        <v>46.76</v>
      </c>
      <c r="BT824" s="157">
        <v>41837</v>
      </c>
      <c r="BU824" s="138">
        <v>38.6</v>
      </c>
      <c r="BV824" s="157">
        <v>41837</v>
      </c>
      <c r="BW824" s="138">
        <v>55.2</v>
      </c>
      <c r="BX824" s="157">
        <v>41837</v>
      </c>
      <c r="CC824" s="138">
        <v>8.1</v>
      </c>
      <c r="CD824" s="157">
        <v>41837</v>
      </c>
    </row>
    <row r="825" spans="1:91">
      <c r="A825" s="159" t="s">
        <v>7807</v>
      </c>
      <c r="B825" s="112" t="s">
        <v>271</v>
      </c>
      <c r="C825" s="112">
        <v>4</v>
      </c>
      <c r="D825" s="112">
        <v>187</v>
      </c>
      <c r="E825" s="113">
        <v>32</v>
      </c>
      <c r="F825" s="113">
        <v>23</v>
      </c>
      <c r="M825" s="185">
        <v>7.63</v>
      </c>
      <c r="N825" s="157">
        <v>41837</v>
      </c>
      <c r="R825" s="185"/>
      <c r="S825" s="137">
        <v>22.06</v>
      </c>
      <c r="T825" s="157">
        <v>41837</v>
      </c>
      <c r="U825" s="142">
        <v>18</v>
      </c>
      <c r="Y825" s="142">
        <f t="shared" si="12"/>
        <v>17.197559999999999</v>
      </c>
      <c r="Z825" s="157">
        <v>41837</v>
      </c>
      <c r="AE825" s="137">
        <v>42.78</v>
      </c>
      <c r="AF825" s="157">
        <v>41837</v>
      </c>
      <c r="AG825" s="185">
        <v>6.1</v>
      </c>
      <c r="AH825" s="157">
        <v>41837</v>
      </c>
      <c r="AM825" s="137">
        <v>94</v>
      </c>
      <c r="BM825" s="138">
        <v>59.63</v>
      </c>
      <c r="BN825" s="157">
        <v>41837</v>
      </c>
      <c r="BS825" s="138">
        <v>51.57</v>
      </c>
      <c r="BT825" s="157">
        <v>41837</v>
      </c>
      <c r="BU825" s="138">
        <v>40.200000000000003</v>
      </c>
      <c r="BV825" s="157">
        <v>41837</v>
      </c>
      <c r="BW825" s="138">
        <v>16.7</v>
      </c>
      <c r="BX825" s="157">
        <v>41837</v>
      </c>
      <c r="CC825" s="138">
        <v>7.4</v>
      </c>
      <c r="CD825" s="157">
        <v>41837</v>
      </c>
    </row>
    <row r="826" spans="1:91">
      <c r="A826" s="159" t="s">
        <v>7642</v>
      </c>
      <c r="B826" s="112" t="s">
        <v>271</v>
      </c>
      <c r="C826" s="112">
        <v>4</v>
      </c>
      <c r="D826" s="112">
        <v>107</v>
      </c>
      <c r="E826" s="113">
        <v>33</v>
      </c>
      <c r="F826" s="113">
        <v>23</v>
      </c>
      <c r="M826" s="185">
        <v>5.99</v>
      </c>
      <c r="N826" s="157">
        <v>41837</v>
      </c>
      <c r="R826" s="185"/>
      <c r="S826" s="137">
        <v>15.4</v>
      </c>
      <c r="T826" s="157">
        <v>41837</v>
      </c>
      <c r="U826" s="142">
        <v>18</v>
      </c>
      <c r="Y826" s="142">
        <f t="shared" si="12"/>
        <v>14.242160000000002</v>
      </c>
      <c r="Z826" s="157">
        <v>41837</v>
      </c>
      <c r="AE826" s="137">
        <v>33.590000000000003</v>
      </c>
      <c r="AF826" s="157">
        <v>41837</v>
      </c>
      <c r="AG826" s="185">
        <v>5.27</v>
      </c>
      <c r="AH826" s="157">
        <v>41837</v>
      </c>
      <c r="AM826" s="137">
        <v>90</v>
      </c>
      <c r="BM826" s="138">
        <v>62.62</v>
      </c>
      <c r="BN826" s="157">
        <v>41837</v>
      </c>
      <c r="BS826" s="138">
        <v>45.84</v>
      </c>
      <c r="BT826" s="157">
        <v>41837</v>
      </c>
      <c r="BU826" s="138">
        <v>42.4</v>
      </c>
      <c r="BV826" s="157">
        <v>41837</v>
      </c>
      <c r="BW826" s="138">
        <v>66.8</v>
      </c>
      <c r="BX826" s="157">
        <v>41837</v>
      </c>
      <c r="CC826" s="138">
        <v>7.4</v>
      </c>
      <c r="CD826" s="157">
        <v>41837</v>
      </c>
    </row>
    <row r="827" spans="1:91">
      <c r="A827" s="189" t="s">
        <v>7721</v>
      </c>
      <c r="B827" s="190" t="s">
        <v>271</v>
      </c>
      <c r="C827" s="190">
        <v>4</v>
      </c>
      <c r="D827" s="190">
        <v>4</v>
      </c>
      <c r="E827" s="191">
        <v>34</v>
      </c>
      <c r="F827" s="191">
        <v>23</v>
      </c>
      <c r="G827" s="191"/>
      <c r="H827" s="191"/>
      <c r="I827" s="201"/>
      <c r="J827" s="190"/>
      <c r="K827" s="192"/>
      <c r="L827" s="193"/>
      <c r="M827" s="194">
        <v>6.49</v>
      </c>
      <c r="N827" s="193">
        <v>41837</v>
      </c>
      <c r="P827" s="193"/>
      <c r="Q827" s="192"/>
      <c r="R827" s="194"/>
      <c r="S827" s="192">
        <v>17.850000000000001</v>
      </c>
      <c r="T827" s="193">
        <v>41837</v>
      </c>
      <c r="U827" s="192">
        <v>18</v>
      </c>
      <c r="V827" s="193"/>
      <c r="W827" s="192"/>
      <c r="X827" s="193"/>
      <c r="Y827" s="192">
        <f t="shared" si="12"/>
        <v>13.523499999999999</v>
      </c>
      <c r="Z827" s="193">
        <v>41837</v>
      </c>
      <c r="AA827" s="192"/>
      <c r="AB827" s="193"/>
      <c r="AC827" s="195"/>
      <c r="AD827" s="193"/>
      <c r="AE827" s="192">
        <v>36.549999999999997</v>
      </c>
      <c r="AF827" s="193">
        <v>41837</v>
      </c>
      <c r="AG827" s="194">
        <v>5.23</v>
      </c>
      <c r="AH827" s="193">
        <v>41837</v>
      </c>
      <c r="AI827" s="193"/>
      <c r="AJ827" s="193"/>
      <c r="AK827" s="192"/>
      <c r="AL827" s="193"/>
      <c r="AM827" s="192">
        <v>90</v>
      </c>
      <c r="AN827" s="193"/>
      <c r="AO827" s="195"/>
      <c r="AP827" s="195"/>
      <c r="AQ827" s="195"/>
      <c r="AR827" s="195"/>
      <c r="AS827" s="195"/>
      <c r="AT827" s="195"/>
      <c r="AU827" s="195"/>
      <c r="AV827" s="195"/>
      <c r="AW827" s="195"/>
      <c r="AX827" s="195"/>
      <c r="AY827" s="195"/>
      <c r="AZ827" s="195"/>
      <c r="BA827" s="195"/>
      <c r="BB827" s="195"/>
      <c r="BC827" s="195"/>
      <c r="BD827" s="195"/>
      <c r="BE827" s="196"/>
      <c r="BF827" s="196"/>
      <c r="BG827" s="196"/>
      <c r="BH827" s="196"/>
      <c r="BI827" s="196"/>
      <c r="BJ827" s="196"/>
      <c r="BK827" s="196"/>
      <c r="BL827" s="196"/>
      <c r="BM827" s="196">
        <v>55.77</v>
      </c>
      <c r="BN827" s="193">
        <v>41837</v>
      </c>
      <c r="BO827" s="196"/>
      <c r="BP827" s="196"/>
      <c r="BQ827" s="196"/>
      <c r="BR827" s="196"/>
      <c r="BS827" s="196">
        <v>48.83</v>
      </c>
      <c r="BT827" s="193">
        <v>41837</v>
      </c>
      <c r="BU827" s="196">
        <v>37</v>
      </c>
      <c r="BV827" s="193">
        <v>41837</v>
      </c>
      <c r="BW827" s="196">
        <v>13.8</v>
      </c>
      <c r="BX827" s="193">
        <v>41837</v>
      </c>
      <c r="BY827" s="196"/>
      <c r="BZ827" s="196"/>
      <c r="CA827" s="196"/>
      <c r="CB827" s="196"/>
      <c r="CC827" s="196">
        <v>7</v>
      </c>
      <c r="CD827" s="193">
        <v>41837</v>
      </c>
      <c r="CE827" s="196"/>
      <c r="CF827" s="196"/>
      <c r="CG827" s="196"/>
      <c r="CH827" s="196"/>
      <c r="CI827" s="196"/>
      <c r="CJ827" s="196"/>
      <c r="CK827" s="196"/>
      <c r="CL827" s="196"/>
      <c r="CM827" s="196"/>
    </row>
    <row r="828" spans="1:91">
      <c r="A828" s="159" t="s">
        <v>7710</v>
      </c>
      <c r="B828" s="112" t="s">
        <v>271</v>
      </c>
      <c r="C828" s="112">
        <v>4</v>
      </c>
      <c r="D828" s="112">
        <v>110</v>
      </c>
      <c r="E828" s="113">
        <v>35</v>
      </c>
      <c r="F828" s="113">
        <v>23</v>
      </c>
      <c r="M828" s="185">
        <v>6.98</v>
      </c>
      <c r="N828" s="157">
        <v>41837</v>
      </c>
      <c r="R828" s="185"/>
      <c r="S828" s="137">
        <v>19.600000000000001</v>
      </c>
      <c r="T828" s="157">
        <v>41837</v>
      </c>
      <c r="U828" s="142">
        <v>18</v>
      </c>
      <c r="Y828" s="142">
        <f t="shared" si="12"/>
        <v>15.539359999999999</v>
      </c>
      <c r="Z828" s="157">
        <v>41837</v>
      </c>
      <c r="AE828" s="137">
        <v>39.44</v>
      </c>
      <c r="AF828" s="157">
        <v>41837</v>
      </c>
      <c r="AG828" s="185">
        <v>4.59</v>
      </c>
      <c r="AH828" s="157">
        <v>41837</v>
      </c>
      <c r="AM828" s="137">
        <v>92</v>
      </c>
      <c r="BM828" s="138">
        <v>59.39</v>
      </c>
      <c r="BN828" s="157">
        <v>41837</v>
      </c>
      <c r="BS828" s="138">
        <v>49.69</v>
      </c>
      <c r="BT828" s="157">
        <v>41837</v>
      </c>
      <c r="BU828" s="138">
        <v>39.4</v>
      </c>
      <c r="BV828" s="157">
        <v>41837</v>
      </c>
      <c r="BW828" s="138">
        <v>23.4</v>
      </c>
      <c r="BX828" s="157">
        <v>41837</v>
      </c>
      <c r="CC828" s="138">
        <v>6.7</v>
      </c>
      <c r="CD828" s="157">
        <v>41837</v>
      </c>
    </row>
    <row r="829" spans="1:91">
      <c r="A829" s="159" t="s">
        <v>7803</v>
      </c>
      <c r="B829" s="112" t="s">
        <v>271</v>
      </c>
      <c r="C829" s="112">
        <v>4</v>
      </c>
      <c r="D829" s="112">
        <v>167</v>
      </c>
      <c r="E829" s="113">
        <v>36</v>
      </c>
      <c r="F829" s="113">
        <v>23</v>
      </c>
      <c r="M829" s="185">
        <v>7.98</v>
      </c>
      <c r="N829" s="157">
        <v>41837</v>
      </c>
      <c r="R829" s="185"/>
      <c r="S829" s="137">
        <v>22.83</v>
      </c>
      <c r="T829" s="157">
        <v>41837</v>
      </c>
      <c r="U829" s="142">
        <v>18</v>
      </c>
      <c r="Y829" s="142">
        <f t="shared" si="12"/>
        <v>17.34684</v>
      </c>
      <c r="Z829" s="157">
        <v>41837</v>
      </c>
      <c r="AE829" s="137">
        <v>44.94</v>
      </c>
      <c r="AF829" s="157">
        <v>41837</v>
      </c>
      <c r="AG829" s="185">
        <v>5.28</v>
      </c>
      <c r="AH829" s="157">
        <v>41837</v>
      </c>
      <c r="AM829" s="137">
        <v>87</v>
      </c>
      <c r="BM829" s="138">
        <v>59.95</v>
      </c>
      <c r="BN829" s="157">
        <v>41837</v>
      </c>
      <c r="BS829" s="138">
        <v>50.81</v>
      </c>
      <c r="BT829" s="157">
        <v>41837</v>
      </c>
      <c r="BU829" s="138">
        <v>38.6</v>
      </c>
      <c r="BV829" s="157">
        <v>41837</v>
      </c>
      <c r="BW829" s="138">
        <v>15</v>
      </c>
      <c r="BX829" s="157">
        <v>41837</v>
      </c>
      <c r="CC829" s="138">
        <v>7</v>
      </c>
      <c r="CD829" s="157">
        <v>41837</v>
      </c>
    </row>
    <row r="830" spans="1:91">
      <c r="A830" s="159" t="s">
        <v>7719</v>
      </c>
      <c r="B830" s="112" t="s">
        <v>271</v>
      </c>
      <c r="C830" s="112">
        <v>4</v>
      </c>
      <c r="D830" s="112">
        <v>140</v>
      </c>
      <c r="E830" s="113">
        <v>1</v>
      </c>
      <c r="F830" s="113">
        <v>24</v>
      </c>
      <c r="M830" s="185">
        <v>4.66</v>
      </c>
      <c r="N830" s="157">
        <v>41837</v>
      </c>
      <c r="R830" s="185"/>
      <c r="S830" s="137">
        <v>12.49</v>
      </c>
      <c r="T830" s="157">
        <v>41837</v>
      </c>
      <c r="U830" s="142">
        <v>18</v>
      </c>
      <c r="Y830" s="142">
        <f t="shared" si="12"/>
        <v>9.829740000000001</v>
      </c>
      <c r="Z830" s="157">
        <v>41837</v>
      </c>
      <c r="AE830" s="137">
        <v>25.14</v>
      </c>
      <c r="AF830" s="157">
        <v>41837</v>
      </c>
      <c r="AG830" s="185">
        <v>5.13</v>
      </c>
      <c r="AH830" s="157">
        <v>41837</v>
      </c>
      <c r="AM830" s="137">
        <v>85</v>
      </c>
      <c r="BM830" s="138">
        <v>59.79</v>
      </c>
      <c r="BN830" s="157">
        <v>41837</v>
      </c>
      <c r="BS830" s="138">
        <v>49.68</v>
      </c>
      <c r="BT830" s="157">
        <v>41837</v>
      </c>
      <c r="BU830" s="138">
        <v>39.1</v>
      </c>
      <c r="BV830" s="157">
        <v>41837</v>
      </c>
      <c r="BW830" s="138">
        <v>22</v>
      </c>
      <c r="BX830" s="157">
        <v>41837</v>
      </c>
      <c r="CC830" s="138">
        <v>10.9</v>
      </c>
      <c r="CD830" s="157">
        <v>41837</v>
      </c>
    </row>
    <row r="831" spans="1:91">
      <c r="A831" s="159" t="s">
        <v>7811</v>
      </c>
      <c r="B831" s="112" t="s">
        <v>271</v>
      </c>
      <c r="C831" s="112">
        <v>4</v>
      </c>
      <c r="D831" s="112">
        <v>210</v>
      </c>
      <c r="E831" s="113">
        <v>2</v>
      </c>
      <c r="F831" s="113">
        <v>24</v>
      </c>
      <c r="M831" s="185">
        <v>7.06</v>
      </c>
      <c r="N831" s="157">
        <v>41837</v>
      </c>
      <c r="R831" s="185"/>
      <c r="S831" s="137">
        <v>19.37</v>
      </c>
      <c r="T831" s="157">
        <v>41837</v>
      </c>
      <c r="U831" s="142">
        <v>18</v>
      </c>
      <c r="Y831" s="142">
        <f t="shared" si="12"/>
        <v>12.847379999999998</v>
      </c>
      <c r="Z831" s="157">
        <v>41837</v>
      </c>
      <c r="AE831" s="137">
        <v>38.01</v>
      </c>
      <c r="AF831" s="157">
        <v>41837</v>
      </c>
      <c r="AG831" s="185">
        <v>4.5999999999999996</v>
      </c>
      <c r="AH831" s="157">
        <v>41837</v>
      </c>
      <c r="AM831" s="137">
        <v>87</v>
      </c>
      <c r="BM831" s="138">
        <v>59.93</v>
      </c>
      <c r="BN831" s="157">
        <v>41837</v>
      </c>
      <c r="BS831" s="138">
        <v>50.95</v>
      </c>
      <c r="BT831" s="157">
        <v>41837</v>
      </c>
      <c r="BU831" s="138">
        <v>33.799999999999997</v>
      </c>
      <c r="BV831" s="157">
        <v>41837</v>
      </c>
      <c r="BW831" s="138">
        <v>14.6</v>
      </c>
      <c r="BX831" s="157">
        <v>41837</v>
      </c>
      <c r="CC831" s="138">
        <v>11.1</v>
      </c>
      <c r="CD831" s="157">
        <v>41837</v>
      </c>
    </row>
    <row r="832" spans="1:91">
      <c r="A832" s="159" t="s">
        <v>7691</v>
      </c>
      <c r="B832" s="112" t="s">
        <v>271</v>
      </c>
      <c r="C832" s="112">
        <v>4</v>
      </c>
      <c r="D832" s="112">
        <v>176</v>
      </c>
      <c r="E832" s="113">
        <v>3</v>
      </c>
      <c r="F832" s="113">
        <v>24</v>
      </c>
      <c r="M832" s="185">
        <v>6.44</v>
      </c>
      <c r="N832" s="157">
        <v>41837</v>
      </c>
      <c r="R832" s="185"/>
      <c r="S832" s="137">
        <v>17.23</v>
      </c>
      <c r="T832" s="157">
        <v>41837</v>
      </c>
      <c r="U832" s="142">
        <v>18</v>
      </c>
      <c r="Y832" s="142">
        <f t="shared" si="12"/>
        <v>13.351379999999999</v>
      </c>
      <c r="Z832" s="157">
        <v>41837</v>
      </c>
      <c r="AE832" s="137">
        <v>34.86</v>
      </c>
      <c r="AF832" s="157">
        <v>41837</v>
      </c>
      <c r="AG832" s="185">
        <v>5.67</v>
      </c>
      <c r="AH832" s="157">
        <v>41837</v>
      </c>
      <c r="AM832" s="137">
        <v>87</v>
      </c>
      <c r="BM832" s="138">
        <v>62.39</v>
      </c>
      <c r="BN832" s="157">
        <v>41837</v>
      </c>
      <c r="BS832" s="138">
        <v>49.44</v>
      </c>
      <c r="BT832" s="157">
        <v>41837</v>
      </c>
      <c r="BU832" s="138">
        <v>38.299999999999997</v>
      </c>
      <c r="BV832" s="157">
        <v>41837</v>
      </c>
      <c r="BW832" s="138">
        <v>15.6</v>
      </c>
      <c r="BX832" s="157">
        <v>41837</v>
      </c>
      <c r="CC832" s="138">
        <v>10.6</v>
      </c>
      <c r="CD832" s="157">
        <v>41837</v>
      </c>
    </row>
    <row r="833" spans="1:91">
      <c r="A833" s="159" t="s">
        <v>7799</v>
      </c>
      <c r="B833" s="112" t="s">
        <v>271</v>
      </c>
      <c r="C833" s="112">
        <v>4</v>
      </c>
      <c r="D833" s="112">
        <v>92</v>
      </c>
      <c r="E833" s="113">
        <v>4</v>
      </c>
      <c r="F833" s="113">
        <v>24</v>
      </c>
      <c r="M833" s="185">
        <v>7</v>
      </c>
      <c r="N833" s="157">
        <v>41837</v>
      </c>
      <c r="R833" s="185"/>
      <c r="S833" s="137">
        <v>19.329999999999998</v>
      </c>
      <c r="T833" s="157">
        <v>41837</v>
      </c>
      <c r="U833" s="142">
        <v>18</v>
      </c>
      <c r="Y833" s="142">
        <f t="shared" si="12"/>
        <v>14.310360000000001</v>
      </c>
      <c r="Z833" s="157">
        <v>41837</v>
      </c>
      <c r="AE833" s="137">
        <v>37.56</v>
      </c>
      <c r="AF833" s="157">
        <v>41837</v>
      </c>
      <c r="AG833" s="185">
        <v>5.48</v>
      </c>
      <c r="AH833" s="157">
        <v>41837</v>
      </c>
      <c r="AM833" s="137">
        <v>90</v>
      </c>
      <c r="BM833" s="138">
        <v>61.18</v>
      </c>
      <c r="BN833" s="157">
        <v>41837</v>
      </c>
      <c r="BS833" s="138">
        <v>51.46</v>
      </c>
      <c r="BT833" s="157">
        <v>41837</v>
      </c>
      <c r="BU833" s="138">
        <v>38.1</v>
      </c>
      <c r="BV833" s="157">
        <v>41837</v>
      </c>
      <c r="BW833" s="138">
        <v>14.3</v>
      </c>
      <c r="BX833" s="157">
        <v>41837</v>
      </c>
      <c r="CC833" s="138">
        <v>11.4</v>
      </c>
      <c r="CD833" s="157">
        <v>41837</v>
      </c>
    </row>
    <row r="834" spans="1:91">
      <c r="A834" s="159" t="s">
        <v>7668</v>
      </c>
      <c r="B834" s="112" t="s">
        <v>271</v>
      </c>
      <c r="C834" s="112">
        <v>4</v>
      </c>
      <c r="D834" s="112">
        <v>43</v>
      </c>
      <c r="E834" s="113">
        <v>5</v>
      </c>
      <c r="F834" s="113">
        <v>24</v>
      </c>
      <c r="M834" s="185">
        <v>6.05</v>
      </c>
      <c r="N834" s="157">
        <v>41837</v>
      </c>
      <c r="R834" s="185"/>
      <c r="S834" s="137">
        <v>16.84</v>
      </c>
      <c r="T834" s="157">
        <v>41837</v>
      </c>
      <c r="U834" s="142">
        <v>18</v>
      </c>
      <c r="Y834" s="142">
        <f t="shared" ref="Y834:Y865" si="13">(AE834*BU834)/100</f>
        <v>13.005939999999999</v>
      </c>
      <c r="Z834" s="157">
        <v>41837</v>
      </c>
      <c r="AE834" s="137">
        <v>33.01</v>
      </c>
      <c r="AF834" s="157">
        <v>41837</v>
      </c>
      <c r="AG834" s="185">
        <v>4.96</v>
      </c>
      <c r="AH834" s="157">
        <v>41837</v>
      </c>
      <c r="AM834" s="137">
        <v>90</v>
      </c>
      <c r="BM834" s="138">
        <v>63.57</v>
      </c>
      <c r="BN834" s="157">
        <v>41837</v>
      </c>
      <c r="BS834" s="138">
        <v>51.01</v>
      </c>
      <c r="BT834" s="157">
        <v>41837</v>
      </c>
      <c r="BU834" s="138">
        <v>39.4</v>
      </c>
      <c r="BV834" s="157">
        <v>41837</v>
      </c>
      <c r="BW834" s="138">
        <v>15.5</v>
      </c>
      <c r="BX834" s="157">
        <v>41837</v>
      </c>
      <c r="CC834" s="138">
        <v>9.9</v>
      </c>
      <c r="CD834" s="157">
        <v>41837</v>
      </c>
    </row>
    <row r="835" spans="1:91">
      <c r="A835" s="189" t="s">
        <v>7650</v>
      </c>
      <c r="B835" s="190" t="s">
        <v>271</v>
      </c>
      <c r="C835" s="190">
        <v>4</v>
      </c>
      <c r="D835" s="190">
        <v>14</v>
      </c>
      <c r="E835" s="191">
        <v>6</v>
      </c>
      <c r="F835" s="191">
        <v>24</v>
      </c>
      <c r="G835" s="191"/>
      <c r="H835" s="191"/>
      <c r="I835" s="201"/>
      <c r="J835" s="190"/>
      <c r="K835" s="192"/>
      <c r="L835" s="193"/>
      <c r="M835" s="194">
        <v>5.01</v>
      </c>
      <c r="N835" s="193">
        <v>41837</v>
      </c>
      <c r="P835" s="193"/>
      <c r="Q835" s="192"/>
      <c r="R835" s="194"/>
      <c r="S835" s="192">
        <v>12.48</v>
      </c>
      <c r="T835" s="193">
        <v>41837</v>
      </c>
      <c r="U835" s="192">
        <v>18</v>
      </c>
      <c r="V835" s="193"/>
      <c r="W835" s="192"/>
      <c r="X835" s="193"/>
      <c r="Y835" s="192">
        <f t="shared" si="13"/>
        <v>10.96</v>
      </c>
      <c r="Z835" s="193">
        <v>41837</v>
      </c>
      <c r="AA835" s="192"/>
      <c r="AB835" s="193"/>
      <c r="AC835" s="195"/>
      <c r="AD835" s="193"/>
      <c r="AE835" s="192">
        <v>27.4</v>
      </c>
      <c r="AF835" s="193">
        <v>41837</v>
      </c>
      <c r="AG835" s="194">
        <v>5.99</v>
      </c>
      <c r="AH835" s="193">
        <v>41837</v>
      </c>
      <c r="AI835" s="193"/>
      <c r="AJ835" s="193"/>
      <c r="AK835" s="192"/>
      <c r="AL835" s="193"/>
      <c r="AM835" s="192">
        <v>90</v>
      </c>
      <c r="AN835" s="193"/>
      <c r="AO835" s="195"/>
      <c r="AP835" s="195"/>
      <c r="AQ835" s="195"/>
      <c r="AR835" s="195"/>
      <c r="AS835" s="195"/>
      <c r="AT835" s="195"/>
      <c r="AU835" s="195"/>
      <c r="AV835" s="195"/>
      <c r="AW835" s="195"/>
      <c r="AX835" s="195"/>
      <c r="AY835" s="195"/>
      <c r="AZ835" s="195"/>
      <c r="BA835" s="195"/>
      <c r="BB835" s="195"/>
      <c r="BC835" s="195"/>
      <c r="BD835" s="195"/>
      <c r="BE835" s="196"/>
      <c r="BF835" s="196"/>
      <c r="BG835" s="196"/>
      <c r="BH835" s="196"/>
      <c r="BI835" s="196"/>
      <c r="BJ835" s="196"/>
      <c r="BK835" s="196"/>
      <c r="BL835" s="196"/>
      <c r="BM835" s="196">
        <v>56.53</v>
      </c>
      <c r="BN835" s="193">
        <v>41837</v>
      </c>
      <c r="BO835" s="196"/>
      <c r="BP835" s="196"/>
      <c r="BQ835" s="196"/>
      <c r="BR835" s="196"/>
      <c r="BS835" s="196">
        <v>45.54</v>
      </c>
      <c r="BT835" s="193">
        <v>41837</v>
      </c>
      <c r="BU835" s="196">
        <v>40</v>
      </c>
      <c r="BV835" s="193">
        <v>41837</v>
      </c>
      <c r="BW835" s="196">
        <v>26</v>
      </c>
      <c r="BX835" s="193">
        <v>41837</v>
      </c>
      <c r="BY835" s="196"/>
      <c r="BZ835" s="196"/>
      <c r="CA835" s="196"/>
      <c r="CB835" s="196"/>
      <c r="CC835" s="196">
        <v>9.6999999999999993</v>
      </c>
      <c r="CD835" s="193">
        <v>41837</v>
      </c>
      <c r="CE835" s="196"/>
      <c r="CF835" s="196"/>
      <c r="CG835" s="196"/>
      <c r="CH835" s="196"/>
      <c r="CI835" s="196"/>
      <c r="CJ835" s="196"/>
      <c r="CK835" s="196"/>
      <c r="CL835" s="196"/>
      <c r="CM835" s="196"/>
    </row>
    <row r="836" spans="1:91">
      <c r="A836" s="159" t="s">
        <v>7810</v>
      </c>
      <c r="B836" s="112" t="s">
        <v>271</v>
      </c>
      <c r="C836" s="112">
        <v>4</v>
      </c>
      <c r="D836" s="112">
        <v>8</v>
      </c>
      <c r="E836" s="113">
        <v>7</v>
      </c>
      <c r="F836" s="113">
        <v>24</v>
      </c>
      <c r="I836" s="200"/>
      <c r="K836" s="142"/>
      <c r="M836" s="185">
        <v>7.8</v>
      </c>
      <c r="N836" s="157">
        <v>41837</v>
      </c>
      <c r="Q836" s="142"/>
      <c r="R836" s="185"/>
      <c r="S836" s="142">
        <v>21.08</v>
      </c>
      <c r="T836" s="157">
        <v>41837</v>
      </c>
      <c r="U836" s="142">
        <v>18</v>
      </c>
      <c r="W836" s="142"/>
      <c r="Y836" s="142">
        <f t="shared" si="13"/>
        <v>16.02627</v>
      </c>
      <c r="Z836" s="157">
        <v>41837</v>
      </c>
      <c r="AA836" s="142"/>
      <c r="AE836" s="142">
        <v>42.51</v>
      </c>
      <c r="AF836" s="157">
        <v>41837</v>
      </c>
      <c r="AG836" s="185">
        <v>5.3</v>
      </c>
      <c r="AH836" s="157">
        <v>41837</v>
      </c>
      <c r="AK836" s="142"/>
      <c r="AM836" s="142">
        <v>90</v>
      </c>
      <c r="BM836" s="138">
        <v>58.27</v>
      </c>
      <c r="BN836" s="157">
        <v>41837</v>
      </c>
      <c r="BS836" s="138">
        <v>49.59</v>
      </c>
      <c r="BT836" s="157">
        <v>41837</v>
      </c>
      <c r="BU836" s="138">
        <v>37.700000000000003</v>
      </c>
      <c r="BV836" s="157">
        <v>41837</v>
      </c>
      <c r="BW836" s="138">
        <v>17.600000000000001</v>
      </c>
      <c r="BX836" s="157">
        <v>41837</v>
      </c>
      <c r="CC836" s="138">
        <v>10</v>
      </c>
      <c r="CD836" s="157">
        <v>41837</v>
      </c>
    </row>
    <row r="837" spans="1:91">
      <c r="A837" s="159" t="s">
        <v>7802</v>
      </c>
      <c r="B837" s="112" t="s">
        <v>271</v>
      </c>
      <c r="C837" s="112">
        <v>4</v>
      </c>
      <c r="D837" s="112">
        <v>173</v>
      </c>
      <c r="E837" s="113">
        <v>8</v>
      </c>
      <c r="F837" s="113">
        <v>24</v>
      </c>
      <c r="M837" s="185">
        <v>7.17</v>
      </c>
      <c r="N837" s="157">
        <v>41837</v>
      </c>
      <c r="R837" s="185"/>
      <c r="S837" s="137">
        <v>20.79</v>
      </c>
      <c r="T837" s="157">
        <v>41837</v>
      </c>
      <c r="U837" s="142">
        <v>18</v>
      </c>
      <c r="Y837" s="142">
        <f t="shared" si="13"/>
        <v>15.443300000000001</v>
      </c>
      <c r="Z837" s="157">
        <v>41837</v>
      </c>
      <c r="AE837" s="137">
        <v>38.9</v>
      </c>
      <c r="AF837" s="157">
        <v>41837</v>
      </c>
      <c r="AG837" s="185">
        <v>5.83</v>
      </c>
      <c r="AH837" s="157">
        <v>41837</v>
      </c>
      <c r="AM837" s="137">
        <v>90</v>
      </c>
      <c r="BM837" s="138">
        <v>59.76</v>
      </c>
      <c r="BN837" s="157">
        <v>41837</v>
      </c>
      <c r="BS837" s="138">
        <v>53.44</v>
      </c>
      <c r="BT837" s="157">
        <v>41837</v>
      </c>
      <c r="BU837" s="138">
        <v>39.700000000000003</v>
      </c>
      <c r="BV837" s="157">
        <v>41837</v>
      </c>
      <c r="BW837" s="138">
        <v>14.1</v>
      </c>
      <c r="BX837" s="157">
        <v>41837</v>
      </c>
      <c r="CC837" s="138">
        <v>10.4</v>
      </c>
      <c r="CD837" s="157">
        <v>41837</v>
      </c>
    </row>
    <row r="838" spans="1:91">
      <c r="A838" s="159" t="s">
        <v>7614</v>
      </c>
      <c r="B838" s="112" t="s">
        <v>271</v>
      </c>
      <c r="C838" s="112">
        <v>4</v>
      </c>
      <c r="D838" s="112">
        <v>150</v>
      </c>
      <c r="E838" s="113">
        <v>9</v>
      </c>
      <c r="F838" s="113">
        <v>24</v>
      </c>
      <c r="M838" s="185">
        <v>6.08</v>
      </c>
      <c r="N838" s="157">
        <v>41837</v>
      </c>
      <c r="R838" s="185"/>
      <c r="S838" s="137">
        <v>16.420000000000002</v>
      </c>
      <c r="T838" s="157">
        <v>41837</v>
      </c>
      <c r="U838" s="142">
        <v>18</v>
      </c>
      <c r="Y838" s="142">
        <f t="shared" si="13"/>
        <v>13.623119999999998</v>
      </c>
      <c r="Z838" s="157">
        <v>41837</v>
      </c>
      <c r="AE838" s="137">
        <v>33.39</v>
      </c>
      <c r="AF838" s="157">
        <v>41837</v>
      </c>
      <c r="AG838" s="185">
        <v>5.78</v>
      </c>
      <c r="AH838" s="157">
        <v>41837</v>
      </c>
      <c r="AM838" s="137">
        <v>90</v>
      </c>
      <c r="BM838" s="138">
        <v>62.76</v>
      </c>
      <c r="BN838" s="157">
        <v>41837</v>
      </c>
      <c r="BS838" s="138">
        <v>49.19</v>
      </c>
      <c r="BT838" s="157">
        <v>41837</v>
      </c>
      <c r="BU838" s="138">
        <v>40.799999999999997</v>
      </c>
      <c r="BV838" s="157">
        <v>41837</v>
      </c>
      <c r="BW838" s="138">
        <v>70.2</v>
      </c>
      <c r="BX838" s="157">
        <v>41837</v>
      </c>
      <c r="CC838" s="138">
        <v>9.3000000000000007</v>
      </c>
      <c r="CD838" s="157">
        <v>41837</v>
      </c>
    </row>
    <row r="839" spans="1:91">
      <c r="A839" s="159" t="s">
        <v>7694</v>
      </c>
      <c r="B839" s="112" t="s">
        <v>271</v>
      </c>
      <c r="C839" s="112">
        <v>4</v>
      </c>
      <c r="D839" s="112">
        <v>34</v>
      </c>
      <c r="E839" s="113">
        <v>10</v>
      </c>
      <c r="F839" s="113">
        <v>24</v>
      </c>
      <c r="M839" s="185">
        <v>6.16</v>
      </c>
      <c r="N839" s="157">
        <v>41837</v>
      </c>
      <c r="R839" s="185"/>
      <c r="S839" s="137">
        <v>17.25</v>
      </c>
      <c r="T839" s="157">
        <v>41837</v>
      </c>
      <c r="U839" s="142">
        <v>18</v>
      </c>
      <c r="Y839" s="142">
        <f t="shared" si="13"/>
        <v>13.55588</v>
      </c>
      <c r="Z839" s="157">
        <v>41837</v>
      </c>
      <c r="AE839" s="137">
        <v>34.06</v>
      </c>
      <c r="AF839" s="157">
        <v>41837</v>
      </c>
      <c r="AG839" s="185">
        <v>5.0199999999999996</v>
      </c>
      <c r="AH839" s="157">
        <v>41837</v>
      </c>
      <c r="AM839" s="137">
        <v>92</v>
      </c>
      <c r="BM839" s="138">
        <v>61.6</v>
      </c>
      <c r="BN839" s="157">
        <v>41837</v>
      </c>
      <c r="BS839" s="138">
        <v>50.64</v>
      </c>
      <c r="BT839" s="157">
        <v>41837</v>
      </c>
      <c r="BU839" s="138">
        <v>39.799999999999997</v>
      </c>
      <c r="BV839" s="157">
        <v>41837</v>
      </c>
      <c r="BW839" s="138">
        <v>19.899999999999999</v>
      </c>
      <c r="BX839" s="157">
        <v>41837</v>
      </c>
      <c r="CC839" s="138">
        <v>8.6999999999999993</v>
      </c>
      <c r="CD839" s="157">
        <v>41837</v>
      </c>
    </row>
    <row r="840" spans="1:91">
      <c r="A840" s="159" t="s">
        <v>7725</v>
      </c>
      <c r="B840" s="112" t="s">
        <v>271</v>
      </c>
      <c r="C840" s="112">
        <v>4</v>
      </c>
      <c r="D840" s="112">
        <v>101</v>
      </c>
      <c r="E840" s="113">
        <v>11</v>
      </c>
      <c r="F840" s="113">
        <v>24</v>
      </c>
      <c r="M840" s="185">
        <v>5.1100000000000003</v>
      </c>
      <c r="N840" s="157">
        <v>41837</v>
      </c>
      <c r="R840" s="185"/>
      <c r="S840" s="137">
        <v>13.89</v>
      </c>
      <c r="T840" s="157">
        <v>41837</v>
      </c>
      <c r="U840" s="142">
        <v>18</v>
      </c>
      <c r="Y840" s="142">
        <f t="shared" si="13"/>
        <v>10.684010000000001</v>
      </c>
      <c r="Z840" s="157">
        <v>41837</v>
      </c>
      <c r="AE840" s="137">
        <v>28.19</v>
      </c>
      <c r="AF840" s="157">
        <v>41837</v>
      </c>
      <c r="AG840" s="185">
        <v>5.45</v>
      </c>
      <c r="AH840" s="157">
        <v>41837</v>
      </c>
      <c r="AM840" s="137">
        <v>87</v>
      </c>
      <c r="BM840" s="138">
        <v>60.48</v>
      </c>
      <c r="BN840" s="157">
        <v>41837</v>
      </c>
      <c r="BS840" s="138">
        <v>49.27</v>
      </c>
      <c r="BT840" s="157">
        <v>41837</v>
      </c>
      <c r="BU840" s="138">
        <v>37.9</v>
      </c>
      <c r="BV840" s="157">
        <v>41837</v>
      </c>
      <c r="BW840" s="138">
        <v>19.7</v>
      </c>
      <c r="BX840" s="157">
        <v>41837</v>
      </c>
      <c r="CC840" s="138">
        <v>8.9</v>
      </c>
      <c r="CD840" s="157">
        <v>41837</v>
      </c>
    </row>
    <row r="841" spans="1:91">
      <c r="A841" s="189" t="s">
        <v>7647</v>
      </c>
      <c r="B841" s="190" t="s">
        <v>271</v>
      </c>
      <c r="C841" s="190">
        <v>4</v>
      </c>
      <c r="D841" s="190">
        <v>139</v>
      </c>
      <c r="E841" s="191">
        <v>12</v>
      </c>
      <c r="F841" s="191">
        <v>24</v>
      </c>
      <c r="G841" s="191"/>
      <c r="H841" s="191"/>
      <c r="I841" s="190"/>
      <c r="J841" s="190"/>
      <c r="K841" s="195"/>
      <c r="L841" s="193"/>
      <c r="M841" s="194">
        <v>3.38</v>
      </c>
      <c r="N841" s="193">
        <v>41837</v>
      </c>
      <c r="P841" s="193"/>
      <c r="Q841" s="195"/>
      <c r="R841" s="194"/>
      <c r="S841" s="195">
        <v>8.74</v>
      </c>
      <c r="T841" s="193">
        <v>41837</v>
      </c>
      <c r="U841" s="192">
        <v>18</v>
      </c>
      <c r="V841" s="193"/>
      <c r="W841" s="195"/>
      <c r="X841" s="193"/>
      <c r="Y841" s="192">
        <f t="shared" si="13"/>
        <v>7.574419999999999</v>
      </c>
      <c r="Z841" s="193">
        <v>41837</v>
      </c>
      <c r="AA841" s="195"/>
      <c r="AB841" s="193"/>
      <c r="AC841" s="195"/>
      <c r="AD841" s="193"/>
      <c r="AE841" s="195">
        <v>18.34</v>
      </c>
      <c r="AF841" s="193">
        <v>41837</v>
      </c>
      <c r="AG841" s="194">
        <v>5.78</v>
      </c>
      <c r="AH841" s="193">
        <v>41837</v>
      </c>
      <c r="AI841" s="193"/>
      <c r="AJ841" s="193"/>
      <c r="AK841" s="195"/>
      <c r="AL841" s="193"/>
      <c r="AM841" s="195">
        <v>85</v>
      </c>
      <c r="AN841" s="193"/>
      <c r="AO841" s="195"/>
      <c r="AP841" s="195"/>
      <c r="AQ841" s="195"/>
      <c r="AR841" s="195"/>
      <c r="AS841" s="195"/>
      <c r="AT841" s="195"/>
      <c r="AU841" s="195"/>
      <c r="AV841" s="195"/>
      <c r="AW841" s="195"/>
      <c r="AX841" s="195"/>
      <c r="AY841" s="195"/>
      <c r="AZ841" s="195"/>
      <c r="BA841" s="195"/>
      <c r="BB841" s="195"/>
      <c r="BC841" s="195"/>
      <c r="BD841" s="195"/>
      <c r="BE841" s="196"/>
      <c r="BF841" s="196"/>
      <c r="BG841" s="196"/>
      <c r="BH841" s="196"/>
      <c r="BI841" s="196"/>
      <c r="BJ841" s="196"/>
      <c r="BK841" s="196"/>
      <c r="BL841" s="196"/>
      <c r="BM841" s="196">
        <v>59.39</v>
      </c>
      <c r="BN841" s="193">
        <v>41837</v>
      </c>
      <c r="BO841" s="196"/>
      <c r="BP841" s="196"/>
      <c r="BQ841" s="196"/>
      <c r="BR841" s="196"/>
      <c r="BS841" s="196">
        <v>47.67</v>
      </c>
      <c r="BT841" s="193">
        <v>41837</v>
      </c>
      <c r="BU841" s="196">
        <v>41.3</v>
      </c>
      <c r="BV841" s="193">
        <v>41837</v>
      </c>
      <c r="BW841" s="196">
        <v>62.6</v>
      </c>
      <c r="BX841" s="193">
        <v>41837</v>
      </c>
      <c r="BY841" s="196"/>
      <c r="BZ841" s="196"/>
      <c r="CA841" s="196"/>
      <c r="CB841" s="196"/>
      <c r="CC841" s="196">
        <v>10.4</v>
      </c>
      <c r="CD841" s="193">
        <v>41837</v>
      </c>
      <c r="CE841" s="196"/>
      <c r="CF841" s="196"/>
      <c r="CG841" s="196"/>
      <c r="CH841" s="196"/>
      <c r="CI841" s="196"/>
      <c r="CJ841" s="196"/>
      <c r="CK841" s="196"/>
      <c r="CL841" s="196"/>
      <c r="CM841" s="196"/>
    </row>
    <row r="842" spans="1:91">
      <c r="A842" s="159" t="s">
        <v>7700</v>
      </c>
      <c r="B842" s="112" t="s">
        <v>271</v>
      </c>
      <c r="C842" s="112">
        <v>4</v>
      </c>
      <c r="D842" s="112">
        <v>60</v>
      </c>
      <c r="E842" s="113">
        <v>13</v>
      </c>
      <c r="F842" s="113">
        <v>24</v>
      </c>
      <c r="M842" s="185">
        <v>7.26</v>
      </c>
      <c r="N842" s="157">
        <v>41837</v>
      </c>
      <c r="R842" s="185"/>
      <c r="S842" s="137">
        <v>19.55</v>
      </c>
      <c r="T842" s="157">
        <v>41837</v>
      </c>
      <c r="U842" s="142">
        <v>18</v>
      </c>
      <c r="Y842" s="142">
        <f t="shared" si="13"/>
        <v>15.209520000000003</v>
      </c>
      <c r="Z842" s="157">
        <v>41837</v>
      </c>
      <c r="AE842" s="137">
        <v>39.92</v>
      </c>
      <c r="AF842" s="157">
        <v>41837</v>
      </c>
      <c r="AG842" s="185">
        <v>5.41</v>
      </c>
      <c r="AH842" s="157">
        <v>41837</v>
      </c>
      <c r="AM842" s="137">
        <v>90</v>
      </c>
      <c r="BM842" s="138">
        <v>62.73</v>
      </c>
      <c r="BN842" s="157">
        <v>41837</v>
      </c>
      <c r="BS842" s="138">
        <v>48.97</v>
      </c>
      <c r="BT842" s="157">
        <v>41837</v>
      </c>
      <c r="BU842" s="138">
        <v>38.1</v>
      </c>
      <c r="BV842" s="157">
        <v>41837</v>
      </c>
      <c r="BW842" s="138">
        <v>18.899999999999999</v>
      </c>
      <c r="BX842" s="157">
        <v>41837</v>
      </c>
      <c r="CC842" s="138">
        <v>9.1999999999999993</v>
      </c>
      <c r="CD842" s="157">
        <v>41837</v>
      </c>
    </row>
    <row r="843" spans="1:91">
      <c r="A843" s="159" t="s">
        <v>7688</v>
      </c>
      <c r="B843" s="112" t="s">
        <v>271</v>
      </c>
      <c r="C843" s="112">
        <v>4</v>
      </c>
      <c r="D843" s="112">
        <v>132</v>
      </c>
      <c r="E843" s="113">
        <v>14</v>
      </c>
      <c r="F843" s="113">
        <v>24</v>
      </c>
      <c r="M843" s="185">
        <v>6.94</v>
      </c>
      <c r="N843" s="157">
        <v>41837</v>
      </c>
      <c r="R843" s="185"/>
      <c r="S843" s="137">
        <v>19.82</v>
      </c>
      <c r="T843" s="157">
        <v>41837</v>
      </c>
      <c r="U843" s="142">
        <v>18</v>
      </c>
      <c r="Y843" s="142">
        <f t="shared" si="13"/>
        <v>14.722280000000001</v>
      </c>
      <c r="Z843" s="157">
        <v>41837</v>
      </c>
      <c r="AE843" s="137">
        <v>38.54</v>
      </c>
      <c r="AF843" s="157">
        <v>41837</v>
      </c>
      <c r="AG843" s="185">
        <v>4.63</v>
      </c>
      <c r="AH843" s="157">
        <v>41837</v>
      </c>
      <c r="AM843" s="137">
        <v>83</v>
      </c>
      <c r="BM843" s="138">
        <v>60.7</v>
      </c>
      <c r="BN843" s="157">
        <v>41837</v>
      </c>
      <c r="BS843" s="138">
        <v>51.43</v>
      </c>
      <c r="BT843" s="157">
        <v>41837</v>
      </c>
      <c r="BU843" s="138">
        <v>38.200000000000003</v>
      </c>
      <c r="BV843" s="157">
        <v>41837</v>
      </c>
      <c r="BW843" s="138">
        <v>14.5</v>
      </c>
      <c r="BX843" s="157">
        <v>41837</v>
      </c>
      <c r="CC843" s="138">
        <v>8.3000000000000007</v>
      </c>
      <c r="CD843" s="157">
        <v>41837</v>
      </c>
    </row>
    <row r="844" spans="1:91">
      <c r="A844" s="159" t="s">
        <v>7735</v>
      </c>
      <c r="B844" s="112" t="s">
        <v>271</v>
      </c>
      <c r="C844" s="112">
        <v>4</v>
      </c>
      <c r="D844" s="112">
        <v>171</v>
      </c>
      <c r="E844" s="113">
        <v>15</v>
      </c>
      <c r="F844" s="113">
        <v>24</v>
      </c>
      <c r="M844" s="185">
        <v>5.7</v>
      </c>
      <c r="N844" s="157">
        <v>41837</v>
      </c>
      <c r="R844" s="185"/>
      <c r="S844" s="137">
        <v>16.11</v>
      </c>
      <c r="T844" s="157">
        <v>41837</v>
      </c>
      <c r="U844" s="142">
        <v>18</v>
      </c>
      <c r="Y844" s="142">
        <f t="shared" si="13"/>
        <v>12.402519999999999</v>
      </c>
      <c r="Z844" s="157">
        <v>41837</v>
      </c>
      <c r="AE844" s="137">
        <v>31.72</v>
      </c>
      <c r="AF844" s="157">
        <v>41837</v>
      </c>
      <c r="AG844" s="185">
        <v>5.15</v>
      </c>
      <c r="AH844" s="157">
        <v>41837</v>
      </c>
      <c r="AM844" s="137">
        <v>87</v>
      </c>
      <c r="BM844" s="138">
        <v>58.76</v>
      </c>
      <c r="BN844" s="157">
        <v>41837</v>
      </c>
      <c r="BS844" s="138">
        <v>50.79</v>
      </c>
      <c r="BT844" s="157">
        <v>41837</v>
      </c>
      <c r="BU844" s="138">
        <v>39.1</v>
      </c>
      <c r="BV844" s="157">
        <v>41837</v>
      </c>
      <c r="BW844" s="138">
        <v>14.7</v>
      </c>
      <c r="BX844" s="157">
        <v>41837</v>
      </c>
      <c r="CC844" s="138">
        <v>8.1</v>
      </c>
      <c r="CD844" s="157">
        <v>41837</v>
      </c>
    </row>
    <row r="845" spans="1:91">
      <c r="A845" s="189" t="s">
        <v>7695</v>
      </c>
      <c r="B845" s="190" t="s">
        <v>271</v>
      </c>
      <c r="C845" s="190">
        <v>4</v>
      </c>
      <c r="D845" s="190">
        <v>48</v>
      </c>
      <c r="E845" s="191">
        <v>16</v>
      </c>
      <c r="F845" s="191">
        <v>24</v>
      </c>
      <c r="G845" s="191"/>
      <c r="H845" s="191"/>
      <c r="I845" s="190"/>
      <c r="J845" s="190"/>
      <c r="K845" s="195"/>
      <c r="L845" s="193"/>
      <c r="M845" s="194">
        <v>6.52</v>
      </c>
      <c r="N845" s="193">
        <v>41837</v>
      </c>
      <c r="P845" s="193"/>
      <c r="Q845" s="195"/>
      <c r="R845" s="194"/>
      <c r="S845" s="195">
        <v>17.87</v>
      </c>
      <c r="T845" s="193">
        <v>41837</v>
      </c>
      <c r="U845" s="192">
        <v>18</v>
      </c>
      <c r="V845" s="193"/>
      <c r="W845" s="195"/>
      <c r="X845" s="193"/>
      <c r="Y845" s="192">
        <f t="shared" si="13"/>
        <v>13.894279999999998</v>
      </c>
      <c r="Z845" s="193">
        <v>41837</v>
      </c>
      <c r="AA845" s="195"/>
      <c r="AB845" s="193"/>
      <c r="AC845" s="195"/>
      <c r="AD845" s="193"/>
      <c r="AE845" s="195">
        <v>35.81</v>
      </c>
      <c r="AF845" s="193">
        <v>41837</v>
      </c>
      <c r="AG845" s="194">
        <v>4.91</v>
      </c>
      <c r="AH845" s="193">
        <v>41837</v>
      </c>
      <c r="AI845" s="193"/>
      <c r="AJ845" s="193"/>
      <c r="AK845" s="195"/>
      <c r="AL845" s="193"/>
      <c r="AM845" s="195">
        <v>94</v>
      </c>
      <c r="AN845" s="193"/>
      <c r="AO845" s="195"/>
      <c r="AP845" s="195"/>
      <c r="AQ845" s="195"/>
      <c r="AR845" s="195"/>
      <c r="AS845" s="195"/>
      <c r="AT845" s="195"/>
      <c r="AU845" s="195"/>
      <c r="AV845" s="195"/>
      <c r="AW845" s="195"/>
      <c r="AX845" s="195"/>
      <c r="AY845" s="195"/>
      <c r="AZ845" s="195"/>
      <c r="BA845" s="195"/>
      <c r="BB845" s="195"/>
      <c r="BC845" s="195"/>
      <c r="BD845" s="195"/>
      <c r="BE845" s="196"/>
      <c r="BF845" s="196"/>
      <c r="BG845" s="196"/>
      <c r="BH845" s="196"/>
      <c r="BI845" s="196"/>
      <c r="BJ845" s="196"/>
      <c r="BK845" s="196"/>
      <c r="BL845" s="196"/>
      <c r="BM845" s="196">
        <v>59.57</v>
      </c>
      <c r="BN845" s="193">
        <v>41837</v>
      </c>
      <c r="BO845" s="196"/>
      <c r="BP845" s="196"/>
      <c r="BQ845" s="196"/>
      <c r="BR845" s="196"/>
      <c r="BS845" s="196">
        <v>49.9</v>
      </c>
      <c r="BT845" s="193">
        <v>41837</v>
      </c>
      <c r="BU845" s="196">
        <v>38.799999999999997</v>
      </c>
      <c r="BV845" s="193">
        <v>41837</v>
      </c>
      <c r="BW845" s="196">
        <v>19.899999999999999</v>
      </c>
      <c r="BX845" s="193">
        <v>41837</v>
      </c>
      <c r="BY845" s="196"/>
      <c r="BZ845" s="196"/>
      <c r="CA845" s="196"/>
      <c r="CB845" s="196"/>
      <c r="CC845" s="196">
        <v>9.3000000000000007</v>
      </c>
      <c r="CD845" s="193">
        <v>41837</v>
      </c>
      <c r="CE845" s="196"/>
      <c r="CF845" s="196"/>
      <c r="CG845" s="196"/>
      <c r="CH845" s="196"/>
      <c r="CI845" s="196"/>
      <c r="CJ845" s="196"/>
      <c r="CK845" s="196"/>
      <c r="CL845" s="196"/>
      <c r="CM845" s="196"/>
    </row>
    <row r="846" spans="1:91">
      <c r="A846" s="159" t="s">
        <v>7785</v>
      </c>
      <c r="B846" s="112" t="s">
        <v>271</v>
      </c>
      <c r="C846" s="112">
        <v>4</v>
      </c>
      <c r="D846" s="112">
        <v>170</v>
      </c>
      <c r="E846" s="113">
        <v>17</v>
      </c>
      <c r="F846" s="113">
        <v>24</v>
      </c>
      <c r="M846" s="185">
        <v>6.39</v>
      </c>
      <c r="N846" s="157">
        <v>41837</v>
      </c>
      <c r="R846" s="185"/>
      <c r="S846" s="137">
        <v>18.04</v>
      </c>
      <c r="T846" s="157">
        <v>41837</v>
      </c>
      <c r="U846" s="142">
        <v>18</v>
      </c>
      <c r="Y846" s="142">
        <f t="shared" si="13"/>
        <v>14.18337</v>
      </c>
      <c r="Z846" s="157">
        <v>41837</v>
      </c>
      <c r="AE846" s="137">
        <v>35.369999999999997</v>
      </c>
      <c r="AF846" s="157">
        <v>41837</v>
      </c>
      <c r="AG846" s="185">
        <v>4.8499999999999996</v>
      </c>
      <c r="AH846" s="157">
        <v>41837</v>
      </c>
      <c r="AM846" s="137">
        <v>92</v>
      </c>
      <c r="BM846" s="138">
        <v>60.25</v>
      </c>
      <c r="BN846" s="157">
        <v>41837</v>
      </c>
      <c r="BS846" s="138">
        <v>50.99</v>
      </c>
      <c r="BT846" s="157">
        <v>41837</v>
      </c>
      <c r="BU846" s="138">
        <v>40.1</v>
      </c>
      <c r="BV846" s="157">
        <v>41837</v>
      </c>
      <c r="BW846" s="138">
        <v>11.6</v>
      </c>
      <c r="BX846" s="157">
        <v>41837</v>
      </c>
      <c r="CC846" s="138">
        <v>8.6</v>
      </c>
      <c r="CD846" s="157">
        <v>41837</v>
      </c>
    </row>
    <row r="847" spans="1:91">
      <c r="A847" s="159" t="s">
        <v>7610</v>
      </c>
      <c r="B847" s="112" t="s">
        <v>271</v>
      </c>
      <c r="C847" s="112">
        <v>4</v>
      </c>
      <c r="D847" s="112">
        <v>208</v>
      </c>
      <c r="E847" s="113">
        <v>18</v>
      </c>
      <c r="F847" s="113">
        <v>24</v>
      </c>
      <c r="M847" s="185">
        <v>1.94</v>
      </c>
      <c r="N847" s="157">
        <v>41837</v>
      </c>
      <c r="R847" s="185"/>
      <c r="S847" s="137">
        <v>5.17</v>
      </c>
      <c r="T847" s="157">
        <v>41837</v>
      </c>
      <c r="U847" s="142">
        <v>18</v>
      </c>
      <c r="Y847" s="142">
        <f t="shared" si="13"/>
        <v>4.3967299999999998</v>
      </c>
      <c r="Z847" s="157">
        <v>41837</v>
      </c>
      <c r="AE847" s="137">
        <v>10.91</v>
      </c>
      <c r="AF847" s="157">
        <v>41837</v>
      </c>
      <c r="AG847" s="185">
        <v>4.09</v>
      </c>
      <c r="AH847" s="157">
        <v>41837</v>
      </c>
      <c r="AM847" s="137">
        <v>94</v>
      </c>
      <c r="BM847" s="138">
        <v>62.72</v>
      </c>
      <c r="BN847" s="157">
        <v>41837</v>
      </c>
      <c r="BS847" s="138">
        <v>47.43</v>
      </c>
      <c r="BT847" s="157">
        <v>41837</v>
      </c>
      <c r="BU847" s="138">
        <v>40.299999999999997</v>
      </c>
      <c r="BV847" s="157">
        <v>41837</v>
      </c>
      <c r="BW847" s="138">
        <v>50.7</v>
      </c>
      <c r="BX847" s="157">
        <v>41837</v>
      </c>
      <c r="CC847" s="138">
        <v>7.1</v>
      </c>
      <c r="CD847" s="157">
        <v>41837</v>
      </c>
    </row>
    <row r="848" spans="1:91">
      <c r="A848" s="159" t="s">
        <v>7638</v>
      </c>
      <c r="B848" s="112" t="s">
        <v>271</v>
      </c>
      <c r="C848" s="112">
        <v>4</v>
      </c>
      <c r="D848" s="112">
        <v>124</v>
      </c>
      <c r="E848" s="113">
        <v>19</v>
      </c>
      <c r="F848" s="113">
        <v>24</v>
      </c>
      <c r="M848" s="185">
        <v>4.49</v>
      </c>
      <c r="N848" s="157">
        <v>41837</v>
      </c>
      <c r="R848" s="185"/>
      <c r="S848" s="137">
        <v>11.94</v>
      </c>
      <c r="T848" s="157">
        <v>41837</v>
      </c>
      <c r="U848" s="142">
        <v>18</v>
      </c>
      <c r="Y848" s="142">
        <f t="shared" si="13"/>
        <v>10.874130000000001</v>
      </c>
      <c r="Z848" s="157">
        <v>41837</v>
      </c>
      <c r="AE848" s="137">
        <v>25.23</v>
      </c>
      <c r="AF848" s="157">
        <v>41837</v>
      </c>
      <c r="AG848" s="185">
        <v>5.2</v>
      </c>
      <c r="AH848" s="157">
        <v>41837</v>
      </c>
      <c r="AM848" s="137">
        <v>92</v>
      </c>
      <c r="BM848" s="138">
        <v>62.94</v>
      </c>
      <c r="BN848" s="157">
        <v>41837</v>
      </c>
      <c r="BS848" s="138">
        <v>47.32</v>
      </c>
      <c r="BT848" s="157">
        <v>41837</v>
      </c>
      <c r="BU848" s="138">
        <v>43.1</v>
      </c>
      <c r="BV848" s="157">
        <v>41837</v>
      </c>
      <c r="BW848" s="138">
        <v>74.099999999999994</v>
      </c>
      <c r="BX848" s="157">
        <v>41837</v>
      </c>
      <c r="CC848" s="138">
        <v>7.2</v>
      </c>
      <c r="CD848" s="157">
        <v>41837</v>
      </c>
    </row>
    <row r="849" spans="1:91">
      <c r="A849" s="159" t="s">
        <v>7676</v>
      </c>
      <c r="B849" s="112" t="s">
        <v>271</v>
      </c>
      <c r="C849" s="112">
        <v>4</v>
      </c>
      <c r="D849" s="112">
        <v>134</v>
      </c>
      <c r="E849" s="113">
        <v>20</v>
      </c>
      <c r="F849" s="113">
        <v>24</v>
      </c>
      <c r="M849" s="185">
        <v>6.41</v>
      </c>
      <c r="N849" s="157">
        <v>41837</v>
      </c>
      <c r="R849" s="185"/>
      <c r="S849" s="137">
        <v>17.399999999999999</v>
      </c>
      <c r="T849" s="157">
        <v>41837</v>
      </c>
      <c r="U849" s="142">
        <v>18</v>
      </c>
      <c r="Y849" s="142">
        <f t="shared" si="13"/>
        <v>13.746240000000002</v>
      </c>
      <c r="Z849" s="157">
        <v>41837</v>
      </c>
      <c r="AE849" s="137">
        <v>35.520000000000003</v>
      </c>
      <c r="AF849" s="157">
        <v>41837</v>
      </c>
      <c r="AG849" s="185">
        <v>4.72</v>
      </c>
      <c r="AH849" s="157">
        <v>41837</v>
      </c>
      <c r="AM849" s="137">
        <v>92</v>
      </c>
      <c r="BM849" s="138">
        <v>58.28</v>
      </c>
      <c r="BN849" s="157">
        <v>41837</v>
      </c>
      <c r="BS849" s="138">
        <v>48.99</v>
      </c>
      <c r="BT849" s="157">
        <v>41837</v>
      </c>
      <c r="BU849" s="138">
        <v>38.700000000000003</v>
      </c>
      <c r="BV849" s="157">
        <v>41837</v>
      </c>
      <c r="BW849" s="138">
        <v>12.8</v>
      </c>
      <c r="BX849" s="157">
        <v>41837</v>
      </c>
      <c r="CC849" s="138">
        <v>8.5</v>
      </c>
      <c r="CD849" s="157">
        <v>41837</v>
      </c>
    </row>
    <row r="850" spans="1:91">
      <c r="A850" s="159" t="s">
        <v>7682</v>
      </c>
      <c r="B850" s="112" t="s">
        <v>271</v>
      </c>
      <c r="C850" s="112">
        <v>4</v>
      </c>
      <c r="D850" s="112">
        <v>78</v>
      </c>
      <c r="E850" s="113">
        <v>21</v>
      </c>
      <c r="F850" s="113">
        <v>24</v>
      </c>
      <c r="M850" s="185">
        <v>6</v>
      </c>
      <c r="N850" s="157">
        <v>41837</v>
      </c>
      <c r="R850" s="185"/>
      <c r="S850" s="137">
        <v>17.12</v>
      </c>
      <c r="T850" s="157">
        <v>41837</v>
      </c>
      <c r="U850" s="142">
        <v>18</v>
      </c>
      <c r="Y850" s="142">
        <f t="shared" si="13"/>
        <v>13.2995</v>
      </c>
      <c r="Z850" s="157">
        <v>41837</v>
      </c>
      <c r="AE850" s="137">
        <v>33.5</v>
      </c>
      <c r="AF850" s="157">
        <v>41837</v>
      </c>
      <c r="AG850" s="185">
        <v>4.87</v>
      </c>
      <c r="AH850" s="157">
        <v>41837</v>
      </c>
      <c r="AM850" s="137">
        <v>90</v>
      </c>
      <c r="BM850" s="138">
        <v>60.34</v>
      </c>
      <c r="BN850" s="157">
        <v>41837</v>
      </c>
      <c r="BS850" s="138">
        <v>51.1</v>
      </c>
      <c r="BT850" s="157">
        <v>41837</v>
      </c>
      <c r="BU850" s="138">
        <v>39.700000000000003</v>
      </c>
      <c r="BV850" s="157">
        <v>41837</v>
      </c>
      <c r="BW850" s="138">
        <v>14.9</v>
      </c>
      <c r="BX850" s="157">
        <v>41837</v>
      </c>
      <c r="CC850" s="138">
        <v>7.8</v>
      </c>
      <c r="CD850" s="157">
        <v>41837</v>
      </c>
    </row>
    <row r="851" spans="1:91">
      <c r="A851" s="159" t="s">
        <v>7632</v>
      </c>
      <c r="B851" s="112" t="s">
        <v>271</v>
      </c>
      <c r="C851" s="112">
        <v>4</v>
      </c>
      <c r="D851" s="112">
        <v>8</v>
      </c>
      <c r="E851" s="113">
        <v>22</v>
      </c>
      <c r="F851" s="113">
        <v>24</v>
      </c>
      <c r="I851" s="200"/>
      <c r="K851" s="142"/>
      <c r="M851" s="185">
        <v>5.07</v>
      </c>
      <c r="N851" s="157">
        <v>41837</v>
      </c>
      <c r="Q851" s="142"/>
      <c r="R851" s="185"/>
      <c r="S851" s="142">
        <v>13.71</v>
      </c>
      <c r="T851" s="157">
        <v>41837</v>
      </c>
      <c r="U851" s="142">
        <v>18</v>
      </c>
      <c r="W851" s="142"/>
      <c r="Y851" s="142">
        <f t="shared" si="13"/>
        <v>11.433109999999999</v>
      </c>
      <c r="Z851" s="157">
        <v>41837</v>
      </c>
      <c r="AA851" s="142"/>
      <c r="AE851" s="142">
        <v>28.37</v>
      </c>
      <c r="AF851" s="157">
        <v>41837</v>
      </c>
      <c r="AG851" s="185">
        <v>5.15</v>
      </c>
      <c r="AH851" s="157">
        <v>41837</v>
      </c>
      <c r="AK851" s="142"/>
      <c r="AM851" s="142">
        <v>90</v>
      </c>
      <c r="BM851" s="138">
        <v>61.42</v>
      </c>
      <c r="BN851" s="157">
        <v>41837</v>
      </c>
      <c r="BS851" s="138">
        <v>48.31</v>
      </c>
      <c r="BT851" s="157">
        <v>41837</v>
      </c>
      <c r="BU851" s="138">
        <v>40.299999999999997</v>
      </c>
      <c r="BV851" s="157">
        <v>41837</v>
      </c>
      <c r="BW851" s="138">
        <v>49.6</v>
      </c>
      <c r="BX851" s="157">
        <v>41837</v>
      </c>
      <c r="CC851" s="138">
        <v>7.6</v>
      </c>
      <c r="CD851" s="157">
        <v>41837</v>
      </c>
    </row>
    <row r="852" spans="1:91">
      <c r="A852" s="159" t="s">
        <v>7737</v>
      </c>
      <c r="B852" s="112" t="s">
        <v>271</v>
      </c>
      <c r="C852" s="112">
        <v>4</v>
      </c>
      <c r="D852" s="112">
        <v>38</v>
      </c>
      <c r="E852" s="113">
        <v>23</v>
      </c>
      <c r="F852" s="113">
        <v>24</v>
      </c>
      <c r="M852" s="185">
        <v>3.75</v>
      </c>
      <c r="N852" s="157">
        <v>41837</v>
      </c>
      <c r="R852" s="185"/>
      <c r="S852" s="137">
        <v>10.08</v>
      </c>
      <c r="T852" s="157">
        <v>41837</v>
      </c>
      <c r="U852" s="142">
        <v>18</v>
      </c>
      <c r="Y852" s="142">
        <f t="shared" si="13"/>
        <v>8.5033000000000012</v>
      </c>
      <c r="Z852" s="157">
        <v>41837</v>
      </c>
      <c r="AE852" s="137">
        <v>21.1</v>
      </c>
      <c r="AF852" s="157">
        <v>41837</v>
      </c>
      <c r="AG852" s="185">
        <v>4.9400000000000004</v>
      </c>
      <c r="AH852" s="157">
        <v>41837</v>
      </c>
      <c r="AM852" s="137">
        <v>80</v>
      </c>
      <c r="BM852" s="138">
        <v>60.67</v>
      </c>
      <c r="BN852" s="157">
        <v>41837</v>
      </c>
      <c r="BS852" s="138">
        <v>47.75</v>
      </c>
      <c r="BT852" s="157">
        <v>41837</v>
      </c>
      <c r="BU852" s="138">
        <v>40.299999999999997</v>
      </c>
      <c r="BV852" s="157">
        <v>41837</v>
      </c>
      <c r="BW852" s="138">
        <v>47.3</v>
      </c>
      <c r="BX852" s="157">
        <v>41837</v>
      </c>
      <c r="CC852" s="138">
        <v>7.1</v>
      </c>
      <c r="CD852" s="157">
        <v>41837</v>
      </c>
    </row>
    <row r="853" spans="1:91">
      <c r="A853" s="159" t="s">
        <v>7794</v>
      </c>
      <c r="B853" s="112" t="s">
        <v>271</v>
      </c>
      <c r="C853" s="112">
        <v>4</v>
      </c>
      <c r="D853" s="112">
        <v>121</v>
      </c>
      <c r="E853" s="113">
        <v>24</v>
      </c>
      <c r="F853" s="113">
        <v>24</v>
      </c>
      <c r="M853" s="185">
        <v>6.52</v>
      </c>
      <c r="N853" s="157">
        <v>41837</v>
      </c>
      <c r="R853" s="185"/>
      <c r="S853" s="137">
        <v>18.3</v>
      </c>
      <c r="T853" s="157">
        <v>41837</v>
      </c>
      <c r="U853" s="142">
        <v>18</v>
      </c>
      <c r="Y853" s="142">
        <f t="shared" si="13"/>
        <v>14.039010000000001</v>
      </c>
      <c r="Z853" s="157">
        <v>41837</v>
      </c>
      <c r="AE853" s="137">
        <v>36.090000000000003</v>
      </c>
      <c r="AF853" s="157">
        <v>41837</v>
      </c>
      <c r="AG853" s="185">
        <v>5.61</v>
      </c>
      <c r="AH853" s="157">
        <v>41837</v>
      </c>
      <c r="AM853" s="137">
        <v>94</v>
      </c>
      <c r="BM853" s="138">
        <v>60.37</v>
      </c>
      <c r="BN853" s="157">
        <v>41837</v>
      </c>
      <c r="BS853" s="138">
        <v>50.71</v>
      </c>
      <c r="BT853" s="157">
        <v>41837</v>
      </c>
      <c r="BU853" s="138">
        <v>38.9</v>
      </c>
      <c r="BV853" s="157">
        <v>41837</v>
      </c>
      <c r="BW853" s="138">
        <v>15.1</v>
      </c>
      <c r="BX853" s="157">
        <v>41837</v>
      </c>
      <c r="CC853" s="138">
        <v>8.6</v>
      </c>
      <c r="CD853" s="157">
        <v>41837</v>
      </c>
    </row>
    <row r="854" spans="1:91">
      <c r="A854" s="159" t="s">
        <v>7771</v>
      </c>
      <c r="B854" s="112" t="s">
        <v>271</v>
      </c>
      <c r="C854" s="112">
        <v>4</v>
      </c>
      <c r="D854" s="112">
        <v>146</v>
      </c>
      <c r="E854" s="113">
        <v>25</v>
      </c>
      <c r="F854" s="113">
        <v>24</v>
      </c>
      <c r="M854" s="185">
        <v>7.54</v>
      </c>
      <c r="N854" s="157">
        <v>41837</v>
      </c>
      <c r="R854" s="185"/>
      <c r="S854" s="137">
        <v>22.3</v>
      </c>
      <c r="T854" s="157">
        <v>41837</v>
      </c>
      <c r="U854" s="142">
        <v>18</v>
      </c>
      <c r="Y854" s="142">
        <f t="shared" si="13"/>
        <v>15.88875</v>
      </c>
      <c r="Z854" s="157">
        <v>41837</v>
      </c>
      <c r="AE854" s="137">
        <v>42.37</v>
      </c>
      <c r="AF854" s="157">
        <v>41837</v>
      </c>
      <c r="AG854" s="185">
        <v>4.97</v>
      </c>
      <c r="AH854" s="157">
        <v>41837</v>
      </c>
      <c r="AM854" s="137">
        <v>94</v>
      </c>
      <c r="BM854" s="138">
        <v>63.3</v>
      </c>
      <c r="BN854" s="157">
        <v>41837</v>
      </c>
      <c r="BS854" s="138">
        <v>52.64</v>
      </c>
      <c r="BT854" s="157">
        <v>41837</v>
      </c>
      <c r="BU854" s="138">
        <v>37.5</v>
      </c>
      <c r="BV854" s="157">
        <v>41837</v>
      </c>
      <c r="BW854" s="138">
        <v>15.6</v>
      </c>
      <c r="BX854" s="157">
        <v>41837</v>
      </c>
      <c r="CC854" s="138">
        <v>7.2</v>
      </c>
      <c r="CD854" s="157">
        <v>41837</v>
      </c>
    </row>
    <row r="855" spans="1:91">
      <c r="A855" s="189" t="s">
        <v>7778</v>
      </c>
      <c r="B855" s="190" t="s">
        <v>271</v>
      </c>
      <c r="C855" s="190">
        <v>4</v>
      </c>
      <c r="D855" s="190">
        <v>42</v>
      </c>
      <c r="E855" s="191">
        <v>26</v>
      </c>
      <c r="F855" s="191">
        <v>24</v>
      </c>
      <c r="G855" s="191"/>
      <c r="H855" s="191"/>
      <c r="I855" s="190"/>
      <c r="J855" s="190"/>
      <c r="K855" s="195"/>
      <c r="L855" s="193"/>
      <c r="M855" s="194">
        <v>6.66</v>
      </c>
      <c r="N855" s="193">
        <v>41837</v>
      </c>
      <c r="P855" s="193"/>
      <c r="Q855" s="195"/>
      <c r="R855" s="194"/>
      <c r="S855" s="195">
        <v>18.79</v>
      </c>
      <c r="T855" s="193">
        <v>41837</v>
      </c>
      <c r="U855" s="192">
        <v>18</v>
      </c>
      <c r="V855" s="193"/>
      <c r="W855" s="195"/>
      <c r="X855" s="193"/>
      <c r="Y855" s="192">
        <f t="shared" si="13"/>
        <v>14.74742</v>
      </c>
      <c r="Z855" s="193">
        <v>41837</v>
      </c>
      <c r="AA855" s="195"/>
      <c r="AB855" s="193"/>
      <c r="AC855" s="195"/>
      <c r="AD855" s="193"/>
      <c r="AE855" s="195">
        <v>37.43</v>
      </c>
      <c r="AF855" s="193">
        <v>41837</v>
      </c>
      <c r="AG855" s="194">
        <v>4.97</v>
      </c>
      <c r="AH855" s="193">
        <v>41837</v>
      </c>
      <c r="AI855" s="193"/>
      <c r="AJ855" s="193"/>
      <c r="AK855" s="195"/>
      <c r="AL855" s="193"/>
      <c r="AM855" s="195">
        <v>94</v>
      </c>
      <c r="AN855" s="193"/>
      <c r="AO855" s="195"/>
      <c r="AP855" s="195"/>
      <c r="AQ855" s="195"/>
      <c r="AR855" s="195"/>
      <c r="AS855" s="195"/>
      <c r="AT855" s="195"/>
      <c r="AU855" s="195"/>
      <c r="AV855" s="195"/>
      <c r="AW855" s="195"/>
      <c r="AX855" s="195"/>
      <c r="AY855" s="195"/>
      <c r="AZ855" s="195"/>
      <c r="BA855" s="195"/>
      <c r="BB855" s="195"/>
      <c r="BC855" s="195"/>
      <c r="BD855" s="195"/>
      <c r="BE855" s="196"/>
      <c r="BF855" s="196"/>
      <c r="BG855" s="196"/>
      <c r="BH855" s="196"/>
      <c r="BI855" s="196"/>
      <c r="BJ855" s="196"/>
      <c r="BK855" s="196"/>
      <c r="BL855" s="196"/>
      <c r="BM855" s="196">
        <v>63.77</v>
      </c>
      <c r="BN855" s="193">
        <v>41837</v>
      </c>
      <c r="BO855" s="196"/>
      <c r="BP855" s="196"/>
      <c r="BQ855" s="196"/>
      <c r="BR855" s="196"/>
      <c r="BS855" s="196">
        <v>50.2</v>
      </c>
      <c r="BT855" s="193">
        <v>41837</v>
      </c>
      <c r="BU855" s="196">
        <v>39.4</v>
      </c>
      <c r="BV855" s="193">
        <v>41837</v>
      </c>
      <c r="BW855" s="196">
        <v>16.5</v>
      </c>
      <c r="BX855" s="193">
        <v>41837</v>
      </c>
      <c r="BY855" s="196"/>
      <c r="BZ855" s="196"/>
      <c r="CA855" s="196"/>
      <c r="CB855" s="196"/>
      <c r="CC855" s="196">
        <v>7.2</v>
      </c>
      <c r="CD855" s="193">
        <v>41837</v>
      </c>
      <c r="CE855" s="196"/>
      <c r="CF855" s="196"/>
      <c r="CG855" s="196"/>
      <c r="CH855" s="196"/>
      <c r="CI855" s="196"/>
      <c r="CJ855" s="196"/>
      <c r="CK855" s="196"/>
      <c r="CL855" s="196"/>
      <c r="CM855" s="196"/>
    </row>
    <row r="856" spans="1:91">
      <c r="A856" s="159" t="s">
        <v>7808</v>
      </c>
      <c r="B856" s="112" t="s">
        <v>271</v>
      </c>
      <c r="C856" s="112">
        <v>4</v>
      </c>
      <c r="D856" s="112">
        <v>91</v>
      </c>
      <c r="E856" s="113">
        <v>27</v>
      </c>
      <c r="F856" s="113">
        <v>24</v>
      </c>
      <c r="M856" s="185">
        <v>6.46</v>
      </c>
      <c r="N856" s="157">
        <v>41837</v>
      </c>
      <c r="R856" s="185"/>
      <c r="S856" s="137">
        <v>18.34</v>
      </c>
      <c r="T856" s="157">
        <v>41837</v>
      </c>
      <c r="U856" s="142">
        <v>18</v>
      </c>
      <c r="Y856" s="142">
        <f t="shared" si="13"/>
        <v>14.167380000000001</v>
      </c>
      <c r="Z856" s="157">
        <v>41837</v>
      </c>
      <c r="AE856" s="137">
        <v>36.42</v>
      </c>
      <c r="AF856" s="157">
        <v>41837</v>
      </c>
      <c r="AG856" s="185">
        <v>5.3</v>
      </c>
      <c r="AH856" s="157">
        <v>41837</v>
      </c>
      <c r="AM856" s="137">
        <v>92</v>
      </c>
      <c r="BM856" s="138">
        <v>61.22</v>
      </c>
      <c r="BN856" s="157">
        <v>41837</v>
      </c>
      <c r="BS856" s="138">
        <v>50.37</v>
      </c>
      <c r="BT856" s="157">
        <v>41837</v>
      </c>
      <c r="BU856" s="138">
        <v>38.9</v>
      </c>
      <c r="BV856" s="157">
        <v>41837</v>
      </c>
      <c r="BW856" s="138">
        <v>18.399999999999999</v>
      </c>
      <c r="BX856" s="157">
        <v>41837</v>
      </c>
      <c r="CC856" s="138">
        <v>6.9</v>
      </c>
      <c r="CD856" s="157">
        <v>41837</v>
      </c>
    </row>
    <row r="857" spans="1:91">
      <c r="A857" s="159" t="s">
        <v>7615</v>
      </c>
      <c r="B857" s="112" t="s">
        <v>271</v>
      </c>
      <c r="C857" s="112">
        <v>4</v>
      </c>
      <c r="D857" s="112">
        <v>132</v>
      </c>
      <c r="E857" s="113">
        <v>28</v>
      </c>
      <c r="F857" s="113">
        <v>24</v>
      </c>
      <c r="M857" s="185">
        <v>3.13</v>
      </c>
      <c r="N857" s="157">
        <v>41837</v>
      </c>
      <c r="R857" s="185"/>
      <c r="S857" s="137">
        <v>8.61</v>
      </c>
      <c r="T857" s="157">
        <v>41837</v>
      </c>
      <c r="U857" s="142">
        <v>18</v>
      </c>
      <c r="Y857" s="142">
        <f t="shared" si="13"/>
        <v>7.6248000000000005</v>
      </c>
      <c r="Z857" s="157">
        <v>41837</v>
      </c>
      <c r="AE857" s="137">
        <v>17.649999999999999</v>
      </c>
      <c r="AF857" s="157">
        <v>41837</v>
      </c>
      <c r="AG857" s="185">
        <v>5.85</v>
      </c>
      <c r="AH857" s="157">
        <v>41837</v>
      </c>
      <c r="AM857" s="137">
        <v>90</v>
      </c>
      <c r="BM857" s="138">
        <v>64.5</v>
      </c>
      <c r="BN857" s="157">
        <v>41837</v>
      </c>
      <c r="BS857" s="138">
        <v>48.81</v>
      </c>
      <c r="BT857" s="157">
        <v>41837</v>
      </c>
      <c r="BU857" s="138">
        <v>43.2</v>
      </c>
      <c r="BV857" s="157">
        <v>41837</v>
      </c>
      <c r="BW857" s="138">
        <v>67.599999999999994</v>
      </c>
      <c r="BX857" s="157">
        <v>41837</v>
      </c>
      <c r="CC857" s="138">
        <v>6.9</v>
      </c>
      <c r="CD857" s="157">
        <v>41837</v>
      </c>
    </row>
    <row r="858" spans="1:91">
      <c r="A858" s="159" t="s">
        <v>7769</v>
      </c>
      <c r="B858" s="112" t="s">
        <v>271</v>
      </c>
      <c r="C858" s="112">
        <v>4</v>
      </c>
      <c r="D858" s="112">
        <v>24</v>
      </c>
      <c r="E858" s="113">
        <v>29</v>
      </c>
      <c r="F858" s="113">
        <v>24</v>
      </c>
      <c r="M858" s="185">
        <v>7.28</v>
      </c>
      <c r="N858" s="157">
        <v>41837</v>
      </c>
      <c r="R858" s="185"/>
      <c r="S858" s="137">
        <v>21.26</v>
      </c>
      <c r="T858" s="157">
        <v>41837</v>
      </c>
      <c r="U858" s="142">
        <v>18</v>
      </c>
      <c r="Y858" s="142">
        <f t="shared" si="13"/>
        <v>16.077629999999996</v>
      </c>
      <c r="Z858" s="157">
        <v>41837</v>
      </c>
      <c r="AE858" s="137">
        <v>40.909999999999997</v>
      </c>
      <c r="AF858" s="157">
        <v>41837</v>
      </c>
      <c r="AG858" s="185">
        <v>4.13</v>
      </c>
      <c r="AH858" s="157">
        <v>41837</v>
      </c>
      <c r="AM858" s="137">
        <v>87</v>
      </c>
      <c r="BM858" s="138">
        <v>63.99</v>
      </c>
      <c r="BN858" s="157">
        <v>41837</v>
      </c>
      <c r="BS858" s="138">
        <v>51.96</v>
      </c>
      <c r="BT858" s="157">
        <v>41837</v>
      </c>
      <c r="BU858" s="138">
        <v>39.299999999999997</v>
      </c>
      <c r="BV858" s="157">
        <v>41837</v>
      </c>
      <c r="BW858" s="138">
        <v>16.2</v>
      </c>
      <c r="BX858" s="157">
        <v>41837</v>
      </c>
      <c r="CC858" s="138">
        <v>7.2</v>
      </c>
      <c r="CD858" s="157">
        <v>41837</v>
      </c>
    </row>
    <row r="859" spans="1:91">
      <c r="A859" s="159" t="s">
        <v>7639</v>
      </c>
      <c r="B859" s="112" t="s">
        <v>271</v>
      </c>
      <c r="C859" s="112">
        <v>4</v>
      </c>
      <c r="D859" s="112">
        <v>111</v>
      </c>
      <c r="E859" s="113">
        <v>30</v>
      </c>
      <c r="F859" s="113">
        <v>24</v>
      </c>
      <c r="M859" s="185">
        <v>2.91</v>
      </c>
      <c r="N859" s="157">
        <v>41837</v>
      </c>
      <c r="R859" s="185"/>
      <c r="S859" s="137">
        <v>7.83</v>
      </c>
      <c r="T859" s="157">
        <v>41837</v>
      </c>
      <c r="U859" s="142">
        <v>18</v>
      </c>
      <c r="Y859" s="142">
        <f t="shared" si="13"/>
        <v>6.5887800000000007</v>
      </c>
      <c r="Z859" s="157">
        <v>41837</v>
      </c>
      <c r="AE859" s="137">
        <v>16.39</v>
      </c>
      <c r="AF859" s="157">
        <v>41837</v>
      </c>
      <c r="AG859" s="185">
        <v>4.58</v>
      </c>
      <c r="AH859" s="157">
        <v>41837</v>
      </c>
      <c r="AM859" s="137">
        <v>87</v>
      </c>
      <c r="BM859" s="138">
        <v>61.1</v>
      </c>
      <c r="BN859" s="157">
        <v>41837</v>
      </c>
      <c r="BS859" s="138">
        <v>47.8</v>
      </c>
      <c r="BT859" s="157">
        <v>41837</v>
      </c>
      <c r="BU859" s="138">
        <v>40.200000000000003</v>
      </c>
      <c r="BV859" s="157">
        <v>41837</v>
      </c>
      <c r="BW859" s="138">
        <v>61.5</v>
      </c>
      <c r="BX859" s="157">
        <v>41837</v>
      </c>
      <c r="CC859" s="138">
        <v>7</v>
      </c>
      <c r="CD859" s="157">
        <v>41837</v>
      </c>
    </row>
    <row r="860" spans="1:91">
      <c r="A860" s="159" t="s">
        <v>7687</v>
      </c>
      <c r="B860" s="112" t="s">
        <v>271</v>
      </c>
      <c r="C860" s="112">
        <v>4</v>
      </c>
      <c r="D860" s="112">
        <v>80</v>
      </c>
      <c r="E860" s="113">
        <v>31</v>
      </c>
      <c r="F860" s="113">
        <v>24</v>
      </c>
      <c r="M860" s="185">
        <v>6.92</v>
      </c>
      <c r="N860" s="157">
        <v>41837</v>
      </c>
      <c r="R860" s="185"/>
      <c r="S860" s="137">
        <v>20.059999999999999</v>
      </c>
      <c r="T860" s="157">
        <v>41837</v>
      </c>
      <c r="U860" s="142">
        <v>18</v>
      </c>
      <c r="Y860" s="142">
        <f t="shared" si="13"/>
        <v>15.721029999999999</v>
      </c>
      <c r="Z860" s="157">
        <v>41837</v>
      </c>
      <c r="AE860" s="137">
        <v>39.01</v>
      </c>
      <c r="AF860" s="157">
        <v>41837</v>
      </c>
      <c r="AG860" s="185">
        <v>4.7300000000000004</v>
      </c>
      <c r="AH860" s="157">
        <v>41837</v>
      </c>
      <c r="AM860" s="137">
        <v>90</v>
      </c>
      <c r="BM860" s="138">
        <v>56.76</v>
      </c>
      <c r="BN860" s="157">
        <v>41837</v>
      </c>
      <c r="BS860" s="138">
        <v>51.43</v>
      </c>
      <c r="BT860" s="157">
        <v>41837</v>
      </c>
      <c r="BU860" s="138">
        <v>40.299999999999997</v>
      </c>
      <c r="BV860" s="157">
        <v>41837</v>
      </c>
      <c r="BW860" s="138">
        <v>17.5</v>
      </c>
      <c r="BX860" s="157">
        <v>41837</v>
      </c>
      <c r="CC860" s="138">
        <v>6.9</v>
      </c>
      <c r="CD860" s="157">
        <v>41837</v>
      </c>
    </row>
    <row r="861" spans="1:91">
      <c r="A861" s="159" t="s">
        <v>7774</v>
      </c>
      <c r="B861" s="112" t="s">
        <v>271</v>
      </c>
      <c r="C861" s="112">
        <v>4</v>
      </c>
      <c r="D861" s="112">
        <v>16</v>
      </c>
      <c r="E861" s="113">
        <v>32</v>
      </c>
      <c r="F861" s="113">
        <v>24</v>
      </c>
      <c r="I861" s="200"/>
      <c r="K861" s="142"/>
      <c r="M861" s="185">
        <v>7.66</v>
      </c>
      <c r="N861" s="157">
        <v>41837</v>
      </c>
      <c r="Q861" s="142"/>
      <c r="R861" s="185"/>
      <c r="S861" s="142">
        <v>21.82</v>
      </c>
      <c r="T861" s="157">
        <v>41837</v>
      </c>
      <c r="U861" s="142">
        <v>18</v>
      </c>
      <c r="W861" s="142"/>
      <c r="Y861" s="142">
        <f t="shared" si="13"/>
        <v>16.875599999999999</v>
      </c>
      <c r="Z861" s="157">
        <v>41837</v>
      </c>
      <c r="AA861" s="142"/>
      <c r="AE861" s="142">
        <v>43.05</v>
      </c>
      <c r="AF861" s="157">
        <v>41837</v>
      </c>
      <c r="AG861" s="185">
        <v>5.57</v>
      </c>
      <c r="AH861" s="157">
        <v>41837</v>
      </c>
      <c r="AK861" s="142"/>
      <c r="AM861" s="142">
        <v>92</v>
      </c>
      <c r="BM861" s="138">
        <v>61.47</v>
      </c>
      <c r="BN861" s="157">
        <v>41837</v>
      </c>
      <c r="BS861" s="138">
        <v>50.69</v>
      </c>
      <c r="BT861" s="157">
        <v>41837</v>
      </c>
      <c r="BU861" s="138">
        <v>39.200000000000003</v>
      </c>
      <c r="BV861" s="157">
        <v>41837</v>
      </c>
      <c r="BW861" s="138">
        <v>19.100000000000001</v>
      </c>
      <c r="BX861" s="157">
        <v>41837</v>
      </c>
      <c r="CC861" s="138">
        <v>7.2</v>
      </c>
      <c r="CD861" s="157">
        <v>41837</v>
      </c>
    </row>
    <row r="862" spans="1:91">
      <c r="A862" s="159" t="s">
        <v>7738</v>
      </c>
      <c r="B862" s="112" t="s">
        <v>271</v>
      </c>
      <c r="C862" s="112">
        <v>4</v>
      </c>
      <c r="D862" s="112">
        <v>155</v>
      </c>
      <c r="E862" s="113">
        <v>33</v>
      </c>
      <c r="F862" s="113">
        <v>24</v>
      </c>
      <c r="M862" s="185">
        <v>5.31</v>
      </c>
      <c r="N862" s="157">
        <v>41837</v>
      </c>
      <c r="R862" s="185"/>
      <c r="S862" s="137">
        <v>14.58</v>
      </c>
      <c r="T862" s="157">
        <v>41837</v>
      </c>
      <c r="U862" s="142">
        <v>18</v>
      </c>
      <c r="Y862" s="142">
        <f t="shared" si="13"/>
        <v>11.286620000000001</v>
      </c>
      <c r="Z862" s="157">
        <v>41837</v>
      </c>
      <c r="AE862" s="137">
        <v>29.78</v>
      </c>
      <c r="AF862" s="157">
        <v>41837</v>
      </c>
      <c r="AG862" s="185">
        <v>4.57</v>
      </c>
      <c r="AH862" s="157">
        <v>41837</v>
      </c>
      <c r="AM862" s="137">
        <v>92</v>
      </c>
      <c r="BM862" s="138">
        <v>57.58</v>
      </c>
      <c r="BN862" s="157">
        <v>41837</v>
      </c>
      <c r="BS862" s="138">
        <v>48.96</v>
      </c>
      <c r="BT862" s="157">
        <v>41837</v>
      </c>
      <c r="BU862" s="138">
        <v>37.9</v>
      </c>
      <c r="BV862" s="157">
        <v>41837</v>
      </c>
      <c r="BW862" s="138">
        <v>19.100000000000001</v>
      </c>
      <c r="BX862" s="157">
        <v>41837</v>
      </c>
      <c r="CC862" s="138">
        <v>7.4</v>
      </c>
      <c r="CD862" s="157">
        <v>41837</v>
      </c>
    </row>
    <row r="863" spans="1:91">
      <c r="A863" s="159" t="s">
        <v>7813</v>
      </c>
      <c r="B863" s="112" t="s">
        <v>271</v>
      </c>
      <c r="C863" s="112">
        <v>4</v>
      </c>
      <c r="D863" s="112">
        <v>60</v>
      </c>
      <c r="E863" s="113">
        <v>34</v>
      </c>
      <c r="F863" s="113">
        <v>24</v>
      </c>
      <c r="M863" s="185">
        <v>7.02</v>
      </c>
      <c r="N863" s="157">
        <v>41837</v>
      </c>
      <c r="R863" s="185"/>
      <c r="S863" s="137">
        <v>19.13</v>
      </c>
      <c r="T863" s="157">
        <v>41837</v>
      </c>
      <c r="U863" s="142">
        <v>18</v>
      </c>
      <c r="Y863" s="142">
        <f t="shared" si="13"/>
        <v>15.32212</v>
      </c>
      <c r="Z863" s="157">
        <v>41837</v>
      </c>
      <c r="AE863" s="137">
        <v>39.49</v>
      </c>
      <c r="AF863" s="157">
        <v>41837</v>
      </c>
      <c r="AG863" s="185">
        <v>4.92</v>
      </c>
      <c r="AH863" s="157">
        <v>41837</v>
      </c>
      <c r="AM863" s="137">
        <v>94</v>
      </c>
      <c r="BM863" s="138">
        <v>59.8</v>
      </c>
      <c r="BN863" s="157">
        <v>41837</v>
      </c>
      <c r="BS863" s="138">
        <v>48.45</v>
      </c>
      <c r="BT863" s="157">
        <v>41837</v>
      </c>
      <c r="BU863" s="138">
        <v>38.799999999999997</v>
      </c>
      <c r="BV863" s="157">
        <v>41837</v>
      </c>
      <c r="BW863" s="138">
        <v>14</v>
      </c>
      <c r="BX863" s="157">
        <v>41837</v>
      </c>
      <c r="CC863" s="138">
        <v>7.1</v>
      </c>
      <c r="CD863" s="157">
        <v>41837</v>
      </c>
    </row>
    <row r="864" spans="1:91">
      <c r="A864" s="159" t="s">
        <v>7748</v>
      </c>
      <c r="B864" s="112" t="s">
        <v>271</v>
      </c>
      <c r="C864" s="112">
        <v>4</v>
      </c>
      <c r="D864" s="112">
        <v>194</v>
      </c>
      <c r="E864" s="113">
        <v>35</v>
      </c>
      <c r="F864" s="113">
        <v>24</v>
      </c>
      <c r="M864" s="185">
        <v>1.82</v>
      </c>
      <c r="N864" s="157">
        <v>41837</v>
      </c>
      <c r="R864" s="185"/>
      <c r="S864" s="137">
        <v>4.91</v>
      </c>
      <c r="T864" s="157">
        <v>41837</v>
      </c>
      <c r="U864" s="142">
        <v>18</v>
      </c>
      <c r="Y864" s="142">
        <f t="shared" si="13"/>
        <v>4.0708799999999998</v>
      </c>
      <c r="Z864" s="157">
        <v>41837</v>
      </c>
      <c r="AE864" s="137">
        <v>10.28</v>
      </c>
      <c r="AF864" s="157">
        <v>41837</v>
      </c>
      <c r="AG864" s="185">
        <v>4.3</v>
      </c>
      <c r="AH864" s="157">
        <v>41837</v>
      </c>
      <c r="AM864" s="137">
        <v>94</v>
      </c>
      <c r="BM864" s="138">
        <v>60.27</v>
      </c>
      <c r="BN864" s="157">
        <v>41837</v>
      </c>
      <c r="BS864" s="138">
        <v>47.78</v>
      </c>
      <c r="BT864" s="157">
        <v>41837</v>
      </c>
      <c r="BU864" s="138">
        <v>39.6</v>
      </c>
      <c r="BV864" s="157">
        <v>41837</v>
      </c>
      <c r="BW864" s="138">
        <v>47.9</v>
      </c>
      <c r="BX864" s="157">
        <v>41837</v>
      </c>
      <c r="CC864" s="138">
        <v>6.7</v>
      </c>
      <c r="CD864" s="157">
        <v>41837</v>
      </c>
    </row>
    <row r="865" spans="1:82">
      <c r="A865" s="159" t="s">
        <v>7681</v>
      </c>
      <c r="B865" s="112" t="s">
        <v>271</v>
      </c>
      <c r="C865" s="112">
        <v>4</v>
      </c>
      <c r="D865" s="112">
        <v>72</v>
      </c>
      <c r="E865" s="113">
        <v>36</v>
      </c>
      <c r="F865" s="113">
        <v>24</v>
      </c>
      <c r="M865" s="185">
        <v>6.88</v>
      </c>
      <c r="N865" s="157">
        <v>41837</v>
      </c>
      <c r="R865" s="185"/>
      <c r="S865" s="137">
        <v>19.739999999999998</v>
      </c>
      <c r="T865" s="157">
        <v>41837</v>
      </c>
      <c r="U865" s="142">
        <v>18</v>
      </c>
      <c r="Y865" s="142">
        <f t="shared" si="13"/>
        <v>15.46125</v>
      </c>
      <c r="Z865" s="157">
        <v>41837</v>
      </c>
      <c r="AE865" s="137">
        <v>38.75</v>
      </c>
      <c r="AF865" s="157">
        <v>41837</v>
      </c>
      <c r="AG865" s="185">
        <v>5.38</v>
      </c>
      <c r="AH865" s="157">
        <v>41837</v>
      </c>
      <c r="AM865" s="137">
        <v>94</v>
      </c>
      <c r="BM865" s="138">
        <v>63.41</v>
      </c>
      <c r="BN865" s="157">
        <v>41837</v>
      </c>
      <c r="BS865" s="138">
        <v>50.94</v>
      </c>
      <c r="BT865" s="157">
        <v>41837</v>
      </c>
      <c r="BU865" s="138">
        <v>39.9</v>
      </c>
      <c r="BV865" s="157">
        <v>41837</v>
      </c>
      <c r="BW865" s="138">
        <v>19.3</v>
      </c>
      <c r="BX865" s="157">
        <v>41837</v>
      </c>
      <c r="CC865" s="138">
        <v>7</v>
      </c>
      <c r="CD865" s="157">
        <v>41837</v>
      </c>
    </row>
  </sheetData>
  <sheetProtection selectLockedCells="1" selectUnlockedCells="1"/>
  <autoFilter ref="A1:CM865">
    <sortState ref="A2:CM865">
      <sortCondition ref="F2:F865"/>
      <sortCondition ref="E2:E865"/>
    </sortState>
  </autoFilter>
  <sortState ref="A2:CM865">
    <sortCondition ref="A2:A865"/>
    <sortCondition ref="B2:B865"/>
    <sortCondition ref="C2:C865"/>
  </sortState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F6"/>
  <sheetViews>
    <sheetView zoomScale="95" zoomScaleNormal="95" workbookViewId="0">
      <selection activeCell="F26" sqref="F26"/>
    </sheetView>
  </sheetViews>
  <sheetFormatPr baseColWidth="10" defaultColWidth="11.5703125" defaultRowHeight="12.75"/>
  <cols>
    <col min="1" max="1" width="10.28515625" style="143" customWidth="1"/>
    <col min="2" max="2" width="5.28515625" style="144" customWidth="1"/>
    <col min="3" max="3" width="9.42578125" style="143" customWidth="1"/>
    <col min="4" max="4" width="9" style="145" customWidth="1"/>
    <col min="5" max="5" width="14.140625" style="145" customWidth="1"/>
    <col min="6" max="6" width="12.42578125" style="145" customWidth="1"/>
    <col min="7" max="16384" width="11.5703125" style="146"/>
  </cols>
  <sheetData>
    <row r="1" spans="1:6">
      <c r="A1" s="147" t="s">
        <v>215</v>
      </c>
      <c r="B1" s="148" t="s">
        <v>216</v>
      </c>
      <c r="C1" s="147" t="s">
        <v>217</v>
      </c>
      <c r="D1" s="149" t="s">
        <v>218</v>
      </c>
      <c r="E1" s="149" t="s">
        <v>219</v>
      </c>
      <c r="F1" s="149" t="s">
        <v>29</v>
      </c>
    </row>
    <row r="2" spans="1:6">
      <c r="A2" s="143" t="s">
        <v>8128</v>
      </c>
      <c r="B2" s="144" t="s">
        <v>8129</v>
      </c>
      <c r="C2" s="143" t="s">
        <v>8130</v>
      </c>
    </row>
    <row r="3" spans="1:6">
      <c r="A3" s="143" t="s">
        <v>8131</v>
      </c>
      <c r="B3" s="144" t="s">
        <v>8129</v>
      </c>
      <c r="C3" s="143" t="s">
        <v>8130</v>
      </c>
    </row>
    <row r="4" spans="1:6">
      <c r="A4" s="143" t="s">
        <v>8132</v>
      </c>
      <c r="B4" s="144" t="s">
        <v>8129</v>
      </c>
      <c r="C4" s="143" t="s">
        <v>8130</v>
      </c>
    </row>
    <row r="5" spans="1:6">
      <c r="A5" s="143" t="s">
        <v>8133</v>
      </c>
      <c r="B5" s="144" t="s">
        <v>8129</v>
      </c>
      <c r="C5" s="143" t="s">
        <v>8130</v>
      </c>
    </row>
    <row r="6" spans="1:6">
      <c r="A6" s="143" t="s">
        <v>8134</v>
      </c>
      <c r="B6" s="144" t="s">
        <v>8129</v>
      </c>
      <c r="C6" s="143" t="s">
        <v>8130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C1"/>
  <sheetViews>
    <sheetView zoomScale="89" zoomScaleNormal="89" workbookViewId="0">
      <selection activeCellId="1" sqref="A2:B2 A1"/>
    </sheetView>
  </sheetViews>
  <sheetFormatPr baseColWidth="10" defaultColWidth="10.7109375" defaultRowHeight="12"/>
  <cols>
    <col min="1" max="1" width="9.28515625" style="150" customWidth="1"/>
    <col min="2" max="2" width="10.42578125" style="150" customWidth="1"/>
    <col min="3" max="3" width="11" style="150" customWidth="1"/>
  </cols>
  <sheetData>
    <row r="1" spans="1:3" s="152" customFormat="1">
      <c r="A1" s="151" t="s">
        <v>233</v>
      </c>
      <c r="B1" s="151" t="s">
        <v>234</v>
      </c>
      <c r="C1" s="151" t="s">
        <v>235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70"/>
  <sheetViews>
    <sheetView topLeftCell="A154" zoomScale="89" zoomScaleNormal="89" workbookViewId="0">
      <selection activeCellId="1" sqref="A2:B2 A1"/>
    </sheetView>
  </sheetViews>
  <sheetFormatPr baseColWidth="10" defaultColWidth="9" defaultRowHeight="12"/>
  <cols>
    <col min="1" max="1" width="82.140625" customWidth="1"/>
    <col min="2" max="2" width="105.28515625" customWidth="1"/>
    <col min="3" max="3" width="83.140625" customWidth="1"/>
    <col min="4" max="4" width="27.85546875" customWidth="1"/>
    <col min="5" max="5" width="46" customWidth="1"/>
  </cols>
  <sheetData>
    <row r="1" spans="1:5">
      <c r="A1" s="153" t="s">
        <v>146</v>
      </c>
      <c r="B1" s="153" t="s">
        <v>288</v>
      </c>
      <c r="C1" s="153" t="s">
        <v>149</v>
      </c>
      <c r="D1" s="153" t="s">
        <v>26</v>
      </c>
      <c r="E1" s="153" t="s">
        <v>65</v>
      </c>
    </row>
    <row r="2" spans="1:5">
      <c r="A2" s="153" t="s">
        <v>289</v>
      </c>
      <c r="B2" s="153" t="s">
        <v>290</v>
      </c>
      <c r="C2" s="153" t="s">
        <v>291</v>
      </c>
      <c r="D2" s="153" t="s">
        <v>292</v>
      </c>
      <c r="E2" s="153" t="s">
        <v>293</v>
      </c>
    </row>
    <row r="3" spans="1:5">
      <c r="A3" s="153" t="s">
        <v>294</v>
      </c>
      <c r="B3" s="153" t="s">
        <v>295</v>
      </c>
      <c r="C3" s="153" t="s">
        <v>296</v>
      </c>
      <c r="D3" s="153" t="s">
        <v>297</v>
      </c>
      <c r="E3" s="153" t="s">
        <v>298</v>
      </c>
    </row>
    <row r="4" spans="1:5">
      <c r="A4" s="153" t="s">
        <v>299</v>
      </c>
      <c r="B4" s="153" t="s">
        <v>300</v>
      </c>
      <c r="C4" s="153" t="s">
        <v>301</v>
      </c>
      <c r="D4" s="153" t="s">
        <v>302</v>
      </c>
      <c r="E4" s="153" t="s">
        <v>303</v>
      </c>
    </row>
    <row r="5" spans="1:5">
      <c r="A5" s="153" t="s">
        <v>304</v>
      </c>
      <c r="B5" s="153" t="s">
        <v>305</v>
      </c>
      <c r="C5" s="153" t="s">
        <v>306</v>
      </c>
      <c r="D5" s="153" t="s">
        <v>307</v>
      </c>
      <c r="E5" s="153" t="s">
        <v>308</v>
      </c>
    </row>
    <row r="6" spans="1:5">
      <c r="A6" s="153" t="s">
        <v>309</v>
      </c>
      <c r="B6" s="153" t="s">
        <v>310</v>
      </c>
      <c r="C6" s="153" t="s">
        <v>311</v>
      </c>
      <c r="D6" s="153" t="s">
        <v>312</v>
      </c>
      <c r="E6" s="153" t="s">
        <v>90</v>
      </c>
    </row>
    <row r="7" spans="1:5">
      <c r="A7" s="153" t="s">
        <v>313</v>
      </c>
      <c r="B7" s="153" t="s">
        <v>314</v>
      </c>
      <c r="C7" s="153" t="s">
        <v>315</v>
      </c>
      <c r="D7" s="153" t="s">
        <v>316</v>
      </c>
      <c r="E7" s="153" t="s">
        <v>317</v>
      </c>
    </row>
    <row r="8" spans="1:5">
      <c r="A8" s="153" t="s">
        <v>318</v>
      </c>
      <c r="B8" s="153" t="s">
        <v>319</v>
      </c>
      <c r="C8" s="153" t="s">
        <v>320</v>
      </c>
      <c r="D8" s="153" t="s">
        <v>321</v>
      </c>
      <c r="E8" s="153" t="s">
        <v>322</v>
      </c>
    </row>
    <row r="9" spans="1:5">
      <c r="A9" s="153" t="s">
        <v>323</v>
      </c>
      <c r="B9" s="153" t="s">
        <v>324</v>
      </c>
      <c r="C9" s="153" t="s">
        <v>325</v>
      </c>
      <c r="D9" s="153" t="s">
        <v>326</v>
      </c>
      <c r="E9" s="153" t="s">
        <v>327</v>
      </c>
    </row>
    <row r="10" spans="1:5">
      <c r="A10" s="153" t="s">
        <v>328</v>
      </c>
      <c r="B10" s="153" t="s">
        <v>329</v>
      </c>
      <c r="C10" s="153" t="s">
        <v>330</v>
      </c>
      <c r="D10" s="153" t="s">
        <v>331</v>
      </c>
      <c r="E10" s="153" t="s">
        <v>332</v>
      </c>
    </row>
    <row r="11" spans="1:5">
      <c r="A11" s="153" t="s">
        <v>333</v>
      </c>
      <c r="B11" s="153" t="s">
        <v>334</v>
      </c>
      <c r="C11" s="153" t="s">
        <v>335</v>
      </c>
      <c r="D11" s="153" t="s">
        <v>336</v>
      </c>
      <c r="E11" s="153" t="s">
        <v>337</v>
      </c>
    </row>
    <row r="12" spans="1:5">
      <c r="A12" s="153" t="s">
        <v>338</v>
      </c>
      <c r="B12" s="153" t="s">
        <v>339</v>
      </c>
      <c r="C12" s="153" t="s">
        <v>340</v>
      </c>
      <c r="D12" s="153" t="s">
        <v>341</v>
      </c>
      <c r="E12" s="153" t="s">
        <v>342</v>
      </c>
    </row>
    <row r="13" spans="1:5">
      <c r="A13" s="153" t="s">
        <v>343</v>
      </c>
      <c r="B13" s="153" t="s">
        <v>344</v>
      </c>
      <c r="C13" s="153" t="s">
        <v>345</v>
      </c>
      <c r="D13" s="153" t="s">
        <v>346</v>
      </c>
      <c r="E13" s="153" t="s">
        <v>347</v>
      </c>
    </row>
    <row r="14" spans="1:5">
      <c r="A14" s="153" t="s">
        <v>348</v>
      </c>
      <c r="B14" s="153" t="s">
        <v>349</v>
      </c>
      <c r="C14" s="153" t="s">
        <v>350</v>
      </c>
      <c r="D14" s="153" t="s">
        <v>351</v>
      </c>
      <c r="E14" s="153" t="s">
        <v>352</v>
      </c>
    </row>
    <row r="15" spans="1:5">
      <c r="A15" s="153" t="s">
        <v>353</v>
      </c>
      <c r="B15" s="153" t="s">
        <v>354</v>
      </c>
      <c r="C15" s="153" t="s">
        <v>355</v>
      </c>
      <c r="D15" s="153" t="s">
        <v>356</v>
      </c>
      <c r="E15" s="153" t="s">
        <v>357</v>
      </c>
    </row>
    <row r="16" spans="1:5">
      <c r="A16" s="153" t="s">
        <v>358</v>
      </c>
      <c r="B16" s="153" t="s">
        <v>359</v>
      </c>
      <c r="C16" s="153" t="s">
        <v>360</v>
      </c>
      <c r="D16" s="153" t="s">
        <v>361</v>
      </c>
      <c r="E16" s="153" t="s">
        <v>362</v>
      </c>
    </row>
    <row r="17" spans="1:5">
      <c r="A17" s="153" t="s">
        <v>363</v>
      </c>
      <c r="B17" s="153" t="s">
        <v>364</v>
      </c>
      <c r="C17" s="153" t="s">
        <v>365</v>
      </c>
      <c r="D17" s="153" t="s">
        <v>366</v>
      </c>
      <c r="E17" s="153" t="s">
        <v>367</v>
      </c>
    </row>
    <row r="18" spans="1:5">
      <c r="A18" s="153" t="s">
        <v>368</v>
      </c>
      <c r="B18" s="153" t="s">
        <v>369</v>
      </c>
      <c r="C18" s="153" t="s">
        <v>370</v>
      </c>
      <c r="D18" s="153" t="s">
        <v>371</v>
      </c>
      <c r="E18" s="153" t="s">
        <v>372</v>
      </c>
    </row>
    <row r="19" spans="1:5">
      <c r="A19" s="153" t="s">
        <v>373</v>
      </c>
      <c r="B19" s="153" t="s">
        <v>374</v>
      </c>
      <c r="C19" s="153" t="s">
        <v>375</v>
      </c>
      <c r="D19" s="153" t="s">
        <v>376</v>
      </c>
      <c r="E19" s="153" t="s">
        <v>377</v>
      </c>
    </row>
    <row r="20" spans="1:5">
      <c r="A20" s="153" t="s">
        <v>378</v>
      </c>
      <c r="B20" s="153" t="s">
        <v>379</v>
      </c>
      <c r="C20" s="153" t="s">
        <v>380</v>
      </c>
      <c r="D20" s="153" t="s">
        <v>381</v>
      </c>
      <c r="E20" s="153" t="s">
        <v>382</v>
      </c>
    </row>
    <row r="21" spans="1:5">
      <c r="A21" s="153" t="s">
        <v>383</v>
      </c>
      <c r="B21" s="153" t="s">
        <v>384</v>
      </c>
      <c r="C21" s="153" t="s">
        <v>385</v>
      </c>
      <c r="D21" s="153" t="s">
        <v>386</v>
      </c>
      <c r="E21" s="153" t="s">
        <v>387</v>
      </c>
    </row>
    <row r="22" spans="1:5">
      <c r="A22" s="153" t="s">
        <v>388</v>
      </c>
      <c r="B22" s="153" t="s">
        <v>389</v>
      </c>
      <c r="D22" s="153" t="s">
        <v>390</v>
      </c>
      <c r="E22" s="153" t="s">
        <v>391</v>
      </c>
    </row>
    <row r="23" spans="1:5">
      <c r="A23" s="153" t="s">
        <v>392</v>
      </c>
      <c r="B23" s="153" t="s">
        <v>393</v>
      </c>
      <c r="D23" s="153" t="s">
        <v>394</v>
      </c>
      <c r="E23" s="153" t="s">
        <v>395</v>
      </c>
    </row>
    <row r="24" spans="1:5">
      <c r="A24" s="153" t="s">
        <v>396</v>
      </c>
      <c r="B24" s="153" t="s">
        <v>397</v>
      </c>
      <c r="D24" s="153" t="s">
        <v>398</v>
      </c>
      <c r="E24" s="153" t="s">
        <v>399</v>
      </c>
    </row>
    <row r="25" spans="1:5">
      <c r="A25" s="153" t="s">
        <v>400</v>
      </c>
      <c r="B25" s="153" t="s">
        <v>401</v>
      </c>
      <c r="D25" s="153" t="s">
        <v>402</v>
      </c>
    </row>
    <row r="26" spans="1:5">
      <c r="A26" s="153" t="s">
        <v>403</v>
      </c>
      <c r="B26" s="153" t="s">
        <v>404</v>
      </c>
      <c r="D26" s="153" t="s">
        <v>405</v>
      </c>
    </row>
    <row r="27" spans="1:5">
      <c r="A27" s="153" t="s">
        <v>406</v>
      </c>
      <c r="B27" s="153" t="s">
        <v>407</v>
      </c>
      <c r="D27" s="153" t="s">
        <v>408</v>
      </c>
    </row>
    <row r="28" spans="1:5">
      <c r="A28" s="153" t="s">
        <v>409</v>
      </c>
      <c r="B28" s="153" t="s">
        <v>410</v>
      </c>
      <c r="D28" s="153" t="s">
        <v>411</v>
      </c>
    </row>
    <row r="29" spans="1:5">
      <c r="A29" s="153" t="s">
        <v>412</v>
      </c>
      <c r="B29" s="153" t="s">
        <v>413</v>
      </c>
      <c r="D29" s="153" t="s">
        <v>414</v>
      </c>
    </row>
    <row r="30" spans="1:5">
      <c r="A30" s="153" t="s">
        <v>415</v>
      </c>
      <c r="B30" s="153" t="s">
        <v>416</v>
      </c>
      <c r="D30" s="153" t="s">
        <v>417</v>
      </c>
    </row>
    <row r="31" spans="1:5">
      <c r="A31" s="153" t="s">
        <v>418</v>
      </c>
      <c r="B31" s="153" t="s">
        <v>419</v>
      </c>
      <c r="D31" s="153" t="s">
        <v>420</v>
      </c>
    </row>
    <row r="32" spans="1:5">
      <c r="A32" s="153" t="s">
        <v>421</v>
      </c>
      <c r="B32" s="153" t="s">
        <v>422</v>
      </c>
      <c r="D32" s="153" t="s">
        <v>423</v>
      </c>
    </row>
    <row r="33" spans="1:4">
      <c r="A33" s="153" t="s">
        <v>424</v>
      </c>
      <c r="B33" s="153" t="s">
        <v>425</v>
      </c>
      <c r="D33" s="153" t="s">
        <v>426</v>
      </c>
    </row>
    <row r="34" spans="1:4">
      <c r="A34" s="153" t="s">
        <v>427</v>
      </c>
      <c r="B34" s="153" t="s">
        <v>428</v>
      </c>
      <c r="D34" s="153" t="s">
        <v>429</v>
      </c>
    </row>
    <row r="35" spans="1:4">
      <c r="A35" s="153" t="s">
        <v>430</v>
      </c>
      <c r="B35" s="153" t="s">
        <v>431</v>
      </c>
      <c r="D35" s="153" t="s">
        <v>432</v>
      </c>
    </row>
    <row r="36" spans="1:4">
      <c r="A36" s="153" t="s">
        <v>433</v>
      </c>
      <c r="B36" s="153" t="s">
        <v>434</v>
      </c>
      <c r="D36" s="153" t="s">
        <v>435</v>
      </c>
    </row>
    <row r="37" spans="1:4">
      <c r="A37" s="153" t="s">
        <v>436</v>
      </c>
      <c r="B37" s="153" t="s">
        <v>437</v>
      </c>
      <c r="D37" s="153" t="s">
        <v>438</v>
      </c>
    </row>
    <row r="38" spans="1:4">
      <c r="A38" s="153" t="s">
        <v>439</v>
      </c>
      <c r="B38" s="153" t="s">
        <v>440</v>
      </c>
      <c r="D38" s="153" t="s">
        <v>441</v>
      </c>
    </row>
    <row r="39" spans="1:4">
      <c r="A39" s="153" t="s">
        <v>442</v>
      </c>
      <c r="B39" s="153" t="s">
        <v>443</v>
      </c>
      <c r="D39" s="153" t="s">
        <v>444</v>
      </c>
    </row>
    <row r="40" spans="1:4">
      <c r="A40" s="153" t="s">
        <v>445</v>
      </c>
      <c r="B40" s="153" t="s">
        <v>446</v>
      </c>
      <c r="D40" s="153" t="s">
        <v>447</v>
      </c>
    </row>
    <row r="41" spans="1:4">
      <c r="A41" s="153" t="s">
        <v>448</v>
      </c>
      <c r="B41" s="153" t="s">
        <v>449</v>
      </c>
      <c r="D41" s="153" t="s">
        <v>450</v>
      </c>
    </row>
    <row r="42" spans="1:4">
      <c r="A42" s="153" t="s">
        <v>451</v>
      </c>
      <c r="B42" s="153" t="s">
        <v>452</v>
      </c>
      <c r="D42" s="153" t="s">
        <v>453</v>
      </c>
    </row>
    <row r="43" spans="1:4">
      <c r="A43" s="153" t="s">
        <v>454</v>
      </c>
      <c r="B43" s="153" t="s">
        <v>455</v>
      </c>
      <c r="D43" s="153" t="s">
        <v>456</v>
      </c>
    </row>
    <row r="44" spans="1:4">
      <c r="A44" s="153" t="s">
        <v>457</v>
      </c>
      <c r="B44" s="153" t="s">
        <v>458</v>
      </c>
      <c r="D44" s="153" t="s">
        <v>459</v>
      </c>
    </row>
    <row r="45" spans="1:4">
      <c r="A45" s="153" t="s">
        <v>460</v>
      </c>
      <c r="B45" s="153" t="s">
        <v>461</v>
      </c>
      <c r="D45" s="153" t="s">
        <v>462</v>
      </c>
    </row>
    <row r="46" spans="1:4">
      <c r="A46" s="153" t="s">
        <v>463</v>
      </c>
      <c r="B46" s="153" t="s">
        <v>464</v>
      </c>
      <c r="D46" s="153" t="s">
        <v>465</v>
      </c>
    </row>
    <row r="47" spans="1:4">
      <c r="A47" s="153" t="s">
        <v>466</v>
      </c>
      <c r="B47" s="153" t="s">
        <v>467</v>
      </c>
      <c r="D47" s="153" t="s">
        <v>468</v>
      </c>
    </row>
    <row r="48" spans="1:4">
      <c r="A48" s="153" t="s">
        <v>469</v>
      </c>
      <c r="B48" s="153" t="s">
        <v>470</v>
      </c>
      <c r="D48" s="153" t="s">
        <v>471</v>
      </c>
    </row>
    <row r="49" spans="1:4">
      <c r="A49" s="153" t="s">
        <v>472</v>
      </c>
      <c r="B49" s="153" t="s">
        <v>473</v>
      </c>
      <c r="D49" s="153" t="s">
        <v>474</v>
      </c>
    </row>
    <row r="50" spans="1:4">
      <c r="A50" s="153" t="s">
        <v>475</v>
      </c>
      <c r="B50" s="153" t="s">
        <v>476</v>
      </c>
      <c r="D50" s="153" t="s">
        <v>477</v>
      </c>
    </row>
    <row r="51" spans="1:4">
      <c r="A51" s="153" t="s">
        <v>478</v>
      </c>
      <c r="B51" s="153" t="s">
        <v>479</v>
      </c>
      <c r="D51" s="153" t="s">
        <v>480</v>
      </c>
    </row>
    <row r="52" spans="1:4">
      <c r="A52" s="153" t="s">
        <v>481</v>
      </c>
      <c r="B52" s="153" t="s">
        <v>482</v>
      </c>
      <c r="D52" s="153" t="s">
        <v>483</v>
      </c>
    </row>
    <row r="53" spans="1:4">
      <c r="A53" s="153" t="s">
        <v>484</v>
      </c>
      <c r="B53" s="153" t="s">
        <v>485</v>
      </c>
      <c r="D53" s="153" t="s">
        <v>486</v>
      </c>
    </row>
    <row r="54" spans="1:4">
      <c r="A54" s="153" t="s">
        <v>487</v>
      </c>
      <c r="B54" s="153" t="s">
        <v>488</v>
      </c>
      <c r="D54" s="153" t="s">
        <v>489</v>
      </c>
    </row>
    <row r="55" spans="1:4">
      <c r="A55" s="153" t="s">
        <v>490</v>
      </c>
      <c r="B55" s="153" t="s">
        <v>491</v>
      </c>
      <c r="D55" s="153" t="s">
        <v>492</v>
      </c>
    </row>
    <row r="56" spans="1:4">
      <c r="A56" s="153" t="s">
        <v>493</v>
      </c>
      <c r="B56" s="153" t="s">
        <v>494</v>
      </c>
      <c r="D56" s="153" t="s">
        <v>495</v>
      </c>
    </row>
    <row r="57" spans="1:4">
      <c r="A57" s="153" t="s">
        <v>496</v>
      </c>
      <c r="B57" s="153" t="s">
        <v>497</v>
      </c>
      <c r="D57" s="153" t="s">
        <v>498</v>
      </c>
    </row>
    <row r="58" spans="1:4">
      <c r="A58" s="153" t="s">
        <v>499</v>
      </c>
      <c r="B58" s="153" t="s">
        <v>500</v>
      </c>
      <c r="D58" s="153" t="s">
        <v>501</v>
      </c>
    </row>
    <row r="59" spans="1:4">
      <c r="A59" s="153" t="s">
        <v>502</v>
      </c>
      <c r="B59" s="153" t="s">
        <v>503</v>
      </c>
      <c r="D59" s="153" t="s">
        <v>504</v>
      </c>
    </row>
    <row r="60" spans="1:4">
      <c r="A60" s="153" t="s">
        <v>505</v>
      </c>
      <c r="B60" s="153" t="s">
        <v>506</v>
      </c>
      <c r="D60" s="153" t="s">
        <v>507</v>
      </c>
    </row>
    <row r="61" spans="1:4">
      <c r="A61" s="153" t="s">
        <v>508</v>
      </c>
      <c r="B61" s="153" t="s">
        <v>509</v>
      </c>
      <c r="D61" s="153" t="s">
        <v>510</v>
      </c>
    </row>
    <row r="62" spans="1:4">
      <c r="A62" s="153" t="s">
        <v>511</v>
      </c>
      <c r="B62" s="153" t="s">
        <v>512</v>
      </c>
      <c r="D62" s="153" t="s">
        <v>513</v>
      </c>
    </row>
    <row r="63" spans="1:4">
      <c r="A63" s="153" t="s">
        <v>514</v>
      </c>
      <c r="B63" s="153" t="s">
        <v>515</v>
      </c>
      <c r="D63" s="153" t="s">
        <v>516</v>
      </c>
    </row>
    <row r="64" spans="1:4">
      <c r="A64" s="153" t="s">
        <v>517</v>
      </c>
      <c r="B64" s="153" t="s">
        <v>518</v>
      </c>
      <c r="D64" s="153" t="s">
        <v>519</v>
      </c>
    </row>
    <row r="65" spans="1:4">
      <c r="A65" s="153" t="s">
        <v>520</v>
      </c>
      <c r="B65" s="153" t="s">
        <v>521</v>
      </c>
      <c r="D65" s="153" t="s">
        <v>522</v>
      </c>
    </row>
    <row r="66" spans="1:4">
      <c r="A66" s="153" t="s">
        <v>523</v>
      </c>
      <c r="B66" s="153" t="s">
        <v>524</v>
      </c>
      <c r="D66" s="153" t="s">
        <v>525</v>
      </c>
    </row>
    <row r="67" spans="1:4">
      <c r="A67" s="153" t="s">
        <v>526</v>
      </c>
      <c r="B67" s="153" t="s">
        <v>527</v>
      </c>
      <c r="D67" s="153" t="s">
        <v>528</v>
      </c>
    </row>
    <row r="68" spans="1:4">
      <c r="A68" s="153" t="s">
        <v>529</v>
      </c>
      <c r="B68" s="153" t="s">
        <v>530</v>
      </c>
      <c r="D68" s="153" t="s">
        <v>531</v>
      </c>
    </row>
    <row r="69" spans="1:4">
      <c r="A69" s="153" t="s">
        <v>532</v>
      </c>
      <c r="B69" s="153" t="s">
        <v>533</v>
      </c>
      <c r="D69" s="153" t="s">
        <v>534</v>
      </c>
    </row>
    <row r="70" spans="1:4">
      <c r="A70" s="153" t="s">
        <v>535</v>
      </c>
      <c r="B70" s="153" t="s">
        <v>536</v>
      </c>
      <c r="D70" s="153" t="s">
        <v>537</v>
      </c>
    </row>
    <row r="71" spans="1:4">
      <c r="A71" s="153" t="s">
        <v>538</v>
      </c>
      <c r="B71" s="153" t="s">
        <v>539</v>
      </c>
      <c r="D71" s="153" t="s">
        <v>540</v>
      </c>
    </row>
    <row r="72" spans="1:4">
      <c r="A72" s="153" t="s">
        <v>541</v>
      </c>
      <c r="B72" s="153" t="s">
        <v>542</v>
      </c>
      <c r="D72" s="153" t="s">
        <v>543</v>
      </c>
    </row>
    <row r="73" spans="1:4">
      <c r="A73" s="153" t="s">
        <v>544</v>
      </c>
      <c r="B73" s="153" t="s">
        <v>545</v>
      </c>
      <c r="D73" s="153" t="s">
        <v>546</v>
      </c>
    </row>
    <row r="74" spans="1:4">
      <c r="A74" s="153" t="s">
        <v>547</v>
      </c>
      <c r="B74" s="153" t="s">
        <v>548</v>
      </c>
      <c r="D74" s="153" t="s">
        <v>549</v>
      </c>
    </row>
    <row r="75" spans="1:4">
      <c r="A75" s="153" t="s">
        <v>550</v>
      </c>
      <c r="B75" s="153" t="s">
        <v>551</v>
      </c>
      <c r="D75" s="153" t="s">
        <v>552</v>
      </c>
    </row>
    <row r="76" spans="1:4">
      <c r="A76" s="153" t="s">
        <v>259</v>
      </c>
      <c r="B76" s="153" t="s">
        <v>553</v>
      </c>
      <c r="D76" s="153" t="s">
        <v>554</v>
      </c>
    </row>
    <row r="77" spans="1:4">
      <c r="A77" s="153" t="s">
        <v>555</v>
      </c>
      <c r="B77" s="153" t="s">
        <v>556</v>
      </c>
      <c r="D77" s="153" t="s">
        <v>557</v>
      </c>
    </row>
    <row r="78" spans="1:4">
      <c r="A78" s="153" t="s">
        <v>558</v>
      </c>
      <c r="B78" s="153" t="s">
        <v>559</v>
      </c>
      <c r="D78" s="153" t="s">
        <v>560</v>
      </c>
    </row>
    <row r="79" spans="1:4">
      <c r="A79" s="153" t="s">
        <v>561</v>
      </c>
      <c r="B79" s="153" t="s">
        <v>562</v>
      </c>
      <c r="D79" s="153" t="s">
        <v>563</v>
      </c>
    </row>
    <row r="80" spans="1:4">
      <c r="A80" s="153" t="s">
        <v>564</v>
      </c>
      <c r="B80" s="153" t="s">
        <v>565</v>
      </c>
      <c r="D80" s="153" t="s">
        <v>566</v>
      </c>
    </row>
    <row r="81" spans="1:4">
      <c r="A81" s="153" t="s">
        <v>567</v>
      </c>
      <c r="B81" s="153" t="s">
        <v>568</v>
      </c>
      <c r="D81" s="153" t="s">
        <v>569</v>
      </c>
    </row>
    <row r="82" spans="1:4">
      <c r="A82" s="153" t="s">
        <v>570</v>
      </c>
      <c r="B82" s="153" t="s">
        <v>571</v>
      </c>
      <c r="D82" s="153" t="s">
        <v>572</v>
      </c>
    </row>
    <row r="83" spans="1:4">
      <c r="A83" s="153" t="s">
        <v>573</v>
      </c>
      <c r="B83" s="153" t="s">
        <v>574</v>
      </c>
      <c r="D83" s="153" t="s">
        <v>575</v>
      </c>
    </row>
    <row r="84" spans="1:4">
      <c r="A84" s="153" t="s">
        <v>576</v>
      </c>
      <c r="B84" s="153" t="s">
        <v>577</v>
      </c>
      <c r="D84" s="153" t="s">
        <v>578</v>
      </c>
    </row>
    <row r="85" spans="1:4">
      <c r="A85" s="153" t="s">
        <v>579</v>
      </c>
      <c r="B85" s="153" t="s">
        <v>580</v>
      </c>
      <c r="D85" s="153" t="s">
        <v>581</v>
      </c>
    </row>
    <row r="86" spans="1:4">
      <c r="A86" s="153" t="s">
        <v>582</v>
      </c>
      <c r="B86" s="153" t="s">
        <v>583</v>
      </c>
      <c r="D86" s="153" t="s">
        <v>584</v>
      </c>
    </row>
    <row r="87" spans="1:4">
      <c r="A87" s="153" t="s">
        <v>585</v>
      </c>
      <c r="B87" s="153" t="s">
        <v>586</v>
      </c>
      <c r="D87" s="153" t="s">
        <v>587</v>
      </c>
    </row>
    <row r="88" spans="1:4">
      <c r="A88" s="153" t="s">
        <v>588</v>
      </c>
      <c r="B88" s="153" t="s">
        <v>589</v>
      </c>
      <c r="D88" s="153" t="s">
        <v>590</v>
      </c>
    </row>
    <row r="89" spans="1:4">
      <c r="A89" s="153" t="s">
        <v>591</v>
      </c>
      <c r="B89" s="153" t="s">
        <v>592</v>
      </c>
      <c r="D89" s="153" t="s">
        <v>593</v>
      </c>
    </row>
    <row r="90" spans="1:4">
      <c r="A90" s="153" t="s">
        <v>594</v>
      </c>
      <c r="B90" s="153" t="s">
        <v>595</v>
      </c>
      <c r="D90" s="153" t="s">
        <v>596</v>
      </c>
    </row>
    <row r="91" spans="1:4">
      <c r="A91" s="153" t="s">
        <v>597</v>
      </c>
      <c r="B91" s="153" t="s">
        <v>598</v>
      </c>
      <c r="D91" s="153" t="s">
        <v>599</v>
      </c>
    </row>
    <row r="92" spans="1:4">
      <c r="A92" s="153" t="s">
        <v>600</v>
      </c>
      <c r="B92" s="153" t="s">
        <v>601</v>
      </c>
      <c r="D92" s="153" t="s">
        <v>602</v>
      </c>
    </row>
    <row r="93" spans="1:4">
      <c r="A93" s="153" t="s">
        <v>603</v>
      </c>
      <c r="B93" s="153" t="s">
        <v>604</v>
      </c>
      <c r="D93" s="153" t="s">
        <v>605</v>
      </c>
    </row>
    <row r="94" spans="1:4">
      <c r="A94" s="153" t="s">
        <v>606</v>
      </c>
      <c r="B94" s="153" t="s">
        <v>607</v>
      </c>
      <c r="D94" s="153" t="s">
        <v>608</v>
      </c>
    </row>
    <row r="95" spans="1:4">
      <c r="A95" s="153" t="s">
        <v>609</v>
      </c>
      <c r="B95" s="153" t="s">
        <v>610</v>
      </c>
      <c r="D95" s="153" t="s">
        <v>119</v>
      </c>
    </row>
    <row r="96" spans="1:4">
      <c r="A96" s="153" t="s">
        <v>611</v>
      </c>
      <c r="B96" s="153" t="s">
        <v>612</v>
      </c>
      <c r="D96" s="153" t="s">
        <v>613</v>
      </c>
    </row>
    <row r="97" spans="1:4">
      <c r="A97" s="153" t="s">
        <v>614</v>
      </c>
      <c r="B97" s="153" t="s">
        <v>615</v>
      </c>
      <c r="D97" s="153" t="s">
        <v>616</v>
      </c>
    </row>
    <row r="98" spans="1:4">
      <c r="A98" s="153" t="s">
        <v>617</v>
      </c>
      <c r="B98" s="153" t="s">
        <v>618</v>
      </c>
      <c r="D98" s="153" t="s">
        <v>619</v>
      </c>
    </row>
    <row r="99" spans="1:4">
      <c r="A99" s="153" t="s">
        <v>620</v>
      </c>
      <c r="B99" s="153" t="s">
        <v>621</v>
      </c>
      <c r="D99" s="153" t="s">
        <v>622</v>
      </c>
    </row>
    <row r="100" spans="1:4">
      <c r="A100" s="153" t="s">
        <v>623</v>
      </c>
      <c r="B100" s="153" t="s">
        <v>624</v>
      </c>
      <c r="D100" s="153" t="s">
        <v>625</v>
      </c>
    </row>
    <row r="101" spans="1:4">
      <c r="A101" s="153" t="s">
        <v>626</v>
      </c>
      <c r="B101" s="153" t="s">
        <v>627</v>
      </c>
      <c r="D101" s="153" t="s">
        <v>628</v>
      </c>
    </row>
    <row r="102" spans="1:4">
      <c r="A102" s="153" t="s">
        <v>629</v>
      </c>
      <c r="B102" s="153" t="s">
        <v>630</v>
      </c>
      <c r="D102" s="153" t="s">
        <v>631</v>
      </c>
    </row>
    <row r="103" spans="1:4">
      <c r="A103" s="153" t="s">
        <v>632</v>
      </c>
      <c r="B103" s="153" t="s">
        <v>633</v>
      </c>
      <c r="D103" s="153" t="s">
        <v>634</v>
      </c>
    </row>
    <row r="104" spans="1:4">
      <c r="A104" s="153" t="s">
        <v>635</v>
      </c>
      <c r="B104" s="153" t="s">
        <v>636</v>
      </c>
      <c r="D104" s="153" t="s">
        <v>637</v>
      </c>
    </row>
    <row r="105" spans="1:4">
      <c r="A105" s="153" t="s">
        <v>638</v>
      </c>
      <c r="B105" s="153" t="s">
        <v>639</v>
      </c>
      <c r="D105" s="153" t="s">
        <v>640</v>
      </c>
    </row>
    <row r="106" spans="1:4">
      <c r="A106" s="153" t="s">
        <v>641</v>
      </c>
      <c r="B106" s="153" t="s">
        <v>642</v>
      </c>
      <c r="D106" s="153" t="s">
        <v>643</v>
      </c>
    </row>
    <row r="107" spans="1:4">
      <c r="A107" s="153" t="s">
        <v>644</v>
      </c>
      <c r="B107" s="153" t="s">
        <v>645</v>
      </c>
      <c r="D107" s="153" t="s">
        <v>646</v>
      </c>
    </row>
    <row r="108" spans="1:4">
      <c r="A108" s="153" t="s">
        <v>647</v>
      </c>
      <c r="B108" s="153" t="s">
        <v>648</v>
      </c>
      <c r="D108" s="153" t="s">
        <v>649</v>
      </c>
    </row>
    <row r="109" spans="1:4">
      <c r="A109" s="153" t="s">
        <v>650</v>
      </c>
      <c r="B109" s="153" t="s">
        <v>651</v>
      </c>
      <c r="D109" s="153" t="s">
        <v>652</v>
      </c>
    </row>
    <row r="110" spans="1:4">
      <c r="A110" s="153" t="s">
        <v>653</v>
      </c>
      <c r="B110" s="153" t="s">
        <v>654</v>
      </c>
      <c r="D110" s="153" t="s">
        <v>655</v>
      </c>
    </row>
    <row r="111" spans="1:4">
      <c r="A111" s="153" t="s">
        <v>656</v>
      </c>
      <c r="B111" s="153" t="s">
        <v>657</v>
      </c>
      <c r="D111" s="153" t="s">
        <v>658</v>
      </c>
    </row>
    <row r="112" spans="1:4">
      <c r="A112" s="153" t="s">
        <v>659</v>
      </c>
      <c r="B112" s="153" t="s">
        <v>660</v>
      </c>
      <c r="D112" s="153" t="s">
        <v>661</v>
      </c>
    </row>
    <row r="113" spans="1:4">
      <c r="A113" s="153" t="s">
        <v>662</v>
      </c>
      <c r="B113" s="153" t="s">
        <v>663</v>
      </c>
      <c r="D113" s="153" t="s">
        <v>664</v>
      </c>
    </row>
    <row r="114" spans="1:4">
      <c r="A114" s="153" t="s">
        <v>665</v>
      </c>
      <c r="B114" s="153" t="s">
        <v>666</v>
      </c>
      <c r="D114" s="153" t="s">
        <v>667</v>
      </c>
    </row>
    <row r="115" spans="1:4">
      <c r="A115" s="153" t="s">
        <v>668</v>
      </c>
      <c r="B115" s="153" t="s">
        <v>669</v>
      </c>
      <c r="D115" s="153" t="s">
        <v>670</v>
      </c>
    </row>
    <row r="116" spans="1:4">
      <c r="A116" s="153" t="s">
        <v>671</v>
      </c>
      <c r="B116" s="153" t="s">
        <v>672</v>
      </c>
      <c r="D116" s="153" t="s">
        <v>673</v>
      </c>
    </row>
    <row r="117" spans="1:4">
      <c r="A117" s="153" t="s">
        <v>674</v>
      </c>
      <c r="B117" s="153" t="s">
        <v>675</v>
      </c>
      <c r="D117" s="153" t="s">
        <v>676</v>
      </c>
    </row>
    <row r="118" spans="1:4">
      <c r="A118" s="153" t="s">
        <v>677</v>
      </c>
      <c r="B118" s="153" t="s">
        <v>678</v>
      </c>
      <c r="D118" s="153" t="s">
        <v>679</v>
      </c>
    </row>
    <row r="119" spans="1:4">
      <c r="A119" s="153" t="s">
        <v>680</v>
      </c>
      <c r="B119" s="153" t="s">
        <v>681</v>
      </c>
      <c r="D119" s="153" t="s">
        <v>682</v>
      </c>
    </row>
    <row r="120" spans="1:4">
      <c r="A120" s="153" t="s">
        <v>683</v>
      </c>
      <c r="B120" s="153" t="s">
        <v>684</v>
      </c>
      <c r="D120" s="153" t="s">
        <v>685</v>
      </c>
    </row>
    <row r="121" spans="1:4">
      <c r="A121" s="153" t="s">
        <v>686</v>
      </c>
      <c r="B121" s="153" t="s">
        <v>687</v>
      </c>
      <c r="D121" s="153" t="s">
        <v>688</v>
      </c>
    </row>
    <row r="122" spans="1:4">
      <c r="A122" s="153" t="s">
        <v>689</v>
      </c>
      <c r="B122" s="153" t="s">
        <v>690</v>
      </c>
      <c r="D122" s="153" t="s">
        <v>691</v>
      </c>
    </row>
    <row r="123" spans="1:4">
      <c r="A123" s="153" t="s">
        <v>692</v>
      </c>
      <c r="B123" s="153" t="s">
        <v>693</v>
      </c>
      <c r="D123" s="153" t="s">
        <v>694</v>
      </c>
    </row>
    <row r="124" spans="1:4">
      <c r="A124" s="153" t="s">
        <v>695</v>
      </c>
      <c r="B124" s="153" t="s">
        <v>696</v>
      </c>
      <c r="D124" s="153" t="s">
        <v>697</v>
      </c>
    </row>
    <row r="125" spans="1:4">
      <c r="A125" s="153" t="s">
        <v>698</v>
      </c>
      <c r="B125" s="153" t="s">
        <v>699</v>
      </c>
      <c r="D125" s="153" t="s">
        <v>700</v>
      </c>
    </row>
    <row r="126" spans="1:4">
      <c r="A126" s="153" t="s">
        <v>701</v>
      </c>
      <c r="B126" s="153" t="s">
        <v>702</v>
      </c>
      <c r="D126" s="153" t="s">
        <v>703</v>
      </c>
    </row>
    <row r="127" spans="1:4">
      <c r="A127" s="153" t="s">
        <v>704</v>
      </c>
      <c r="B127" s="153" t="s">
        <v>705</v>
      </c>
      <c r="D127" s="153" t="s">
        <v>706</v>
      </c>
    </row>
    <row r="128" spans="1:4">
      <c r="A128" s="153" t="s">
        <v>707</v>
      </c>
      <c r="B128" s="153" t="s">
        <v>708</v>
      </c>
      <c r="D128" s="153" t="s">
        <v>709</v>
      </c>
    </row>
    <row r="129" spans="1:4">
      <c r="A129" s="153" t="s">
        <v>710</v>
      </c>
      <c r="B129" s="153" t="s">
        <v>711</v>
      </c>
      <c r="D129" s="153" t="s">
        <v>712</v>
      </c>
    </row>
    <row r="130" spans="1:4">
      <c r="A130" s="153" t="s">
        <v>713</v>
      </c>
      <c r="B130" s="153" t="s">
        <v>714</v>
      </c>
      <c r="D130" s="153" t="s">
        <v>715</v>
      </c>
    </row>
    <row r="131" spans="1:4">
      <c r="A131" s="153" t="s">
        <v>716</v>
      </c>
      <c r="B131" s="153" t="s">
        <v>717</v>
      </c>
      <c r="D131" s="153" t="s">
        <v>718</v>
      </c>
    </row>
    <row r="132" spans="1:4">
      <c r="A132" s="153" t="s">
        <v>719</v>
      </c>
      <c r="B132" s="153" t="s">
        <v>720</v>
      </c>
      <c r="D132" s="153" t="s">
        <v>721</v>
      </c>
    </row>
    <row r="133" spans="1:4">
      <c r="A133" s="153" t="s">
        <v>722</v>
      </c>
      <c r="B133" s="153" t="s">
        <v>723</v>
      </c>
      <c r="D133" s="153" t="s">
        <v>724</v>
      </c>
    </row>
    <row r="134" spans="1:4">
      <c r="A134" s="153" t="s">
        <v>725</v>
      </c>
      <c r="B134" s="153" t="s">
        <v>726</v>
      </c>
      <c r="D134" s="153" t="s">
        <v>727</v>
      </c>
    </row>
    <row r="135" spans="1:4">
      <c r="A135" s="153" t="s">
        <v>728</v>
      </c>
      <c r="B135" s="153" t="s">
        <v>729</v>
      </c>
      <c r="D135" s="153" t="s">
        <v>730</v>
      </c>
    </row>
    <row r="136" spans="1:4">
      <c r="A136" s="153" t="s">
        <v>731</v>
      </c>
      <c r="B136" s="153" t="s">
        <v>732</v>
      </c>
      <c r="D136" s="153" t="s">
        <v>733</v>
      </c>
    </row>
    <row r="137" spans="1:4">
      <c r="A137" s="153" t="s">
        <v>734</v>
      </c>
      <c r="B137" s="153" t="s">
        <v>735</v>
      </c>
      <c r="D137" s="153" t="s">
        <v>736</v>
      </c>
    </row>
    <row r="138" spans="1:4">
      <c r="A138" s="153" t="s">
        <v>737</v>
      </c>
      <c r="B138" s="153" t="s">
        <v>738</v>
      </c>
      <c r="D138" s="153" t="s">
        <v>739</v>
      </c>
    </row>
    <row r="139" spans="1:4">
      <c r="A139" s="153" t="s">
        <v>740</v>
      </c>
      <c r="B139" s="153" t="s">
        <v>741</v>
      </c>
      <c r="D139" s="153" t="s">
        <v>742</v>
      </c>
    </row>
    <row r="140" spans="1:4">
      <c r="A140" s="153" t="s">
        <v>743</v>
      </c>
      <c r="B140" s="153" t="s">
        <v>744</v>
      </c>
      <c r="D140" s="153" t="s">
        <v>745</v>
      </c>
    </row>
    <row r="141" spans="1:4">
      <c r="A141" s="153" t="s">
        <v>746</v>
      </c>
      <c r="B141" s="153" t="s">
        <v>747</v>
      </c>
      <c r="D141" s="153" t="s">
        <v>748</v>
      </c>
    </row>
    <row r="142" spans="1:4">
      <c r="A142" s="153" t="s">
        <v>749</v>
      </c>
      <c r="B142" s="153" t="s">
        <v>750</v>
      </c>
      <c r="D142" s="153" t="s">
        <v>751</v>
      </c>
    </row>
    <row r="143" spans="1:4">
      <c r="A143" s="153" t="s">
        <v>752</v>
      </c>
      <c r="B143" s="153" t="s">
        <v>753</v>
      </c>
      <c r="D143" s="153" t="s">
        <v>754</v>
      </c>
    </row>
    <row r="144" spans="1:4">
      <c r="A144" s="153" t="s">
        <v>755</v>
      </c>
      <c r="B144" s="153" t="s">
        <v>756</v>
      </c>
      <c r="D144" s="153" t="s">
        <v>757</v>
      </c>
    </row>
    <row r="145" spans="1:4">
      <c r="A145" s="153" t="s">
        <v>758</v>
      </c>
      <c r="B145" s="153" t="s">
        <v>759</v>
      </c>
      <c r="D145" s="153" t="s">
        <v>760</v>
      </c>
    </row>
    <row r="146" spans="1:4">
      <c r="A146" s="153" t="s">
        <v>761</v>
      </c>
      <c r="B146" s="153" t="s">
        <v>762</v>
      </c>
      <c r="D146" s="153" t="s">
        <v>763</v>
      </c>
    </row>
    <row r="147" spans="1:4">
      <c r="A147" s="153" t="s">
        <v>764</v>
      </c>
      <c r="B147" s="153" t="s">
        <v>765</v>
      </c>
      <c r="D147" s="153" t="s">
        <v>766</v>
      </c>
    </row>
    <row r="148" spans="1:4">
      <c r="A148" s="153" t="s">
        <v>767</v>
      </c>
      <c r="B148" s="153" t="s">
        <v>768</v>
      </c>
      <c r="D148" s="153" t="s">
        <v>769</v>
      </c>
    </row>
    <row r="149" spans="1:4">
      <c r="A149" s="153" t="s">
        <v>770</v>
      </c>
      <c r="B149" s="153" t="s">
        <v>771</v>
      </c>
      <c r="D149" s="153" t="s">
        <v>772</v>
      </c>
    </row>
    <row r="150" spans="1:4">
      <c r="A150" s="153" t="s">
        <v>773</v>
      </c>
      <c r="B150" s="153" t="s">
        <v>774</v>
      </c>
      <c r="D150" s="153" t="s">
        <v>775</v>
      </c>
    </row>
    <row r="151" spans="1:4">
      <c r="A151" s="153" t="s">
        <v>776</v>
      </c>
      <c r="B151" s="153" t="s">
        <v>777</v>
      </c>
      <c r="D151" s="153" t="s">
        <v>778</v>
      </c>
    </row>
    <row r="152" spans="1:4">
      <c r="A152" s="153" t="s">
        <v>779</v>
      </c>
      <c r="B152" s="153" t="s">
        <v>780</v>
      </c>
      <c r="D152" s="153" t="s">
        <v>781</v>
      </c>
    </row>
    <row r="153" spans="1:4">
      <c r="A153" s="153" t="s">
        <v>782</v>
      </c>
      <c r="B153" s="153" t="s">
        <v>783</v>
      </c>
      <c r="D153" s="153" t="s">
        <v>784</v>
      </c>
    </row>
    <row r="154" spans="1:4">
      <c r="A154" s="153" t="s">
        <v>785</v>
      </c>
      <c r="B154" s="153" t="s">
        <v>786</v>
      </c>
      <c r="D154" s="153" t="s">
        <v>787</v>
      </c>
    </row>
    <row r="155" spans="1:4">
      <c r="A155" s="153" t="s">
        <v>788</v>
      </c>
      <c r="B155" s="153" t="s">
        <v>789</v>
      </c>
      <c r="D155" s="153" t="s">
        <v>790</v>
      </c>
    </row>
    <row r="156" spans="1:4">
      <c r="A156" s="153" t="s">
        <v>791</v>
      </c>
      <c r="B156" s="153" t="s">
        <v>792</v>
      </c>
      <c r="D156" s="153" t="s">
        <v>793</v>
      </c>
    </row>
    <row r="157" spans="1:4">
      <c r="A157" s="153" t="s">
        <v>794</v>
      </c>
      <c r="B157" s="153" t="s">
        <v>795</v>
      </c>
      <c r="D157" s="153" t="s">
        <v>796</v>
      </c>
    </row>
    <row r="158" spans="1:4">
      <c r="A158" s="153" t="s">
        <v>797</v>
      </c>
      <c r="B158" s="153" t="s">
        <v>798</v>
      </c>
      <c r="D158" s="153" t="s">
        <v>799</v>
      </c>
    </row>
    <row r="159" spans="1:4">
      <c r="A159" s="153" t="s">
        <v>800</v>
      </c>
      <c r="B159" s="153" t="s">
        <v>801</v>
      </c>
      <c r="D159" s="153" t="s">
        <v>802</v>
      </c>
    </row>
    <row r="160" spans="1:4">
      <c r="A160" s="153" t="s">
        <v>803</v>
      </c>
      <c r="B160" s="153" t="s">
        <v>804</v>
      </c>
      <c r="D160" s="153" t="s">
        <v>805</v>
      </c>
    </row>
    <row r="161" spans="1:4">
      <c r="A161" s="153" t="s">
        <v>806</v>
      </c>
      <c r="B161" s="153" t="s">
        <v>807</v>
      </c>
      <c r="D161" s="153" t="s">
        <v>808</v>
      </c>
    </row>
    <row r="162" spans="1:4">
      <c r="A162" s="153" t="s">
        <v>809</v>
      </c>
      <c r="B162" s="153" t="s">
        <v>810</v>
      </c>
      <c r="D162" s="153" t="s">
        <v>811</v>
      </c>
    </row>
    <row r="163" spans="1:4">
      <c r="A163" s="153" t="s">
        <v>812</v>
      </c>
      <c r="B163" s="153" t="s">
        <v>813</v>
      </c>
      <c r="D163" s="153" t="s">
        <v>814</v>
      </c>
    </row>
    <row r="164" spans="1:4">
      <c r="A164" s="153" t="s">
        <v>815</v>
      </c>
      <c r="B164" s="153" t="s">
        <v>816</v>
      </c>
      <c r="D164" s="153" t="s">
        <v>817</v>
      </c>
    </row>
    <row r="165" spans="1:4">
      <c r="A165" s="153" t="s">
        <v>818</v>
      </c>
      <c r="B165" s="153" t="s">
        <v>819</v>
      </c>
      <c r="D165" s="153" t="s">
        <v>820</v>
      </c>
    </row>
    <row r="166" spans="1:4">
      <c r="A166" s="153" t="s">
        <v>821</v>
      </c>
      <c r="B166" s="153" t="s">
        <v>822</v>
      </c>
      <c r="D166" s="153" t="s">
        <v>823</v>
      </c>
    </row>
    <row r="167" spans="1:4">
      <c r="A167" s="153" t="s">
        <v>824</v>
      </c>
      <c r="B167" s="153" t="s">
        <v>825</v>
      </c>
      <c r="D167" s="153" t="s">
        <v>826</v>
      </c>
    </row>
    <row r="168" spans="1:4">
      <c r="A168" s="153" t="s">
        <v>827</v>
      </c>
      <c r="B168" s="153" t="s">
        <v>828</v>
      </c>
      <c r="D168" s="153" t="s">
        <v>829</v>
      </c>
    </row>
    <row r="169" spans="1:4">
      <c r="A169" s="153" t="s">
        <v>830</v>
      </c>
      <c r="B169" s="153" t="s">
        <v>831</v>
      </c>
      <c r="D169" s="153" t="s">
        <v>832</v>
      </c>
    </row>
    <row r="170" spans="1:4">
      <c r="A170" s="153" t="s">
        <v>833</v>
      </c>
      <c r="B170" s="153" t="s">
        <v>834</v>
      </c>
      <c r="D170" s="153" t="s">
        <v>835</v>
      </c>
    </row>
    <row r="171" spans="1:4">
      <c r="A171" s="153" t="s">
        <v>836</v>
      </c>
      <c r="B171" s="153" t="s">
        <v>837</v>
      </c>
      <c r="D171" s="153" t="s">
        <v>838</v>
      </c>
    </row>
    <row r="172" spans="1:4">
      <c r="A172" s="153" t="s">
        <v>839</v>
      </c>
      <c r="B172" s="153" t="s">
        <v>840</v>
      </c>
      <c r="D172" s="153" t="s">
        <v>841</v>
      </c>
    </row>
    <row r="173" spans="1:4">
      <c r="A173" s="153" t="s">
        <v>842</v>
      </c>
      <c r="B173" s="153" t="s">
        <v>843</v>
      </c>
      <c r="D173" s="153" t="s">
        <v>844</v>
      </c>
    </row>
    <row r="174" spans="1:4">
      <c r="A174" s="153" t="s">
        <v>845</v>
      </c>
      <c r="B174" s="153" t="s">
        <v>846</v>
      </c>
      <c r="D174" s="153" t="s">
        <v>847</v>
      </c>
    </row>
    <row r="175" spans="1:4">
      <c r="A175" s="153" t="s">
        <v>848</v>
      </c>
      <c r="B175" s="153" t="s">
        <v>849</v>
      </c>
      <c r="D175" s="153" t="s">
        <v>850</v>
      </c>
    </row>
    <row r="176" spans="1:4">
      <c r="A176" s="153" t="s">
        <v>851</v>
      </c>
      <c r="B176" s="153" t="s">
        <v>852</v>
      </c>
      <c r="D176" s="153" t="s">
        <v>853</v>
      </c>
    </row>
    <row r="177" spans="1:4">
      <c r="A177" s="153" t="s">
        <v>854</v>
      </c>
      <c r="B177" s="153" t="s">
        <v>855</v>
      </c>
      <c r="D177" s="153" t="s">
        <v>856</v>
      </c>
    </row>
    <row r="178" spans="1:4">
      <c r="A178" s="153" t="s">
        <v>857</v>
      </c>
      <c r="B178" s="153" t="s">
        <v>858</v>
      </c>
      <c r="D178" s="153" t="s">
        <v>859</v>
      </c>
    </row>
    <row r="179" spans="1:4">
      <c r="A179" s="153" t="s">
        <v>860</v>
      </c>
      <c r="B179" s="153" t="s">
        <v>861</v>
      </c>
      <c r="D179" s="153" t="s">
        <v>862</v>
      </c>
    </row>
    <row r="180" spans="1:4">
      <c r="A180" s="153" t="s">
        <v>863</v>
      </c>
      <c r="B180" s="153" t="s">
        <v>864</v>
      </c>
      <c r="D180" s="153" t="s">
        <v>865</v>
      </c>
    </row>
    <row r="181" spans="1:4">
      <c r="A181" s="153" t="s">
        <v>866</v>
      </c>
      <c r="B181" s="153" t="s">
        <v>867</v>
      </c>
      <c r="D181" s="153" t="s">
        <v>868</v>
      </c>
    </row>
    <row r="182" spans="1:4">
      <c r="A182" s="153" t="s">
        <v>869</v>
      </c>
      <c r="B182" s="153" t="s">
        <v>870</v>
      </c>
      <c r="D182" s="153" t="s">
        <v>871</v>
      </c>
    </row>
    <row r="183" spans="1:4">
      <c r="A183" s="153" t="s">
        <v>872</v>
      </c>
      <c r="B183" s="153" t="s">
        <v>873</v>
      </c>
      <c r="D183" s="153" t="s">
        <v>874</v>
      </c>
    </row>
    <row r="184" spans="1:4">
      <c r="A184" s="153" t="s">
        <v>875</v>
      </c>
      <c r="B184" s="153" t="s">
        <v>876</v>
      </c>
      <c r="D184" s="153" t="s">
        <v>877</v>
      </c>
    </row>
    <row r="185" spans="1:4">
      <c r="A185" s="153" t="s">
        <v>878</v>
      </c>
      <c r="B185" s="153" t="s">
        <v>879</v>
      </c>
      <c r="D185" s="153" t="s">
        <v>880</v>
      </c>
    </row>
    <row r="186" spans="1:4">
      <c r="A186" s="153" t="s">
        <v>881</v>
      </c>
      <c r="B186" s="153" t="s">
        <v>882</v>
      </c>
      <c r="D186" s="153" t="s">
        <v>883</v>
      </c>
    </row>
    <row r="187" spans="1:4">
      <c r="A187" s="153" t="s">
        <v>884</v>
      </c>
      <c r="B187" s="153" t="s">
        <v>885</v>
      </c>
      <c r="D187" s="153" t="s">
        <v>886</v>
      </c>
    </row>
    <row r="188" spans="1:4">
      <c r="A188" s="153" t="s">
        <v>887</v>
      </c>
      <c r="B188" s="153" t="s">
        <v>888</v>
      </c>
      <c r="D188" s="153" t="s">
        <v>889</v>
      </c>
    </row>
    <row r="189" spans="1:4">
      <c r="A189" s="153" t="s">
        <v>890</v>
      </c>
      <c r="B189" s="153" t="s">
        <v>891</v>
      </c>
      <c r="D189" s="153" t="s">
        <v>892</v>
      </c>
    </row>
    <row r="190" spans="1:4">
      <c r="A190" s="153" t="s">
        <v>893</v>
      </c>
      <c r="B190" s="153" t="s">
        <v>894</v>
      </c>
      <c r="D190" s="153" t="s">
        <v>895</v>
      </c>
    </row>
    <row r="191" spans="1:4">
      <c r="A191" s="153" t="s">
        <v>896</v>
      </c>
      <c r="B191" s="153" t="s">
        <v>897</v>
      </c>
      <c r="D191" s="153" t="s">
        <v>898</v>
      </c>
    </row>
    <row r="192" spans="1:4">
      <c r="A192" s="153" t="s">
        <v>899</v>
      </c>
      <c r="B192" s="153" t="s">
        <v>900</v>
      </c>
      <c r="D192" s="153" t="s">
        <v>901</v>
      </c>
    </row>
    <row r="193" spans="1:4">
      <c r="A193" s="153" t="s">
        <v>902</v>
      </c>
      <c r="B193" s="153" t="s">
        <v>903</v>
      </c>
      <c r="D193" s="153" t="s">
        <v>904</v>
      </c>
    </row>
    <row r="194" spans="1:4">
      <c r="A194" s="153" t="s">
        <v>905</v>
      </c>
      <c r="B194" s="153" t="s">
        <v>906</v>
      </c>
      <c r="D194" s="153" t="s">
        <v>907</v>
      </c>
    </row>
    <row r="195" spans="1:4">
      <c r="A195" s="153" t="s">
        <v>908</v>
      </c>
      <c r="B195" s="153" t="s">
        <v>909</v>
      </c>
      <c r="D195" s="153" t="s">
        <v>910</v>
      </c>
    </row>
    <row r="196" spans="1:4">
      <c r="A196" s="153" t="s">
        <v>911</v>
      </c>
      <c r="B196" s="153" t="s">
        <v>912</v>
      </c>
      <c r="D196" s="153" t="s">
        <v>913</v>
      </c>
    </row>
    <row r="197" spans="1:4">
      <c r="A197" s="153" t="s">
        <v>914</v>
      </c>
      <c r="B197" s="153" t="s">
        <v>915</v>
      </c>
      <c r="D197" s="153" t="s">
        <v>916</v>
      </c>
    </row>
    <row r="198" spans="1:4">
      <c r="A198" s="153" t="s">
        <v>917</v>
      </c>
      <c r="B198" s="153" t="s">
        <v>918</v>
      </c>
      <c r="D198" s="153" t="s">
        <v>919</v>
      </c>
    </row>
    <row r="199" spans="1:4">
      <c r="A199" s="153" t="s">
        <v>920</v>
      </c>
      <c r="B199" s="153" t="s">
        <v>921</v>
      </c>
      <c r="D199" s="153" t="s">
        <v>922</v>
      </c>
    </row>
    <row r="200" spans="1:4">
      <c r="A200" s="153" t="s">
        <v>923</v>
      </c>
      <c r="B200" s="153" t="s">
        <v>924</v>
      </c>
      <c r="D200" s="153" t="s">
        <v>925</v>
      </c>
    </row>
    <row r="201" spans="1:4">
      <c r="A201" s="153" t="s">
        <v>926</v>
      </c>
      <c r="B201" s="153" t="s">
        <v>927</v>
      </c>
      <c r="D201" s="153" t="s">
        <v>928</v>
      </c>
    </row>
    <row r="202" spans="1:4">
      <c r="A202" s="153" t="s">
        <v>929</v>
      </c>
      <c r="B202" s="153" t="s">
        <v>930</v>
      </c>
      <c r="D202" s="153" t="s">
        <v>931</v>
      </c>
    </row>
    <row r="203" spans="1:4">
      <c r="A203" s="153" t="s">
        <v>932</v>
      </c>
      <c r="B203" s="153" t="s">
        <v>933</v>
      </c>
      <c r="D203" s="153" t="s">
        <v>934</v>
      </c>
    </row>
    <row r="204" spans="1:4">
      <c r="A204" s="153" t="s">
        <v>935</v>
      </c>
      <c r="B204" s="153" t="s">
        <v>936</v>
      </c>
      <c r="D204" s="153" t="s">
        <v>937</v>
      </c>
    </row>
    <row r="205" spans="1:4">
      <c r="A205" s="153" t="s">
        <v>938</v>
      </c>
      <c r="B205" s="153" t="s">
        <v>939</v>
      </c>
      <c r="D205" s="153" t="s">
        <v>940</v>
      </c>
    </row>
    <row r="206" spans="1:4">
      <c r="A206" s="153" t="s">
        <v>941</v>
      </c>
      <c r="B206" s="153" t="s">
        <v>942</v>
      </c>
      <c r="D206" s="153" t="s">
        <v>943</v>
      </c>
    </row>
    <row r="207" spans="1:4">
      <c r="A207" s="153" t="s">
        <v>944</v>
      </c>
      <c r="B207" s="153" t="s">
        <v>945</v>
      </c>
      <c r="D207" s="153" t="s">
        <v>946</v>
      </c>
    </row>
    <row r="208" spans="1:4">
      <c r="A208" s="153" t="s">
        <v>947</v>
      </c>
      <c r="B208" s="153" t="s">
        <v>948</v>
      </c>
      <c r="D208" s="153" t="s">
        <v>949</v>
      </c>
    </row>
    <row r="209" spans="1:4">
      <c r="A209" s="153" t="s">
        <v>950</v>
      </c>
      <c r="B209" s="153" t="s">
        <v>951</v>
      </c>
      <c r="D209" s="153" t="s">
        <v>952</v>
      </c>
    </row>
    <row r="210" spans="1:4">
      <c r="A210" s="153" t="s">
        <v>953</v>
      </c>
      <c r="B210" s="153" t="s">
        <v>954</v>
      </c>
      <c r="D210" s="153" t="s">
        <v>955</v>
      </c>
    </row>
    <row r="211" spans="1:4">
      <c r="A211" s="153" t="s">
        <v>956</v>
      </c>
      <c r="B211" s="153" t="s">
        <v>957</v>
      </c>
      <c r="D211" s="153" t="s">
        <v>958</v>
      </c>
    </row>
    <row r="212" spans="1:4">
      <c r="A212" s="153" t="s">
        <v>959</v>
      </c>
      <c r="B212" s="153" t="s">
        <v>960</v>
      </c>
      <c r="D212" s="153" t="s">
        <v>961</v>
      </c>
    </row>
    <row r="213" spans="1:4">
      <c r="A213" s="153" t="s">
        <v>962</v>
      </c>
      <c r="B213" s="153" t="s">
        <v>963</v>
      </c>
      <c r="D213" s="153" t="s">
        <v>964</v>
      </c>
    </row>
    <row r="214" spans="1:4">
      <c r="A214" s="153" t="s">
        <v>965</v>
      </c>
      <c r="B214" s="153" t="s">
        <v>966</v>
      </c>
      <c r="D214" s="153" t="s">
        <v>967</v>
      </c>
    </row>
    <row r="215" spans="1:4">
      <c r="A215" s="153" t="s">
        <v>968</v>
      </c>
      <c r="B215" s="153" t="s">
        <v>969</v>
      </c>
      <c r="D215" s="153" t="s">
        <v>970</v>
      </c>
    </row>
    <row r="216" spans="1:4">
      <c r="A216" s="153" t="s">
        <v>971</v>
      </c>
      <c r="B216" s="153" t="s">
        <v>972</v>
      </c>
      <c r="D216" s="153" t="s">
        <v>973</v>
      </c>
    </row>
    <row r="217" spans="1:4">
      <c r="A217" s="153" t="s">
        <v>974</v>
      </c>
      <c r="B217" s="153" t="s">
        <v>975</v>
      </c>
      <c r="D217" s="153" t="s">
        <v>976</v>
      </c>
    </row>
    <row r="218" spans="1:4">
      <c r="A218" s="153" t="s">
        <v>977</v>
      </c>
      <c r="B218" s="153" t="s">
        <v>978</v>
      </c>
      <c r="D218" s="153" t="s">
        <v>979</v>
      </c>
    </row>
    <row r="219" spans="1:4">
      <c r="A219" s="153" t="s">
        <v>980</v>
      </c>
      <c r="B219" s="153" t="s">
        <v>981</v>
      </c>
      <c r="D219" s="153" t="s">
        <v>982</v>
      </c>
    </row>
    <row r="220" spans="1:4">
      <c r="A220" s="153" t="s">
        <v>983</v>
      </c>
      <c r="B220" s="153" t="s">
        <v>984</v>
      </c>
      <c r="D220" s="153" t="s">
        <v>985</v>
      </c>
    </row>
    <row r="221" spans="1:4">
      <c r="A221" s="153" t="s">
        <v>986</v>
      </c>
      <c r="B221" s="153" t="s">
        <v>987</v>
      </c>
      <c r="D221" s="153" t="s">
        <v>988</v>
      </c>
    </row>
    <row r="222" spans="1:4">
      <c r="A222" s="153" t="s">
        <v>989</v>
      </c>
      <c r="B222" s="153" t="s">
        <v>990</v>
      </c>
      <c r="D222" s="153" t="s">
        <v>991</v>
      </c>
    </row>
    <row r="223" spans="1:4">
      <c r="A223" s="153" t="s">
        <v>992</v>
      </c>
      <c r="B223" s="153" t="s">
        <v>993</v>
      </c>
      <c r="D223" s="153" t="s">
        <v>994</v>
      </c>
    </row>
    <row r="224" spans="1:4">
      <c r="A224" s="153" t="s">
        <v>995</v>
      </c>
      <c r="B224" s="153" t="s">
        <v>996</v>
      </c>
      <c r="D224" s="153" t="s">
        <v>997</v>
      </c>
    </row>
    <row r="225" spans="1:4">
      <c r="A225" s="153" t="s">
        <v>998</v>
      </c>
      <c r="B225" s="153" t="s">
        <v>999</v>
      </c>
      <c r="D225" s="154" t="s">
        <v>243</v>
      </c>
    </row>
    <row r="226" spans="1:4">
      <c r="A226" s="153" t="s">
        <v>1000</v>
      </c>
      <c r="B226" s="153" t="s">
        <v>1001</v>
      </c>
      <c r="D226" t="s">
        <v>243</v>
      </c>
    </row>
    <row r="227" spans="1:4">
      <c r="A227" s="153" t="s">
        <v>1002</v>
      </c>
      <c r="B227" s="153" t="s">
        <v>1003</v>
      </c>
    </row>
    <row r="228" spans="1:4">
      <c r="A228" s="153" t="s">
        <v>1004</v>
      </c>
      <c r="B228" s="153" t="s">
        <v>1005</v>
      </c>
    </row>
    <row r="229" spans="1:4">
      <c r="A229" s="153" t="s">
        <v>1006</v>
      </c>
      <c r="B229" s="153" t="s">
        <v>1007</v>
      </c>
    </row>
    <row r="230" spans="1:4">
      <c r="A230" s="153" t="s">
        <v>1008</v>
      </c>
      <c r="B230" s="153" t="s">
        <v>1009</v>
      </c>
    </row>
    <row r="231" spans="1:4">
      <c r="A231" s="153" t="s">
        <v>1010</v>
      </c>
      <c r="B231" s="153" t="s">
        <v>1011</v>
      </c>
    </row>
    <row r="232" spans="1:4">
      <c r="A232" s="153" t="s">
        <v>1012</v>
      </c>
      <c r="B232" s="153" t="s">
        <v>1013</v>
      </c>
    </row>
    <row r="233" spans="1:4">
      <c r="A233" s="153" t="s">
        <v>1014</v>
      </c>
      <c r="B233" s="153" t="s">
        <v>1015</v>
      </c>
    </row>
    <row r="234" spans="1:4">
      <c r="A234" s="153" t="s">
        <v>1016</v>
      </c>
      <c r="B234" s="153" t="s">
        <v>1017</v>
      </c>
    </row>
    <row r="235" spans="1:4">
      <c r="A235" s="153" t="s">
        <v>1018</v>
      </c>
      <c r="B235" s="153" t="s">
        <v>1019</v>
      </c>
    </row>
    <row r="236" spans="1:4">
      <c r="A236" s="153" t="s">
        <v>1020</v>
      </c>
      <c r="B236" s="153" t="s">
        <v>1021</v>
      </c>
    </row>
    <row r="237" spans="1:4">
      <c r="A237" s="153" t="s">
        <v>1022</v>
      </c>
      <c r="B237" s="153" t="s">
        <v>1023</v>
      </c>
    </row>
    <row r="238" spans="1:4">
      <c r="A238" s="153" t="s">
        <v>1024</v>
      </c>
      <c r="B238" s="153" t="s">
        <v>1025</v>
      </c>
    </row>
    <row r="239" spans="1:4">
      <c r="A239" s="153" t="s">
        <v>1026</v>
      </c>
      <c r="B239" s="153" t="s">
        <v>1027</v>
      </c>
    </row>
    <row r="240" spans="1:4">
      <c r="A240" s="153" t="s">
        <v>1028</v>
      </c>
      <c r="B240" s="153" t="s">
        <v>1029</v>
      </c>
    </row>
    <row r="241" spans="1:2">
      <c r="A241" s="153" t="s">
        <v>1030</v>
      </c>
      <c r="B241" s="153" t="s">
        <v>1031</v>
      </c>
    </row>
    <row r="242" spans="1:2">
      <c r="A242" s="153" t="s">
        <v>1032</v>
      </c>
      <c r="B242" s="153" t="s">
        <v>1033</v>
      </c>
    </row>
    <row r="243" spans="1:2">
      <c r="A243" s="153" t="s">
        <v>1034</v>
      </c>
      <c r="B243" s="153" t="s">
        <v>1035</v>
      </c>
    </row>
    <row r="244" spans="1:2">
      <c r="A244" s="153" t="s">
        <v>1036</v>
      </c>
      <c r="B244" s="153" t="s">
        <v>1037</v>
      </c>
    </row>
    <row r="245" spans="1:2">
      <c r="A245" s="153" t="s">
        <v>1038</v>
      </c>
      <c r="B245" s="153" t="s">
        <v>1039</v>
      </c>
    </row>
    <row r="246" spans="1:2">
      <c r="A246" s="153" t="s">
        <v>1040</v>
      </c>
      <c r="B246" s="153" t="s">
        <v>1041</v>
      </c>
    </row>
    <row r="247" spans="1:2">
      <c r="A247" s="153" t="s">
        <v>1042</v>
      </c>
      <c r="B247" s="153" t="s">
        <v>1043</v>
      </c>
    </row>
    <row r="248" spans="1:2">
      <c r="A248" s="153" t="s">
        <v>1044</v>
      </c>
      <c r="B248" s="153" t="s">
        <v>1045</v>
      </c>
    </row>
    <row r="249" spans="1:2">
      <c r="A249" s="153" t="s">
        <v>1046</v>
      </c>
      <c r="B249" s="153" t="s">
        <v>1047</v>
      </c>
    </row>
    <row r="250" spans="1:2">
      <c r="A250" s="153" t="s">
        <v>1048</v>
      </c>
      <c r="B250" s="153" t="s">
        <v>1049</v>
      </c>
    </row>
    <row r="251" spans="1:2">
      <c r="A251" s="153" t="s">
        <v>1050</v>
      </c>
      <c r="B251" s="153" t="s">
        <v>1051</v>
      </c>
    </row>
    <row r="252" spans="1:2">
      <c r="A252" s="153" t="s">
        <v>1052</v>
      </c>
      <c r="B252" s="153" t="s">
        <v>1053</v>
      </c>
    </row>
    <row r="253" spans="1:2">
      <c r="A253" s="153" t="s">
        <v>1054</v>
      </c>
      <c r="B253" s="153" t="s">
        <v>1055</v>
      </c>
    </row>
    <row r="254" spans="1:2">
      <c r="A254" s="153" t="s">
        <v>1056</v>
      </c>
      <c r="B254" s="153" t="s">
        <v>1057</v>
      </c>
    </row>
    <row r="255" spans="1:2">
      <c r="A255" s="153" t="s">
        <v>1058</v>
      </c>
      <c r="B255" s="153" t="s">
        <v>1059</v>
      </c>
    </row>
    <row r="256" spans="1:2">
      <c r="A256" s="153" t="s">
        <v>1060</v>
      </c>
      <c r="B256" s="153" t="s">
        <v>1061</v>
      </c>
    </row>
    <row r="257" spans="1:2">
      <c r="A257" s="153" t="s">
        <v>1062</v>
      </c>
      <c r="B257" s="153" t="s">
        <v>1063</v>
      </c>
    </row>
    <row r="258" spans="1:2">
      <c r="A258" s="153" t="s">
        <v>1064</v>
      </c>
      <c r="B258" s="153" t="s">
        <v>1065</v>
      </c>
    </row>
    <row r="259" spans="1:2">
      <c r="A259" s="153" t="s">
        <v>1066</v>
      </c>
      <c r="B259" s="153" t="s">
        <v>1067</v>
      </c>
    </row>
    <row r="260" spans="1:2">
      <c r="A260" s="153" t="s">
        <v>1068</v>
      </c>
      <c r="B260" s="153" t="s">
        <v>1069</v>
      </c>
    </row>
    <row r="261" spans="1:2">
      <c r="A261" s="153" t="s">
        <v>1070</v>
      </c>
      <c r="B261" s="153" t="s">
        <v>1071</v>
      </c>
    </row>
    <row r="262" spans="1:2">
      <c r="A262" s="153" t="s">
        <v>1072</v>
      </c>
      <c r="B262" s="153" t="s">
        <v>1073</v>
      </c>
    </row>
    <row r="263" spans="1:2">
      <c r="A263" s="153" t="s">
        <v>1074</v>
      </c>
      <c r="B263" s="153" t="s">
        <v>1075</v>
      </c>
    </row>
    <row r="264" spans="1:2">
      <c r="A264" s="153" t="s">
        <v>1076</v>
      </c>
      <c r="B264" s="153" t="s">
        <v>1077</v>
      </c>
    </row>
    <row r="265" spans="1:2">
      <c r="A265" s="153" t="s">
        <v>1078</v>
      </c>
      <c r="B265" s="153" t="s">
        <v>1079</v>
      </c>
    </row>
    <row r="266" spans="1:2">
      <c r="A266" s="153" t="s">
        <v>1080</v>
      </c>
      <c r="B266" s="153" t="s">
        <v>1081</v>
      </c>
    </row>
    <row r="267" spans="1:2">
      <c r="A267" s="153" t="s">
        <v>1082</v>
      </c>
      <c r="B267" s="153" t="s">
        <v>1083</v>
      </c>
    </row>
    <row r="268" spans="1:2">
      <c r="A268" s="153" t="s">
        <v>1084</v>
      </c>
      <c r="B268" s="153" t="s">
        <v>1085</v>
      </c>
    </row>
    <row r="269" spans="1:2">
      <c r="A269" s="153" t="s">
        <v>1086</v>
      </c>
      <c r="B269" s="153" t="s">
        <v>1087</v>
      </c>
    </row>
    <row r="270" spans="1:2">
      <c r="A270" s="153" t="s">
        <v>1088</v>
      </c>
      <c r="B270" s="153" t="s">
        <v>1089</v>
      </c>
    </row>
    <row r="271" spans="1:2">
      <c r="A271" s="153" t="s">
        <v>1090</v>
      </c>
      <c r="B271" s="153" t="s">
        <v>1091</v>
      </c>
    </row>
    <row r="272" spans="1:2">
      <c r="A272" s="153" t="s">
        <v>1092</v>
      </c>
      <c r="B272" s="153" t="s">
        <v>1093</v>
      </c>
    </row>
    <row r="273" spans="1:2">
      <c r="A273" s="153" t="s">
        <v>1094</v>
      </c>
      <c r="B273" s="153" t="s">
        <v>1095</v>
      </c>
    </row>
    <row r="274" spans="1:2">
      <c r="A274" s="153" t="s">
        <v>1096</v>
      </c>
      <c r="B274" s="153" t="s">
        <v>1097</v>
      </c>
    </row>
    <row r="275" spans="1:2">
      <c r="A275" s="153" t="s">
        <v>1098</v>
      </c>
      <c r="B275" s="153" t="s">
        <v>1099</v>
      </c>
    </row>
    <row r="276" spans="1:2">
      <c r="A276" s="153" t="s">
        <v>1100</v>
      </c>
      <c r="B276" s="153" t="s">
        <v>1101</v>
      </c>
    </row>
    <row r="277" spans="1:2">
      <c r="A277" s="153" t="s">
        <v>1102</v>
      </c>
      <c r="B277" s="153" t="s">
        <v>1103</v>
      </c>
    </row>
    <row r="278" spans="1:2">
      <c r="A278" s="153" t="s">
        <v>1104</v>
      </c>
      <c r="B278" s="153" t="s">
        <v>1105</v>
      </c>
    </row>
    <row r="279" spans="1:2">
      <c r="A279" s="153" t="s">
        <v>1106</v>
      </c>
      <c r="B279" s="153" t="s">
        <v>1107</v>
      </c>
    </row>
    <row r="280" spans="1:2">
      <c r="A280" s="153" t="s">
        <v>1108</v>
      </c>
      <c r="B280" s="153" t="s">
        <v>291</v>
      </c>
    </row>
    <row r="281" spans="1:2">
      <c r="A281" s="153" t="s">
        <v>1109</v>
      </c>
      <c r="B281" s="153" t="s">
        <v>1110</v>
      </c>
    </row>
    <row r="282" spans="1:2">
      <c r="A282" s="153" t="s">
        <v>1111</v>
      </c>
      <c r="B282" s="153" t="s">
        <v>1112</v>
      </c>
    </row>
    <row r="283" spans="1:2">
      <c r="A283" s="153" t="s">
        <v>1113</v>
      </c>
      <c r="B283" s="153" t="s">
        <v>1114</v>
      </c>
    </row>
    <row r="284" spans="1:2">
      <c r="A284" s="153" t="s">
        <v>1115</v>
      </c>
      <c r="B284" s="153" t="s">
        <v>1116</v>
      </c>
    </row>
    <row r="285" spans="1:2">
      <c r="A285" s="153" t="s">
        <v>1117</v>
      </c>
      <c r="B285" s="153" t="s">
        <v>1118</v>
      </c>
    </row>
    <row r="286" spans="1:2">
      <c r="A286" s="153" t="s">
        <v>1119</v>
      </c>
      <c r="B286" s="153" t="s">
        <v>1120</v>
      </c>
    </row>
    <row r="287" spans="1:2">
      <c r="A287" s="153" t="s">
        <v>1121</v>
      </c>
      <c r="B287" s="153" t="s">
        <v>1122</v>
      </c>
    </row>
    <row r="288" spans="1:2">
      <c r="A288" s="153" t="s">
        <v>1123</v>
      </c>
      <c r="B288" s="153" t="s">
        <v>1124</v>
      </c>
    </row>
    <row r="289" spans="1:2">
      <c r="A289" s="153" t="s">
        <v>1125</v>
      </c>
      <c r="B289" s="153" t="s">
        <v>1126</v>
      </c>
    </row>
    <row r="290" spans="1:2">
      <c r="A290" s="153" t="s">
        <v>1127</v>
      </c>
      <c r="B290" s="153" t="s">
        <v>1128</v>
      </c>
    </row>
    <row r="291" spans="1:2">
      <c r="A291" s="153" t="s">
        <v>1129</v>
      </c>
      <c r="B291" s="153" t="s">
        <v>1130</v>
      </c>
    </row>
    <row r="292" spans="1:2">
      <c r="A292" s="153" t="s">
        <v>1131</v>
      </c>
      <c r="B292" s="153" t="s">
        <v>1132</v>
      </c>
    </row>
    <row r="293" spans="1:2">
      <c r="A293" s="153" t="s">
        <v>1133</v>
      </c>
      <c r="B293" s="153" t="s">
        <v>1134</v>
      </c>
    </row>
    <row r="294" spans="1:2">
      <c r="A294" s="153" t="s">
        <v>1135</v>
      </c>
      <c r="B294" s="153" t="s">
        <v>1136</v>
      </c>
    </row>
    <row r="295" spans="1:2">
      <c r="A295" s="153" t="s">
        <v>1137</v>
      </c>
      <c r="B295" s="153" t="s">
        <v>1138</v>
      </c>
    </row>
    <row r="296" spans="1:2">
      <c r="A296" s="153" t="s">
        <v>1139</v>
      </c>
      <c r="B296" s="153" t="s">
        <v>1140</v>
      </c>
    </row>
    <row r="297" spans="1:2">
      <c r="A297" s="153" t="s">
        <v>1141</v>
      </c>
      <c r="B297" s="153" t="s">
        <v>1142</v>
      </c>
    </row>
    <row r="298" spans="1:2">
      <c r="A298" s="153" t="s">
        <v>1143</v>
      </c>
      <c r="B298" s="153" t="s">
        <v>1144</v>
      </c>
    </row>
    <row r="299" spans="1:2">
      <c r="A299" s="153" t="s">
        <v>1145</v>
      </c>
      <c r="B299" s="153" t="s">
        <v>1146</v>
      </c>
    </row>
    <row r="300" spans="1:2">
      <c r="A300" s="153" t="s">
        <v>1147</v>
      </c>
      <c r="B300" s="153" t="s">
        <v>1148</v>
      </c>
    </row>
    <row r="301" spans="1:2">
      <c r="A301" s="153" t="s">
        <v>1149</v>
      </c>
      <c r="B301" s="153" t="s">
        <v>1150</v>
      </c>
    </row>
    <row r="302" spans="1:2">
      <c r="A302" s="153" t="s">
        <v>1151</v>
      </c>
      <c r="B302" s="153" t="s">
        <v>1152</v>
      </c>
    </row>
    <row r="303" spans="1:2">
      <c r="A303" s="153" t="s">
        <v>1153</v>
      </c>
      <c r="B303" s="153" t="s">
        <v>1154</v>
      </c>
    </row>
    <row r="304" spans="1:2">
      <c r="A304" s="153" t="s">
        <v>1155</v>
      </c>
      <c r="B304" s="153" t="s">
        <v>1156</v>
      </c>
    </row>
    <row r="305" spans="1:2">
      <c r="A305" s="153" t="s">
        <v>1157</v>
      </c>
      <c r="B305" s="153" t="s">
        <v>1158</v>
      </c>
    </row>
    <row r="306" spans="1:2">
      <c r="A306" s="153" t="s">
        <v>1159</v>
      </c>
      <c r="B306" s="153" t="s">
        <v>1160</v>
      </c>
    </row>
    <row r="307" spans="1:2">
      <c r="A307" s="153" t="s">
        <v>1161</v>
      </c>
      <c r="B307" s="153" t="s">
        <v>480</v>
      </c>
    </row>
    <row r="308" spans="1:2">
      <c r="A308" s="153" t="s">
        <v>1162</v>
      </c>
      <c r="B308" s="153" t="s">
        <v>1163</v>
      </c>
    </row>
    <row r="309" spans="1:2">
      <c r="A309" s="153" t="s">
        <v>1164</v>
      </c>
      <c r="B309" s="153" t="s">
        <v>1165</v>
      </c>
    </row>
    <row r="310" spans="1:2">
      <c r="A310" s="153" t="s">
        <v>1166</v>
      </c>
      <c r="B310" s="153" t="s">
        <v>1167</v>
      </c>
    </row>
    <row r="311" spans="1:2">
      <c r="A311" s="153" t="s">
        <v>1168</v>
      </c>
      <c r="B311" s="153" t="s">
        <v>1169</v>
      </c>
    </row>
    <row r="312" spans="1:2">
      <c r="A312" s="153" t="s">
        <v>1170</v>
      </c>
      <c r="B312" s="153" t="s">
        <v>1171</v>
      </c>
    </row>
    <row r="313" spans="1:2">
      <c r="A313" s="153" t="s">
        <v>1172</v>
      </c>
      <c r="B313" s="153" t="s">
        <v>1173</v>
      </c>
    </row>
    <row r="314" spans="1:2">
      <c r="A314" s="153" t="s">
        <v>1174</v>
      </c>
      <c r="B314" s="153" t="s">
        <v>1175</v>
      </c>
    </row>
    <row r="315" spans="1:2">
      <c r="A315" s="153" t="s">
        <v>1176</v>
      </c>
      <c r="B315" s="153" t="s">
        <v>1177</v>
      </c>
    </row>
    <row r="316" spans="1:2">
      <c r="A316" s="153" t="s">
        <v>1178</v>
      </c>
      <c r="B316" s="153" t="s">
        <v>1179</v>
      </c>
    </row>
    <row r="317" spans="1:2">
      <c r="A317" s="153" t="s">
        <v>1180</v>
      </c>
      <c r="B317" s="153" t="s">
        <v>1181</v>
      </c>
    </row>
    <row r="318" spans="1:2">
      <c r="A318" s="153" t="s">
        <v>1182</v>
      </c>
      <c r="B318" s="153" t="s">
        <v>1183</v>
      </c>
    </row>
    <row r="319" spans="1:2">
      <c r="A319" s="153" t="s">
        <v>1184</v>
      </c>
      <c r="B319" s="153" t="s">
        <v>1185</v>
      </c>
    </row>
    <row r="320" spans="1:2">
      <c r="A320" s="153" t="s">
        <v>1186</v>
      </c>
      <c r="B320" s="153" t="s">
        <v>1187</v>
      </c>
    </row>
    <row r="321" spans="1:2">
      <c r="A321" s="153" t="s">
        <v>1188</v>
      </c>
      <c r="B321" s="153" t="s">
        <v>1189</v>
      </c>
    </row>
    <row r="322" spans="1:2">
      <c r="A322" s="153" t="s">
        <v>1190</v>
      </c>
      <c r="B322" s="153" t="s">
        <v>1191</v>
      </c>
    </row>
    <row r="323" spans="1:2">
      <c r="A323" s="153" t="s">
        <v>1192</v>
      </c>
      <c r="B323" s="153" t="s">
        <v>1193</v>
      </c>
    </row>
    <row r="324" spans="1:2">
      <c r="A324" s="153" t="s">
        <v>1194</v>
      </c>
      <c r="B324" s="153" t="s">
        <v>1195</v>
      </c>
    </row>
    <row r="325" spans="1:2">
      <c r="A325" s="153" t="s">
        <v>1196</v>
      </c>
      <c r="B325" s="153" t="s">
        <v>1197</v>
      </c>
    </row>
    <row r="326" spans="1:2">
      <c r="A326" s="153" t="s">
        <v>1198</v>
      </c>
      <c r="B326" s="153" t="s">
        <v>1199</v>
      </c>
    </row>
    <row r="327" spans="1:2">
      <c r="A327" s="153" t="s">
        <v>1200</v>
      </c>
      <c r="B327" s="153" t="s">
        <v>1201</v>
      </c>
    </row>
    <row r="328" spans="1:2">
      <c r="A328" s="153" t="s">
        <v>1202</v>
      </c>
      <c r="B328" s="153" t="s">
        <v>1203</v>
      </c>
    </row>
    <row r="329" spans="1:2">
      <c r="A329" s="153" t="s">
        <v>1204</v>
      </c>
      <c r="B329" s="153" t="s">
        <v>1205</v>
      </c>
    </row>
    <row r="330" spans="1:2">
      <c r="A330" s="153" t="s">
        <v>1206</v>
      </c>
      <c r="B330" s="153" t="s">
        <v>1207</v>
      </c>
    </row>
    <row r="331" spans="1:2">
      <c r="A331" s="153" t="s">
        <v>1208</v>
      </c>
      <c r="B331" s="153" t="s">
        <v>1209</v>
      </c>
    </row>
    <row r="332" spans="1:2">
      <c r="A332" s="153" t="s">
        <v>1210</v>
      </c>
      <c r="B332" s="153" t="s">
        <v>1211</v>
      </c>
    </row>
    <row r="333" spans="1:2">
      <c r="A333" s="153" t="s">
        <v>1212</v>
      </c>
      <c r="B333" s="153" t="s">
        <v>1213</v>
      </c>
    </row>
    <row r="334" spans="1:2">
      <c r="A334" s="153" t="s">
        <v>1214</v>
      </c>
      <c r="B334" s="153" t="s">
        <v>1215</v>
      </c>
    </row>
    <row r="335" spans="1:2">
      <c r="A335" s="153" t="s">
        <v>1216</v>
      </c>
      <c r="B335" s="153" t="s">
        <v>1217</v>
      </c>
    </row>
    <row r="336" spans="1:2">
      <c r="A336" s="153" t="s">
        <v>1218</v>
      </c>
      <c r="B336" s="153" t="s">
        <v>1219</v>
      </c>
    </row>
    <row r="337" spans="1:2">
      <c r="A337" s="153" t="s">
        <v>1220</v>
      </c>
      <c r="B337" s="153" t="s">
        <v>1221</v>
      </c>
    </row>
    <row r="338" spans="1:2">
      <c r="A338" s="153" t="s">
        <v>1222</v>
      </c>
      <c r="B338" s="153" t="s">
        <v>1223</v>
      </c>
    </row>
    <row r="339" spans="1:2">
      <c r="A339" s="153" t="s">
        <v>1224</v>
      </c>
      <c r="B339" s="153" t="s">
        <v>1225</v>
      </c>
    </row>
    <row r="340" spans="1:2">
      <c r="A340" s="153" t="s">
        <v>1226</v>
      </c>
      <c r="B340" s="153" t="s">
        <v>1227</v>
      </c>
    </row>
    <row r="341" spans="1:2">
      <c r="A341" s="153" t="s">
        <v>1228</v>
      </c>
      <c r="B341" s="153" t="s">
        <v>1229</v>
      </c>
    </row>
    <row r="342" spans="1:2">
      <c r="A342" s="153" t="s">
        <v>1230</v>
      </c>
      <c r="B342" s="153" t="s">
        <v>1231</v>
      </c>
    </row>
    <row r="343" spans="1:2">
      <c r="A343" s="153" t="s">
        <v>1232</v>
      </c>
      <c r="B343" s="153" t="s">
        <v>1233</v>
      </c>
    </row>
    <row r="344" spans="1:2">
      <c r="A344" s="153" t="s">
        <v>1234</v>
      </c>
      <c r="B344" s="153" t="s">
        <v>1235</v>
      </c>
    </row>
    <row r="345" spans="1:2">
      <c r="A345" s="153" t="s">
        <v>1236</v>
      </c>
      <c r="B345" s="153" t="s">
        <v>1237</v>
      </c>
    </row>
    <row r="346" spans="1:2">
      <c r="A346" s="153" t="s">
        <v>1238</v>
      </c>
      <c r="B346" s="153" t="s">
        <v>1239</v>
      </c>
    </row>
    <row r="347" spans="1:2">
      <c r="A347" s="153" t="s">
        <v>1240</v>
      </c>
      <c r="B347" s="153" t="s">
        <v>1241</v>
      </c>
    </row>
    <row r="348" spans="1:2">
      <c r="A348" s="153" t="s">
        <v>1242</v>
      </c>
      <c r="B348" s="153" t="s">
        <v>1243</v>
      </c>
    </row>
    <row r="349" spans="1:2">
      <c r="A349" s="153" t="s">
        <v>1244</v>
      </c>
      <c r="B349" s="153" t="s">
        <v>1245</v>
      </c>
    </row>
    <row r="350" spans="1:2">
      <c r="A350" s="153" t="s">
        <v>1246</v>
      </c>
      <c r="B350" s="153" t="s">
        <v>1247</v>
      </c>
    </row>
    <row r="351" spans="1:2">
      <c r="A351" s="153" t="s">
        <v>1248</v>
      </c>
      <c r="B351" s="153" t="s">
        <v>1249</v>
      </c>
    </row>
    <row r="352" spans="1:2">
      <c r="A352" s="153" t="s">
        <v>1250</v>
      </c>
      <c r="B352" s="153" t="s">
        <v>1251</v>
      </c>
    </row>
    <row r="353" spans="1:2">
      <c r="A353" s="153" t="s">
        <v>1252</v>
      </c>
      <c r="B353" s="153" t="s">
        <v>1253</v>
      </c>
    </row>
    <row r="354" spans="1:2">
      <c r="A354" s="153" t="s">
        <v>1254</v>
      </c>
      <c r="B354" s="153" t="s">
        <v>1255</v>
      </c>
    </row>
    <row r="355" spans="1:2">
      <c r="A355" s="153" t="s">
        <v>1256</v>
      </c>
      <c r="B355" s="153" t="s">
        <v>1257</v>
      </c>
    </row>
    <row r="356" spans="1:2">
      <c r="A356" s="153" t="s">
        <v>1258</v>
      </c>
      <c r="B356" s="153" t="s">
        <v>1259</v>
      </c>
    </row>
    <row r="357" spans="1:2">
      <c r="A357" s="153" t="s">
        <v>1260</v>
      </c>
      <c r="B357" s="153" t="s">
        <v>1261</v>
      </c>
    </row>
    <row r="358" spans="1:2">
      <c r="A358" s="153" t="s">
        <v>1262</v>
      </c>
      <c r="B358" s="153" t="s">
        <v>1263</v>
      </c>
    </row>
    <row r="359" spans="1:2">
      <c r="A359" s="153" t="s">
        <v>1264</v>
      </c>
      <c r="B359" s="153" t="s">
        <v>1265</v>
      </c>
    </row>
    <row r="360" spans="1:2">
      <c r="A360" s="153" t="s">
        <v>1266</v>
      </c>
      <c r="B360" s="153" t="s">
        <v>1267</v>
      </c>
    </row>
    <row r="361" spans="1:2">
      <c r="A361" s="153" t="s">
        <v>1268</v>
      </c>
      <c r="B361" s="153" t="s">
        <v>1269</v>
      </c>
    </row>
    <row r="362" spans="1:2">
      <c r="A362" s="153" t="s">
        <v>1270</v>
      </c>
      <c r="B362" s="153" t="s">
        <v>1271</v>
      </c>
    </row>
    <row r="363" spans="1:2">
      <c r="A363" s="153" t="s">
        <v>1272</v>
      </c>
      <c r="B363" s="153" t="s">
        <v>1273</v>
      </c>
    </row>
    <row r="364" spans="1:2">
      <c r="A364" s="153" t="s">
        <v>1274</v>
      </c>
      <c r="B364" s="153" t="s">
        <v>1275</v>
      </c>
    </row>
    <row r="365" spans="1:2">
      <c r="A365" s="153" t="s">
        <v>1276</v>
      </c>
      <c r="B365" s="153" t="s">
        <v>1277</v>
      </c>
    </row>
    <row r="366" spans="1:2">
      <c r="A366" s="153" t="s">
        <v>1278</v>
      </c>
      <c r="B366" s="153" t="s">
        <v>1279</v>
      </c>
    </row>
    <row r="367" spans="1:2">
      <c r="A367" s="153" t="s">
        <v>1280</v>
      </c>
      <c r="B367" s="153" t="s">
        <v>1281</v>
      </c>
    </row>
    <row r="368" spans="1:2">
      <c r="A368" s="153" t="s">
        <v>1282</v>
      </c>
      <c r="B368" s="153" t="s">
        <v>1283</v>
      </c>
    </row>
    <row r="369" spans="1:2">
      <c r="A369" s="153" t="s">
        <v>1284</v>
      </c>
      <c r="B369" s="153" t="s">
        <v>1285</v>
      </c>
    </row>
    <row r="370" spans="1:2">
      <c r="A370" s="153" t="s">
        <v>1286</v>
      </c>
      <c r="B370" s="153" t="s">
        <v>1287</v>
      </c>
    </row>
    <row r="371" spans="1:2">
      <c r="A371" s="153" t="s">
        <v>1288</v>
      </c>
      <c r="B371" s="153" t="s">
        <v>1289</v>
      </c>
    </row>
    <row r="372" spans="1:2">
      <c r="A372" s="153" t="s">
        <v>1290</v>
      </c>
      <c r="B372" s="153" t="s">
        <v>1291</v>
      </c>
    </row>
    <row r="373" spans="1:2">
      <c r="A373" s="153" t="s">
        <v>1292</v>
      </c>
      <c r="B373" s="153" t="s">
        <v>1293</v>
      </c>
    </row>
    <row r="374" spans="1:2">
      <c r="A374" s="153" t="s">
        <v>1294</v>
      </c>
      <c r="B374" s="153" t="s">
        <v>1295</v>
      </c>
    </row>
    <row r="375" spans="1:2">
      <c r="A375" s="153" t="s">
        <v>1296</v>
      </c>
      <c r="B375" s="153" t="s">
        <v>1297</v>
      </c>
    </row>
    <row r="376" spans="1:2">
      <c r="A376" s="153" t="s">
        <v>1298</v>
      </c>
      <c r="B376" s="153" t="s">
        <v>1299</v>
      </c>
    </row>
    <row r="377" spans="1:2">
      <c r="A377" s="153" t="s">
        <v>1300</v>
      </c>
      <c r="B377" s="153" t="s">
        <v>1301</v>
      </c>
    </row>
    <row r="378" spans="1:2">
      <c r="A378" s="153" t="s">
        <v>1302</v>
      </c>
      <c r="B378" s="153" t="s">
        <v>1303</v>
      </c>
    </row>
    <row r="379" spans="1:2">
      <c r="A379" s="153" t="s">
        <v>1304</v>
      </c>
      <c r="B379" s="153" t="s">
        <v>1305</v>
      </c>
    </row>
    <row r="380" spans="1:2">
      <c r="A380" s="153" t="s">
        <v>1306</v>
      </c>
      <c r="B380" s="153" t="s">
        <v>1307</v>
      </c>
    </row>
    <row r="381" spans="1:2">
      <c r="A381" s="153" t="s">
        <v>1308</v>
      </c>
      <c r="B381" s="153" t="s">
        <v>1309</v>
      </c>
    </row>
    <row r="382" spans="1:2">
      <c r="A382" s="153" t="s">
        <v>1310</v>
      </c>
      <c r="B382" s="153" t="s">
        <v>1311</v>
      </c>
    </row>
    <row r="383" spans="1:2">
      <c r="A383" s="153" t="s">
        <v>1312</v>
      </c>
      <c r="B383" s="153" t="s">
        <v>1313</v>
      </c>
    </row>
    <row r="384" spans="1:2">
      <c r="A384" s="153" t="s">
        <v>1314</v>
      </c>
      <c r="B384" s="153" t="s">
        <v>1315</v>
      </c>
    </row>
    <row r="385" spans="1:2">
      <c r="A385" s="153" t="s">
        <v>1316</v>
      </c>
      <c r="B385" s="153" t="s">
        <v>1317</v>
      </c>
    </row>
    <row r="386" spans="1:2">
      <c r="A386" s="153" t="s">
        <v>1318</v>
      </c>
      <c r="B386" s="153" t="s">
        <v>1319</v>
      </c>
    </row>
    <row r="387" spans="1:2">
      <c r="A387" s="153" t="s">
        <v>1320</v>
      </c>
      <c r="B387" s="153" t="s">
        <v>1321</v>
      </c>
    </row>
    <row r="388" spans="1:2">
      <c r="A388" s="153" t="s">
        <v>1322</v>
      </c>
      <c r="B388" s="153" t="s">
        <v>1323</v>
      </c>
    </row>
    <row r="389" spans="1:2">
      <c r="A389" s="153" t="s">
        <v>1324</v>
      </c>
      <c r="B389" s="153" t="s">
        <v>1325</v>
      </c>
    </row>
    <row r="390" spans="1:2">
      <c r="A390" s="153" t="s">
        <v>1326</v>
      </c>
      <c r="B390" s="153" t="s">
        <v>1327</v>
      </c>
    </row>
    <row r="391" spans="1:2">
      <c r="A391" s="153" t="s">
        <v>1328</v>
      </c>
      <c r="B391" s="153" t="s">
        <v>1329</v>
      </c>
    </row>
    <row r="392" spans="1:2">
      <c r="A392" s="153" t="s">
        <v>1330</v>
      </c>
      <c r="B392" s="153" t="s">
        <v>1331</v>
      </c>
    </row>
    <row r="393" spans="1:2">
      <c r="A393" s="153" t="s">
        <v>1332</v>
      </c>
      <c r="B393" s="153" t="s">
        <v>1333</v>
      </c>
    </row>
    <row r="394" spans="1:2">
      <c r="A394" s="153" t="s">
        <v>1334</v>
      </c>
      <c r="B394" s="153" t="s">
        <v>1335</v>
      </c>
    </row>
    <row r="395" spans="1:2">
      <c r="A395" s="153" t="s">
        <v>1336</v>
      </c>
      <c r="B395" s="153" t="s">
        <v>1337</v>
      </c>
    </row>
    <row r="396" spans="1:2">
      <c r="A396" s="153" t="s">
        <v>1338</v>
      </c>
      <c r="B396" s="153" t="s">
        <v>1339</v>
      </c>
    </row>
    <row r="397" spans="1:2">
      <c r="A397" s="153" t="s">
        <v>1340</v>
      </c>
      <c r="B397" s="153" t="s">
        <v>1341</v>
      </c>
    </row>
    <row r="398" spans="1:2">
      <c r="A398" s="153" t="s">
        <v>1342</v>
      </c>
      <c r="B398" s="153" t="s">
        <v>1343</v>
      </c>
    </row>
    <row r="399" spans="1:2">
      <c r="A399" s="153" t="s">
        <v>1344</v>
      </c>
      <c r="B399" s="153" t="s">
        <v>1345</v>
      </c>
    </row>
    <row r="400" spans="1:2">
      <c r="A400" s="153" t="s">
        <v>1346</v>
      </c>
      <c r="B400" s="153" t="s">
        <v>1347</v>
      </c>
    </row>
    <row r="401" spans="1:2">
      <c r="A401" s="153" t="s">
        <v>1348</v>
      </c>
      <c r="B401" s="153" t="s">
        <v>1349</v>
      </c>
    </row>
    <row r="402" spans="1:2">
      <c r="A402" s="153" t="s">
        <v>1350</v>
      </c>
      <c r="B402" s="153" t="s">
        <v>1351</v>
      </c>
    </row>
    <row r="403" spans="1:2">
      <c r="A403" s="153" t="s">
        <v>1352</v>
      </c>
      <c r="B403" s="153" t="s">
        <v>1353</v>
      </c>
    </row>
    <row r="404" spans="1:2">
      <c r="A404" s="153" t="s">
        <v>1354</v>
      </c>
      <c r="B404" s="153" t="s">
        <v>1355</v>
      </c>
    </row>
    <row r="405" spans="1:2">
      <c r="A405" s="153" t="s">
        <v>1356</v>
      </c>
      <c r="B405" s="153" t="s">
        <v>1357</v>
      </c>
    </row>
    <row r="406" spans="1:2">
      <c r="A406" s="153" t="s">
        <v>1358</v>
      </c>
      <c r="B406" s="153" t="s">
        <v>1359</v>
      </c>
    </row>
    <row r="407" spans="1:2">
      <c r="A407" s="153" t="s">
        <v>1360</v>
      </c>
      <c r="B407" s="153" t="s">
        <v>1361</v>
      </c>
    </row>
    <row r="408" spans="1:2">
      <c r="A408" s="153" t="s">
        <v>1362</v>
      </c>
      <c r="B408" s="153" t="s">
        <v>1363</v>
      </c>
    </row>
    <row r="409" spans="1:2">
      <c r="A409" s="153" t="s">
        <v>1364</v>
      </c>
      <c r="B409" s="153" t="s">
        <v>1365</v>
      </c>
    </row>
    <row r="410" spans="1:2">
      <c r="A410" s="153" t="s">
        <v>1366</v>
      </c>
      <c r="B410" s="153" t="s">
        <v>1367</v>
      </c>
    </row>
    <row r="411" spans="1:2">
      <c r="A411" s="153" t="s">
        <v>1368</v>
      </c>
      <c r="B411" s="153" t="s">
        <v>1369</v>
      </c>
    </row>
    <row r="412" spans="1:2">
      <c r="A412" s="153" t="s">
        <v>1370</v>
      </c>
      <c r="B412" s="153" t="s">
        <v>1371</v>
      </c>
    </row>
    <row r="413" spans="1:2">
      <c r="A413" s="153" t="s">
        <v>1372</v>
      </c>
      <c r="B413" s="153" t="s">
        <v>1373</v>
      </c>
    </row>
    <row r="414" spans="1:2">
      <c r="A414" s="153" t="s">
        <v>1374</v>
      </c>
      <c r="B414" s="153" t="s">
        <v>1375</v>
      </c>
    </row>
    <row r="415" spans="1:2">
      <c r="A415" s="153" t="s">
        <v>1376</v>
      </c>
      <c r="B415" s="153" t="s">
        <v>1377</v>
      </c>
    </row>
    <row r="416" spans="1:2">
      <c r="A416" s="153" t="s">
        <v>1378</v>
      </c>
      <c r="B416" s="153" t="s">
        <v>1379</v>
      </c>
    </row>
    <row r="417" spans="1:2">
      <c r="A417" s="153" t="s">
        <v>1380</v>
      </c>
      <c r="B417" s="153" t="s">
        <v>1381</v>
      </c>
    </row>
    <row r="418" spans="1:2">
      <c r="A418" s="153" t="s">
        <v>1382</v>
      </c>
      <c r="B418" s="153" t="s">
        <v>1383</v>
      </c>
    </row>
    <row r="419" spans="1:2">
      <c r="A419" s="153" t="s">
        <v>1384</v>
      </c>
      <c r="B419" s="153" t="s">
        <v>1385</v>
      </c>
    </row>
    <row r="420" spans="1:2">
      <c r="A420" s="153" t="s">
        <v>1386</v>
      </c>
      <c r="B420" s="153" t="s">
        <v>1387</v>
      </c>
    </row>
    <row r="421" spans="1:2">
      <c r="A421" s="153" t="s">
        <v>1388</v>
      </c>
      <c r="B421" s="153" t="s">
        <v>1389</v>
      </c>
    </row>
    <row r="422" spans="1:2">
      <c r="A422" s="153" t="s">
        <v>1390</v>
      </c>
      <c r="B422" s="153" t="s">
        <v>1391</v>
      </c>
    </row>
    <row r="423" spans="1:2">
      <c r="A423" s="153" t="s">
        <v>1392</v>
      </c>
      <c r="B423" s="153" t="s">
        <v>1393</v>
      </c>
    </row>
    <row r="424" spans="1:2">
      <c r="A424" s="153" t="s">
        <v>1394</v>
      </c>
      <c r="B424" s="153" t="s">
        <v>1395</v>
      </c>
    </row>
    <row r="425" spans="1:2">
      <c r="A425" s="153" t="s">
        <v>1396</v>
      </c>
      <c r="B425" s="153" t="s">
        <v>1397</v>
      </c>
    </row>
    <row r="426" spans="1:2">
      <c r="A426" s="153" t="s">
        <v>1398</v>
      </c>
      <c r="B426" s="153" t="s">
        <v>1399</v>
      </c>
    </row>
    <row r="427" spans="1:2">
      <c r="A427" s="153" t="s">
        <v>1400</v>
      </c>
      <c r="B427" s="153" t="s">
        <v>1401</v>
      </c>
    </row>
    <row r="428" spans="1:2">
      <c r="A428" s="153" t="s">
        <v>1402</v>
      </c>
      <c r="B428" s="153" t="s">
        <v>1403</v>
      </c>
    </row>
    <row r="429" spans="1:2">
      <c r="A429" s="153" t="s">
        <v>1404</v>
      </c>
      <c r="B429" s="153" t="s">
        <v>1405</v>
      </c>
    </row>
    <row r="430" spans="1:2">
      <c r="A430" s="153" t="s">
        <v>1406</v>
      </c>
      <c r="B430" s="153" t="s">
        <v>1407</v>
      </c>
    </row>
    <row r="431" spans="1:2">
      <c r="A431" s="153" t="s">
        <v>1408</v>
      </c>
      <c r="B431" s="153" t="s">
        <v>1409</v>
      </c>
    </row>
    <row r="432" spans="1:2">
      <c r="A432" s="153" t="s">
        <v>1410</v>
      </c>
      <c r="B432" s="153" t="s">
        <v>1411</v>
      </c>
    </row>
    <row r="433" spans="1:2">
      <c r="A433" s="153" t="s">
        <v>1412</v>
      </c>
      <c r="B433" s="153" t="s">
        <v>1413</v>
      </c>
    </row>
    <row r="434" spans="1:2">
      <c r="A434" s="153" t="s">
        <v>1414</v>
      </c>
      <c r="B434" s="153" t="s">
        <v>1415</v>
      </c>
    </row>
    <row r="435" spans="1:2">
      <c r="A435" s="153" t="s">
        <v>1416</v>
      </c>
      <c r="B435" s="153" t="s">
        <v>1417</v>
      </c>
    </row>
    <row r="436" spans="1:2">
      <c r="A436" s="153" t="s">
        <v>1418</v>
      </c>
      <c r="B436" s="153" t="s">
        <v>1419</v>
      </c>
    </row>
    <row r="437" spans="1:2">
      <c r="A437" s="153" t="s">
        <v>1420</v>
      </c>
      <c r="B437" s="153" t="s">
        <v>1421</v>
      </c>
    </row>
    <row r="438" spans="1:2">
      <c r="A438" s="153" t="s">
        <v>1422</v>
      </c>
      <c r="B438" s="153" t="s">
        <v>1423</v>
      </c>
    </row>
    <row r="439" spans="1:2">
      <c r="A439" s="153" t="s">
        <v>1424</v>
      </c>
      <c r="B439" s="153" t="s">
        <v>1425</v>
      </c>
    </row>
    <row r="440" spans="1:2">
      <c r="A440" s="153" t="s">
        <v>1426</v>
      </c>
      <c r="B440" s="153" t="s">
        <v>1427</v>
      </c>
    </row>
    <row r="441" spans="1:2">
      <c r="A441" s="153" t="s">
        <v>1428</v>
      </c>
      <c r="B441" s="153" t="s">
        <v>1429</v>
      </c>
    </row>
    <row r="442" spans="1:2">
      <c r="A442" s="153" t="s">
        <v>1430</v>
      </c>
      <c r="B442" s="153" t="s">
        <v>1431</v>
      </c>
    </row>
    <row r="443" spans="1:2">
      <c r="A443" s="153" t="s">
        <v>1432</v>
      </c>
      <c r="B443" s="153" t="s">
        <v>1433</v>
      </c>
    </row>
    <row r="444" spans="1:2">
      <c r="A444" s="153" t="s">
        <v>1434</v>
      </c>
      <c r="B444" s="153" t="s">
        <v>1435</v>
      </c>
    </row>
    <row r="445" spans="1:2">
      <c r="A445" s="153" t="s">
        <v>1436</v>
      </c>
      <c r="B445" s="153" t="s">
        <v>1437</v>
      </c>
    </row>
    <row r="446" spans="1:2">
      <c r="A446" s="153" t="s">
        <v>1438</v>
      </c>
      <c r="B446" s="153" t="s">
        <v>1439</v>
      </c>
    </row>
    <row r="447" spans="1:2">
      <c r="A447" s="153" t="s">
        <v>1440</v>
      </c>
      <c r="B447" s="153" t="s">
        <v>1441</v>
      </c>
    </row>
    <row r="448" spans="1:2">
      <c r="A448" s="153" t="s">
        <v>1442</v>
      </c>
      <c r="B448" s="153" t="s">
        <v>1443</v>
      </c>
    </row>
    <row r="449" spans="1:2">
      <c r="A449" s="153" t="s">
        <v>1444</v>
      </c>
      <c r="B449" s="153" t="s">
        <v>1445</v>
      </c>
    </row>
    <row r="450" spans="1:2">
      <c r="A450" s="153" t="s">
        <v>1446</v>
      </c>
      <c r="B450" s="153" t="s">
        <v>1447</v>
      </c>
    </row>
    <row r="451" spans="1:2">
      <c r="A451" s="153" t="s">
        <v>1448</v>
      </c>
      <c r="B451" s="153" t="s">
        <v>1449</v>
      </c>
    </row>
    <row r="452" spans="1:2">
      <c r="A452" s="153" t="s">
        <v>1450</v>
      </c>
      <c r="B452" s="153" t="s">
        <v>1451</v>
      </c>
    </row>
    <row r="453" spans="1:2">
      <c r="A453" s="153" t="s">
        <v>1452</v>
      </c>
      <c r="B453" s="153" t="s">
        <v>1453</v>
      </c>
    </row>
    <row r="454" spans="1:2">
      <c r="A454" s="153" t="s">
        <v>1454</v>
      </c>
      <c r="B454" s="153" t="s">
        <v>1455</v>
      </c>
    </row>
    <row r="455" spans="1:2">
      <c r="A455" s="153" t="s">
        <v>1456</v>
      </c>
      <c r="B455" s="153" t="s">
        <v>1457</v>
      </c>
    </row>
    <row r="456" spans="1:2">
      <c r="A456" s="153" t="s">
        <v>1458</v>
      </c>
      <c r="B456" s="153" t="s">
        <v>1459</v>
      </c>
    </row>
    <row r="457" spans="1:2">
      <c r="A457" s="153" t="s">
        <v>1460</v>
      </c>
      <c r="B457" s="153" t="s">
        <v>1461</v>
      </c>
    </row>
    <row r="458" spans="1:2">
      <c r="A458" s="153" t="s">
        <v>1462</v>
      </c>
      <c r="B458" s="153" t="s">
        <v>1463</v>
      </c>
    </row>
    <row r="459" spans="1:2">
      <c r="A459" s="153" t="s">
        <v>1464</v>
      </c>
      <c r="B459" s="153" t="s">
        <v>1465</v>
      </c>
    </row>
    <row r="460" spans="1:2">
      <c r="A460" s="153" t="s">
        <v>1466</v>
      </c>
      <c r="B460" s="153" t="s">
        <v>1467</v>
      </c>
    </row>
    <row r="461" spans="1:2">
      <c r="A461" s="153" t="s">
        <v>1468</v>
      </c>
      <c r="B461" s="153" t="s">
        <v>1469</v>
      </c>
    </row>
    <row r="462" spans="1:2">
      <c r="A462" s="153" t="s">
        <v>1470</v>
      </c>
      <c r="B462" s="153" t="s">
        <v>1471</v>
      </c>
    </row>
    <row r="463" spans="1:2">
      <c r="A463" s="153" t="s">
        <v>1472</v>
      </c>
      <c r="B463" s="153" t="s">
        <v>1473</v>
      </c>
    </row>
    <row r="464" spans="1:2">
      <c r="A464" s="153" t="s">
        <v>1474</v>
      </c>
      <c r="B464" s="153" t="s">
        <v>1475</v>
      </c>
    </row>
    <row r="465" spans="1:2">
      <c r="A465" s="153" t="s">
        <v>1476</v>
      </c>
      <c r="B465" s="153" t="s">
        <v>1477</v>
      </c>
    </row>
    <row r="466" spans="1:2">
      <c r="A466" s="153" t="s">
        <v>1478</v>
      </c>
      <c r="B466" s="153" t="s">
        <v>1479</v>
      </c>
    </row>
    <row r="467" spans="1:2">
      <c r="A467" s="153" t="s">
        <v>1480</v>
      </c>
      <c r="B467" s="153" t="s">
        <v>1481</v>
      </c>
    </row>
    <row r="468" spans="1:2">
      <c r="A468" s="153" t="s">
        <v>1482</v>
      </c>
      <c r="B468" s="153" t="s">
        <v>1483</v>
      </c>
    </row>
    <row r="469" spans="1:2">
      <c r="A469" s="153" t="s">
        <v>1484</v>
      </c>
      <c r="B469" s="153" t="s">
        <v>1485</v>
      </c>
    </row>
    <row r="470" spans="1:2">
      <c r="A470" s="153" t="s">
        <v>1486</v>
      </c>
      <c r="B470" s="153" t="s">
        <v>1487</v>
      </c>
    </row>
    <row r="471" spans="1:2">
      <c r="A471" s="153" t="s">
        <v>1488</v>
      </c>
      <c r="B471" s="153" t="s">
        <v>1489</v>
      </c>
    </row>
    <row r="472" spans="1:2">
      <c r="A472" s="153" t="s">
        <v>1490</v>
      </c>
      <c r="B472" s="153" t="s">
        <v>1491</v>
      </c>
    </row>
    <row r="473" spans="1:2">
      <c r="A473" s="153" t="s">
        <v>1492</v>
      </c>
      <c r="B473" s="153" t="s">
        <v>1493</v>
      </c>
    </row>
    <row r="474" spans="1:2">
      <c r="A474" s="153" t="s">
        <v>1494</v>
      </c>
      <c r="B474" s="153" t="s">
        <v>1495</v>
      </c>
    </row>
    <row r="475" spans="1:2">
      <c r="A475" s="153" t="s">
        <v>1496</v>
      </c>
      <c r="B475" s="153" t="s">
        <v>1497</v>
      </c>
    </row>
    <row r="476" spans="1:2">
      <c r="A476" s="153" t="s">
        <v>1498</v>
      </c>
      <c r="B476" s="153" t="s">
        <v>1499</v>
      </c>
    </row>
    <row r="477" spans="1:2">
      <c r="A477" s="153" t="s">
        <v>1500</v>
      </c>
      <c r="B477" s="153" t="s">
        <v>1501</v>
      </c>
    </row>
    <row r="478" spans="1:2">
      <c r="A478" s="153" t="s">
        <v>1502</v>
      </c>
      <c r="B478" s="153" t="s">
        <v>1503</v>
      </c>
    </row>
    <row r="479" spans="1:2">
      <c r="A479" s="153" t="s">
        <v>1504</v>
      </c>
      <c r="B479" s="153" t="s">
        <v>1505</v>
      </c>
    </row>
    <row r="480" spans="1:2">
      <c r="A480" s="153" t="s">
        <v>1506</v>
      </c>
      <c r="B480" s="153" t="s">
        <v>1507</v>
      </c>
    </row>
    <row r="481" spans="1:2">
      <c r="A481" s="153" t="s">
        <v>1508</v>
      </c>
      <c r="B481" s="153" t="s">
        <v>1509</v>
      </c>
    </row>
    <row r="482" spans="1:2">
      <c r="A482" s="153" t="s">
        <v>1510</v>
      </c>
      <c r="B482" s="153" t="s">
        <v>1511</v>
      </c>
    </row>
    <row r="483" spans="1:2">
      <c r="A483" s="153" t="s">
        <v>1512</v>
      </c>
      <c r="B483" s="153" t="s">
        <v>1513</v>
      </c>
    </row>
    <row r="484" spans="1:2">
      <c r="A484" s="153" t="s">
        <v>1514</v>
      </c>
      <c r="B484" s="153" t="s">
        <v>1515</v>
      </c>
    </row>
    <row r="485" spans="1:2">
      <c r="A485" s="153" t="s">
        <v>1516</v>
      </c>
      <c r="B485" s="153" t="s">
        <v>1517</v>
      </c>
    </row>
    <row r="486" spans="1:2">
      <c r="A486" s="153" t="s">
        <v>1518</v>
      </c>
      <c r="B486" s="153" t="s">
        <v>1519</v>
      </c>
    </row>
    <row r="487" spans="1:2">
      <c r="A487" s="153" t="s">
        <v>1520</v>
      </c>
      <c r="B487" s="153" t="s">
        <v>1521</v>
      </c>
    </row>
    <row r="488" spans="1:2">
      <c r="A488" s="153" t="s">
        <v>1522</v>
      </c>
      <c r="B488" s="153" t="s">
        <v>1523</v>
      </c>
    </row>
    <row r="489" spans="1:2">
      <c r="A489" s="153" t="s">
        <v>1524</v>
      </c>
      <c r="B489" s="153" t="s">
        <v>1525</v>
      </c>
    </row>
    <row r="490" spans="1:2">
      <c r="A490" s="153" t="s">
        <v>1526</v>
      </c>
      <c r="B490" s="153" t="s">
        <v>1527</v>
      </c>
    </row>
    <row r="491" spans="1:2">
      <c r="A491" s="153" t="s">
        <v>1528</v>
      </c>
      <c r="B491" s="153" t="s">
        <v>1529</v>
      </c>
    </row>
    <row r="492" spans="1:2">
      <c r="A492" s="153" t="s">
        <v>1530</v>
      </c>
      <c r="B492" s="153" t="s">
        <v>1531</v>
      </c>
    </row>
    <row r="493" spans="1:2">
      <c r="A493" s="153" t="s">
        <v>1532</v>
      </c>
      <c r="B493" s="153" t="s">
        <v>1533</v>
      </c>
    </row>
    <row r="494" spans="1:2">
      <c r="A494" s="153" t="s">
        <v>1534</v>
      </c>
      <c r="B494" s="153" t="s">
        <v>1535</v>
      </c>
    </row>
    <row r="495" spans="1:2">
      <c r="A495" s="153" t="s">
        <v>1536</v>
      </c>
      <c r="B495" s="153" t="s">
        <v>1537</v>
      </c>
    </row>
    <row r="496" spans="1:2">
      <c r="A496" s="153" t="s">
        <v>1538</v>
      </c>
      <c r="B496" s="153" t="s">
        <v>1539</v>
      </c>
    </row>
    <row r="497" spans="1:2">
      <c r="A497" s="153" t="s">
        <v>1540</v>
      </c>
      <c r="B497" s="153" t="s">
        <v>1541</v>
      </c>
    </row>
    <row r="498" spans="1:2">
      <c r="A498" s="153" t="s">
        <v>1542</v>
      </c>
      <c r="B498" s="153" t="s">
        <v>1543</v>
      </c>
    </row>
    <row r="499" spans="1:2">
      <c r="A499" s="153" t="s">
        <v>1544</v>
      </c>
      <c r="B499" s="153" t="s">
        <v>1545</v>
      </c>
    </row>
    <row r="500" spans="1:2">
      <c r="A500" s="153" t="s">
        <v>1546</v>
      </c>
      <c r="B500" s="153" t="s">
        <v>1547</v>
      </c>
    </row>
    <row r="501" spans="1:2">
      <c r="A501" s="153" t="s">
        <v>1548</v>
      </c>
      <c r="B501" s="153" t="s">
        <v>296</v>
      </c>
    </row>
    <row r="502" spans="1:2">
      <c r="A502" s="153" t="s">
        <v>1549</v>
      </c>
      <c r="B502" s="153" t="s">
        <v>1550</v>
      </c>
    </row>
    <row r="503" spans="1:2">
      <c r="A503" s="153" t="s">
        <v>1551</v>
      </c>
      <c r="B503" s="153" t="s">
        <v>1552</v>
      </c>
    </row>
    <row r="504" spans="1:2">
      <c r="A504" s="153" t="s">
        <v>1553</v>
      </c>
      <c r="B504" s="153" t="s">
        <v>1554</v>
      </c>
    </row>
    <row r="505" spans="1:2">
      <c r="A505" s="153" t="s">
        <v>1555</v>
      </c>
      <c r="B505" s="153" t="s">
        <v>1556</v>
      </c>
    </row>
    <row r="506" spans="1:2">
      <c r="A506" s="153" t="s">
        <v>1557</v>
      </c>
      <c r="B506" s="153" t="s">
        <v>1558</v>
      </c>
    </row>
    <row r="507" spans="1:2">
      <c r="A507" s="153" t="s">
        <v>1559</v>
      </c>
      <c r="B507" s="153" t="s">
        <v>1560</v>
      </c>
    </row>
    <row r="508" spans="1:2">
      <c r="A508" s="153" t="s">
        <v>1561</v>
      </c>
      <c r="B508" s="153" t="s">
        <v>1562</v>
      </c>
    </row>
    <row r="509" spans="1:2">
      <c r="A509" s="153" t="s">
        <v>1563</v>
      </c>
      <c r="B509" s="153" t="s">
        <v>1564</v>
      </c>
    </row>
    <row r="510" spans="1:2">
      <c r="A510" s="153" t="s">
        <v>1565</v>
      </c>
      <c r="B510" s="153" t="s">
        <v>1566</v>
      </c>
    </row>
    <row r="511" spans="1:2">
      <c r="A511" s="153" t="s">
        <v>1567</v>
      </c>
      <c r="B511" s="153" t="s">
        <v>1568</v>
      </c>
    </row>
    <row r="512" spans="1:2">
      <c r="A512" s="153" t="s">
        <v>1569</v>
      </c>
      <c r="B512" s="153" t="s">
        <v>1570</v>
      </c>
    </row>
    <row r="513" spans="1:2">
      <c r="A513" s="153" t="s">
        <v>1571</v>
      </c>
      <c r="B513" s="153" t="s">
        <v>1572</v>
      </c>
    </row>
    <row r="514" spans="1:2">
      <c r="A514" s="153" t="s">
        <v>1573</v>
      </c>
      <c r="B514" s="153" t="s">
        <v>1574</v>
      </c>
    </row>
    <row r="515" spans="1:2">
      <c r="A515" s="153" t="s">
        <v>1575</v>
      </c>
      <c r="B515" s="153" t="s">
        <v>1576</v>
      </c>
    </row>
    <row r="516" spans="1:2">
      <c r="A516" s="153" t="s">
        <v>1577</v>
      </c>
      <c r="B516" s="153" t="s">
        <v>1578</v>
      </c>
    </row>
    <row r="517" spans="1:2">
      <c r="A517" s="153" t="s">
        <v>1579</v>
      </c>
      <c r="B517" s="153" t="s">
        <v>1580</v>
      </c>
    </row>
    <row r="518" spans="1:2">
      <c r="A518" s="153" t="s">
        <v>1581</v>
      </c>
      <c r="B518" s="153" t="s">
        <v>1582</v>
      </c>
    </row>
    <row r="519" spans="1:2">
      <c r="A519" s="153" t="s">
        <v>1583</v>
      </c>
      <c r="B519" s="153" t="s">
        <v>1584</v>
      </c>
    </row>
    <row r="520" spans="1:2">
      <c r="A520" s="153" t="s">
        <v>1585</v>
      </c>
      <c r="B520" s="153" t="s">
        <v>1586</v>
      </c>
    </row>
    <row r="521" spans="1:2">
      <c r="A521" s="153" t="s">
        <v>1587</v>
      </c>
      <c r="B521" s="153" t="s">
        <v>1588</v>
      </c>
    </row>
    <row r="522" spans="1:2">
      <c r="A522" s="153" t="s">
        <v>1589</v>
      </c>
      <c r="B522" s="153" t="s">
        <v>1590</v>
      </c>
    </row>
    <row r="523" spans="1:2">
      <c r="A523" s="153" t="s">
        <v>1591</v>
      </c>
      <c r="B523" s="153" t="s">
        <v>1592</v>
      </c>
    </row>
    <row r="524" spans="1:2">
      <c r="A524" s="153" t="s">
        <v>1593</v>
      </c>
      <c r="B524" s="153" t="s">
        <v>1594</v>
      </c>
    </row>
    <row r="525" spans="1:2">
      <c r="A525" s="153" t="s">
        <v>1595</v>
      </c>
      <c r="B525" s="153" t="s">
        <v>1596</v>
      </c>
    </row>
    <row r="526" spans="1:2">
      <c r="A526" s="153" t="s">
        <v>1597</v>
      </c>
      <c r="B526" s="153" t="s">
        <v>1598</v>
      </c>
    </row>
    <row r="527" spans="1:2">
      <c r="A527" s="153" t="s">
        <v>1599</v>
      </c>
      <c r="B527" s="153" t="s">
        <v>1600</v>
      </c>
    </row>
    <row r="528" spans="1:2">
      <c r="A528" s="153" t="s">
        <v>1601</v>
      </c>
      <c r="B528" s="153" t="s">
        <v>1602</v>
      </c>
    </row>
    <row r="529" spans="1:2">
      <c r="A529" s="153" t="s">
        <v>1603</v>
      </c>
      <c r="B529" s="153" t="s">
        <v>1604</v>
      </c>
    </row>
    <row r="530" spans="1:2">
      <c r="A530" s="153" t="s">
        <v>1605</v>
      </c>
      <c r="B530" s="153" t="s">
        <v>1606</v>
      </c>
    </row>
    <row r="531" spans="1:2">
      <c r="A531" s="153" t="s">
        <v>1607</v>
      </c>
      <c r="B531" s="153" t="s">
        <v>1608</v>
      </c>
    </row>
    <row r="532" spans="1:2">
      <c r="A532" s="153" t="s">
        <v>1609</v>
      </c>
      <c r="B532" s="153" t="s">
        <v>1610</v>
      </c>
    </row>
    <row r="533" spans="1:2">
      <c r="A533" s="153" t="s">
        <v>1611</v>
      </c>
      <c r="B533" s="153" t="s">
        <v>1612</v>
      </c>
    </row>
    <row r="534" spans="1:2">
      <c r="A534" s="153" t="s">
        <v>1613</v>
      </c>
      <c r="B534" s="153" t="s">
        <v>1614</v>
      </c>
    </row>
    <row r="535" spans="1:2">
      <c r="A535" s="153" t="s">
        <v>1615</v>
      </c>
      <c r="B535" s="153" t="s">
        <v>1616</v>
      </c>
    </row>
    <row r="536" spans="1:2">
      <c r="A536" s="153" t="s">
        <v>1617</v>
      </c>
      <c r="B536" s="153" t="s">
        <v>1618</v>
      </c>
    </row>
    <row r="537" spans="1:2">
      <c r="A537" s="153" t="s">
        <v>1619</v>
      </c>
      <c r="B537" s="153" t="s">
        <v>1620</v>
      </c>
    </row>
    <row r="538" spans="1:2">
      <c r="A538" s="153" t="s">
        <v>1621</v>
      </c>
      <c r="B538" s="153" t="s">
        <v>1622</v>
      </c>
    </row>
    <row r="539" spans="1:2">
      <c r="A539" s="153" t="s">
        <v>1623</v>
      </c>
      <c r="B539" s="153" t="s">
        <v>1624</v>
      </c>
    </row>
    <row r="540" spans="1:2">
      <c r="A540" s="153" t="s">
        <v>1625</v>
      </c>
      <c r="B540" s="153" t="s">
        <v>1626</v>
      </c>
    </row>
    <row r="541" spans="1:2">
      <c r="A541" s="153" t="s">
        <v>1627</v>
      </c>
      <c r="B541" s="153" t="s">
        <v>1628</v>
      </c>
    </row>
    <row r="542" spans="1:2">
      <c r="A542" s="153" t="s">
        <v>1629</v>
      </c>
      <c r="B542" s="153" t="s">
        <v>1630</v>
      </c>
    </row>
    <row r="543" spans="1:2">
      <c r="A543" s="153" t="s">
        <v>1631</v>
      </c>
      <c r="B543" s="153" t="s">
        <v>1632</v>
      </c>
    </row>
    <row r="544" spans="1:2">
      <c r="A544" s="153" t="s">
        <v>1633</v>
      </c>
      <c r="B544" s="153" t="s">
        <v>1634</v>
      </c>
    </row>
    <row r="545" spans="1:2">
      <c r="A545" s="153" t="s">
        <v>1635</v>
      </c>
      <c r="B545" s="153" t="s">
        <v>1636</v>
      </c>
    </row>
    <row r="546" spans="1:2">
      <c r="A546" s="153" t="s">
        <v>1637</v>
      </c>
      <c r="B546" s="153" t="s">
        <v>1638</v>
      </c>
    </row>
    <row r="547" spans="1:2">
      <c r="A547" s="153" t="s">
        <v>1639</v>
      </c>
      <c r="B547" s="153" t="s">
        <v>1640</v>
      </c>
    </row>
    <row r="548" spans="1:2">
      <c r="A548" s="153" t="s">
        <v>1641</v>
      </c>
      <c r="B548" s="153" t="s">
        <v>1642</v>
      </c>
    </row>
    <row r="549" spans="1:2">
      <c r="A549" s="153" t="s">
        <v>1643</v>
      </c>
      <c r="B549" s="153" t="s">
        <v>1644</v>
      </c>
    </row>
    <row r="550" spans="1:2">
      <c r="A550" s="153" t="s">
        <v>1645</v>
      </c>
      <c r="B550" s="153" t="s">
        <v>1646</v>
      </c>
    </row>
    <row r="551" spans="1:2">
      <c r="A551" s="153" t="s">
        <v>1647</v>
      </c>
      <c r="B551" s="153" t="s">
        <v>1648</v>
      </c>
    </row>
    <row r="552" spans="1:2">
      <c r="A552" s="153" t="s">
        <v>1649</v>
      </c>
      <c r="B552" s="153" t="s">
        <v>1650</v>
      </c>
    </row>
    <row r="553" spans="1:2">
      <c r="A553" s="153" t="s">
        <v>1651</v>
      </c>
      <c r="B553" s="153" t="s">
        <v>1652</v>
      </c>
    </row>
    <row r="554" spans="1:2">
      <c r="A554" s="153" t="s">
        <v>1653</v>
      </c>
      <c r="B554" s="153" t="s">
        <v>1654</v>
      </c>
    </row>
    <row r="555" spans="1:2">
      <c r="A555" s="153" t="s">
        <v>1655</v>
      </c>
      <c r="B555" s="153" t="s">
        <v>1656</v>
      </c>
    </row>
    <row r="556" spans="1:2">
      <c r="A556" s="153" t="s">
        <v>1657</v>
      </c>
      <c r="B556" s="153" t="s">
        <v>1658</v>
      </c>
    </row>
    <row r="557" spans="1:2">
      <c r="A557" s="153" t="s">
        <v>1659</v>
      </c>
      <c r="B557" s="153" t="s">
        <v>1660</v>
      </c>
    </row>
    <row r="558" spans="1:2">
      <c r="A558" s="153" t="s">
        <v>1661</v>
      </c>
      <c r="B558" s="153" t="s">
        <v>1662</v>
      </c>
    </row>
    <row r="559" spans="1:2">
      <c r="A559" s="153" t="s">
        <v>1663</v>
      </c>
      <c r="B559" s="153" t="s">
        <v>1664</v>
      </c>
    </row>
    <row r="560" spans="1:2">
      <c r="A560" s="153" t="s">
        <v>1665</v>
      </c>
      <c r="B560" s="153" t="s">
        <v>1666</v>
      </c>
    </row>
    <row r="561" spans="1:2">
      <c r="A561" s="153" t="s">
        <v>1667</v>
      </c>
      <c r="B561" s="153" t="s">
        <v>1668</v>
      </c>
    </row>
    <row r="562" spans="1:2">
      <c r="A562" s="153" t="s">
        <v>1669</v>
      </c>
      <c r="B562" s="153" t="s">
        <v>1670</v>
      </c>
    </row>
    <row r="563" spans="1:2">
      <c r="A563" s="153" t="s">
        <v>1671</v>
      </c>
      <c r="B563" s="153" t="s">
        <v>1672</v>
      </c>
    </row>
    <row r="564" spans="1:2">
      <c r="A564" s="153" t="s">
        <v>1673</v>
      </c>
      <c r="B564" s="153" t="s">
        <v>1674</v>
      </c>
    </row>
    <row r="565" spans="1:2">
      <c r="A565" s="153" t="s">
        <v>1675</v>
      </c>
      <c r="B565" s="153" t="s">
        <v>1676</v>
      </c>
    </row>
    <row r="566" spans="1:2">
      <c r="A566" s="153" t="s">
        <v>1677</v>
      </c>
      <c r="B566" s="153" t="s">
        <v>1678</v>
      </c>
    </row>
    <row r="567" spans="1:2">
      <c r="A567" s="153" t="s">
        <v>1679</v>
      </c>
      <c r="B567" s="153" t="s">
        <v>1680</v>
      </c>
    </row>
    <row r="568" spans="1:2">
      <c r="A568" s="153" t="s">
        <v>1681</v>
      </c>
      <c r="B568" s="153" t="s">
        <v>1682</v>
      </c>
    </row>
    <row r="569" spans="1:2">
      <c r="A569" s="153" t="s">
        <v>1683</v>
      </c>
      <c r="B569" s="153" t="s">
        <v>1684</v>
      </c>
    </row>
    <row r="570" spans="1:2">
      <c r="A570" s="153" t="s">
        <v>1685</v>
      </c>
      <c r="B570" s="153" t="s">
        <v>1686</v>
      </c>
    </row>
    <row r="571" spans="1:2">
      <c r="A571" s="153" t="s">
        <v>1687</v>
      </c>
      <c r="B571" s="153" t="s">
        <v>1688</v>
      </c>
    </row>
    <row r="572" spans="1:2">
      <c r="A572" s="153" t="s">
        <v>1689</v>
      </c>
      <c r="B572" s="153" t="s">
        <v>1690</v>
      </c>
    </row>
    <row r="573" spans="1:2">
      <c r="A573" s="153" t="s">
        <v>1691</v>
      </c>
      <c r="B573" s="153" t="s">
        <v>1692</v>
      </c>
    </row>
    <row r="574" spans="1:2">
      <c r="A574" s="153" t="s">
        <v>1693</v>
      </c>
      <c r="B574" s="153" t="s">
        <v>1694</v>
      </c>
    </row>
    <row r="575" spans="1:2">
      <c r="A575" s="153" t="s">
        <v>1695</v>
      </c>
      <c r="B575" s="153" t="s">
        <v>1696</v>
      </c>
    </row>
    <row r="576" spans="1:2">
      <c r="A576" s="153" t="s">
        <v>1697</v>
      </c>
      <c r="B576" s="153" t="s">
        <v>1698</v>
      </c>
    </row>
    <row r="577" spans="1:2">
      <c r="A577" s="153" t="s">
        <v>1699</v>
      </c>
      <c r="B577" s="153" t="s">
        <v>1700</v>
      </c>
    </row>
    <row r="578" spans="1:2">
      <c r="A578" s="153" t="s">
        <v>1701</v>
      </c>
      <c r="B578" s="153" t="s">
        <v>1702</v>
      </c>
    </row>
    <row r="579" spans="1:2">
      <c r="A579" s="153" t="s">
        <v>1703</v>
      </c>
      <c r="B579" s="153" t="s">
        <v>1704</v>
      </c>
    </row>
    <row r="580" spans="1:2">
      <c r="A580" s="153" t="s">
        <v>1705</v>
      </c>
      <c r="B580" s="153" t="s">
        <v>1706</v>
      </c>
    </row>
    <row r="581" spans="1:2">
      <c r="A581" s="153" t="s">
        <v>1707</v>
      </c>
      <c r="B581" s="153" t="s">
        <v>1708</v>
      </c>
    </row>
    <row r="582" spans="1:2">
      <c r="A582" s="153" t="s">
        <v>1709</v>
      </c>
      <c r="B582" s="153" t="s">
        <v>1710</v>
      </c>
    </row>
    <row r="583" spans="1:2">
      <c r="A583" s="153" t="s">
        <v>1711</v>
      </c>
      <c r="B583" s="153" t="s">
        <v>1712</v>
      </c>
    </row>
    <row r="584" spans="1:2">
      <c r="A584" s="153" t="s">
        <v>1713</v>
      </c>
      <c r="B584" s="153" t="s">
        <v>1714</v>
      </c>
    </row>
    <row r="585" spans="1:2">
      <c r="A585" s="153" t="s">
        <v>1715</v>
      </c>
      <c r="B585" s="153" t="s">
        <v>1716</v>
      </c>
    </row>
    <row r="586" spans="1:2">
      <c r="A586" s="153" t="s">
        <v>1717</v>
      </c>
      <c r="B586" s="153" t="s">
        <v>1718</v>
      </c>
    </row>
    <row r="587" spans="1:2">
      <c r="A587" s="153" t="s">
        <v>1719</v>
      </c>
      <c r="B587" s="153" t="s">
        <v>1720</v>
      </c>
    </row>
    <row r="588" spans="1:2">
      <c r="A588" s="153" t="s">
        <v>1721</v>
      </c>
      <c r="B588" s="153" t="s">
        <v>119</v>
      </c>
    </row>
    <row r="589" spans="1:2">
      <c r="A589" s="153" t="s">
        <v>1722</v>
      </c>
      <c r="B589" s="153" t="s">
        <v>1723</v>
      </c>
    </row>
    <row r="590" spans="1:2">
      <c r="A590" s="153" t="s">
        <v>1724</v>
      </c>
      <c r="B590" s="153" t="s">
        <v>1725</v>
      </c>
    </row>
    <row r="591" spans="1:2">
      <c r="A591" s="153" t="s">
        <v>1726</v>
      </c>
      <c r="B591" s="153" t="s">
        <v>1727</v>
      </c>
    </row>
    <row r="592" spans="1:2">
      <c r="A592" s="153" t="s">
        <v>1728</v>
      </c>
      <c r="B592" s="153" t="s">
        <v>1729</v>
      </c>
    </row>
    <row r="593" spans="1:2">
      <c r="A593" s="153" t="s">
        <v>1730</v>
      </c>
      <c r="B593" s="153" t="s">
        <v>1731</v>
      </c>
    </row>
    <row r="594" spans="1:2">
      <c r="A594" s="153" t="s">
        <v>1732</v>
      </c>
      <c r="B594" s="153" t="s">
        <v>1733</v>
      </c>
    </row>
    <row r="595" spans="1:2">
      <c r="A595" s="153" t="s">
        <v>1734</v>
      </c>
      <c r="B595" s="153" t="s">
        <v>1735</v>
      </c>
    </row>
    <row r="596" spans="1:2">
      <c r="A596" s="153" t="s">
        <v>1736</v>
      </c>
      <c r="B596" s="153" t="s">
        <v>1737</v>
      </c>
    </row>
    <row r="597" spans="1:2">
      <c r="A597" s="153" t="s">
        <v>1738</v>
      </c>
      <c r="B597" s="153" t="s">
        <v>1739</v>
      </c>
    </row>
    <row r="598" spans="1:2">
      <c r="A598" s="153" t="s">
        <v>1740</v>
      </c>
      <c r="B598" s="153" t="s">
        <v>1741</v>
      </c>
    </row>
    <row r="599" spans="1:2">
      <c r="A599" s="153" t="s">
        <v>1742</v>
      </c>
      <c r="B599" s="153" t="s">
        <v>1743</v>
      </c>
    </row>
    <row r="600" spans="1:2">
      <c r="A600" s="153" t="s">
        <v>1744</v>
      </c>
      <c r="B600" s="153" t="s">
        <v>1745</v>
      </c>
    </row>
    <row r="601" spans="1:2">
      <c r="A601" s="153" t="s">
        <v>1746</v>
      </c>
      <c r="B601" s="153" t="s">
        <v>1747</v>
      </c>
    </row>
    <row r="602" spans="1:2">
      <c r="A602" s="153" t="s">
        <v>1748</v>
      </c>
      <c r="B602" s="153" t="s">
        <v>1749</v>
      </c>
    </row>
    <row r="603" spans="1:2">
      <c r="A603" s="153" t="s">
        <v>1750</v>
      </c>
      <c r="B603" s="153" t="s">
        <v>1751</v>
      </c>
    </row>
    <row r="604" spans="1:2">
      <c r="A604" s="153" t="s">
        <v>1752</v>
      </c>
      <c r="B604" s="153" t="s">
        <v>1753</v>
      </c>
    </row>
    <row r="605" spans="1:2">
      <c r="A605" s="153" t="s">
        <v>1754</v>
      </c>
      <c r="B605" s="153" t="s">
        <v>1755</v>
      </c>
    </row>
    <row r="606" spans="1:2">
      <c r="A606" s="153" t="s">
        <v>1756</v>
      </c>
      <c r="B606" s="153" t="s">
        <v>1757</v>
      </c>
    </row>
    <row r="607" spans="1:2">
      <c r="A607" s="153" t="s">
        <v>1758</v>
      </c>
      <c r="B607" s="153" t="s">
        <v>1759</v>
      </c>
    </row>
    <row r="608" spans="1:2">
      <c r="A608" s="153" t="s">
        <v>1760</v>
      </c>
      <c r="B608" s="153" t="s">
        <v>1761</v>
      </c>
    </row>
    <row r="609" spans="1:2">
      <c r="A609" s="153" t="s">
        <v>1762</v>
      </c>
      <c r="B609" s="153" t="s">
        <v>1763</v>
      </c>
    </row>
    <row r="610" spans="1:2">
      <c r="A610" s="153" t="s">
        <v>1764</v>
      </c>
      <c r="B610" s="153" t="s">
        <v>1765</v>
      </c>
    </row>
    <row r="611" spans="1:2">
      <c r="A611" s="153" t="s">
        <v>1766</v>
      </c>
      <c r="B611" s="153" t="s">
        <v>1767</v>
      </c>
    </row>
    <row r="612" spans="1:2">
      <c r="A612" s="153" t="s">
        <v>1768</v>
      </c>
      <c r="B612" s="153" t="s">
        <v>1769</v>
      </c>
    </row>
    <row r="613" spans="1:2">
      <c r="A613" s="153" t="s">
        <v>1770</v>
      </c>
      <c r="B613" s="153" t="s">
        <v>1771</v>
      </c>
    </row>
    <row r="614" spans="1:2">
      <c r="A614" s="153" t="s">
        <v>1772</v>
      </c>
      <c r="B614" s="153" t="s">
        <v>1773</v>
      </c>
    </row>
    <row r="615" spans="1:2">
      <c r="A615" s="153" t="s">
        <v>1774</v>
      </c>
      <c r="B615" s="153" t="s">
        <v>1775</v>
      </c>
    </row>
    <row r="616" spans="1:2">
      <c r="A616" s="153" t="s">
        <v>1776</v>
      </c>
      <c r="B616" s="153" t="s">
        <v>1777</v>
      </c>
    </row>
    <row r="617" spans="1:2">
      <c r="A617" s="153" t="s">
        <v>1778</v>
      </c>
      <c r="B617" s="153" t="s">
        <v>1779</v>
      </c>
    </row>
    <row r="618" spans="1:2">
      <c r="A618" s="153" t="s">
        <v>1780</v>
      </c>
      <c r="B618" s="153" t="s">
        <v>1781</v>
      </c>
    </row>
    <row r="619" spans="1:2">
      <c r="A619" s="153" t="s">
        <v>1782</v>
      </c>
      <c r="B619" s="153" t="s">
        <v>1783</v>
      </c>
    </row>
    <row r="620" spans="1:2">
      <c r="A620" s="153" t="s">
        <v>1784</v>
      </c>
      <c r="B620" s="153" t="s">
        <v>1785</v>
      </c>
    </row>
    <row r="621" spans="1:2">
      <c r="A621" s="153" t="s">
        <v>1786</v>
      </c>
      <c r="B621" s="153" t="s">
        <v>1787</v>
      </c>
    </row>
    <row r="622" spans="1:2">
      <c r="A622" s="153" t="s">
        <v>1788</v>
      </c>
      <c r="B622" s="153" t="s">
        <v>1789</v>
      </c>
    </row>
    <row r="623" spans="1:2">
      <c r="A623" s="153" t="s">
        <v>1790</v>
      </c>
      <c r="B623" s="153" t="s">
        <v>1791</v>
      </c>
    </row>
    <row r="624" spans="1:2">
      <c r="A624" s="153" t="s">
        <v>1792</v>
      </c>
      <c r="B624" s="153" t="s">
        <v>1793</v>
      </c>
    </row>
    <row r="625" spans="1:2">
      <c r="A625" s="153" t="s">
        <v>1794</v>
      </c>
      <c r="B625" s="153" t="s">
        <v>1795</v>
      </c>
    </row>
    <row r="626" spans="1:2">
      <c r="A626" s="153" t="s">
        <v>1796</v>
      </c>
      <c r="B626" s="153" t="s">
        <v>1797</v>
      </c>
    </row>
    <row r="627" spans="1:2">
      <c r="A627" s="153" t="s">
        <v>1798</v>
      </c>
      <c r="B627" s="153" t="s">
        <v>301</v>
      </c>
    </row>
    <row r="628" spans="1:2">
      <c r="A628" s="153" t="s">
        <v>1799</v>
      </c>
      <c r="B628" s="153" t="s">
        <v>1800</v>
      </c>
    </row>
    <row r="629" spans="1:2">
      <c r="A629" s="153" t="s">
        <v>1801</v>
      </c>
      <c r="B629" s="153" t="s">
        <v>1802</v>
      </c>
    </row>
    <row r="630" spans="1:2">
      <c r="A630" s="153" t="s">
        <v>1803</v>
      </c>
      <c r="B630" s="153" t="s">
        <v>1804</v>
      </c>
    </row>
    <row r="631" spans="1:2">
      <c r="A631" s="153" t="s">
        <v>1805</v>
      </c>
      <c r="B631" s="153" t="s">
        <v>1806</v>
      </c>
    </row>
    <row r="632" spans="1:2">
      <c r="A632" s="153" t="s">
        <v>1807</v>
      </c>
      <c r="B632" s="153" t="s">
        <v>1808</v>
      </c>
    </row>
    <row r="633" spans="1:2">
      <c r="A633" s="153" t="s">
        <v>1809</v>
      </c>
      <c r="B633" s="153" t="s">
        <v>1810</v>
      </c>
    </row>
    <row r="634" spans="1:2">
      <c r="A634" s="153" t="s">
        <v>1811</v>
      </c>
      <c r="B634" s="153" t="s">
        <v>1812</v>
      </c>
    </row>
    <row r="635" spans="1:2">
      <c r="A635" s="153" t="s">
        <v>1813</v>
      </c>
      <c r="B635" s="153" t="s">
        <v>1814</v>
      </c>
    </row>
    <row r="636" spans="1:2">
      <c r="A636" s="153" t="s">
        <v>1815</v>
      </c>
      <c r="B636" s="153" t="s">
        <v>1816</v>
      </c>
    </row>
    <row r="637" spans="1:2">
      <c r="A637" s="153" t="s">
        <v>1817</v>
      </c>
      <c r="B637" s="153" t="s">
        <v>1818</v>
      </c>
    </row>
    <row r="638" spans="1:2">
      <c r="A638" s="153" t="s">
        <v>1819</v>
      </c>
      <c r="B638" s="153" t="s">
        <v>1820</v>
      </c>
    </row>
    <row r="639" spans="1:2">
      <c r="A639" s="153" t="s">
        <v>1821</v>
      </c>
      <c r="B639" s="153" t="s">
        <v>1822</v>
      </c>
    </row>
    <row r="640" spans="1:2">
      <c r="A640" s="153" t="s">
        <v>1823</v>
      </c>
      <c r="B640" s="153" t="s">
        <v>1824</v>
      </c>
    </row>
    <row r="641" spans="1:2">
      <c r="A641" s="153" t="s">
        <v>1825</v>
      </c>
      <c r="B641" s="153" t="s">
        <v>1826</v>
      </c>
    </row>
    <row r="642" spans="1:2">
      <c r="A642" s="153" t="s">
        <v>1827</v>
      </c>
      <c r="B642" s="153" t="s">
        <v>1828</v>
      </c>
    </row>
    <row r="643" spans="1:2">
      <c r="A643" s="153" t="s">
        <v>1829</v>
      </c>
      <c r="B643" s="153" t="s">
        <v>1830</v>
      </c>
    </row>
    <row r="644" spans="1:2">
      <c r="A644" s="153" t="s">
        <v>1831</v>
      </c>
      <c r="B644" s="153" t="s">
        <v>1832</v>
      </c>
    </row>
    <row r="645" spans="1:2">
      <c r="A645" s="153" t="s">
        <v>1833</v>
      </c>
      <c r="B645" s="153" t="s">
        <v>1834</v>
      </c>
    </row>
    <row r="646" spans="1:2">
      <c r="A646" s="153" t="s">
        <v>1835</v>
      </c>
      <c r="B646" s="153" t="s">
        <v>1836</v>
      </c>
    </row>
    <row r="647" spans="1:2">
      <c r="A647" s="153" t="s">
        <v>1837</v>
      </c>
      <c r="B647" s="153" t="s">
        <v>1838</v>
      </c>
    </row>
    <row r="648" spans="1:2">
      <c r="A648" s="153" t="s">
        <v>1839</v>
      </c>
      <c r="B648" s="153" t="s">
        <v>1840</v>
      </c>
    </row>
    <row r="649" spans="1:2">
      <c r="A649" s="153" t="s">
        <v>1841</v>
      </c>
      <c r="B649" s="153" t="s">
        <v>1842</v>
      </c>
    </row>
    <row r="650" spans="1:2">
      <c r="A650" s="153" t="s">
        <v>1843</v>
      </c>
      <c r="B650" s="153" t="s">
        <v>1844</v>
      </c>
    </row>
    <row r="651" spans="1:2">
      <c r="A651" s="153" t="s">
        <v>1845</v>
      </c>
      <c r="B651" s="153" t="s">
        <v>1846</v>
      </c>
    </row>
    <row r="652" spans="1:2">
      <c r="A652" s="153" t="s">
        <v>1847</v>
      </c>
      <c r="B652" s="153" t="s">
        <v>1848</v>
      </c>
    </row>
    <row r="653" spans="1:2">
      <c r="A653" s="153" t="s">
        <v>1849</v>
      </c>
      <c r="B653" s="153" t="s">
        <v>1850</v>
      </c>
    </row>
    <row r="654" spans="1:2">
      <c r="A654" s="153" t="s">
        <v>1851</v>
      </c>
      <c r="B654" s="153" t="s">
        <v>1852</v>
      </c>
    </row>
    <row r="655" spans="1:2">
      <c r="A655" s="153" t="s">
        <v>1853</v>
      </c>
      <c r="B655" s="153" t="s">
        <v>1854</v>
      </c>
    </row>
    <row r="656" spans="1:2">
      <c r="A656" s="153" t="s">
        <v>1855</v>
      </c>
      <c r="B656" s="153" t="s">
        <v>1856</v>
      </c>
    </row>
    <row r="657" spans="1:2">
      <c r="A657" s="153" t="s">
        <v>1857</v>
      </c>
      <c r="B657" s="153" t="s">
        <v>1858</v>
      </c>
    </row>
    <row r="658" spans="1:2">
      <c r="A658" s="153" t="s">
        <v>1859</v>
      </c>
      <c r="B658" s="153" t="s">
        <v>1860</v>
      </c>
    </row>
    <row r="659" spans="1:2">
      <c r="A659" s="153" t="s">
        <v>1861</v>
      </c>
      <c r="B659" s="153" t="s">
        <v>1862</v>
      </c>
    </row>
    <row r="660" spans="1:2">
      <c r="A660" s="153" t="s">
        <v>1863</v>
      </c>
      <c r="B660" s="153" t="s">
        <v>1864</v>
      </c>
    </row>
    <row r="661" spans="1:2">
      <c r="A661" s="153" t="s">
        <v>1865</v>
      </c>
      <c r="B661" s="153" t="s">
        <v>1866</v>
      </c>
    </row>
    <row r="662" spans="1:2">
      <c r="A662" s="153" t="s">
        <v>1867</v>
      </c>
      <c r="B662" s="153" t="s">
        <v>1868</v>
      </c>
    </row>
    <row r="663" spans="1:2">
      <c r="A663" s="153" t="s">
        <v>1869</v>
      </c>
      <c r="B663" s="153" t="s">
        <v>1870</v>
      </c>
    </row>
    <row r="664" spans="1:2">
      <c r="A664" s="153" t="s">
        <v>1871</v>
      </c>
      <c r="B664" s="153" t="s">
        <v>1872</v>
      </c>
    </row>
    <row r="665" spans="1:2">
      <c r="A665" s="153" t="s">
        <v>1873</v>
      </c>
      <c r="B665" s="153" t="s">
        <v>1874</v>
      </c>
    </row>
    <row r="666" spans="1:2">
      <c r="A666" s="153" t="s">
        <v>1875</v>
      </c>
      <c r="B666" s="153" t="s">
        <v>1876</v>
      </c>
    </row>
    <row r="667" spans="1:2">
      <c r="A667" s="153" t="s">
        <v>1877</v>
      </c>
      <c r="B667" s="153" t="s">
        <v>1878</v>
      </c>
    </row>
    <row r="668" spans="1:2">
      <c r="A668" s="153" t="s">
        <v>1879</v>
      </c>
      <c r="B668" s="153" t="s">
        <v>1880</v>
      </c>
    </row>
    <row r="669" spans="1:2">
      <c r="A669" s="153" t="s">
        <v>1881</v>
      </c>
      <c r="B669" s="153" t="s">
        <v>1882</v>
      </c>
    </row>
    <row r="670" spans="1:2">
      <c r="A670" s="153" t="s">
        <v>1883</v>
      </c>
      <c r="B670" s="153" t="s">
        <v>1884</v>
      </c>
    </row>
    <row r="671" spans="1:2">
      <c r="A671" s="153" t="s">
        <v>1885</v>
      </c>
      <c r="B671" s="153" t="s">
        <v>1886</v>
      </c>
    </row>
    <row r="672" spans="1:2">
      <c r="A672" s="153" t="s">
        <v>1887</v>
      </c>
      <c r="B672" s="153" t="s">
        <v>1888</v>
      </c>
    </row>
    <row r="673" spans="1:2">
      <c r="A673" s="153" t="s">
        <v>1889</v>
      </c>
      <c r="B673" s="153" t="s">
        <v>1890</v>
      </c>
    </row>
    <row r="674" spans="1:2">
      <c r="A674" s="153" t="s">
        <v>1891</v>
      </c>
      <c r="B674" s="153" t="s">
        <v>1892</v>
      </c>
    </row>
    <row r="675" spans="1:2">
      <c r="A675" s="153" t="s">
        <v>1893</v>
      </c>
      <c r="B675" s="153" t="s">
        <v>1894</v>
      </c>
    </row>
    <row r="676" spans="1:2">
      <c r="A676" s="153" t="s">
        <v>1895</v>
      </c>
      <c r="B676" s="153" t="s">
        <v>1896</v>
      </c>
    </row>
    <row r="677" spans="1:2">
      <c r="A677" s="153" t="s">
        <v>1897</v>
      </c>
      <c r="B677" s="153" t="s">
        <v>1898</v>
      </c>
    </row>
    <row r="678" spans="1:2">
      <c r="A678" s="153" t="s">
        <v>1899</v>
      </c>
      <c r="B678" s="153" t="s">
        <v>1900</v>
      </c>
    </row>
    <row r="679" spans="1:2">
      <c r="A679" s="153" t="s">
        <v>1901</v>
      </c>
      <c r="B679" s="153" t="s">
        <v>1902</v>
      </c>
    </row>
    <row r="680" spans="1:2">
      <c r="A680" s="153" t="s">
        <v>1903</v>
      </c>
      <c r="B680" s="153" t="s">
        <v>1904</v>
      </c>
    </row>
    <row r="681" spans="1:2">
      <c r="A681" s="153" t="s">
        <v>1905</v>
      </c>
      <c r="B681" s="153" t="s">
        <v>1906</v>
      </c>
    </row>
    <row r="682" spans="1:2">
      <c r="A682" s="153" t="s">
        <v>1907</v>
      </c>
      <c r="B682" s="153" t="s">
        <v>1908</v>
      </c>
    </row>
    <row r="683" spans="1:2">
      <c r="A683" s="153" t="s">
        <v>1909</v>
      </c>
      <c r="B683" s="153" t="s">
        <v>1910</v>
      </c>
    </row>
    <row r="684" spans="1:2">
      <c r="A684" s="153" t="s">
        <v>1911</v>
      </c>
      <c r="B684" s="153" t="s">
        <v>1912</v>
      </c>
    </row>
    <row r="685" spans="1:2">
      <c r="A685" s="153" t="s">
        <v>1913</v>
      </c>
      <c r="B685" s="153" t="s">
        <v>1914</v>
      </c>
    </row>
    <row r="686" spans="1:2">
      <c r="A686" s="153" t="s">
        <v>1915</v>
      </c>
      <c r="B686" s="153" t="s">
        <v>1916</v>
      </c>
    </row>
    <row r="687" spans="1:2">
      <c r="A687" s="153" t="s">
        <v>1917</v>
      </c>
      <c r="B687" s="153" t="s">
        <v>1918</v>
      </c>
    </row>
    <row r="688" spans="1:2">
      <c r="A688" s="153" t="s">
        <v>1919</v>
      </c>
      <c r="B688" s="153" t="s">
        <v>1920</v>
      </c>
    </row>
    <row r="689" spans="1:2">
      <c r="A689" s="153" t="s">
        <v>1921</v>
      </c>
      <c r="B689" s="153" t="s">
        <v>1922</v>
      </c>
    </row>
    <row r="690" spans="1:2">
      <c r="A690" s="153" t="s">
        <v>1923</v>
      </c>
      <c r="B690" s="153" t="s">
        <v>1924</v>
      </c>
    </row>
    <row r="691" spans="1:2">
      <c r="A691" s="153" t="s">
        <v>1925</v>
      </c>
      <c r="B691" s="153" t="s">
        <v>1926</v>
      </c>
    </row>
    <row r="692" spans="1:2">
      <c r="A692" s="153" t="s">
        <v>1927</v>
      </c>
      <c r="B692" s="153" t="s">
        <v>1928</v>
      </c>
    </row>
    <row r="693" spans="1:2">
      <c r="A693" s="153" t="s">
        <v>1929</v>
      </c>
      <c r="B693" s="153" t="s">
        <v>1930</v>
      </c>
    </row>
    <row r="694" spans="1:2">
      <c r="A694" s="153" t="s">
        <v>1931</v>
      </c>
      <c r="B694" s="153" t="s">
        <v>1932</v>
      </c>
    </row>
    <row r="695" spans="1:2">
      <c r="A695" s="153" t="s">
        <v>1933</v>
      </c>
      <c r="B695" s="153" t="s">
        <v>1934</v>
      </c>
    </row>
    <row r="696" spans="1:2">
      <c r="A696" s="153" t="s">
        <v>1935</v>
      </c>
      <c r="B696" s="153" t="s">
        <v>1936</v>
      </c>
    </row>
    <row r="697" spans="1:2">
      <c r="A697" s="153" t="s">
        <v>1937</v>
      </c>
      <c r="B697" s="153" t="s">
        <v>1938</v>
      </c>
    </row>
    <row r="698" spans="1:2">
      <c r="A698" s="153" t="s">
        <v>1939</v>
      </c>
      <c r="B698" s="153" t="s">
        <v>1940</v>
      </c>
    </row>
    <row r="699" spans="1:2">
      <c r="A699" s="153" t="s">
        <v>1941</v>
      </c>
      <c r="B699" s="153" t="s">
        <v>1942</v>
      </c>
    </row>
    <row r="700" spans="1:2">
      <c r="A700" s="153" t="s">
        <v>1943</v>
      </c>
      <c r="B700" s="153" t="s">
        <v>1944</v>
      </c>
    </row>
    <row r="701" spans="1:2">
      <c r="A701" s="153" t="s">
        <v>1945</v>
      </c>
      <c r="B701" s="153" t="s">
        <v>1946</v>
      </c>
    </row>
    <row r="702" spans="1:2">
      <c r="A702" s="153" t="s">
        <v>1947</v>
      </c>
      <c r="B702" s="153" t="s">
        <v>1948</v>
      </c>
    </row>
    <row r="703" spans="1:2">
      <c r="A703" s="153" t="s">
        <v>1949</v>
      </c>
      <c r="B703" s="153" t="s">
        <v>1950</v>
      </c>
    </row>
    <row r="704" spans="1:2">
      <c r="A704" s="153" t="s">
        <v>1951</v>
      </c>
      <c r="B704" s="153" t="s">
        <v>1952</v>
      </c>
    </row>
    <row r="705" spans="1:2">
      <c r="A705" s="153" t="s">
        <v>1953</v>
      </c>
      <c r="B705" s="153" t="s">
        <v>1954</v>
      </c>
    </row>
    <row r="706" spans="1:2">
      <c r="A706" s="153" t="s">
        <v>1955</v>
      </c>
      <c r="B706" s="153" t="s">
        <v>1956</v>
      </c>
    </row>
    <row r="707" spans="1:2">
      <c r="A707" s="153" t="s">
        <v>1957</v>
      </c>
      <c r="B707" s="153" t="s">
        <v>1958</v>
      </c>
    </row>
    <row r="708" spans="1:2">
      <c r="A708" s="153" t="s">
        <v>1959</v>
      </c>
      <c r="B708" s="153" t="s">
        <v>1960</v>
      </c>
    </row>
    <row r="709" spans="1:2">
      <c r="A709" s="153" t="s">
        <v>1961</v>
      </c>
      <c r="B709" s="153" t="s">
        <v>1962</v>
      </c>
    </row>
    <row r="710" spans="1:2">
      <c r="A710" s="153" t="s">
        <v>1963</v>
      </c>
      <c r="B710" s="153" t="s">
        <v>1964</v>
      </c>
    </row>
    <row r="711" spans="1:2">
      <c r="A711" s="153" t="s">
        <v>1965</v>
      </c>
      <c r="B711" s="153" t="s">
        <v>1966</v>
      </c>
    </row>
    <row r="712" spans="1:2">
      <c r="A712" s="153" t="s">
        <v>1967</v>
      </c>
      <c r="B712" s="153" t="s">
        <v>1968</v>
      </c>
    </row>
    <row r="713" spans="1:2">
      <c r="A713" s="153" t="s">
        <v>1969</v>
      </c>
      <c r="B713" s="153" t="s">
        <v>1970</v>
      </c>
    </row>
    <row r="714" spans="1:2">
      <c r="A714" s="153" t="s">
        <v>1971</v>
      </c>
      <c r="B714" s="153" t="s">
        <v>1972</v>
      </c>
    </row>
    <row r="715" spans="1:2">
      <c r="A715" s="153" t="s">
        <v>1973</v>
      </c>
      <c r="B715" s="153" t="s">
        <v>1974</v>
      </c>
    </row>
    <row r="716" spans="1:2">
      <c r="A716" s="153" t="s">
        <v>1975</v>
      </c>
      <c r="B716" s="153" t="s">
        <v>1976</v>
      </c>
    </row>
    <row r="717" spans="1:2">
      <c r="A717" s="153" t="s">
        <v>1977</v>
      </c>
      <c r="B717" s="153" t="s">
        <v>1978</v>
      </c>
    </row>
    <row r="718" spans="1:2">
      <c r="A718" s="153" t="s">
        <v>1979</v>
      </c>
      <c r="B718" s="153" t="s">
        <v>1980</v>
      </c>
    </row>
    <row r="719" spans="1:2">
      <c r="A719" s="153" t="s">
        <v>1981</v>
      </c>
      <c r="B719" s="153" t="s">
        <v>1982</v>
      </c>
    </row>
    <row r="720" spans="1:2">
      <c r="A720" s="153" t="s">
        <v>1983</v>
      </c>
      <c r="B720" s="153" t="s">
        <v>1984</v>
      </c>
    </row>
    <row r="721" spans="1:2">
      <c r="A721" s="153" t="s">
        <v>1985</v>
      </c>
      <c r="B721" s="153" t="s">
        <v>1986</v>
      </c>
    </row>
    <row r="722" spans="1:2">
      <c r="A722" s="153" t="s">
        <v>1987</v>
      </c>
      <c r="B722" s="153" t="s">
        <v>1988</v>
      </c>
    </row>
    <row r="723" spans="1:2">
      <c r="A723" s="153" t="s">
        <v>1989</v>
      </c>
      <c r="B723" s="153" t="s">
        <v>1990</v>
      </c>
    </row>
    <row r="724" spans="1:2">
      <c r="A724" s="153" t="s">
        <v>1991</v>
      </c>
      <c r="B724" s="153" t="s">
        <v>1992</v>
      </c>
    </row>
    <row r="725" spans="1:2">
      <c r="A725" s="153" t="s">
        <v>1993</v>
      </c>
      <c r="B725" s="153" t="s">
        <v>1994</v>
      </c>
    </row>
    <row r="726" spans="1:2">
      <c r="A726" s="153" t="s">
        <v>1995</v>
      </c>
      <c r="B726" s="153" t="s">
        <v>1996</v>
      </c>
    </row>
    <row r="727" spans="1:2">
      <c r="A727" s="153" t="s">
        <v>1997</v>
      </c>
      <c r="B727" s="153" t="s">
        <v>1998</v>
      </c>
    </row>
    <row r="728" spans="1:2">
      <c r="A728" s="153" t="s">
        <v>1999</v>
      </c>
      <c r="B728" s="153" t="s">
        <v>2000</v>
      </c>
    </row>
    <row r="729" spans="1:2">
      <c r="A729" s="153" t="s">
        <v>2001</v>
      </c>
      <c r="B729" s="153" t="s">
        <v>2002</v>
      </c>
    </row>
    <row r="730" spans="1:2">
      <c r="A730" s="153" t="s">
        <v>2003</v>
      </c>
      <c r="B730" s="153" t="s">
        <v>2004</v>
      </c>
    </row>
    <row r="731" spans="1:2">
      <c r="A731" s="153" t="s">
        <v>2005</v>
      </c>
      <c r="B731" s="153" t="s">
        <v>2006</v>
      </c>
    </row>
    <row r="732" spans="1:2">
      <c r="A732" s="153" t="s">
        <v>2007</v>
      </c>
      <c r="B732" s="153" t="s">
        <v>2008</v>
      </c>
    </row>
    <row r="733" spans="1:2">
      <c r="A733" s="153" t="s">
        <v>2009</v>
      </c>
      <c r="B733" s="153" t="s">
        <v>2010</v>
      </c>
    </row>
    <row r="734" spans="1:2">
      <c r="A734" s="153" t="s">
        <v>2011</v>
      </c>
      <c r="B734" s="153" t="s">
        <v>2012</v>
      </c>
    </row>
    <row r="735" spans="1:2">
      <c r="A735" s="153" t="s">
        <v>2013</v>
      </c>
      <c r="B735" s="153" t="s">
        <v>2014</v>
      </c>
    </row>
    <row r="736" spans="1:2">
      <c r="A736" s="153" t="s">
        <v>2015</v>
      </c>
      <c r="B736" s="153" t="s">
        <v>2016</v>
      </c>
    </row>
    <row r="737" spans="1:2">
      <c r="A737" s="153" t="s">
        <v>2017</v>
      </c>
      <c r="B737" s="153" t="s">
        <v>2018</v>
      </c>
    </row>
    <row r="738" spans="1:2">
      <c r="A738" s="153" t="s">
        <v>2019</v>
      </c>
      <c r="B738" s="153" t="s">
        <v>2020</v>
      </c>
    </row>
    <row r="739" spans="1:2">
      <c r="A739" s="153" t="s">
        <v>2021</v>
      </c>
      <c r="B739" s="153" t="s">
        <v>2022</v>
      </c>
    </row>
    <row r="740" spans="1:2">
      <c r="A740" s="153" t="s">
        <v>2023</v>
      </c>
      <c r="B740" s="153" t="s">
        <v>2024</v>
      </c>
    </row>
    <row r="741" spans="1:2">
      <c r="A741" s="153" t="s">
        <v>2025</v>
      </c>
      <c r="B741" s="153" t="s">
        <v>2026</v>
      </c>
    </row>
    <row r="742" spans="1:2">
      <c r="A742" s="153" t="s">
        <v>2027</v>
      </c>
      <c r="B742" s="153" t="s">
        <v>2028</v>
      </c>
    </row>
    <row r="743" spans="1:2">
      <c r="A743" s="153" t="s">
        <v>2029</v>
      </c>
      <c r="B743" s="153" t="s">
        <v>2030</v>
      </c>
    </row>
    <row r="744" spans="1:2">
      <c r="A744" s="153" t="s">
        <v>2031</v>
      </c>
      <c r="B744" s="153" t="s">
        <v>2032</v>
      </c>
    </row>
    <row r="745" spans="1:2">
      <c r="A745" s="153" t="s">
        <v>2033</v>
      </c>
      <c r="B745" s="153" t="s">
        <v>2034</v>
      </c>
    </row>
    <row r="746" spans="1:2">
      <c r="A746" s="153" t="s">
        <v>2035</v>
      </c>
      <c r="B746" s="153" t="s">
        <v>2036</v>
      </c>
    </row>
    <row r="747" spans="1:2">
      <c r="A747" s="153" t="s">
        <v>2037</v>
      </c>
      <c r="B747" s="153" t="s">
        <v>2038</v>
      </c>
    </row>
    <row r="748" spans="1:2">
      <c r="A748" s="153" t="s">
        <v>2039</v>
      </c>
      <c r="B748" s="153" t="s">
        <v>2040</v>
      </c>
    </row>
    <row r="749" spans="1:2">
      <c r="A749" s="153" t="s">
        <v>2041</v>
      </c>
      <c r="B749" s="153" t="s">
        <v>2042</v>
      </c>
    </row>
    <row r="750" spans="1:2">
      <c r="A750" s="153" t="s">
        <v>2043</v>
      </c>
      <c r="B750" s="153" t="s">
        <v>2044</v>
      </c>
    </row>
    <row r="751" spans="1:2">
      <c r="A751" s="153" t="s">
        <v>2045</v>
      </c>
      <c r="B751" s="153" t="s">
        <v>2046</v>
      </c>
    </row>
    <row r="752" spans="1:2">
      <c r="A752" s="153" t="s">
        <v>2047</v>
      </c>
      <c r="B752" s="153" t="s">
        <v>2048</v>
      </c>
    </row>
    <row r="753" spans="1:2">
      <c r="A753" s="153" t="s">
        <v>2049</v>
      </c>
      <c r="B753" s="153" t="s">
        <v>2050</v>
      </c>
    </row>
    <row r="754" spans="1:2">
      <c r="A754" s="153" t="s">
        <v>2051</v>
      </c>
      <c r="B754" s="153" t="s">
        <v>2052</v>
      </c>
    </row>
    <row r="755" spans="1:2">
      <c r="A755" s="153" t="s">
        <v>2053</v>
      </c>
      <c r="B755" s="153" t="s">
        <v>2054</v>
      </c>
    </row>
    <row r="756" spans="1:2">
      <c r="A756" s="153" t="s">
        <v>2055</v>
      </c>
      <c r="B756" s="153" t="s">
        <v>2056</v>
      </c>
    </row>
    <row r="757" spans="1:2">
      <c r="A757" s="153" t="s">
        <v>2057</v>
      </c>
      <c r="B757" s="153" t="s">
        <v>2058</v>
      </c>
    </row>
    <row r="758" spans="1:2">
      <c r="A758" s="153" t="s">
        <v>2059</v>
      </c>
      <c r="B758" s="153" t="s">
        <v>2060</v>
      </c>
    </row>
    <row r="759" spans="1:2">
      <c r="A759" s="153" t="s">
        <v>2061</v>
      </c>
      <c r="B759" s="153" t="s">
        <v>2062</v>
      </c>
    </row>
    <row r="760" spans="1:2">
      <c r="A760" s="153" t="s">
        <v>2063</v>
      </c>
      <c r="B760" s="153" t="s">
        <v>2064</v>
      </c>
    </row>
    <row r="761" spans="1:2">
      <c r="A761" s="153" t="s">
        <v>2065</v>
      </c>
      <c r="B761" s="153" t="s">
        <v>2066</v>
      </c>
    </row>
    <row r="762" spans="1:2">
      <c r="A762" s="153" t="s">
        <v>2067</v>
      </c>
      <c r="B762" s="153" t="s">
        <v>2068</v>
      </c>
    </row>
    <row r="763" spans="1:2">
      <c r="A763" s="153" t="s">
        <v>2069</v>
      </c>
      <c r="B763" s="153" t="s">
        <v>2070</v>
      </c>
    </row>
    <row r="764" spans="1:2">
      <c r="A764" s="153" t="s">
        <v>2071</v>
      </c>
      <c r="B764" s="153" t="s">
        <v>2072</v>
      </c>
    </row>
    <row r="765" spans="1:2">
      <c r="A765" s="153" t="s">
        <v>2073</v>
      </c>
      <c r="B765" s="153" t="s">
        <v>2074</v>
      </c>
    </row>
    <row r="766" spans="1:2">
      <c r="A766" s="153" t="s">
        <v>2075</v>
      </c>
      <c r="B766" s="153" t="s">
        <v>2076</v>
      </c>
    </row>
    <row r="767" spans="1:2">
      <c r="A767" s="153" t="s">
        <v>2077</v>
      </c>
      <c r="B767" s="153" t="s">
        <v>2078</v>
      </c>
    </row>
    <row r="768" spans="1:2">
      <c r="A768" s="153" t="s">
        <v>2079</v>
      </c>
      <c r="B768" s="153" t="s">
        <v>2080</v>
      </c>
    </row>
    <row r="769" spans="1:2">
      <c r="A769" s="153" t="s">
        <v>2081</v>
      </c>
      <c r="B769" s="153" t="s">
        <v>2082</v>
      </c>
    </row>
    <row r="770" spans="1:2">
      <c r="A770" s="153" t="s">
        <v>2083</v>
      </c>
      <c r="B770" s="153" t="s">
        <v>2084</v>
      </c>
    </row>
    <row r="771" spans="1:2">
      <c r="A771" s="153" t="s">
        <v>2085</v>
      </c>
      <c r="B771" s="153" t="s">
        <v>2086</v>
      </c>
    </row>
    <row r="772" spans="1:2">
      <c r="A772" s="153" t="s">
        <v>2087</v>
      </c>
      <c r="B772" s="153" t="s">
        <v>2088</v>
      </c>
    </row>
    <row r="773" spans="1:2">
      <c r="A773" s="153" t="s">
        <v>2089</v>
      </c>
      <c r="B773" s="153" t="s">
        <v>2090</v>
      </c>
    </row>
    <row r="774" spans="1:2">
      <c r="A774" s="153" t="s">
        <v>2091</v>
      </c>
      <c r="B774" s="153" t="s">
        <v>2092</v>
      </c>
    </row>
    <row r="775" spans="1:2">
      <c r="A775" s="153" t="s">
        <v>2093</v>
      </c>
      <c r="B775" s="153" t="s">
        <v>2094</v>
      </c>
    </row>
    <row r="776" spans="1:2">
      <c r="A776" s="153" t="s">
        <v>2095</v>
      </c>
      <c r="B776" s="153" t="s">
        <v>2096</v>
      </c>
    </row>
    <row r="777" spans="1:2">
      <c r="A777" s="153" t="s">
        <v>2097</v>
      </c>
      <c r="B777" s="153" t="s">
        <v>2098</v>
      </c>
    </row>
    <row r="778" spans="1:2">
      <c r="A778" s="153" t="s">
        <v>2099</v>
      </c>
      <c r="B778" s="153" t="s">
        <v>2100</v>
      </c>
    </row>
    <row r="779" spans="1:2">
      <c r="A779" s="153" t="s">
        <v>2101</v>
      </c>
      <c r="B779" s="153" t="s">
        <v>2102</v>
      </c>
    </row>
    <row r="780" spans="1:2">
      <c r="A780" s="153" t="s">
        <v>2103</v>
      </c>
      <c r="B780" s="153" t="s">
        <v>2104</v>
      </c>
    </row>
    <row r="781" spans="1:2">
      <c r="A781" s="153" t="s">
        <v>2105</v>
      </c>
      <c r="B781" s="153" t="s">
        <v>2106</v>
      </c>
    </row>
    <row r="782" spans="1:2">
      <c r="A782" s="153" t="s">
        <v>2107</v>
      </c>
      <c r="B782" s="153" t="s">
        <v>2108</v>
      </c>
    </row>
    <row r="783" spans="1:2">
      <c r="A783" s="153" t="s">
        <v>2109</v>
      </c>
      <c r="B783" s="153" t="s">
        <v>2110</v>
      </c>
    </row>
    <row r="784" spans="1:2">
      <c r="A784" s="153" t="s">
        <v>2111</v>
      </c>
      <c r="B784" s="153" t="s">
        <v>2112</v>
      </c>
    </row>
    <row r="785" spans="1:2">
      <c r="A785" s="153" t="s">
        <v>2113</v>
      </c>
      <c r="B785" s="153" t="s">
        <v>2114</v>
      </c>
    </row>
    <row r="786" spans="1:2">
      <c r="A786" s="153" t="s">
        <v>2115</v>
      </c>
      <c r="B786" s="153" t="s">
        <v>2116</v>
      </c>
    </row>
    <row r="787" spans="1:2">
      <c r="A787" s="153" t="s">
        <v>2117</v>
      </c>
      <c r="B787" s="153" t="s">
        <v>2118</v>
      </c>
    </row>
    <row r="788" spans="1:2">
      <c r="A788" s="153" t="s">
        <v>2119</v>
      </c>
      <c r="B788" s="153" t="s">
        <v>2120</v>
      </c>
    </row>
    <row r="789" spans="1:2">
      <c r="A789" s="153" t="s">
        <v>2121</v>
      </c>
      <c r="B789" s="153" t="s">
        <v>2122</v>
      </c>
    </row>
    <row r="790" spans="1:2">
      <c r="A790" s="153" t="s">
        <v>2123</v>
      </c>
      <c r="B790" s="153" t="s">
        <v>2124</v>
      </c>
    </row>
    <row r="791" spans="1:2">
      <c r="A791" s="153" t="s">
        <v>2125</v>
      </c>
      <c r="B791" s="153" t="s">
        <v>2126</v>
      </c>
    </row>
    <row r="792" spans="1:2">
      <c r="A792" s="153" t="s">
        <v>2127</v>
      </c>
      <c r="B792" s="153" t="s">
        <v>2128</v>
      </c>
    </row>
    <row r="793" spans="1:2">
      <c r="A793" s="153" t="s">
        <v>2129</v>
      </c>
      <c r="B793" s="153" t="s">
        <v>2130</v>
      </c>
    </row>
    <row r="794" spans="1:2">
      <c r="A794" s="153" t="s">
        <v>2131</v>
      </c>
      <c r="B794" s="153" t="s">
        <v>2132</v>
      </c>
    </row>
    <row r="795" spans="1:2">
      <c r="A795" s="153" t="s">
        <v>2133</v>
      </c>
      <c r="B795" s="153" t="s">
        <v>2134</v>
      </c>
    </row>
    <row r="796" spans="1:2">
      <c r="A796" s="153" t="s">
        <v>2135</v>
      </c>
      <c r="B796" s="153" t="s">
        <v>2136</v>
      </c>
    </row>
    <row r="797" spans="1:2">
      <c r="A797" s="153" t="s">
        <v>2137</v>
      </c>
      <c r="B797" s="153" t="s">
        <v>2138</v>
      </c>
    </row>
    <row r="798" spans="1:2">
      <c r="A798" s="153" t="s">
        <v>2139</v>
      </c>
      <c r="B798" s="153" t="s">
        <v>2140</v>
      </c>
    </row>
    <row r="799" spans="1:2">
      <c r="A799" s="153" t="s">
        <v>2141</v>
      </c>
      <c r="B799" s="153" t="s">
        <v>2142</v>
      </c>
    </row>
    <row r="800" spans="1:2">
      <c r="A800" s="153" t="s">
        <v>2143</v>
      </c>
      <c r="B800" s="153" t="s">
        <v>2144</v>
      </c>
    </row>
    <row r="801" spans="1:2">
      <c r="A801" s="153" t="s">
        <v>2145</v>
      </c>
      <c r="B801" s="153" t="s">
        <v>2146</v>
      </c>
    </row>
    <row r="802" spans="1:2">
      <c r="A802" s="153" t="s">
        <v>2147</v>
      </c>
      <c r="B802" s="153" t="s">
        <v>2148</v>
      </c>
    </row>
    <row r="803" spans="1:2">
      <c r="A803" s="153" t="s">
        <v>2149</v>
      </c>
      <c r="B803" s="153" t="s">
        <v>2150</v>
      </c>
    </row>
    <row r="804" spans="1:2">
      <c r="A804" s="153" t="s">
        <v>2151</v>
      </c>
      <c r="B804" s="153" t="s">
        <v>2152</v>
      </c>
    </row>
    <row r="805" spans="1:2">
      <c r="A805" s="153" t="s">
        <v>2153</v>
      </c>
      <c r="B805" s="153" t="s">
        <v>2154</v>
      </c>
    </row>
    <row r="806" spans="1:2">
      <c r="A806" s="153" t="s">
        <v>2155</v>
      </c>
      <c r="B806" s="153" t="s">
        <v>2156</v>
      </c>
    </row>
    <row r="807" spans="1:2">
      <c r="A807" s="153" t="s">
        <v>2157</v>
      </c>
      <c r="B807" s="153" t="s">
        <v>2158</v>
      </c>
    </row>
    <row r="808" spans="1:2">
      <c r="A808" s="153" t="s">
        <v>2159</v>
      </c>
      <c r="B808" s="153" t="s">
        <v>2160</v>
      </c>
    </row>
    <row r="809" spans="1:2">
      <c r="A809" s="153" t="s">
        <v>2161</v>
      </c>
      <c r="B809" s="153" t="s">
        <v>2162</v>
      </c>
    </row>
    <row r="810" spans="1:2">
      <c r="A810" s="153" t="s">
        <v>2163</v>
      </c>
      <c r="B810" s="153" t="s">
        <v>2164</v>
      </c>
    </row>
    <row r="811" spans="1:2">
      <c r="A811" s="153" t="s">
        <v>2165</v>
      </c>
      <c r="B811" s="153" t="s">
        <v>2166</v>
      </c>
    </row>
    <row r="812" spans="1:2">
      <c r="A812" s="153" t="s">
        <v>2167</v>
      </c>
      <c r="B812" s="153" t="s">
        <v>2168</v>
      </c>
    </row>
    <row r="813" spans="1:2">
      <c r="A813" s="153" t="s">
        <v>2169</v>
      </c>
      <c r="B813" s="153" t="s">
        <v>2170</v>
      </c>
    </row>
    <row r="814" spans="1:2">
      <c r="A814" s="153" t="s">
        <v>2171</v>
      </c>
      <c r="B814" s="153" t="s">
        <v>2172</v>
      </c>
    </row>
    <row r="815" spans="1:2">
      <c r="A815" s="153" t="s">
        <v>2173</v>
      </c>
      <c r="B815" s="153" t="s">
        <v>2174</v>
      </c>
    </row>
    <row r="816" spans="1:2">
      <c r="A816" s="153" t="s">
        <v>2175</v>
      </c>
      <c r="B816" s="153" t="s">
        <v>2176</v>
      </c>
    </row>
    <row r="817" spans="1:2">
      <c r="A817" s="153" t="s">
        <v>2177</v>
      </c>
      <c r="B817" s="153" t="s">
        <v>2178</v>
      </c>
    </row>
    <row r="818" spans="1:2">
      <c r="A818" s="153" t="s">
        <v>2179</v>
      </c>
      <c r="B818" s="153" t="s">
        <v>2180</v>
      </c>
    </row>
    <row r="819" spans="1:2">
      <c r="A819" s="153" t="s">
        <v>2181</v>
      </c>
      <c r="B819" s="153" t="s">
        <v>2182</v>
      </c>
    </row>
    <row r="820" spans="1:2">
      <c r="A820" s="153" t="s">
        <v>2183</v>
      </c>
      <c r="B820" s="153" t="s">
        <v>2184</v>
      </c>
    </row>
    <row r="821" spans="1:2">
      <c r="A821" s="153" t="s">
        <v>2185</v>
      </c>
      <c r="B821" s="153" t="s">
        <v>2186</v>
      </c>
    </row>
    <row r="822" spans="1:2">
      <c r="A822" s="153" t="s">
        <v>2187</v>
      </c>
      <c r="B822" s="153" t="s">
        <v>2188</v>
      </c>
    </row>
    <row r="823" spans="1:2">
      <c r="A823" s="153" t="s">
        <v>2189</v>
      </c>
      <c r="B823" s="153" t="s">
        <v>2190</v>
      </c>
    </row>
    <row r="824" spans="1:2">
      <c r="A824" s="153" t="s">
        <v>2191</v>
      </c>
      <c r="B824" s="153" t="s">
        <v>2192</v>
      </c>
    </row>
    <row r="825" spans="1:2">
      <c r="A825" s="153" t="s">
        <v>2193</v>
      </c>
      <c r="B825" s="153" t="s">
        <v>2194</v>
      </c>
    </row>
    <row r="826" spans="1:2">
      <c r="A826" s="153" t="s">
        <v>2195</v>
      </c>
      <c r="B826" s="153" t="s">
        <v>2196</v>
      </c>
    </row>
    <row r="827" spans="1:2">
      <c r="A827" s="153" t="s">
        <v>2197</v>
      </c>
      <c r="B827" s="153" t="s">
        <v>2198</v>
      </c>
    </row>
    <row r="828" spans="1:2">
      <c r="A828" s="153" t="s">
        <v>2199</v>
      </c>
      <c r="B828" s="153" t="s">
        <v>2200</v>
      </c>
    </row>
    <row r="829" spans="1:2">
      <c r="A829" s="153" t="s">
        <v>2201</v>
      </c>
      <c r="B829" s="153" t="s">
        <v>2202</v>
      </c>
    </row>
    <row r="830" spans="1:2">
      <c r="A830" s="153" t="s">
        <v>2203</v>
      </c>
      <c r="B830" s="153" t="s">
        <v>2204</v>
      </c>
    </row>
    <row r="831" spans="1:2">
      <c r="A831" s="153" t="s">
        <v>2205</v>
      </c>
      <c r="B831" s="153" t="s">
        <v>2206</v>
      </c>
    </row>
    <row r="832" spans="1:2">
      <c r="A832" s="153" t="s">
        <v>2207</v>
      </c>
      <c r="B832" s="153" t="s">
        <v>2208</v>
      </c>
    </row>
    <row r="833" spans="1:2">
      <c r="A833" s="153" t="s">
        <v>2209</v>
      </c>
      <c r="B833" s="153" t="s">
        <v>2210</v>
      </c>
    </row>
    <row r="834" spans="1:2">
      <c r="A834" s="153" t="s">
        <v>2211</v>
      </c>
      <c r="B834" s="153" t="s">
        <v>2212</v>
      </c>
    </row>
    <row r="835" spans="1:2">
      <c r="A835" s="153" t="s">
        <v>2213</v>
      </c>
      <c r="B835" s="153" t="s">
        <v>2214</v>
      </c>
    </row>
    <row r="836" spans="1:2">
      <c r="A836" s="153" t="s">
        <v>2215</v>
      </c>
      <c r="B836" s="153" t="s">
        <v>2216</v>
      </c>
    </row>
    <row r="837" spans="1:2">
      <c r="A837" s="153" t="s">
        <v>2217</v>
      </c>
      <c r="B837" s="153" t="s">
        <v>2218</v>
      </c>
    </row>
    <row r="838" spans="1:2">
      <c r="A838" s="153" t="s">
        <v>2219</v>
      </c>
      <c r="B838" s="153" t="s">
        <v>2220</v>
      </c>
    </row>
    <row r="839" spans="1:2">
      <c r="A839" s="153" t="s">
        <v>2221</v>
      </c>
      <c r="B839" s="153" t="s">
        <v>2222</v>
      </c>
    </row>
    <row r="840" spans="1:2">
      <c r="A840" s="153" t="s">
        <v>2223</v>
      </c>
      <c r="B840" s="153" t="s">
        <v>2224</v>
      </c>
    </row>
    <row r="841" spans="1:2">
      <c r="A841" s="153" t="s">
        <v>2225</v>
      </c>
      <c r="B841" s="153" t="s">
        <v>2226</v>
      </c>
    </row>
    <row r="842" spans="1:2">
      <c r="A842" s="153" t="s">
        <v>2227</v>
      </c>
      <c r="B842" s="153" t="s">
        <v>2228</v>
      </c>
    </row>
    <row r="843" spans="1:2">
      <c r="A843" s="153" t="s">
        <v>156</v>
      </c>
      <c r="B843" s="153" t="s">
        <v>2229</v>
      </c>
    </row>
    <row r="844" spans="1:2">
      <c r="A844" s="153" t="s">
        <v>2230</v>
      </c>
      <c r="B844" s="153" t="s">
        <v>2231</v>
      </c>
    </row>
    <row r="845" spans="1:2">
      <c r="A845" s="153" t="s">
        <v>2232</v>
      </c>
      <c r="B845" s="153" t="s">
        <v>2233</v>
      </c>
    </row>
    <row r="846" spans="1:2">
      <c r="A846" s="153" t="s">
        <v>2234</v>
      </c>
      <c r="B846" s="153" t="s">
        <v>2235</v>
      </c>
    </row>
    <row r="847" spans="1:2">
      <c r="A847" s="153" t="s">
        <v>2236</v>
      </c>
      <c r="B847" s="153" t="s">
        <v>2237</v>
      </c>
    </row>
    <row r="848" spans="1:2">
      <c r="A848" s="153" t="s">
        <v>2238</v>
      </c>
      <c r="B848" s="153" t="s">
        <v>2239</v>
      </c>
    </row>
    <row r="849" spans="1:2">
      <c r="A849" s="153" t="s">
        <v>2240</v>
      </c>
      <c r="B849" s="153" t="s">
        <v>2241</v>
      </c>
    </row>
    <row r="850" spans="1:2">
      <c r="A850" s="153" t="s">
        <v>2242</v>
      </c>
      <c r="B850" s="153" t="s">
        <v>2243</v>
      </c>
    </row>
    <row r="851" spans="1:2">
      <c r="A851" s="153" t="s">
        <v>2244</v>
      </c>
      <c r="B851" s="153" t="s">
        <v>2245</v>
      </c>
    </row>
    <row r="852" spans="1:2">
      <c r="A852" s="153" t="s">
        <v>2246</v>
      </c>
      <c r="B852" s="153" t="s">
        <v>2247</v>
      </c>
    </row>
    <row r="853" spans="1:2">
      <c r="A853" s="153" t="s">
        <v>2248</v>
      </c>
      <c r="B853" s="153" t="s">
        <v>2249</v>
      </c>
    </row>
    <row r="854" spans="1:2">
      <c r="A854" s="153" t="s">
        <v>2250</v>
      </c>
      <c r="B854" s="153" t="s">
        <v>2251</v>
      </c>
    </row>
    <row r="855" spans="1:2">
      <c r="A855" s="153" t="s">
        <v>2252</v>
      </c>
      <c r="B855" s="153" t="s">
        <v>2253</v>
      </c>
    </row>
    <row r="856" spans="1:2">
      <c r="A856" s="153" t="s">
        <v>2254</v>
      </c>
      <c r="B856" s="153" t="s">
        <v>2255</v>
      </c>
    </row>
    <row r="857" spans="1:2">
      <c r="A857" s="153" t="s">
        <v>2256</v>
      </c>
      <c r="B857" s="153" t="s">
        <v>2257</v>
      </c>
    </row>
    <row r="858" spans="1:2">
      <c r="A858" s="153" t="s">
        <v>2258</v>
      </c>
      <c r="B858" s="153" t="s">
        <v>2259</v>
      </c>
    </row>
    <row r="859" spans="1:2">
      <c r="A859" s="153" t="s">
        <v>2260</v>
      </c>
      <c r="B859" s="153" t="s">
        <v>2261</v>
      </c>
    </row>
    <row r="860" spans="1:2">
      <c r="A860" s="153" t="s">
        <v>2262</v>
      </c>
      <c r="B860" s="153" t="s">
        <v>2263</v>
      </c>
    </row>
    <row r="861" spans="1:2">
      <c r="A861" s="153" t="s">
        <v>2264</v>
      </c>
      <c r="B861" s="153" t="s">
        <v>2265</v>
      </c>
    </row>
    <row r="862" spans="1:2">
      <c r="A862" s="153" t="s">
        <v>2266</v>
      </c>
      <c r="B862" s="153" t="s">
        <v>2267</v>
      </c>
    </row>
    <row r="863" spans="1:2">
      <c r="A863" s="153" t="s">
        <v>2268</v>
      </c>
      <c r="B863" s="153" t="s">
        <v>2269</v>
      </c>
    </row>
    <row r="864" spans="1:2">
      <c r="A864" s="153" t="s">
        <v>2270</v>
      </c>
      <c r="B864" s="153" t="s">
        <v>2271</v>
      </c>
    </row>
    <row r="865" spans="1:2">
      <c r="A865" s="153" t="s">
        <v>2272</v>
      </c>
      <c r="B865" s="153" t="s">
        <v>2273</v>
      </c>
    </row>
    <row r="866" spans="1:2">
      <c r="A866" s="153" t="s">
        <v>2274</v>
      </c>
      <c r="B866" s="153" t="s">
        <v>2275</v>
      </c>
    </row>
    <row r="867" spans="1:2">
      <c r="A867" s="153" t="s">
        <v>2276</v>
      </c>
      <c r="B867" s="153" t="s">
        <v>2277</v>
      </c>
    </row>
    <row r="868" spans="1:2">
      <c r="A868" s="153" t="s">
        <v>2278</v>
      </c>
      <c r="B868" s="153" t="s">
        <v>2279</v>
      </c>
    </row>
    <row r="869" spans="1:2">
      <c r="A869" s="153" t="s">
        <v>2280</v>
      </c>
      <c r="B869" s="153" t="s">
        <v>2281</v>
      </c>
    </row>
    <row r="870" spans="1:2">
      <c r="A870" s="153" t="s">
        <v>2282</v>
      </c>
      <c r="B870" s="153" t="s">
        <v>2283</v>
      </c>
    </row>
    <row r="871" spans="1:2">
      <c r="A871" s="153" t="s">
        <v>2284</v>
      </c>
      <c r="B871" s="153" t="s">
        <v>2285</v>
      </c>
    </row>
    <row r="872" spans="1:2">
      <c r="A872" s="153" t="s">
        <v>2286</v>
      </c>
      <c r="B872" s="153" t="s">
        <v>377</v>
      </c>
    </row>
    <row r="873" spans="1:2">
      <c r="A873" s="153" t="s">
        <v>2287</v>
      </c>
      <c r="B873" s="153" t="s">
        <v>2288</v>
      </c>
    </row>
    <row r="874" spans="1:2">
      <c r="A874" s="153" t="s">
        <v>2289</v>
      </c>
      <c r="B874" s="153" t="s">
        <v>2290</v>
      </c>
    </row>
    <row r="875" spans="1:2">
      <c r="A875" s="153" t="s">
        <v>2291</v>
      </c>
      <c r="B875" s="153" t="s">
        <v>2292</v>
      </c>
    </row>
    <row r="876" spans="1:2">
      <c r="A876" s="153" t="s">
        <v>2293</v>
      </c>
      <c r="B876" s="153" t="s">
        <v>2294</v>
      </c>
    </row>
    <row r="877" spans="1:2">
      <c r="A877" s="153" t="s">
        <v>2295</v>
      </c>
      <c r="B877" s="153" t="s">
        <v>2296</v>
      </c>
    </row>
    <row r="878" spans="1:2">
      <c r="A878" s="153" t="s">
        <v>2297</v>
      </c>
      <c r="B878" s="153" t="s">
        <v>2298</v>
      </c>
    </row>
    <row r="879" spans="1:2">
      <c r="A879" s="153" t="s">
        <v>2299</v>
      </c>
      <c r="B879" s="153" t="s">
        <v>2300</v>
      </c>
    </row>
    <row r="880" spans="1:2">
      <c r="A880" s="153" t="s">
        <v>2301</v>
      </c>
      <c r="B880" s="153" t="s">
        <v>2302</v>
      </c>
    </row>
    <row r="881" spans="1:2">
      <c r="A881" s="153" t="s">
        <v>2303</v>
      </c>
      <c r="B881" s="153" t="s">
        <v>2304</v>
      </c>
    </row>
    <row r="882" spans="1:2">
      <c r="A882" s="153" t="s">
        <v>2305</v>
      </c>
      <c r="B882" s="153" t="s">
        <v>2306</v>
      </c>
    </row>
    <row r="883" spans="1:2">
      <c r="A883" s="153" t="s">
        <v>2307</v>
      </c>
      <c r="B883" s="153" t="s">
        <v>2308</v>
      </c>
    </row>
    <row r="884" spans="1:2">
      <c r="A884" s="153" t="s">
        <v>2309</v>
      </c>
      <c r="B884" s="153" t="s">
        <v>2310</v>
      </c>
    </row>
    <row r="885" spans="1:2">
      <c r="A885" s="153" t="s">
        <v>2311</v>
      </c>
      <c r="B885" s="153" t="s">
        <v>2312</v>
      </c>
    </row>
    <row r="886" spans="1:2">
      <c r="A886" s="153" t="s">
        <v>2313</v>
      </c>
      <c r="B886" s="153" t="s">
        <v>2314</v>
      </c>
    </row>
    <row r="887" spans="1:2">
      <c r="A887" s="153" t="s">
        <v>2315</v>
      </c>
      <c r="B887" s="153" t="s">
        <v>2316</v>
      </c>
    </row>
    <row r="888" spans="1:2">
      <c r="A888" s="153" t="s">
        <v>2317</v>
      </c>
      <c r="B888" s="153" t="s">
        <v>2318</v>
      </c>
    </row>
    <row r="889" spans="1:2">
      <c r="A889" s="153" t="s">
        <v>2319</v>
      </c>
      <c r="B889" s="153" t="s">
        <v>2320</v>
      </c>
    </row>
    <row r="890" spans="1:2">
      <c r="A890" s="153" t="s">
        <v>2321</v>
      </c>
      <c r="B890" s="153" t="s">
        <v>2322</v>
      </c>
    </row>
    <row r="891" spans="1:2">
      <c r="A891" s="153" t="s">
        <v>2323</v>
      </c>
      <c r="B891" s="153" t="s">
        <v>2324</v>
      </c>
    </row>
    <row r="892" spans="1:2">
      <c r="A892" s="153" t="s">
        <v>2325</v>
      </c>
      <c r="B892" s="153" t="s">
        <v>2326</v>
      </c>
    </row>
    <row r="893" spans="1:2">
      <c r="A893" s="153" t="s">
        <v>2327</v>
      </c>
      <c r="B893" s="153" t="s">
        <v>2328</v>
      </c>
    </row>
    <row r="894" spans="1:2">
      <c r="A894" s="153" t="s">
        <v>2329</v>
      </c>
      <c r="B894" s="153" t="s">
        <v>2330</v>
      </c>
    </row>
    <row r="895" spans="1:2">
      <c r="A895" s="153" t="s">
        <v>2331</v>
      </c>
      <c r="B895" s="153" t="s">
        <v>2332</v>
      </c>
    </row>
    <row r="896" spans="1:2">
      <c r="A896" s="153" t="s">
        <v>2333</v>
      </c>
      <c r="B896" s="153" t="s">
        <v>2334</v>
      </c>
    </row>
    <row r="897" spans="1:2">
      <c r="A897" s="153" t="s">
        <v>2335</v>
      </c>
      <c r="B897" s="153" t="s">
        <v>2336</v>
      </c>
    </row>
    <row r="898" spans="1:2">
      <c r="A898" s="153" t="s">
        <v>2337</v>
      </c>
      <c r="B898" s="153" t="s">
        <v>2338</v>
      </c>
    </row>
    <row r="899" spans="1:2">
      <c r="A899" s="153" t="s">
        <v>2339</v>
      </c>
      <c r="B899" s="153" t="s">
        <v>2340</v>
      </c>
    </row>
    <row r="900" spans="1:2">
      <c r="A900" s="153" t="s">
        <v>2341</v>
      </c>
      <c r="B900" s="153" t="s">
        <v>2342</v>
      </c>
    </row>
    <row r="901" spans="1:2">
      <c r="A901" s="153" t="s">
        <v>2343</v>
      </c>
      <c r="B901" s="153" t="s">
        <v>2344</v>
      </c>
    </row>
    <row r="902" spans="1:2">
      <c r="A902" s="153" t="s">
        <v>2345</v>
      </c>
      <c r="B902" s="153" t="s">
        <v>2346</v>
      </c>
    </row>
    <row r="903" spans="1:2">
      <c r="A903" s="153" t="s">
        <v>2347</v>
      </c>
      <c r="B903" s="153" t="s">
        <v>2348</v>
      </c>
    </row>
    <row r="904" spans="1:2">
      <c r="A904" s="153" t="s">
        <v>2349</v>
      </c>
      <c r="B904" s="153" t="s">
        <v>2350</v>
      </c>
    </row>
    <row r="905" spans="1:2">
      <c r="A905" s="153" t="s">
        <v>2351</v>
      </c>
      <c r="B905" s="153" t="s">
        <v>2352</v>
      </c>
    </row>
    <row r="906" spans="1:2">
      <c r="A906" s="153" t="s">
        <v>2353</v>
      </c>
      <c r="B906" s="153" t="s">
        <v>2354</v>
      </c>
    </row>
    <row r="907" spans="1:2">
      <c r="A907" s="153" t="s">
        <v>2355</v>
      </c>
      <c r="B907" s="153" t="s">
        <v>2356</v>
      </c>
    </row>
    <row r="908" spans="1:2">
      <c r="A908" s="153" t="s">
        <v>2357</v>
      </c>
      <c r="B908" s="153" t="s">
        <v>2358</v>
      </c>
    </row>
    <row r="909" spans="1:2">
      <c r="A909" s="153" t="s">
        <v>2359</v>
      </c>
      <c r="B909" s="153" t="s">
        <v>2360</v>
      </c>
    </row>
    <row r="910" spans="1:2">
      <c r="A910" s="153" t="s">
        <v>2361</v>
      </c>
      <c r="B910" s="153" t="s">
        <v>2362</v>
      </c>
    </row>
    <row r="911" spans="1:2">
      <c r="A911" s="153" t="s">
        <v>2363</v>
      </c>
      <c r="B911" s="153" t="s">
        <v>2364</v>
      </c>
    </row>
    <row r="912" spans="1:2">
      <c r="A912" s="153" t="s">
        <v>2365</v>
      </c>
      <c r="B912" s="153" t="s">
        <v>2366</v>
      </c>
    </row>
    <row r="913" spans="1:2">
      <c r="A913" s="153" t="s">
        <v>2367</v>
      </c>
      <c r="B913" s="153" t="s">
        <v>2368</v>
      </c>
    </row>
    <row r="914" spans="1:2">
      <c r="A914" s="153" t="s">
        <v>2369</v>
      </c>
      <c r="B914" s="153" t="s">
        <v>2370</v>
      </c>
    </row>
    <row r="915" spans="1:2">
      <c r="A915" s="153" t="s">
        <v>2371</v>
      </c>
      <c r="B915" s="153" t="s">
        <v>2372</v>
      </c>
    </row>
    <row r="916" spans="1:2">
      <c r="A916" s="153" t="s">
        <v>2373</v>
      </c>
      <c r="B916" s="153" t="s">
        <v>2374</v>
      </c>
    </row>
    <row r="917" spans="1:2">
      <c r="A917" s="153" t="s">
        <v>2375</v>
      </c>
      <c r="B917" s="153" t="s">
        <v>2376</v>
      </c>
    </row>
    <row r="918" spans="1:2">
      <c r="A918" s="153" t="s">
        <v>2377</v>
      </c>
      <c r="B918" s="153" t="s">
        <v>2378</v>
      </c>
    </row>
    <row r="919" spans="1:2">
      <c r="A919" s="153" t="s">
        <v>2379</v>
      </c>
      <c r="B919" s="153" t="s">
        <v>2380</v>
      </c>
    </row>
    <row r="920" spans="1:2">
      <c r="A920" s="153" t="s">
        <v>2381</v>
      </c>
      <c r="B920" s="153" t="s">
        <v>2382</v>
      </c>
    </row>
    <row r="921" spans="1:2">
      <c r="A921" s="153" t="s">
        <v>2383</v>
      </c>
      <c r="B921" s="153" t="s">
        <v>2384</v>
      </c>
    </row>
    <row r="922" spans="1:2">
      <c r="A922" s="153" t="s">
        <v>2385</v>
      </c>
      <c r="B922" s="153" t="s">
        <v>2386</v>
      </c>
    </row>
    <row r="923" spans="1:2">
      <c r="A923" s="153" t="s">
        <v>2387</v>
      </c>
      <c r="B923" s="153" t="s">
        <v>2388</v>
      </c>
    </row>
    <row r="924" spans="1:2">
      <c r="A924" s="153" t="s">
        <v>2389</v>
      </c>
      <c r="B924" s="153" t="s">
        <v>2390</v>
      </c>
    </row>
    <row r="925" spans="1:2">
      <c r="A925" s="153" t="s">
        <v>2391</v>
      </c>
      <c r="B925" s="153" t="s">
        <v>2392</v>
      </c>
    </row>
    <row r="926" spans="1:2">
      <c r="A926" s="153" t="s">
        <v>2393</v>
      </c>
      <c r="B926" s="153" t="s">
        <v>2394</v>
      </c>
    </row>
    <row r="927" spans="1:2">
      <c r="A927" s="153" t="s">
        <v>2395</v>
      </c>
      <c r="B927" s="153" t="s">
        <v>2396</v>
      </c>
    </row>
    <row r="928" spans="1:2">
      <c r="A928" s="153" t="s">
        <v>2397</v>
      </c>
      <c r="B928" s="153" t="s">
        <v>2398</v>
      </c>
    </row>
    <row r="929" spans="1:2">
      <c r="A929" s="153" t="s">
        <v>2399</v>
      </c>
      <c r="B929" s="153" t="s">
        <v>2400</v>
      </c>
    </row>
    <row r="930" spans="1:2">
      <c r="A930" s="153" t="s">
        <v>2401</v>
      </c>
      <c r="B930" s="153" t="s">
        <v>2402</v>
      </c>
    </row>
    <row r="931" spans="1:2">
      <c r="A931" s="153" t="s">
        <v>2403</v>
      </c>
      <c r="B931" s="153" t="s">
        <v>2404</v>
      </c>
    </row>
    <row r="932" spans="1:2">
      <c r="A932" s="153" t="s">
        <v>2405</v>
      </c>
      <c r="B932" s="153" t="s">
        <v>2406</v>
      </c>
    </row>
    <row r="933" spans="1:2">
      <c r="A933" s="153" t="s">
        <v>2407</v>
      </c>
      <c r="B933" s="153" t="s">
        <v>2408</v>
      </c>
    </row>
    <row r="934" spans="1:2">
      <c r="A934" s="153" t="s">
        <v>2409</v>
      </c>
      <c r="B934" s="153" t="s">
        <v>2410</v>
      </c>
    </row>
    <row r="935" spans="1:2">
      <c r="A935" s="153" t="s">
        <v>2411</v>
      </c>
      <c r="B935" s="153" t="s">
        <v>2412</v>
      </c>
    </row>
    <row r="936" spans="1:2">
      <c r="A936" s="153" t="s">
        <v>2413</v>
      </c>
      <c r="B936" s="153" t="s">
        <v>2414</v>
      </c>
    </row>
    <row r="937" spans="1:2">
      <c r="A937" s="153" t="s">
        <v>2415</v>
      </c>
      <c r="B937" s="153" t="s">
        <v>2416</v>
      </c>
    </row>
    <row r="938" spans="1:2">
      <c r="A938" s="153" t="s">
        <v>2417</v>
      </c>
      <c r="B938" s="153" t="s">
        <v>2418</v>
      </c>
    </row>
    <row r="939" spans="1:2">
      <c r="A939" s="153" t="s">
        <v>2419</v>
      </c>
      <c r="B939" s="153" t="s">
        <v>2420</v>
      </c>
    </row>
    <row r="940" spans="1:2">
      <c r="A940" s="153" t="s">
        <v>2421</v>
      </c>
      <c r="B940" s="153" t="s">
        <v>2422</v>
      </c>
    </row>
    <row r="941" spans="1:2">
      <c r="A941" s="153" t="s">
        <v>2423</v>
      </c>
      <c r="B941" s="153" t="s">
        <v>2424</v>
      </c>
    </row>
    <row r="942" spans="1:2">
      <c r="A942" s="153" t="s">
        <v>2425</v>
      </c>
      <c r="B942" s="153" t="s">
        <v>2426</v>
      </c>
    </row>
    <row r="943" spans="1:2">
      <c r="A943" s="153" t="s">
        <v>2427</v>
      </c>
      <c r="B943" s="153" t="s">
        <v>2428</v>
      </c>
    </row>
    <row r="944" spans="1:2">
      <c r="A944" s="153" t="s">
        <v>2429</v>
      </c>
      <c r="B944" s="153" t="s">
        <v>2430</v>
      </c>
    </row>
    <row r="945" spans="1:2">
      <c r="A945" s="153" t="s">
        <v>2431</v>
      </c>
      <c r="B945" s="153" t="s">
        <v>2432</v>
      </c>
    </row>
    <row r="946" spans="1:2">
      <c r="A946" s="153" t="s">
        <v>2433</v>
      </c>
      <c r="B946" s="153" t="s">
        <v>2434</v>
      </c>
    </row>
    <row r="947" spans="1:2">
      <c r="A947" s="153" t="s">
        <v>2435</v>
      </c>
      <c r="B947" s="153" t="s">
        <v>2436</v>
      </c>
    </row>
    <row r="948" spans="1:2">
      <c r="A948" s="153" t="s">
        <v>2437</v>
      </c>
      <c r="B948" s="153" t="s">
        <v>2438</v>
      </c>
    </row>
    <row r="949" spans="1:2">
      <c r="A949" s="153" t="s">
        <v>2439</v>
      </c>
      <c r="B949" s="153" t="s">
        <v>2440</v>
      </c>
    </row>
    <row r="950" spans="1:2">
      <c r="A950" s="153" t="s">
        <v>2441</v>
      </c>
      <c r="B950" s="153" t="s">
        <v>2442</v>
      </c>
    </row>
    <row r="951" spans="1:2">
      <c r="A951" s="153" t="s">
        <v>2443</v>
      </c>
      <c r="B951" s="153" t="s">
        <v>2444</v>
      </c>
    </row>
    <row r="952" spans="1:2">
      <c r="A952" s="153" t="s">
        <v>2445</v>
      </c>
      <c r="B952" s="153" t="s">
        <v>2446</v>
      </c>
    </row>
    <row r="953" spans="1:2">
      <c r="A953" s="153" t="s">
        <v>2447</v>
      </c>
      <c r="B953" s="153" t="s">
        <v>2448</v>
      </c>
    </row>
    <row r="954" spans="1:2">
      <c r="A954" s="153" t="s">
        <v>2449</v>
      </c>
      <c r="B954" s="153" t="s">
        <v>2450</v>
      </c>
    </row>
    <row r="955" spans="1:2">
      <c r="A955" s="153" t="s">
        <v>2451</v>
      </c>
      <c r="B955" s="153" t="s">
        <v>2452</v>
      </c>
    </row>
    <row r="956" spans="1:2">
      <c r="A956" s="153" t="s">
        <v>2453</v>
      </c>
      <c r="B956" s="153" t="s">
        <v>2454</v>
      </c>
    </row>
    <row r="957" spans="1:2">
      <c r="A957" s="153" t="s">
        <v>2455</v>
      </c>
      <c r="B957" s="153" t="s">
        <v>2456</v>
      </c>
    </row>
    <row r="958" spans="1:2">
      <c r="A958" s="153" t="s">
        <v>2457</v>
      </c>
      <c r="B958" s="153" t="s">
        <v>2458</v>
      </c>
    </row>
    <row r="959" spans="1:2">
      <c r="A959" s="153" t="s">
        <v>2459</v>
      </c>
      <c r="B959" s="153" t="s">
        <v>2460</v>
      </c>
    </row>
    <row r="960" spans="1:2">
      <c r="A960" s="153" t="s">
        <v>2461</v>
      </c>
      <c r="B960" s="153" t="s">
        <v>2462</v>
      </c>
    </row>
    <row r="961" spans="1:2">
      <c r="A961" s="153" t="s">
        <v>2463</v>
      </c>
      <c r="B961" s="153" t="s">
        <v>2464</v>
      </c>
    </row>
    <row r="962" spans="1:2">
      <c r="A962" s="153" t="s">
        <v>2465</v>
      </c>
      <c r="B962" s="153" t="s">
        <v>2466</v>
      </c>
    </row>
    <row r="963" spans="1:2">
      <c r="A963" s="153" t="s">
        <v>2467</v>
      </c>
      <c r="B963" s="153" t="s">
        <v>2468</v>
      </c>
    </row>
    <row r="964" spans="1:2">
      <c r="A964" s="153" t="s">
        <v>2469</v>
      </c>
      <c r="B964" s="153" t="s">
        <v>2470</v>
      </c>
    </row>
    <row r="965" spans="1:2">
      <c r="A965" s="153" t="s">
        <v>2471</v>
      </c>
      <c r="B965" s="153" t="s">
        <v>2472</v>
      </c>
    </row>
    <row r="966" spans="1:2">
      <c r="A966" s="153" t="s">
        <v>2473</v>
      </c>
      <c r="B966" s="153" t="s">
        <v>306</v>
      </c>
    </row>
    <row r="967" spans="1:2">
      <c r="A967" s="153" t="s">
        <v>2474</v>
      </c>
      <c r="B967" s="153" t="s">
        <v>2475</v>
      </c>
    </row>
    <row r="968" spans="1:2">
      <c r="A968" s="153" t="s">
        <v>2476</v>
      </c>
      <c r="B968" s="153" t="s">
        <v>2477</v>
      </c>
    </row>
    <row r="969" spans="1:2">
      <c r="A969" s="153" t="s">
        <v>2478</v>
      </c>
      <c r="B969" s="153" t="s">
        <v>2479</v>
      </c>
    </row>
    <row r="970" spans="1:2">
      <c r="A970" s="153" t="s">
        <v>2480</v>
      </c>
      <c r="B970" s="153" t="s">
        <v>2481</v>
      </c>
    </row>
    <row r="971" spans="1:2">
      <c r="A971" s="153" t="s">
        <v>2482</v>
      </c>
      <c r="B971" s="153" t="s">
        <v>2483</v>
      </c>
    </row>
    <row r="972" spans="1:2">
      <c r="A972" s="153" t="s">
        <v>2484</v>
      </c>
      <c r="B972" s="153" t="s">
        <v>2485</v>
      </c>
    </row>
    <row r="973" spans="1:2">
      <c r="A973" s="153" t="s">
        <v>2486</v>
      </c>
      <c r="B973" s="153" t="s">
        <v>2487</v>
      </c>
    </row>
    <row r="974" spans="1:2">
      <c r="A974" s="153" t="s">
        <v>2488</v>
      </c>
      <c r="B974" s="153" t="s">
        <v>2489</v>
      </c>
    </row>
    <row r="975" spans="1:2">
      <c r="A975" s="153" t="s">
        <v>2490</v>
      </c>
      <c r="B975" s="153" t="s">
        <v>2491</v>
      </c>
    </row>
    <row r="976" spans="1:2">
      <c r="A976" s="153" t="s">
        <v>2492</v>
      </c>
      <c r="B976" s="153" t="s">
        <v>2493</v>
      </c>
    </row>
    <row r="977" spans="1:2">
      <c r="A977" s="153" t="s">
        <v>2494</v>
      </c>
      <c r="B977" s="153" t="s">
        <v>2495</v>
      </c>
    </row>
    <row r="978" spans="1:2">
      <c r="A978" s="153" t="s">
        <v>2496</v>
      </c>
      <c r="B978" s="153" t="s">
        <v>2497</v>
      </c>
    </row>
    <row r="979" spans="1:2">
      <c r="A979" s="153" t="s">
        <v>2498</v>
      </c>
      <c r="B979" s="153" t="s">
        <v>2499</v>
      </c>
    </row>
    <row r="980" spans="1:2">
      <c r="A980" s="153" t="s">
        <v>2500</v>
      </c>
      <c r="B980" s="153" t="s">
        <v>2501</v>
      </c>
    </row>
    <row r="981" spans="1:2">
      <c r="A981" s="153" t="s">
        <v>2502</v>
      </c>
      <c r="B981" s="153" t="s">
        <v>2503</v>
      </c>
    </row>
    <row r="982" spans="1:2">
      <c r="A982" s="153" t="s">
        <v>2504</v>
      </c>
      <c r="B982" s="153" t="s">
        <v>2505</v>
      </c>
    </row>
    <row r="983" spans="1:2">
      <c r="A983" s="153" t="s">
        <v>2506</v>
      </c>
      <c r="B983" s="153" t="s">
        <v>2507</v>
      </c>
    </row>
    <row r="984" spans="1:2">
      <c r="A984" s="153" t="s">
        <v>2508</v>
      </c>
      <c r="B984" s="153" t="s">
        <v>2509</v>
      </c>
    </row>
    <row r="985" spans="1:2">
      <c r="A985" s="153" t="s">
        <v>2510</v>
      </c>
      <c r="B985" s="153" t="s">
        <v>2511</v>
      </c>
    </row>
    <row r="986" spans="1:2">
      <c r="A986" s="153" t="s">
        <v>2512</v>
      </c>
      <c r="B986" s="153" t="s">
        <v>2513</v>
      </c>
    </row>
    <row r="987" spans="1:2">
      <c r="A987" s="153" t="s">
        <v>2514</v>
      </c>
      <c r="B987" s="153" t="s">
        <v>2515</v>
      </c>
    </row>
    <row r="988" spans="1:2">
      <c r="A988" s="153" t="s">
        <v>2516</v>
      </c>
      <c r="B988" s="153" t="s">
        <v>2517</v>
      </c>
    </row>
    <row r="989" spans="1:2">
      <c r="A989" s="153" t="s">
        <v>2518</v>
      </c>
      <c r="B989" s="153" t="s">
        <v>2519</v>
      </c>
    </row>
    <row r="990" spans="1:2">
      <c r="A990" s="153" t="s">
        <v>2520</v>
      </c>
      <c r="B990" s="153" t="s">
        <v>2521</v>
      </c>
    </row>
    <row r="991" spans="1:2">
      <c r="A991" s="153" t="s">
        <v>2522</v>
      </c>
      <c r="B991" s="153" t="s">
        <v>311</v>
      </c>
    </row>
    <row r="992" spans="1:2">
      <c r="A992" s="153" t="s">
        <v>2523</v>
      </c>
      <c r="B992" s="153" t="s">
        <v>2524</v>
      </c>
    </row>
    <row r="993" spans="1:2">
      <c r="A993" s="153" t="s">
        <v>2525</v>
      </c>
      <c r="B993" s="153" t="s">
        <v>2526</v>
      </c>
    </row>
    <row r="994" spans="1:2">
      <c r="A994" s="153" t="s">
        <v>2527</v>
      </c>
      <c r="B994" s="153" t="s">
        <v>2528</v>
      </c>
    </row>
    <row r="995" spans="1:2">
      <c r="A995" s="153" t="s">
        <v>2529</v>
      </c>
      <c r="B995" s="153" t="s">
        <v>2530</v>
      </c>
    </row>
    <row r="996" spans="1:2">
      <c r="A996" s="153" t="s">
        <v>2531</v>
      </c>
      <c r="B996" s="153" t="s">
        <v>2532</v>
      </c>
    </row>
    <row r="997" spans="1:2">
      <c r="A997" s="153" t="s">
        <v>2533</v>
      </c>
      <c r="B997" s="153" t="s">
        <v>2534</v>
      </c>
    </row>
    <row r="998" spans="1:2">
      <c r="A998" s="153" t="s">
        <v>2535</v>
      </c>
      <c r="B998" s="153" t="s">
        <v>2536</v>
      </c>
    </row>
    <row r="999" spans="1:2">
      <c r="A999" s="153" t="s">
        <v>2537</v>
      </c>
      <c r="B999" s="153" t="s">
        <v>2538</v>
      </c>
    </row>
    <row r="1000" spans="1:2">
      <c r="A1000" s="153" t="s">
        <v>2539</v>
      </c>
      <c r="B1000" s="153" t="s">
        <v>2540</v>
      </c>
    </row>
    <row r="1001" spans="1:2">
      <c r="A1001" s="153" t="s">
        <v>2541</v>
      </c>
      <c r="B1001" s="153" t="s">
        <v>2542</v>
      </c>
    </row>
    <row r="1002" spans="1:2">
      <c r="A1002" s="153" t="s">
        <v>2543</v>
      </c>
      <c r="B1002" s="153" t="s">
        <v>2544</v>
      </c>
    </row>
    <row r="1003" spans="1:2">
      <c r="A1003" s="153" t="s">
        <v>2545</v>
      </c>
      <c r="B1003" s="153" t="s">
        <v>2546</v>
      </c>
    </row>
    <row r="1004" spans="1:2">
      <c r="A1004" s="153" t="s">
        <v>2547</v>
      </c>
      <c r="B1004" s="153" t="s">
        <v>2548</v>
      </c>
    </row>
    <row r="1005" spans="1:2">
      <c r="A1005" s="153" t="s">
        <v>2549</v>
      </c>
      <c r="B1005" s="153" t="s">
        <v>2550</v>
      </c>
    </row>
    <row r="1006" spans="1:2">
      <c r="A1006" s="153" t="s">
        <v>2551</v>
      </c>
      <c r="B1006" s="153" t="s">
        <v>2552</v>
      </c>
    </row>
    <row r="1007" spans="1:2">
      <c r="A1007" s="153" t="s">
        <v>2553</v>
      </c>
      <c r="B1007" s="153" t="s">
        <v>2554</v>
      </c>
    </row>
    <row r="1008" spans="1:2">
      <c r="A1008" s="153" t="s">
        <v>2555</v>
      </c>
      <c r="B1008" s="153" t="s">
        <v>2556</v>
      </c>
    </row>
    <row r="1009" spans="1:2">
      <c r="A1009" s="153" t="s">
        <v>2557</v>
      </c>
      <c r="B1009" s="153" t="s">
        <v>2558</v>
      </c>
    </row>
    <row r="1010" spans="1:2">
      <c r="A1010" s="153" t="s">
        <v>2559</v>
      </c>
      <c r="B1010" s="153" t="s">
        <v>2560</v>
      </c>
    </row>
    <row r="1011" spans="1:2">
      <c r="A1011" s="153" t="s">
        <v>2561</v>
      </c>
      <c r="B1011" s="153" t="s">
        <v>2562</v>
      </c>
    </row>
    <row r="1012" spans="1:2">
      <c r="A1012" s="153" t="s">
        <v>2563</v>
      </c>
      <c r="B1012" s="153" t="s">
        <v>2564</v>
      </c>
    </row>
    <row r="1013" spans="1:2">
      <c r="A1013" s="153" t="s">
        <v>2565</v>
      </c>
      <c r="B1013" s="153" t="s">
        <v>2566</v>
      </c>
    </row>
    <row r="1014" spans="1:2">
      <c r="A1014" s="153" t="s">
        <v>2567</v>
      </c>
      <c r="B1014" s="153" t="s">
        <v>2568</v>
      </c>
    </row>
    <row r="1015" spans="1:2">
      <c r="A1015" s="153" t="s">
        <v>2569</v>
      </c>
      <c r="B1015" s="153" t="s">
        <v>2570</v>
      </c>
    </row>
    <row r="1016" spans="1:2">
      <c r="A1016" s="153" t="s">
        <v>2571</v>
      </c>
      <c r="B1016" s="153" t="s">
        <v>2572</v>
      </c>
    </row>
    <row r="1017" spans="1:2">
      <c r="A1017" s="153" t="s">
        <v>2573</v>
      </c>
      <c r="B1017" s="153" t="s">
        <v>2574</v>
      </c>
    </row>
    <row r="1018" spans="1:2">
      <c r="A1018" s="153" t="s">
        <v>2575</v>
      </c>
      <c r="B1018" s="153" t="s">
        <v>2576</v>
      </c>
    </row>
    <row r="1019" spans="1:2">
      <c r="A1019" s="153" t="s">
        <v>2577</v>
      </c>
      <c r="B1019" s="153" t="s">
        <v>2578</v>
      </c>
    </row>
    <row r="1020" spans="1:2">
      <c r="A1020" s="153" t="s">
        <v>2579</v>
      </c>
      <c r="B1020" s="153" t="s">
        <v>2580</v>
      </c>
    </row>
    <row r="1021" spans="1:2">
      <c r="A1021" s="153" t="s">
        <v>2581</v>
      </c>
      <c r="B1021" s="153" t="s">
        <v>2582</v>
      </c>
    </row>
    <row r="1022" spans="1:2">
      <c r="A1022" s="153" t="s">
        <v>2583</v>
      </c>
      <c r="B1022" s="153" t="s">
        <v>2584</v>
      </c>
    </row>
    <row r="1023" spans="1:2">
      <c r="A1023" s="153" t="s">
        <v>2585</v>
      </c>
      <c r="B1023" s="153" t="s">
        <v>2586</v>
      </c>
    </row>
    <row r="1024" spans="1:2">
      <c r="A1024" s="153" t="s">
        <v>2587</v>
      </c>
      <c r="B1024" s="153" t="s">
        <v>2588</v>
      </c>
    </row>
    <row r="1025" spans="1:2">
      <c r="A1025" s="153" t="s">
        <v>2589</v>
      </c>
      <c r="B1025" s="153" t="s">
        <v>2590</v>
      </c>
    </row>
    <row r="1026" spans="1:2">
      <c r="A1026" s="153" t="s">
        <v>2591</v>
      </c>
      <c r="B1026" s="153" t="s">
        <v>2592</v>
      </c>
    </row>
    <row r="1027" spans="1:2">
      <c r="A1027" s="153" t="s">
        <v>2593</v>
      </c>
      <c r="B1027" s="153" t="s">
        <v>2594</v>
      </c>
    </row>
    <row r="1028" spans="1:2">
      <c r="A1028" s="153" t="s">
        <v>2595</v>
      </c>
      <c r="B1028" s="153" t="s">
        <v>2596</v>
      </c>
    </row>
    <row r="1029" spans="1:2">
      <c r="A1029" s="153" t="s">
        <v>2597</v>
      </c>
      <c r="B1029" s="153" t="s">
        <v>2598</v>
      </c>
    </row>
    <row r="1030" spans="1:2">
      <c r="A1030" s="153" t="s">
        <v>2599</v>
      </c>
      <c r="B1030" s="153" t="s">
        <v>2600</v>
      </c>
    </row>
    <row r="1031" spans="1:2">
      <c r="A1031" s="153" t="s">
        <v>2601</v>
      </c>
      <c r="B1031" s="153" t="s">
        <v>2602</v>
      </c>
    </row>
    <row r="1032" spans="1:2">
      <c r="A1032" s="153" t="s">
        <v>2603</v>
      </c>
      <c r="B1032" s="153" t="s">
        <v>2604</v>
      </c>
    </row>
    <row r="1033" spans="1:2">
      <c r="A1033" s="153" t="s">
        <v>2605</v>
      </c>
      <c r="B1033" s="153" t="s">
        <v>2606</v>
      </c>
    </row>
    <row r="1034" spans="1:2">
      <c r="A1034" s="153" t="s">
        <v>2607</v>
      </c>
      <c r="B1034" s="153" t="s">
        <v>2608</v>
      </c>
    </row>
    <row r="1035" spans="1:2">
      <c r="A1035" s="153" t="s">
        <v>2609</v>
      </c>
      <c r="B1035" s="153" t="s">
        <v>2610</v>
      </c>
    </row>
    <row r="1036" spans="1:2">
      <c r="A1036" s="153" t="s">
        <v>2611</v>
      </c>
      <c r="B1036" s="153" t="s">
        <v>2612</v>
      </c>
    </row>
    <row r="1037" spans="1:2">
      <c r="A1037" s="153" t="s">
        <v>2613</v>
      </c>
      <c r="B1037" s="153" t="s">
        <v>2614</v>
      </c>
    </row>
    <row r="1038" spans="1:2">
      <c r="A1038" s="153" t="s">
        <v>2615</v>
      </c>
      <c r="B1038" s="153" t="s">
        <v>2616</v>
      </c>
    </row>
    <row r="1039" spans="1:2">
      <c r="A1039" s="153" t="s">
        <v>2617</v>
      </c>
      <c r="B1039" s="153" t="s">
        <v>2618</v>
      </c>
    </row>
    <row r="1040" spans="1:2">
      <c r="A1040" s="153" t="s">
        <v>2619</v>
      </c>
      <c r="B1040" s="153" t="s">
        <v>2620</v>
      </c>
    </row>
    <row r="1041" spans="1:2">
      <c r="A1041" s="153" t="s">
        <v>2621</v>
      </c>
      <c r="B1041" s="153" t="s">
        <v>2622</v>
      </c>
    </row>
    <row r="1042" spans="1:2">
      <c r="A1042" s="153" t="s">
        <v>2623</v>
      </c>
      <c r="B1042" s="153" t="s">
        <v>2624</v>
      </c>
    </row>
    <row r="1043" spans="1:2">
      <c r="A1043" s="153" t="s">
        <v>2625</v>
      </c>
      <c r="B1043" s="153" t="s">
        <v>2626</v>
      </c>
    </row>
    <row r="1044" spans="1:2">
      <c r="A1044" s="153" t="s">
        <v>2627</v>
      </c>
      <c r="B1044" s="153" t="s">
        <v>2628</v>
      </c>
    </row>
    <row r="1045" spans="1:2">
      <c r="A1045" s="153" t="s">
        <v>2629</v>
      </c>
      <c r="B1045" s="153" t="s">
        <v>2630</v>
      </c>
    </row>
    <row r="1046" spans="1:2">
      <c r="A1046" s="153" t="s">
        <v>2631</v>
      </c>
      <c r="B1046" s="153" t="s">
        <v>2632</v>
      </c>
    </row>
    <row r="1047" spans="1:2">
      <c r="A1047" s="153" t="s">
        <v>2633</v>
      </c>
      <c r="B1047" s="153" t="s">
        <v>2634</v>
      </c>
    </row>
    <row r="1048" spans="1:2">
      <c r="A1048" s="153" t="s">
        <v>2635</v>
      </c>
      <c r="B1048" s="153" t="s">
        <v>2636</v>
      </c>
    </row>
    <row r="1049" spans="1:2">
      <c r="A1049" s="153" t="s">
        <v>2637</v>
      </c>
      <c r="B1049" s="153" t="s">
        <v>2638</v>
      </c>
    </row>
    <row r="1050" spans="1:2">
      <c r="A1050" s="153" t="s">
        <v>2639</v>
      </c>
      <c r="B1050" s="153" t="s">
        <v>2640</v>
      </c>
    </row>
    <row r="1051" spans="1:2">
      <c r="A1051" s="153" t="s">
        <v>2641</v>
      </c>
      <c r="B1051" s="153" t="s">
        <v>2642</v>
      </c>
    </row>
    <row r="1052" spans="1:2">
      <c r="A1052" s="153" t="s">
        <v>2643</v>
      </c>
      <c r="B1052" s="153" t="s">
        <v>2644</v>
      </c>
    </row>
    <row r="1053" spans="1:2">
      <c r="A1053" s="153" t="s">
        <v>2645</v>
      </c>
      <c r="B1053" s="153" t="s">
        <v>2646</v>
      </c>
    </row>
    <row r="1054" spans="1:2">
      <c r="A1054" s="153" t="s">
        <v>2647</v>
      </c>
      <c r="B1054" s="153" t="s">
        <v>2648</v>
      </c>
    </row>
    <row r="1055" spans="1:2">
      <c r="A1055" s="153" t="s">
        <v>2649</v>
      </c>
      <c r="B1055" s="153" t="s">
        <v>2650</v>
      </c>
    </row>
    <row r="1056" spans="1:2">
      <c r="A1056" s="153" t="s">
        <v>2651</v>
      </c>
      <c r="B1056" s="153" t="s">
        <v>2652</v>
      </c>
    </row>
    <row r="1057" spans="1:2">
      <c r="A1057" s="153" t="s">
        <v>2653</v>
      </c>
      <c r="B1057" s="153" t="s">
        <v>2654</v>
      </c>
    </row>
    <row r="1058" spans="1:2">
      <c r="A1058" s="153" t="s">
        <v>2655</v>
      </c>
      <c r="B1058" s="153" t="s">
        <v>2656</v>
      </c>
    </row>
    <row r="1059" spans="1:2">
      <c r="A1059" s="153" t="s">
        <v>2657</v>
      </c>
      <c r="B1059" s="153" t="s">
        <v>2658</v>
      </c>
    </row>
    <row r="1060" spans="1:2">
      <c r="A1060" s="153" t="s">
        <v>2659</v>
      </c>
      <c r="B1060" s="153" t="s">
        <v>2660</v>
      </c>
    </row>
    <row r="1061" spans="1:2">
      <c r="A1061" s="153" t="s">
        <v>2661</v>
      </c>
      <c r="B1061" s="153" t="s">
        <v>2662</v>
      </c>
    </row>
    <row r="1062" spans="1:2">
      <c r="A1062" s="153" t="s">
        <v>2663</v>
      </c>
      <c r="B1062" s="153" t="s">
        <v>2664</v>
      </c>
    </row>
    <row r="1063" spans="1:2">
      <c r="A1063" s="153" t="s">
        <v>2665</v>
      </c>
      <c r="B1063" s="153" t="s">
        <v>2666</v>
      </c>
    </row>
    <row r="1064" spans="1:2">
      <c r="A1064" s="153" t="s">
        <v>2667</v>
      </c>
      <c r="B1064" s="153" t="s">
        <v>2668</v>
      </c>
    </row>
    <row r="1065" spans="1:2">
      <c r="A1065" s="153" t="s">
        <v>2669</v>
      </c>
      <c r="B1065" s="153" t="s">
        <v>2670</v>
      </c>
    </row>
    <row r="1066" spans="1:2">
      <c r="A1066" s="153" t="s">
        <v>2671</v>
      </c>
      <c r="B1066" s="153" t="s">
        <v>2672</v>
      </c>
    </row>
    <row r="1067" spans="1:2">
      <c r="A1067" s="153" t="s">
        <v>2673</v>
      </c>
      <c r="B1067" s="153" t="s">
        <v>2674</v>
      </c>
    </row>
    <row r="1068" spans="1:2">
      <c r="A1068" s="153" t="s">
        <v>2675</v>
      </c>
      <c r="B1068" s="153" t="s">
        <v>2676</v>
      </c>
    </row>
    <row r="1069" spans="1:2">
      <c r="A1069" s="153" t="s">
        <v>2677</v>
      </c>
      <c r="B1069" s="153" t="s">
        <v>2678</v>
      </c>
    </row>
    <row r="1070" spans="1:2">
      <c r="A1070" s="153" t="s">
        <v>2679</v>
      </c>
      <c r="B1070" s="153" t="s">
        <v>2680</v>
      </c>
    </row>
    <row r="1071" spans="1:2">
      <c r="A1071" s="153" t="s">
        <v>2681</v>
      </c>
      <c r="B1071" s="153" t="s">
        <v>2682</v>
      </c>
    </row>
    <row r="1072" spans="1:2">
      <c r="A1072" s="153" t="s">
        <v>2683</v>
      </c>
      <c r="B1072" s="153" t="s">
        <v>2684</v>
      </c>
    </row>
    <row r="1073" spans="1:2">
      <c r="A1073" s="153" t="s">
        <v>2685</v>
      </c>
      <c r="B1073" s="153" t="s">
        <v>2686</v>
      </c>
    </row>
    <row r="1074" spans="1:2">
      <c r="A1074" s="153" t="s">
        <v>2687</v>
      </c>
      <c r="B1074" s="153" t="s">
        <v>2688</v>
      </c>
    </row>
    <row r="1075" spans="1:2">
      <c r="A1075" s="153" t="s">
        <v>2689</v>
      </c>
      <c r="B1075" s="153" t="s">
        <v>2690</v>
      </c>
    </row>
    <row r="1076" spans="1:2">
      <c r="A1076" s="153" t="s">
        <v>2691</v>
      </c>
      <c r="B1076" s="153" t="s">
        <v>2692</v>
      </c>
    </row>
    <row r="1077" spans="1:2">
      <c r="A1077" s="153" t="s">
        <v>2693</v>
      </c>
      <c r="B1077" s="153" t="s">
        <v>2694</v>
      </c>
    </row>
    <row r="1078" spans="1:2">
      <c r="A1078" s="153" t="s">
        <v>2695</v>
      </c>
      <c r="B1078" s="153" t="s">
        <v>2696</v>
      </c>
    </row>
    <row r="1079" spans="1:2">
      <c r="A1079" s="153" t="s">
        <v>2697</v>
      </c>
      <c r="B1079" s="153" t="s">
        <v>2698</v>
      </c>
    </row>
    <row r="1080" spans="1:2">
      <c r="A1080" s="153" t="s">
        <v>2699</v>
      </c>
      <c r="B1080" s="153" t="s">
        <v>2700</v>
      </c>
    </row>
    <row r="1081" spans="1:2">
      <c r="A1081" s="153" t="s">
        <v>2701</v>
      </c>
      <c r="B1081" s="153" t="s">
        <v>2702</v>
      </c>
    </row>
    <row r="1082" spans="1:2">
      <c r="A1082" s="153" t="s">
        <v>2703</v>
      </c>
      <c r="B1082" s="153" t="s">
        <v>2704</v>
      </c>
    </row>
    <row r="1083" spans="1:2">
      <c r="A1083" s="153" t="s">
        <v>2705</v>
      </c>
      <c r="B1083" s="153" t="s">
        <v>2706</v>
      </c>
    </row>
    <row r="1084" spans="1:2">
      <c r="A1084" s="153" t="s">
        <v>2707</v>
      </c>
      <c r="B1084" s="153" t="s">
        <v>2708</v>
      </c>
    </row>
    <row r="1085" spans="1:2">
      <c r="A1085" s="153" t="s">
        <v>2709</v>
      </c>
      <c r="B1085" s="153" t="s">
        <v>2710</v>
      </c>
    </row>
    <row r="1086" spans="1:2">
      <c r="A1086" s="153" t="s">
        <v>2711</v>
      </c>
      <c r="B1086" s="153" t="s">
        <v>2712</v>
      </c>
    </row>
    <row r="1087" spans="1:2">
      <c r="A1087" s="153" t="s">
        <v>2713</v>
      </c>
      <c r="B1087" s="153" t="s">
        <v>2714</v>
      </c>
    </row>
    <row r="1088" spans="1:2">
      <c r="A1088" s="153" t="s">
        <v>2715</v>
      </c>
      <c r="B1088" s="153" t="s">
        <v>2716</v>
      </c>
    </row>
    <row r="1089" spans="1:2">
      <c r="A1089" s="153" t="s">
        <v>2717</v>
      </c>
      <c r="B1089" s="153" t="s">
        <v>2718</v>
      </c>
    </row>
    <row r="1090" spans="1:2">
      <c r="A1090" s="153" t="s">
        <v>2719</v>
      </c>
      <c r="B1090" s="153" t="s">
        <v>2720</v>
      </c>
    </row>
    <row r="1091" spans="1:2">
      <c r="A1091" s="153" t="s">
        <v>2721</v>
      </c>
      <c r="B1091" s="153" t="s">
        <v>2722</v>
      </c>
    </row>
    <row r="1092" spans="1:2">
      <c r="A1092" s="153" t="s">
        <v>2723</v>
      </c>
      <c r="B1092" s="153" t="s">
        <v>2724</v>
      </c>
    </row>
    <row r="1093" spans="1:2">
      <c r="A1093" s="153" t="s">
        <v>2725</v>
      </c>
      <c r="B1093" s="153" t="s">
        <v>2726</v>
      </c>
    </row>
    <row r="1094" spans="1:2">
      <c r="A1094" s="153" t="s">
        <v>2727</v>
      </c>
      <c r="B1094" s="153" t="s">
        <v>2728</v>
      </c>
    </row>
    <row r="1095" spans="1:2">
      <c r="A1095" s="153" t="s">
        <v>2729</v>
      </c>
      <c r="B1095" s="153" t="s">
        <v>2730</v>
      </c>
    </row>
    <row r="1096" spans="1:2">
      <c r="A1096" s="153" t="s">
        <v>2731</v>
      </c>
      <c r="B1096" s="153" t="s">
        <v>2732</v>
      </c>
    </row>
    <row r="1097" spans="1:2">
      <c r="A1097" s="153" t="s">
        <v>2733</v>
      </c>
      <c r="B1097" s="153" t="s">
        <v>2734</v>
      </c>
    </row>
    <row r="1098" spans="1:2">
      <c r="A1098" s="153" t="s">
        <v>2735</v>
      </c>
      <c r="B1098" s="153" t="s">
        <v>2736</v>
      </c>
    </row>
    <row r="1099" spans="1:2">
      <c r="A1099" s="153" t="s">
        <v>2737</v>
      </c>
      <c r="B1099" s="153" t="s">
        <v>2738</v>
      </c>
    </row>
    <row r="1100" spans="1:2">
      <c r="A1100" s="153" t="s">
        <v>2739</v>
      </c>
      <c r="B1100" s="153" t="s">
        <v>2740</v>
      </c>
    </row>
    <row r="1101" spans="1:2">
      <c r="A1101" s="153" t="s">
        <v>2741</v>
      </c>
      <c r="B1101" s="153" t="s">
        <v>2742</v>
      </c>
    </row>
    <row r="1102" spans="1:2">
      <c r="A1102" s="153" t="s">
        <v>2743</v>
      </c>
      <c r="B1102" s="153" t="s">
        <v>2744</v>
      </c>
    </row>
    <row r="1103" spans="1:2">
      <c r="A1103" s="153" t="s">
        <v>2745</v>
      </c>
      <c r="B1103" s="153" t="s">
        <v>2746</v>
      </c>
    </row>
    <row r="1104" spans="1:2">
      <c r="A1104" s="153" t="s">
        <v>2747</v>
      </c>
      <c r="B1104" s="153" t="s">
        <v>2748</v>
      </c>
    </row>
    <row r="1105" spans="1:2">
      <c r="A1105" s="153" t="s">
        <v>2749</v>
      </c>
      <c r="B1105" s="153" t="s">
        <v>2750</v>
      </c>
    </row>
    <row r="1106" spans="1:2">
      <c r="A1106" s="153" t="s">
        <v>2751</v>
      </c>
      <c r="B1106" s="153" t="s">
        <v>2752</v>
      </c>
    </row>
    <row r="1107" spans="1:2">
      <c r="A1107" s="153" t="s">
        <v>2753</v>
      </c>
      <c r="B1107" s="153" t="s">
        <v>2754</v>
      </c>
    </row>
    <row r="1108" spans="1:2">
      <c r="A1108" s="153" t="s">
        <v>2755</v>
      </c>
      <c r="B1108" s="153" t="s">
        <v>2756</v>
      </c>
    </row>
    <row r="1109" spans="1:2">
      <c r="A1109" s="153" t="s">
        <v>2757</v>
      </c>
      <c r="B1109" s="153" t="s">
        <v>2758</v>
      </c>
    </row>
    <row r="1110" spans="1:2">
      <c r="A1110" s="153" t="s">
        <v>2759</v>
      </c>
      <c r="B1110" s="153" t="s">
        <v>2760</v>
      </c>
    </row>
    <row r="1111" spans="1:2">
      <c r="A1111" s="153" t="s">
        <v>2761</v>
      </c>
      <c r="B1111" s="153" t="s">
        <v>2762</v>
      </c>
    </row>
    <row r="1112" spans="1:2">
      <c r="A1112" s="153" t="s">
        <v>2763</v>
      </c>
      <c r="B1112" s="153" t="s">
        <v>2764</v>
      </c>
    </row>
    <row r="1113" spans="1:2">
      <c r="A1113" s="153" t="s">
        <v>2765</v>
      </c>
      <c r="B1113" s="153" t="s">
        <v>2766</v>
      </c>
    </row>
    <row r="1114" spans="1:2">
      <c r="A1114" s="153" t="s">
        <v>2767</v>
      </c>
      <c r="B1114" s="153" t="s">
        <v>2768</v>
      </c>
    </row>
    <row r="1115" spans="1:2">
      <c r="A1115" s="153" t="s">
        <v>2769</v>
      </c>
      <c r="B1115" s="153" t="s">
        <v>2770</v>
      </c>
    </row>
    <row r="1116" spans="1:2">
      <c r="A1116" s="153" t="s">
        <v>2771</v>
      </c>
      <c r="B1116" s="153" t="s">
        <v>2772</v>
      </c>
    </row>
    <row r="1117" spans="1:2">
      <c r="A1117" s="153" t="s">
        <v>2773</v>
      </c>
      <c r="B1117" s="153" t="s">
        <v>2774</v>
      </c>
    </row>
    <row r="1118" spans="1:2">
      <c r="A1118" s="153" t="s">
        <v>2775</v>
      </c>
      <c r="B1118" s="153" t="s">
        <v>2776</v>
      </c>
    </row>
    <row r="1119" spans="1:2">
      <c r="A1119" s="153" t="s">
        <v>2777</v>
      </c>
      <c r="B1119" s="153" t="s">
        <v>2778</v>
      </c>
    </row>
    <row r="1120" spans="1:2">
      <c r="A1120" s="153" t="s">
        <v>2779</v>
      </c>
      <c r="B1120" s="153" t="s">
        <v>2780</v>
      </c>
    </row>
    <row r="1121" spans="1:2">
      <c r="A1121" s="153" t="s">
        <v>2781</v>
      </c>
      <c r="B1121" s="153" t="s">
        <v>2782</v>
      </c>
    </row>
    <row r="1122" spans="1:2">
      <c r="A1122" s="153" t="s">
        <v>2783</v>
      </c>
      <c r="B1122" s="153" t="s">
        <v>2784</v>
      </c>
    </row>
    <row r="1123" spans="1:2">
      <c r="A1123" s="153" t="s">
        <v>2785</v>
      </c>
      <c r="B1123" s="153" t="s">
        <v>2786</v>
      </c>
    </row>
    <row r="1124" spans="1:2">
      <c r="A1124" s="153" t="s">
        <v>2787</v>
      </c>
      <c r="B1124" s="153" t="s">
        <v>2788</v>
      </c>
    </row>
    <row r="1125" spans="1:2">
      <c r="A1125" s="153" t="s">
        <v>2789</v>
      </c>
      <c r="B1125" s="153" t="s">
        <v>2790</v>
      </c>
    </row>
    <row r="1126" spans="1:2">
      <c r="A1126" s="153" t="s">
        <v>2791</v>
      </c>
      <c r="B1126" s="153" t="s">
        <v>2792</v>
      </c>
    </row>
    <row r="1127" spans="1:2">
      <c r="A1127" s="153" t="s">
        <v>2793</v>
      </c>
      <c r="B1127" s="153" t="s">
        <v>2794</v>
      </c>
    </row>
    <row r="1128" spans="1:2">
      <c r="A1128" s="153" t="s">
        <v>2795</v>
      </c>
      <c r="B1128" s="153" t="s">
        <v>2796</v>
      </c>
    </row>
    <row r="1129" spans="1:2">
      <c r="A1129" s="153" t="s">
        <v>2797</v>
      </c>
      <c r="B1129" s="153" t="s">
        <v>2798</v>
      </c>
    </row>
    <row r="1130" spans="1:2">
      <c r="A1130" s="153" t="s">
        <v>2799</v>
      </c>
      <c r="B1130" s="153" t="s">
        <v>2800</v>
      </c>
    </row>
    <row r="1131" spans="1:2">
      <c r="A1131" s="153" t="s">
        <v>2801</v>
      </c>
      <c r="B1131" s="153" t="s">
        <v>2802</v>
      </c>
    </row>
    <row r="1132" spans="1:2">
      <c r="A1132" s="153" t="s">
        <v>2803</v>
      </c>
      <c r="B1132" s="153" t="s">
        <v>2804</v>
      </c>
    </row>
    <row r="1133" spans="1:2">
      <c r="A1133" s="153" t="s">
        <v>2805</v>
      </c>
      <c r="B1133" s="153" t="s">
        <v>2806</v>
      </c>
    </row>
    <row r="1134" spans="1:2">
      <c r="A1134" s="153" t="s">
        <v>2807</v>
      </c>
      <c r="B1134" s="153" t="s">
        <v>2808</v>
      </c>
    </row>
    <row r="1135" spans="1:2">
      <c r="A1135" s="153" t="s">
        <v>2809</v>
      </c>
      <c r="B1135" s="153" t="s">
        <v>2810</v>
      </c>
    </row>
    <row r="1136" spans="1:2">
      <c r="A1136" s="153" t="s">
        <v>2811</v>
      </c>
      <c r="B1136" s="153" t="s">
        <v>2812</v>
      </c>
    </row>
    <row r="1137" spans="1:2">
      <c r="A1137" s="153" t="s">
        <v>2813</v>
      </c>
      <c r="B1137" s="153" t="s">
        <v>2814</v>
      </c>
    </row>
    <row r="1138" spans="1:2">
      <c r="A1138" s="153" t="s">
        <v>2815</v>
      </c>
      <c r="B1138" s="153" t="s">
        <v>2816</v>
      </c>
    </row>
    <row r="1139" spans="1:2">
      <c r="A1139" s="153" t="s">
        <v>2817</v>
      </c>
      <c r="B1139" s="153" t="s">
        <v>2818</v>
      </c>
    </row>
    <row r="1140" spans="1:2">
      <c r="A1140" s="153" t="s">
        <v>2819</v>
      </c>
      <c r="B1140" s="153" t="s">
        <v>2820</v>
      </c>
    </row>
    <row r="1141" spans="1:2">
      <c r="A1141" s="153" t="s">
        <v>2821</v>
      </c>
      <c r="B1141" s="153" t="s">
        <v>2822</v>
      </c>
    </row>
    <row r="1142" spans="1:2">
      <c r="A1142" s="153" t="s">
        <v>2823</v>
      </c>
      <c r="B1142" s="153" t="s">
        <v>2824</v>
      </c>
    </row>
    <row r="1143" spans="1:2">
      <c r="A1143" s="153" t="s">
        <v>2825</v>
      </c>
      <c r="B1143" s="153" t="s">
        <v>2826</v>
      </c>
    </row>
    <row r="1144" spans="1:2">
      <c r="A1144" s="153" t="s">
        <v>2827</v>
      </c>
      <c r="B1144" s="153" t="s">
        <v>2828</v>
      </c>
    </row>
    <row r="1145" spans="1:2">
      <c r="A1145" s="153" t="s">
        <v>2829</v>
      </c>
      <c r="B1145" s="153" t="s">
        <v>2830</v>
      </c>
    </row>
    <row r="1146" spans="1:2">
      <c r="A1146" s="153" t="s">
        <v>2831</v>
      </c>
      <c r="B1146" s="153" t="s">
        <v>2832</v>
      </c>
    </row>
    <row r="1147" spans="1:2">
      <c r="A1147" s="153" t="s">
        <v>2833</v>
      </c>
      <c r="B1147" s="153" t="s">
        <v>2834</v>
      </c>
    </row>
    <row r="1148" spans="1:2">
      <c r="A1148" s="153" t="s">
        <v>2835</v>
      </c>
      <c r="B1148" s="153" t="s">
        <v>2836</v>
      </c>
    </row>
    <row r="1149" spans="1:2">
      <c r="A1149" s="153" t="s">
        <v>2837</v>
      </c>
      <c r="B1149" s="153" t="s">
        <v>2838</v>
      </c>
    </row>
    <row r="1150" spans="1:2">
      <c r="A1150" s="153" t="s">
        <v>2839</v>
      </c>
      <c r="B1150" s="153" t="s">
        <v>2840</v>
      </c>
    </row>
    <row r="1151" spans="1:2">
      <c r="A1151" s="153" t="s">
        <v>2841</v>
      </c>
      <c r="B1151" s="153" t="s">
        <v>2842</v>
      </c>
    </row>
    <row r="1152" spans="1:2">
      <c r="A1152" s="153" t="s">
        <v>2843</v>
      </c>
      <c r="B1152" s="153" t="s">
        <v>2844</v>
      </c>
    </row>
    <row r="1153" spans="1:2">
      <c r="A1153" s="153" t="s">
        <v>2845</v>
      </c>
      <c r="B1153" s="153" t="s">
        <v>2846</v>
      </c>
    </row>
    <row r="1154" spans="1:2">
      <c r="A1154" s="153" t="s">
        <v>2847</v>
      </c>
      <c r="B1154" s="153" t="s">
        <v>2848</v>
      </c>
    </row>
    <row r="1155" spans="1:2">
      <c r="A1155" s="153" t="s">
        <v>2849</v>
      </c>
      <c r="B1155" s="153" t="s">
        <v>2850</v>
      </c>
    </row>
    <row r="1156" spans="1:2">
      <c r="A1156" s="153" t="s">
        <v>2851</v>
      </c>
      <c r="B1156" s="153" t="s">
        <v>2852</v>
      </c>
    </row>
    <row r="1157" spans="1:2">
      <c r="A1157" s="153" t="s">
        <v>2853</v>
      </c>
      <c r="B1157" s="153" t="s">
        <v>2854</v>
      </c>
    </row>
    <row r="1158" spans="1:2">
      <c r="A1158" s="153" t="s">
        <v>2855</v>
      </c>
      <c r="B1158" s="153" t="s">
        <v>2856</v>
      </c>
    </row>
    <row r="1159" spans="1:2">
      <c r="A1159" s="153" t="s">
        <v>2857</v>
      </c>
      <c r="B1159" s="153" t="s">
        <v>2858</v>
      </c>
    </row>
    <row r="1160" spans="1:2">
      <c r="A1160" s="153" t="s">
        <v>2859</v>
      </c>
      <c r="B1160" s="153" t="s">
        <v>2860</v>
      </c>
    </row>
    <row r="1161" spans="1:2">
      <c r="A1161" s="153" t="s">
        <v>2861</v>
      </c>
      <c r="B1161" s="153" t="s">
        <v>2862</v>
      </c>
    </row>
    <row r="1162" spans="1:2">
      <c r="A1162" s="153" t="s">
        <v>2863</v>
      </c>
      <c r="B1162" s="153" t="s">
        <v>2864</v>
      </c>
    </row>
    <row r="1163" spans="1:2">
      <c r="A1163" s="153" t="s">
        <v>2865</v>
      </c>
      <c r="B1163" s="153" t="s">
        <v>2866</v>
      </c>
    </row>
    <row r="1164" spans="1:2">
      <c r="A1164" s="153" t="s">
        <v>2867</v>
      </c>
      <c r="B1164" s="153" t="s">
        <v>2868</v>
      </c>
    </row>
    <row r="1165" spans="1:2">
      <c r="A1165" s="153" t="s">
        <v>2869</v>
      </c>
      <c r="B1165" s="153" t="s">
        <v>2870</v>
      </c>
    </row>
    <row r="1166" spans="1:2">
      <c r="A1166" s="153" t="s">
        <v>2871</v>
      </c>
      <c r="B1166" s="153" t="s">
        <v>2872</v>
      </c>
    </row>
    <row r="1167" spans="1:2">
      <c r="A1167" s="153" t="s">
        <v>2873</v>
      </c>
      <c r="B1167" s="153" t="s">
        <v>2874</v>
      </c>
    </row>
    <row r="1168" spans="1:2">
      <c r="A1168" s="153" t="s">
        <v>2875</v>
      </c>
      <c r="B1168" s="153" t="s">
        <v>2876</v>
      </c>
    </row>
    <row r="1169" spans="1:2">
      <c r="A1169" s="153" t="s">
        <v>2877</v>
      </c>
      <c r="B1169" s="153" t="s">
        <v>2878</v>
      </c>
    </row>
    <row r="1170" spans="1:2">
      <c r="A1170" s="153" t="s">
        <v>2879</v>
      </c>
      <c r="B1170" s="153" t="s">
        <v>2880</v>
      </c>
    </row>
    <row r="1171" spans="1:2">
      <c r="A1171" s="153" t="s">
        <v>2881</v>
      </c>
      <c r="B1171" s="153" t="s">
        <v>2882</v>
      </c>
    </row>
    <row r="1172" spans="1:2">
      <c r="A1172" s="153" t="s">
        <v>2883</v>
      </c>
      <c r="B1172" s="153" t="s">
        <v>2884</v>
      </c>
    </row>
    <row r="1173" spans="1:2">
      <c r="A1173" s="153" t="s">
        <v>2885</v>
      </c>
      <c r="B1173" s="153" t="s">
        <v>2886</v>
      </c>
    </row>
    <row r="1174" spans="1:2">
      <c r="A1174" s="153" t="s">
        <v>2887</v>
      </c>
      <c r="B1174" s="153" t="s">
        <v>2888</v>
      </c>
    </row>
    <row r="1175" spans="1:2">
      <c r="A1175" s="153" t="s">
        <v>2889</v>
      </c>
      <c r="B1175" s="153" t="s">
        <v>2890</v>
      </c>
    </row>
    <row r="1176" spans="1:2">
      <c r="A1176" s="153" t="s">
        <v>2891</v>
      </c>
      <c r="B1176" s="153" t="s">
        <v>2892</v>
      </c>
    </row>
    <row r="1177" spans="1:2">
      <c r="A1177" s="153" t="s">
        <v>2893</v>
      </c>
      <c r="B1177" s="153" t="s">
        <v>2894</v>
      </c>
    </row>
    <row r="1178" spans="1:2">
      <c r="A1178" s="153" t="s">
        <v>2895</v>
      </c>
      <c r="B1178" s="153" t="s">
        <v>2896</v>
      </c>
    </row>
    <row r="1179" spans="1:2">
      <c r="A1179" s="153" t="s">
        <v>2897</v>
      </c>
      <c r="B1179" s="153" t="s">
        <v>2898</v>
      </c>
    </row>
    <row r="1180" spans="1:2">
      <c r="A1180" s="153" t="s">
        <v>2899</v>
      </c>
      <c r="B1180" s="153" t="s">
        <v>2900</v>
      </c>
    </row>
    <row r="1181" spans="1:2">
      <c r="A1181" s="153" t="s">
        <v>2901</v>
      </c>
      <c r="B1181" s="153" t="s">
        <v>2902</v>
      </c>
    </row>
    <row r="1182" spans="1:2">
      <c r="A1182" s="153" t="s">
        <v>2903</v>
      </c>
      <c r="B1182" s="153" t="s">
        <v>2904</v>
      </c>
    </row>
    <row r="1183" spans="1:2">
      <c r="A1183" s="153" t="s">
        <v>2905</v>
      </c>
      <c r="B1183" s="153" t="s">
        <v>2906</v>
      </c>
    </row>
    <row r="1184" spans="1:2">
      <c r="A1184" s="153" t="s">
        <v>2907</v>
      </c>
      <c r="B1184" s="153" t="s">
        <v>2908</v>
      </c>
    </row>
    <row r="1185" spans="1:2">
      <c r="A1185" s="153" t="s">
        <v>2909</v>
      </c>
      <c r="B1185" s="153" t="s">
        <v>2910</v>
      </c>
    </row>
    <row r="1186" spans="1:2">
      <c r="A1186" s="153" t="s">
        <v>2911</v>
      </c>
      <c r="B1186" s="153" t="s">
        <v>2912</v>
      </c>
    </row>
    <row r="1187" spans="1:2">
      <c r="A1187" s="153" t="s">
        <v>2913</v>
      </c>
      <c r="B1187" s="153" t="s">
        <v>2914</v>
      </c>
    </row>
    <row r="1188" spans="1:2">
      <c r="A1188" s="153" t="s">
        <v>2915</v>
      </c>
      <c r="B1188" s="153" t="s">
        <v>2916</v>
      </c>
    </row>
    <row r="1189" spans="1:2">
      <c r="A1189" s="153" t="s">
        <v>2917</v>
      </c>
      <c r="B1189" s="153" t="s">
        <v>2918</v>
      </c>
    </row>
    <row r="1190" spans="1:2">
      <c r="A1190" s="153" t="s">
        <v>2919</v>
      </c>
      <c r="B1190" s="153" t="s">
        <v>2920</v>
      </c>
    </row>
    <row r="1191" spans="1:2">
      <c r="A1191" s="153" t="s">
        <v>2921</v>
      </c>
      <c r="B1191" s="153" t="s">
        <v>2922</v>
      </c>
    </row>
    <row r="1192" spans="1:2">
      <c r="A1192" s="153" t="s">
        <v>2923</v>
      </c>
      <c r="B1192" s="153" t="s">
        <v>2924</v>
      </c>
    </row>
    <row r="1193" spans="1:2">
      <c r="A1193" s="153" t="s">
        <v>2925</v>
      </c>
      <c r="B1193" s="153" t="s">
        <v>2926</v>
      </c>
    </row>
    <row r="1194" spans="1:2">
      <c r="A1194" s="153" t="s">
        <v>2927</v>
      </c>
      <c r="B1194" s="153" t="s">
        <v>2928</v>
      </c>
    </row>
    <row r="1195" spans="1:2">
      <c r="A1195" s="153" t="s">
        <v>2929</v>
      </c>
      <c r="B1195" s="153" t="s">
        <v>2930</v>
      </c>
    </row>
    <row r="1196" spans="1:2">
      <c r="A1196" s="153" t="s">
        <v>2931</v>
      </c>
      <c r="B1196" s="153" t="s">
        <v>2932</v>
      </c>
    </row>
    <row r="1197" spans="1:2">
      <c r="A1197" s="153" t="s">
        <v>2933</v>
      </c>
      <c r="B1197" s="153" t="s">
        <v>2934</v>
      </c>
    </row>
    <row r="1198" spans="1:2">
      <c r="A1198" s="153" t="s">
        <v>2935</v>
      </c>
      <c r="B1198" s="153" t="s">
        <v>2936</v>
      </c>
    </row>
    <row r="1199" spans="1:2">
      <c r="A1199" s="153" t="s">
        <v>2937</v>
      </c>
      <c r="B1199" s="153" t="s">
        <v>2938</v>
      </c>
    </row>
    <row r="1200" spans="1:2">
      <c r="A1200" s="153" t="s">
        <v>2939</v>
      </c>
      <c r="B1200" s="153" t="s">
        <v>2940</v>
      </c>
    </row>
    <row r="1201" spans="1:2">
      <c r="A1201" s="153" t="s">
        <v>2941</v>
      </c>
      <c r="B1201" s="153" t="s">
        <v>2942</v>
      </c>
    </row>
    <row r="1202" spans="1:2">
      <c r="A1202" s="153" t="s">
        <v>2943</v>
      </c>
      <c r="B1202" s="153" t="s">
        <v>2944</v>
      </c>
    </row>
    <row r="1203" spans="1:2">
      <c r="A1203" s="153" t="s">
        <v>2945</v>
      </c>
      <c r="B1203" s="153" t="s">
        <v>2946</v>
      </c>
    </row>
    <row r="1204" spans="1:2">
      <c r="A1204" s="153" t="s">
        <v>2947</v>
      </c>
      <c r="B1204" s="153" t="s">
        <v>2948</v>
      </c>
    </row>
    <row r="1205" spans="1:2">
      <c r="A1205" s="153" t="s">
        <v>2949</v>
      </c>
      <c r="B1205" s="153" t="s">
        <v>2950</v>
      </c>
    </row>
    <row r="1206" spans="1:2">
      <c r="A1206" s="153" t="s">
        <v>2951</v>
      </c>
      <c r="B1206" s="153" t="s">
        <v>2952</v>
      </c>
    </row>
    <row r="1207" spans="1:2">
      <c r="A1207" s="153" t="s">
        <v>2953</v>
      </c>
      <c r="B1207" s="153" t="s">
        <v>2954</v>
      </c>
    </row>
    <row r="1208" spans="1:2">
      <c r="A1208" s="153" t="s">
        <v>2955</v>
      </c>
      <c r="B1208" s="153" t="s">
        <v>2956</v>
      </c>
    </row>
    <row r="1209" spans="1:2">
      <c r="A1209" s="153" t="s">
        <v>2957</v>
      </c>
      <c r="B1209" s="153" t="s">
        <v>2958</v>
      </c>
    </row>
    <row r="1210" spans="1:2">
      <c r="A1210" s="153" t="s">
        <v>2959</v>
      </c>
      <c r="B1210" s="153" t="s">
        <v>2960</v>
      </c>
    </row>
    <row r="1211" spans="1:2">
      <c r="A1211" s="153" t="s">
        <v>2961</v>
      </c>
      <c r="B1211" s="153" t="s">
        <v>2962</v>
      </c>
    </row>
    <row r="1212" spans="1:2">
      <c r="A1212" s="153" t="s">
        <v>2963</v>
      </c>
      <c r="B1212" s="153" t="s">
        <v>2964</v>
      </c>
    </row>
    <row r="1213" spans="1:2">
      <c r="A1213" s="153" t="s">
        <v>2965</v>
      </c>
      <c r="B1213" s="153" t="s">
        <v>2966</v>
      </c>
    </row>
    <row r="1214" spans="1:2">
      <c r="A1214" s="153" t="s">
        <v>2967</v>
      </c>
      <c r="B1214" s="153" t="s">
        <v>2968</v>
      </c>
    </row>
    <row r="1215" spans="1:2">
      <c r="A1215" s="153" t="s">
        <v>2969</v>
      </c>
      <c r="B1215" s="153" t="s">
        <v>2970</v>
      </c>
    </row>
    <row r="1216" spans="1:2">
      <c r="A1216" s="153" t="s">
        <v>2971</v>
      </c>
      <c r="B1216" s="153" t="s">
        <v>2972</v>
      </c>
    </row>
    <row r="1217" spans="1:2">
      <c r="A1217" s="153" t="s">
        <v>2973</v>
      </c>
      <c r="B1217" s="153" t="s">
        <v>2974</v>
      </c>
    </row>
    <row r="1218" spans="1:2">
      <c r="A1218" s="153" t="s">
        <v>2975</v>
      </c>
      <c r="B1218" s="153" t="s">
        <v>2976</v>
      </c>
    </row>
    <row r="1219" spans="1:2">
      <c r="A1219" s="153" t="s">
        <v>2977</v>
      </c>
      <c r="B1219" s="153" t="s">
        <v>2978</v>
      </c>
    </row>
    <row r="1220" spans="1:2">
      <c r="A1220" s="153" t="s">
        <v>2979</v>
      </c>
      <c r="B1220" s="153" t="s">
        <v>2980</v>
      </c>
    </row>
    <row r="1221" spans="1:2">
      <c r="A1221" s="153" t="s">
        <v>2981</v>
      </c>
      <c r="B1221" s="153" t="s">
        <v>2982</v>
      </c>
    </row>
    <row r="1222" spans="1:2">
      <c r="A1222" s="153" t="s">
        <v>2983</v>
      </c>
      <c r="B1222" s="153" t="s">
        <v>2984</v>
      </c>
    </row>
    <row r="1223" spans="1:2">
      <c r="A1223" s="153" t="s">
        <v>2985</v>
      </c>
      <c r="B1223" s="153" t="s">
        <v>2986</v>
      </c>
    </row>
    <row r="1224" spans="1:2">
      <c r="A1224" s="153" t="s">
        <v>2987</v>
      </c>
      <c r="B1224" s="153" t="s">
        <v>2988</v>
      </c>
    </row>
    <row r="1225" spans="1:2">
      <c r="A1225" s="153" t="s">
        <v>2989</v>
      </c>
      <c r="B1225" s="153" t="s">
        <v>2990</v>
      </c>
    </row>
    <row r="1226" spans="1:2">
      <c r="A1226" s="153" t="s">
        <v>2991</v>
      </c>
      <c r="B1226" s="153" t="s">
        <v>2992</v>
      </c>
    </row>
    <row r="1227" spans="1:2">
      <c r="A1227" s="153" t="s">
        <v>2993</v>
      </c>
      <c r="B1227" s="153" t="s">
        <v>2994</v>
      </c>
    </row>
    <row r="1228" spans="1:2">
      <c r="A1228" s="153" t="s">
        <v>2995</v>
      </c>
      <c r="B1228" s="153" t="s">
        <v>2996</v>
      </c>
    </row>
    <row r="1229" spans="1:2">
      <c r="A1229" s="153" t="s">
        <v>2997</v>
      </c>
      <c r="B1229" s="153" t="s">
        <v>2998</v>
      </c>
    </row>
    <row r="1230" spans="1:2">
      <c r="A1230" s="153" t="s">
        <v>2999</v>
      </c>
      <c r="B1230" s="153" t="s">
        <v>3000</v>
      </c>
    </row>
    <row r="1231" spans="1:2">
      <c r="A1231" s="153" t="s">
        <v>3001</v>
      </c>
      <c r="B1231" s="153" t="s">
        <v>3002</v>
      </c>
    </row>
    <row r="1232" spans="1:2">
      <c r="A1232" s="153" t="s">
        <v>3003</v>
      </c>
      <c r="B1232" s="153" t="s">
        <v>3004</v>
      </c>
    </row>
    <row r="1233" spans="1:2">
      <c r="A1233" s="153" t="s">
        <v>3005</v>
      </c>
      <c r="B1233" s="153" t="s">
        <v>3006</v>
      </c>
    </row>
    <row r="1234" spans="1:2">
      <c r="A1234" s="153" t="s">
        <v>3007</v>
      </c>
      <c r="B1234" s="153" t="s">
        <v>3008</v>
      </c>
    </row>
    <row r="1235" spans="1:2">
      <c r="A1235" s="153" t="s">
        <v>3009</v>
      </c>
      <c r="B1235" s="153" t="s">
        <v>3010</v>
      </c>
    </row>
    <row r="1236" spans="1:2">
      <c r="A1236" s="153" t="s">
        <v>3011</v>
      </c>
      <c r="B1236" s="153" t="s">
        <v>3012</v>
      </c>
    </row>
    <row r="1237" spans="1:2">
      <c r="A1237" s="153" t="s">
        <v>3013</v>
      </c>
      <c r="B1237" s="153" t="s">
        <v>3014</v>
      </c>
    </row>
    <row r="1238" spans="1:2">
      <c r="A1238" s="153" t="s">
        <v>3015</v>
      </c>
      <c r="B1238" s="153" t="s">
        <v>3016</v>
      </c>
    </row>
    <row r="1239" spans="1:2">
      <c r="A1239" s="153" t="s">
        <v>3017</v>
      </c>
      <c r="B1239" s="153" t="s">
        <v>3018</v>
      </c>
    </row>
    <row r="1240" spans="1:2">
      <c r="A1240" s="153" t="s">
        <v>3019</v>
      </c>
      <c r="B1240" s="153" t="s">
        <v>3020</v>
      </c>
    </row>
    <row r="1241" spans="1:2">
      <c r="A1241" s="153" t="s">
        <v>3021</v>
      </c>
      <c r="B1241" s="153" t="s">
        <v>3022</v>
      </c>
    </row>
    <row r="1242" spans="1:2">
      <c r="A1242" s="153" t="s">
        <v>3023</v>
      </c>
      <c r="B1242" s="153" t="s">
        <v>3024</v>
      </c>
    </row>
    <row r="1243" spans="1:2">
      <c r="A1243" s="153" t="s">
        <v>3025</v>
      </c>
      <c r="B1243" s="153" t="s">
        <v>3026</v>
      </c>
    </row>
    <row r="1244" spans="1:2">
      <c r="A1244" s="153" t="s">
        <v>3027</v>
      </c>
      <c r="B1244" s="153" t="s">
        <v>3028</v>
      </c>
    </row>
    <row r="1245" spans="1:2">
      <c r="A1245" s="153" t="s">
        <v>3029</v>
      </c>
      <c r="B1245" s="153" t="s">
        <v>3030</v>
      </c>
    </row>
    <row r="1246" spans="1:2">
      <c r="A1246" s="153" t="s">
        <v>3031</v>
      </c>
      <c r="B1246" s="153" t="s">
        <v>3032</v>
      </c>
    </row>
    <row r="1247" spans="1:2">
      <c r="A1247" s="153" t="s">
        <v>3033</v>
      </c>
      <c r="B1247" s="153" t="s">
        <v>3034</v>
      </c>
    </row>
    <row r="1248" spans="1:2">
      <c r="A1248" s="153" t="s">
        <v>3035</v>
      </c>
      <c r="B1248" s="153" t="s">
        <v>3036</v>
      </c>
    </row>
    <row r="1249" spans="1:2">
      <c r="A1249" s="153" t="s">
        <v>3037</v>
      </c>
      <c r="B1249" s="153" t="s">
        <v>3038</v>
      </c>
    </row>
    <row r="1250" spans="1:2">
      <c r="A1250" s="153" t="s">
        <v>3039</v>
      </c>
      <c r="B1250" s="153" t="s">
        <v>3040</v>
      </c>
    </row>
    <row r="1251" spans="1:2">
      <c r="A1251" s="153" t="s">
        <v>3041</v>
      </c>
      <c r="B1251" s="153" t="s">
        <v>3042</v>
      </c>
    </row>
    <row r="1252" spans="1:2">
      <c r="A1252" s="153" t="s">
        <v>3043</v>
      </c>
      <c r="B1252" s="153" t="s">
        <v>3044</v>
      </c>
    </row>
    <row r="1253" spans="1:2">
      <c r="A1253" s="153" t="s">
        <v>3045</v>
      </c>
      <c r="B1253" s="153" t="s">
        <v>3046</v>
      </c>
    </row>
    <row r="1254" spans="1:2">
      <c r="A1254" s="153" t="s">
        <v>3047</v>
      </c>
      <c r="B1254" s="153" t="s">
        <v>3048</v>
      </c>
    </row>
    <row r="1255" spans="1:2">
      <c r="A1255" s="153" t="s">
        <v>3049</v>
      </c>
      <c r="B1255" s="153" t="s">
        <v>3050</v>
      </c>
    </row>
    <row r="1256" spans="1:2">
      <c r="A1256" s="153" t="s">
        <v>3051</v>
      </c>
      <c r="B1256" s="153" t="s">
        <v>3052</v>
      </c>
    </row>
    <row r="1257" spans="1:2">
      <c r="A1257" s="153" t="s">
        <v>3053</v>
      </c>
      <c r="B1257" s="153" t="s">
        <v>3054</v>
      </c>
    </row>
    <row r="1258" spans="1:2">
      <c r="A1258" s="153" t="s">
        <v>3055</v>
      </c>
      <c r="B1258" s="153" t="s">
        <v>3056</v>
      </c>
    </row>
    <row r="1259" spans="1:2">
      <c r="A1259" s="153" t="s">
        <v>3057</v>
      </c>
      <c r="B1259" s="153" t="s">
        <v>3058</v>
      </c>
    </row>
    <row r="1260" spans="1:2">
      <c r="A1260" s="153" t="s">
        <v>3059</v>
      </c>
      <c r="B1260" s="153" t="s">
        <v>3060</v>
      </c>
    </row>
    <row r="1261" spans="1:2">
      <c r="A1261" s="153" t="s">
        <v>3061</v>
      </c>
      <c r="B1261" s="153" t="s">
        <v>3062</v>
      </c>
    </row>
    <row r="1262" spans="1:2">
      <c r="A1262" s="153" t="s">
        <v>3063</v>
      </c>
      <c r="B1262" s="153" t="s">
        <v>315</v>
      </c>
    </row>
    <row r="1263" spans="1:2">
      <c r="A1263" s="153" t="s">
        <v>3064</v>
      </c>
      <c r="B1263" s="153" t="s">
        <v>3065</v>
      </c>
    </row>
    <row r="1264" spans="1:2">
      <c r="A1264" s="153" t="s">
        <v>3066</v>
      </c>
      <c r="B1264" s="153" t="s">
        <v>3067</v>
      </c>
    </row>
    <row r="1265" spans="1:2">
      <c r="A1265" s="153" t="s">
        <v>3068</v>
      </c>
      <c r="B1265" s="153" t="s">
        <v>3069</v>
      </c>
    </row>
    <row r="1266" spans="1:2">
      <c r="A1266" s="153" t="s">
        <v>3070</v>
      </c>
      <c r="B1266" s="153" t="s">
        <v>3071</v>
      </c>
    </row>
    <row r="1267" spans="1:2">
      <c r="A1267" s="153" t="s">
        <v>3072</v>
      </c>
      <c r="B1267" s="153" t="s">
        <v>3073</v>
      </c>
    </row>
    <row r="1268" spans="1:2">
      <c r="A1268" s="153" t="s">
        <v>3074</v>
      </c>
      <c r="B1268" s="153" t="s">
        <v>3075</v>
      </c>
    </row>
    <row r="1269" spans="1:2">
      <c r="A1269" s="153" t="s">
        <v>3076</v>
      </c>
      <c r="B1269" s="153" t="s">
        <v>320</v>
      </c>
    </row>
    <row r="1270" spans="1:2">
      <c r="A1270" s="153" t="s">
        <v>3077</v>
      </c>
      <c r="B1270" s="153" t="s">
        <v>3078</v>
      </c>
    </row>
    <row r="1271" spans="1:2">
      <c r="A1271" s="153" t="s">
        <v>3079</v>
      </c>
      <c r="B1271" s="153" t="s">
        <v>3080</v>
      </c>
    </row>
    <row r="1272" spans="1:2">
      <c r="A1272" s="153" t="s">
        <v>3081</v>
      </c>
      <c r="B1272" s="153" t="s">
        <v>3082</v>
      </c>
    </row>
    <row r="1273" spans="1:2">
      <c r="A1273" s="153" t="s">
        <v>3083</v>
      </c>
      <c r="B1273" s="153" t="s">
        <v>3084</v>
      </c>
    </row>
    <row r="1274" spans="1:2">
      <c r="A1274" s="153" t="s">
        <v>3085</v>
      </c>
      <c r="B1274" s="153" t="s">
        <v>3086</v>
      </c>
    </row>
    <row r="1275" spans="1:2">
      <c r="A1275" s="153" t="s">
        <v>3087</v>
      </c>
      <c r="B1275" s="153" t="s">
        <v>3088</v>
      </c>
    </row>
    <row r="1276" spans="1:2">
      <c r="A1276" s="153" t="s">
        <v>3089</v>
      </c>
      <c r="B1276" s="153" t="s">
        <v>3090</v>
      </c>
    </row>
    <row r="1277" spans="1:2">
      <c r="A1277" s="153" t="s">
        <v>3091</v>
      </c>
      <c r="B1277" s="153" t="s">
        <v>3092</v>
      </c>
    </row>
    <row r="1278" spans="1:2">
      <c r="A1278" s="153" t="s">
        <v>3093</v>
      </c>
      <c r="B1278" s="153" t="s">
        <v>3094</v>
      </c>
    </row>
    <row r="1279" spans="1:2">
      <c r="A1279" s="153" t="s">
        <v>3095</v>
      </c>
      <c r="B1279" s="153" t="s">
        <v>325</v>
      </c>
    </row>
    <row r="1280" spans="1:2">
      <c r="A1280" s="153" t="s">
        <v>3096</v>
      </c>
      <c r="B1280" s="153" t="s">
        <v>3097</v>
      </c>
    </row>
    <row r="1281" spans="1:2">
      <c r="A1281" s="153" t="s">
        <v>3098</v>
      </c>
      <c r="B1281" s="153" t="s">
        <v>3099</v>
      </c>
    </row>
    <row r="1282" spans="1:2">
      <c r="A1282" s="153" t="s">
        <v>3100</v>
      </c>
      <c r="B1282" s="153" t="s">
        <v>3101</v>
      </c>
    </row>
    <row r="1283" spans="1:2">
      <c r="A1283" s="153" t="s">
        <v>3102</v>
      </c>
      <c r="B1283" s="153" t="s">
        <v>330</v>
      </c>
    </row>
    <row r="1284" spans="1:2">
      <c r="A1284" s="153" t="s">
        <v>3103</v>
      </c>
      <c r="B1284" s="153" t="s">
        <v>335</v>
      </c>
    </row>
    <row r="1285" spans="1:2">
      <c r="A1285" s="153" t="s">
        <v>3104</v>
      </c>
      <c r="B1285" s="153" t="s">
        <v>340</v>
      </c>
    </row>
    <row r="1286" spans="1:2">
      <c r="A1286" s="153" t="s">
        <v>3105</v>
      </c>
      <c r="B1286" s="153" t="s">
        <v>3106</v>
      </c>
    </row>
    <row r="1287" spans="1:2">
      <c r="A1287" s="153" t="s">
        <v>3107</v>
      </c>
      <c r="B1287" s="153" t="s">
        <v>3108</v>
      </c>
    </row>
    <row r="1288" spans="1:2">
      <c r="A1288" s="153" t="s">
        <v>3109</v>
      </c>
      <c r="B1288" s="153" t="s">
        <v>3110</v>
      </c>
    </row>
    <row r="1289" spans="1:2">
      <c r="A1289" s="153" t="s">
        <v>3111</v>
      </c>
      <c r="B1289" s="153" t="s">
        <v>3112</v>
      </c>
    </row>
    <row r="1290" spans="1:2">
      <c r="A1290" s="153" t="s">
        <v>3113</v>
      </c>
      <c r="B1290" s="153" t="s">
        <v>3114</v>
      </c>
    </row>
    <row r="1291" spans="1:2">
      <c r="A1291" s="153" t="s">
        <v>3115</v>
      </c>
      <c r="B1291" s="153" t="s">
        <v>3116</v>
      </c>
    </row>
    <row r="1292" spans="1:2">
      <c r="A1292" s="153" t="s">
        <v>3117</v>
      </c>
      <c r="B1292" s="153" t="s">
        <v>3118</v>
      </c>
    </row>
    <row r="1293" spans="1:2">
      <c r="A1293" s="153" t="s">
        <v>3119</v>
      </c>
      <c r="B1293" s="153" t="s">
        <v>3120</v>
      </c>
    </row>
    <row r="1294" spans="1:2">
      <c r="A1294" s="153" t="s">
        <v>3121</v>
      </c>
      <c r="B1294" s="153" t="s">
        <v>3122</v>
      </c>
    </row>
    <row r="1295" spans="1:2">
      <c r="A1295" s="153" t="s">
        <v>3123</v>
      </c>
      <c r="B1295" s="153" t="s">
        <v>3124</v>
      </c>
    </row>
    <row r="1296" spans="1:2">
      <c r="A1296" s="153" t="s">
        <v>3125</v>
      </c>
      <c r="B1296" s="153" t="s">
        <v>3126</v>
      </c>
    </row>
    <row r="1297" spans="1:2">
      <c r="A1297" s="153" t="s">
        <v>3127</v>
      </c>
      <c r="B1297" s="153" t="s">
        <v>3128</v>
      </c>
    </row>
    <row r="1298" spans="1:2">
      <c r="A1298" s="153" t="s">
        <v>3129</v>
      </c>
      <c r="B1298" s="153" t="s">
        <v>3130</v>
      </c>
    </row>
    <row r="1299" spans="1:2">
      <c r="A1299" s="153" t="s">
        <v>3131</v>
      </c>
      <c r="B1299" s="153" t="s">
        <v>3132</v>
      </c>
    </row>
    <row r="1300" spans="1:2">
      <c r="A1300" s="153" t="s">
        <v>3133</v>
      </c>
      <c r="B1300" s="153" t="s">
        <v>345</v>
      </c>
    </row>
    <row r="1301" spans="1:2">
      <c r="A1301" s="153" t="s">
        <v>3134</v>
      </c>
      <c r="B1301" s="153" t="s">
        <v>3135</v>
      </c>
    </row>
    <row r="1302" spans="1:2">
      <c r="A1302" s="153" t="s">
        <v>3136</v>
      </c>
      <c r="B1302" s="153" t="s">
        <v>3137</v>
      </c>
    </row>
    <row r="1303" spans="1:2">
      <c r="A1303" s="153" t="s">
        <v>3138</v>
      </c>
      <c r="B1303" s="153" t="s">
        <v>350</v>
      </c>
    </row>
    <row r="1304" spans="1:2">
      <c r="A1304" s="153" t="s">
        <v>3139</v>
      </c>
      <c r="B1304" s="153" t="s">
        <v>3140</v>
      </c>
    </row>
    <row r="1305" spans="1:2">
      <c r="A1305" s="153" t="s">
        <v>3141</v>
      </c>
      <c r="B1305" s="153" t="s">
        <v>3142</v>
      </c>
    </row>
    <row r="1306" spans="1:2">
      <c r="A1306" s="153" t="s">
        <v>3143</v>
      </c>
      <c r="B1306" s="153" t="s">
        <v>3144</v>
      </c>
    </row>
    <row r="1307" spans="1:2">
      <c r="A1307" s="153" t="s">
        <v>3145</v>
      </c>
      <c r="B1307" s="153" t="s">
        <v>3146</v>
      </c>
    </row>
    <row r="1308" spans="1:2">
      <c r="A1308" s="153" t="s">
        <v>3147</v>
      </c>
      <c r="B1308" s="153" t="s">
        <v>3148</v>
      </c>
    </row>
    <row r="1309" spans="1:2">
      <c r="A1309" s="153" t="s">
        <v>3149</v>
      </c>
      <c r="B1309" s="153" t="s">
        <v>3150</v>
      </c>
    </row>
    <row r="1310" spans="1:2">
      <c r="A1310" s="153" t="s">
        <v>3151</v>
      </c>
      <c r="B1310" s="153" t="s">
        <v>3152</v>
      </c>
    </row>
    <row r="1311" spans="1:2">
      <c r="A1311" s="153" t="s">
        <v>3153</v>
      </c>
      <c r="B1311" s="153" t="s">
        <v>3154</v>
      </c>
    </row>
    <row r="1312" spans="1:2">
      <c r="A1312" s="153" t="s">
        <v>3155</v>
      </c>
      <c r="B1312" s="153" t="s">
        <v>3156</v>
      </c>
    </row>
    <row r="1313" spans="1:2">
      <c r="A1313" s="153" t="s">
        <v>3157</v>
      </c>
      <c r="B1313" s="153" t="s">
        <v>3158</v>
      </c>
    </row>
    <row r="1314" spans="1:2">
      <c r="A1314" s="153" t="s">
        <v>3159</v>
      </c>
      <c r="B1314" s="153" t="s">
        <v>3160</v>
      </c>
    </row>
    <row r="1315" spans="1:2">
      <c r="A1315" s="153" t="s">
        <v>3161</v>
      </c>
      <c r="B1315" s="153" t="s">
        <v>3162</v>
      </c>
    </row>
    <row r="1316" spans="1:2">
      <c r="A1316" s="153" t="s">
        <v>3163</v>
      </c>
      <c r="B1316" s="153" t="s">
        <v>3164</v>
      </c>
    </row>
    <row r="1317" spans="1:2">
      <c r="A1317" s="153" t="s">
        <v>3165</v>
      </c>
      <c r="B1317" s="153" t="s">
        <v>3166</v>
      </c>
    </row>
    <row r="1318" spans="1:2">
      <c r="A1318" s="153" t="s">
        <v>3167</v>
      </c>
      <c r="B1318" s="153" t="s">
        <v>3168</v>
      </c>
    </row>
    <row r="1319" spans="1:2">
      <c r="A1319" s="153" t="s">
        <v>3169</v>
      </c>
      <c r="B1319" s="153" t="s">
        <v>3170</v>
      </c>
    </row>
    <row r="1320" spans="1:2">
      <c r="A1320" s="153" t="s">
        <v>3171</v>
      </c>
      <c r="B1320" s="153" t="s">
        <v>3172</v>
      </c>
    </row>
    <row r="1321" spans="1:2">
      <c r="A1321" s="153" t="s">
        <v>3173</v>
      </c>
      <c r="B1321" s="153" t="s">
        <v>3174</v>
      </c>
    </row>
    <row r="1322" spans="1:2">
      <c r="A1322" s="153" t="s">
        <v>3175</v>
      </c>
      <c r="B1322" s="153" t="s">
        <v>3176</v>
      </c>
    </row>
    <row r="1323" spans="1:2">
      <c r="A1323" s="153" t="s">
        <v>3177</v>
      </c>
      <c r="B1323" s="153" t="s">
        <v>3178</v>
      </c>
    </row>
    <row r="1324" spans="1:2">
      <c r="A1324" s="153" t="s">
        <v>3179</v>
      </c>
      <c r="B1324" s="153" t="s">
        <v>3180</v>
      </c>
    </row>
    <row r="1325" spans="1:2">
      <c r="A1325" s="153" t="s">
        <v>3181</v>
      </c>
      <c r="B1325" s="153" t="s">
        <v>3182</v>
      </c>
    </row>
    <row r="1326" spans="1:2">
      <c r="A1326" s="153" t="s">
        <v>3183</v>
      </c>
      <c r="B1326" s="153" t="s">
        <v>3184</v>
      </c>
    </row>
    <row r="1327" spans="1:2">
      <c r="A1327" s="153" t="s">
        <v>3185</v>
      </c>
      <c r="B1327" s="153" t="s">
        <v>3186</v>
      </c>
    </row>
    <row r="1328" spans="1:2">
      <c r="A1328" s="153" t="s">
        <v>3187</v>
      </c>
      <c r="B1328" s="153" t="s">
        <v>3188</v>
      </c>
    </row>
    <row r="1329" spans="1:2">
      <c r="A1329" s="153" t="s">
        <v>3189</v>
      </c>
      <c r="B1329" s="153" t="s">
        <v>3190</v>
      </c>
    </row>
    <row r="1330" spans="1:2">
      <c r="A1330" s="153" t="s">
        <v>3191</v>
      </c>
      <c r="B1330" s="153" t="s">
        <v>3192</v>
      </c>
    </row>
    <row r="1331" spans="1:2">
      <c r="A1331" s="153" t="s">
        <v>3193</v>
      </c>
      <c r="B1331" s="153" t="s">
        <v>3194</v>
      </c>
    </row>
    <row r="1332" spans="1:2">
      <c r="A1332" s="153" t="s">
        <v>3195</v>
      </c>
      <c r="B1332" s="153" t="s">
        <v>3196</v>
      </c>
    </row>
    <row r="1333" spans="1:2">
      <c r="A1333" s="153" t="s">
        <v>3197</v>
      </c>
      <c r="B1333" s="153" t="s">
        <v>3198</v>
      </c>
    </row>
    <row r="1334" spans="1:2">
      <c r="A1334" s="153" t="s">
        <v>3199</v>
      </c>
      <c r="B1334" s="153" t="s">
        <v>3200</v>
      </c>
    </row>
    <row r="1335" spans="1:2">
      <c r="A1335" s="153" t="s">
        <v>3201</v>
      </c>
      <c r="B1335" s="153" t="s">
        <v>3202</v>
      </c>
    </row>
    <row r="1336" spans="1:2">
      <c r="A1336" s="153" t="s">
        <v>3203</v>
      </c>
      <c r="B1336" s="153" t="s">
        <v>3204</v>
      </c>
    </row>
    <row r="1337" spans="1:2">
      <c r="A1337" s="153" t="s">
        <v>3205</v>
      </c>
      <c r="B1337" s="153" t="s">
        <v>3206</v>
      </c>
    </row>
    <row r="1338" spans="1:2">
      <c r="A1338" s="153" t="s">
        <v>3207</v>
      </c>
      <c r="B1338" s="153" t="s">
        <v>3208</v>
      </c>
    </row>
    <row r="1339" spans="1:2">
      <c r="A1339" s="153" t="s">
        <v>3209</v>
      </c>
      <c r="B1339" s="153" t="s">
        <v>3210</v>
      </c>
    </row>
    <row r="1340" spans="1:2">
      <c r="A1340" s="153" t="s">
        <v>3211</v>
      </c>
      <c r="B1340" s="153" t="s">
        <v>3212</v>
      </c>
    </row>
    <row r="1341" spans="1:2">
      <c r="A1341" s="153" t="s">
        <v>3213</v>
      </c>
      <c r="B1341" s="153" t="s">
        <v>3214</v>
      </c>
    </row>
    <row r="1342" spans="1:2">
      <c r="A1342" s="153" t="s">
        <v>3215</v>
      </c>
      <c r="B1342" s="153" t="s">
        <v>3216</v>
      </c>
    </row>
    <row r="1343" spans="1:2">
      <c r="A1343" s="153" t="s">
        <v>3217</v>
      </c>
      <c r="B1343" s="153" t="s">
        <v>3218</v>
      </c>
    </row>
    <row r="1344" spans="1:2">
      <c r="A1344" s="153" t="s">
        <v>3219</v>
      </c>
      <c r="B1344" s="153" t="s">
        <v>3220</v>
      </c>
    </row>
    <row r="1345" spans="1:2">
      <c r="A1345" s="153" t="s">
        <v>3221</v>
      </c>
      <c r="B1345" s="153" t="s">
        <v>3222</v>
      </c>
    </row>
    <row r="1346" spans="1:2">
      <c r="A1346" s="153" t="s">
        <v>3223</v>
      </c>
      <c r="B1346" s="153" t="s">
        <v>3224</v>
      </c>
    </row>
    <row r="1347" spans="1:2">
      <c r="A1347" s="153" t="s">
        <v>3225</v>
      </c>
      <c r="B1347" s="153" t="s">
        <v>3226</v>
      </c>
    </row>
    <row r="1348" spans="1:2">
      <c r="A1348" s="153" t="s">
        <v>3227</v>
      </c>
      <c r="B1348" s="153" t="s">
        <v>3228</v>
      </c>
    </row>
    <row r="1349" spans="1:2">
      <c r="A1349" s="153" t="s">
        <v>3229</v>
      </c>
      <c r="B1349" s="153" t="s">
        <v>3230</v>
      </c>
    </row>
    <row r="1350" spans="1:2">
      <c r="A1350" s="153" t="s">
        <v>3231</v>
      </c>
      <c r="B1350" s="153" t="s">
        <v>3232</v>
      </c>
    </row>
    <row r="1351" spans="1:2">
      <c r="A1351" s="153" t="s">
        <v>3233</v>
      </c>
      <c r="B1351" s="153" t="s">
        <v>3234</v>
      </c>
    </row>
    <row r="1352" spans="1:2">
      <c r="A1352" s="153" t="s">
        <v>3235</v>
      </c>
      <c r="B1352" s="153" t="s">
        <v>3236</v>
      </c>
    </row>
    <row r="1353" spans="1:2">
      <c r="A1353" s="153" t="s">
        <v>3237</v>
      </c>
      <c r="B1353" s="153" t="s">
        <v>3238</v>
      </c>
    </row>
    <row r="1354" spans="1:2">
      <c r="A1354" s="153" t="s">
        <v>3239</v>
      </c>
      <c r="B1354" s="153" t="s">
        <v>3240</v>
      </c>
    </row>
    <row r="1355" spans="1:2">
      <c r="A1355" s="153" t="s">
        <v>3241</v>
      </c>
      <c r="B1355" s="153" t="s">
        <v>355</v>
      </c>
    </row>
    <row r="1356" spans="1:2">
      <c r="A1356" s="153" t="s">
        <v>3242</v>
      </c>
      <c r="B1356" s="153" t="s">
        <v>3243</v>
      </c>
    </row>
    <row r="1357" spans="1:2">
      <c r="A1357" s="153" t="s">
        <v>3244</v>
      </c>
      <c r="B1357" s="153" t="s">
        <v>360</v>
      </c>
    </row>
    <row r="1358" spans="1:2">
      <c r="A1358" s="153" t="s">
        <v>3245</v>
      </c>
      <c r="B1358" s="153" t="s">
        <v>3246</v>
      </c>
    </row>
    <row r="1359" spans="1:2">
      <c r="A1359" s="153" t="s">
        <v>3247</v>
      </c>
      <c r="B1359" s="153" t="s">
        <v>3248</v>
      </c>
    </row>
    <row r="1360" spans="1:2">
      <c r="A1360" s="153" t="s">
        <v>3249</v>
      </c>
      <c r="B1360" s="153" t="s">
        <v>3250</v>
      </c>
    </row>
    <row r="1361" spans="1:2">
      <c r="A1361" s="153" t="s">
        <v>3251</v>
      </c>
      <c r="B1361" s="153" t="s">
        <v>3252</v>
      </c>
    </row>
    <row r="1362" spans="1:2">
      <c r="A1362" s="153" t="s">
        <v>3253</v>
      </c>
      <c r="B1362" s="153" t="s">
        <v>3254</v>
      </c>
    </row>
    <row r="1363" spans="1:2">
      <c r="A1363" s="153" t="s">
        <v>3255</v>
      </c>
      <c r="B1363" s="153" t="s">
        <v>3256</v>
      </c>
    </row>
    <row r="1364" spans="1:2">
      <c r="A1364" s="153" t="s">
        <v>3257</v>
      </c>
      <c r="B1364" s="153" t="s">
        <v>3258</v>
      </c>
    </row>
    <row r="1365" spans="1:2">
      <c r="A1365" s="153" t="s">
        <v>3259</v>
      </c>
      <c r="B1365" s="153" t="s">
        <v>3260</v>
      </c>
    </row>
    <row r="1366" spans="1:2">
      <c r="A1366" s="153" t="s">
        <v>3261</v>
      </c>
      <c r="B1366" s="153" t="s">
        <v>3262</v>
      </c>
    </row>
    <row r="1367" spans="1:2">
      <c r="A1367" s="153" t="s">
        <v>3263</v>
      </c>
      <c r="B1367" s="153" t="s">
        <v>3264</v>
      </c>
    </row>
    <row r="1368" spans="1:2">
      <c r="A1368" s="153" t="s">
        <v>3265</v>
      </c>
      <c r="B1368" s="153" t="s">
        <v>3266</v>
      </c>
    </row>
    <row r="1369" spans="1:2">
      <c r="A1369" s="153" t="s">
        <v>3267</v>
      </c>
      <c r="B1369" s="153" t="s">
        <v>3268</v>
      </c>
    </row>
    <row r="1370" spans="1:2">
      <c r="A1370" s="153" t="s">
        <v>3269</v>
      </c>
      <c r="B1370" s="153" t="s">
        <v>3270</v>
      </c>
    </row>
    <row r="1371" spans="1:2">
      <c r="A1371" s="153" t="s">
        <v>3271</v>
      </c>
      <c r="B1371" s="153" t="s">
        <v>3272</v>
      </c>
    </row>
    <row r="1372" spans="1:2">
      <c r="A1372" s="153" t="s">
        <v>3273</v>
      </c>
      <c r="B1372" s="153" t="s">
        <v>3274</v>
      </c>
    </row>
    <row r="1373" spans="1:2">
      <c r="A1373" s="153" t="s">
        <v>3275</v>
      </c>
      <c r="B1373" s="153" t="s">
        <v>3276</v>
      </c>
    </row>
    <row r="1374" spans="1:2">
      <c r="A1374" s="153" t="s">
        <v>3277</v>
      </c>
      <c r="B1374" s="153" t="s">
        <v>3278</v>
      </c>
    </row>
    <row r="1375" spans="1:2">
      <c r="A1375" s="153" t="s">
        <v>3279</v>
      </c>
      <c r="B1375" s="153" t="s">
        <v>3280</v>
      </c>
    </row>
    <row r="1376" spans="1:2">
      <c r="A1376" s="153" t="s">
        <v>3281</v>
      </c>
      <c r="B1376" s="153" t="s">
        <v>3282</v>
      </c>
    </row>
    <row r="1377" spans="1:2">
      <c r="A1377" s="153" t="s">
        <v>3283</v>
      </c>
      <c r="B1377" s="153" t="s">
        <v>3284</v>
      </c>
    </row>
    <row r="1378" spans="1:2">
      <c r="A1378" s="153" t="s">
        <v>3285</v>
      </c>
      <c r="B1378" s="153" t="s">
        <v>3286</v>
      </c>
    </row>
    <row r="1379" spans="1:2">
      <c r="A1379" s="153" t="s">
        <v>3287</v>
      </c>
      <c r="B1379" s="153" t="s">
        <v>3288</v>
      </c>
    </row>
    <row r="1380" spans="1:2">
      <c r="A1380" s="153" t="s">
        <v>3289</v>
      </c>
      <c r="B1380" s="153" t="s">
        <v>3290</v>
      </c>
    </row>
    <row r="1381" spans="1:2">
      <c r="A1381" s="153" t="s">
        <v>3291</v>
      </c>
      <c r="B1381" s="153" t="s">
        <v>3292</v>
      </c>
    </row>
    <row r="1382" spans="1:2">
      <c r="A1382" s="153" t="s">
        <v>3293</v>
      </c>
      <c r="B1382" s="153" t="s">
        <v>3294</v>
      </c>
    </row>
    <row r="1383" spans="1:2">
      <c r="A1383" s="153" t="s">
        <v>3295</v>
      </c>
      <c r="B1383" s="153" t="s">
        <v>3296</v>
      </c>
    </row>
    <row r="1384" spans="1:2">
      <c r="A1384" s="153" t="s">
        <v>3297</v>
      </c>
      <c r="B1384" s="153" t="s">
        <v>3298</v>
      </c>
    </row>
    <row r="1385" spans="1:2">
      <c r="A1385" s="153" t="s">
        <v>3299</v>
      </c>
      <c r="B1385" s="153" t="s">
        <v>922</v>
      </c>
    </row>
    <row r="1386" spans="1:2">
      <c r="A1386" s="153" t="s">
        <v>3300</v>
      </c>
      <c r="B1386" s="153" t="s">
        <v>3301</v>
      </c>
    </row>
    <row r="1387" spans="1:2">
      <c r="A1387" s="153" t="s">
        <v>3302</v>
      </c>
      <c r="B1387" s="153" t="s">
        <v>365</v>
      </c>
    </row>
    <row r="1388" spans="1:2">
      <c r="A1388" s="153" t="s">
        <v>3303</v>
      </c>
      <c r="B1388" s="153" t="s">
        <v>3304</v>
      </c>
    </row>
    <row r="1389" spans="1:2">
      <c r="A1389" s="153" t="s">
        <v>3305</v>
      </c>
      <c r="B1389" s="153" t="s">
        <v>370</v>
      </c>
    </row>
    <row r="1390" spans="1:2">
      <c r="A1390" s="153" t="s">
        <v>3306</v>
      </c>
      <c r="B1390" s="153" t="s">
        <v>3307</v>
      </c>
    </row>
    <row r="1391" spans="1:2">
      <c r="A1391" s="153" t="s">
        <v>3308</v>
      </c>
      <c r="B1391" s="153" t="s">
        <v>375</v>
      </c>
    </row>
    <row r="1392" spans="1:2">
      <c r="A1392" s="153" t="s">
        <v>3309</v>
      </c>
      <c r="B1392" s="153" t="s">
        <v>380</v>
      </c>
    </row>
    <row r="1393" spans="1:2">
      <c r="A1393" s="153" t="s">
        <v>3310</v>
      </c>
      <c r="B1393" s="153" t="s">
        <v>120</v>
      </c>
    </row>
    <row r="1394" spans="1:2">
      <c r="A1394" s="153" t="s">
        <v>3311</v>
      </c>
      <c r="B1394" s="153" t="s">
        <v>3312</v>
      </c>
    </row>
    <row r="1395" spans="1:2">
      <c r="A1395" s="153" t="s">
        <v>3313</v>
      </c>
      <c r="B1395" s="153" t="s">
        <v>3314</v>
      </c>
    </row>
    <row r="1396" spans="1:2">
      <c r="A1396" s="153" t="s">
        <v>3315</v>
      </c>
      <c r="B1396" s="153" t="s">
        <v>3316</v>
      </c>
    </row>
    <row r="1397" spans="1:2">
      <c r="A1397" s="153" t="s">
        <v>3317</v>
      </c>
      <c r="B1397" s="153" t="s">
        <v>385</v>
      </c>
    </row>
    <row r="1398" spans="1:2">
      <c r="A1398" s="153" t="s">
        <v>3318</v>
      </c>
      <c r="B1398" s="153" t="s">
        <v>3319</v>
      </c>
    </row>
    <row r="1399" spans="1:2">
      <c r="A1399" s="153" t="s">
        <v>3320</v>
      </c>
      <c r="B1399" s="153" t="s">
        <v>3321</v>
      </c>
    </row>
    <row r="1400" spans="1:2">
      <c r="A1400" s="153" t="s">
        <v>3322</v>
      </c>
      <c r="B1400" s="153" t="s">
        <v>3323</v>
      </c>
    </row>
    <row r="1401" spans="1:2">
      <c r="A1401" s="153" t="s">
        <v>3324</v>
      </c>
      <c r="B1401" s="153" t="s">
        <v>3325</v>
      </c>
    </row>
    <row r="1402" spans="1:2">
      <c r="A1402" s="153" t="s">
        <v>3326</v>
      </c>
      <c r="B1402" s="153" t="s">
        <v>3327</v>
      </c>
    </row>
    <row r="1403" spans="1:2">
      <c r="A1403" s="153" t="s">
        <v>3328</v>
      </c>
      <c r="B1403" s="153" t="s">
        <v>3329</v>
      </c>
    </row>
    <row r="1404" spans="1:2">
      <c r="A1404" s="153" t="s">
        <v>3330</v>
      </c>
      <c r="B1404" s="153" t="s">
        <v>3331</v>
      </c>
    </row>
    <row r="1405" spans="1:2">
      <c r="A1405" s="153" t="s">
        <v>3332</v>
      </c>
      <c r="B1405" s="153" t="s">
        <v>3333</v>
      </c>
    </row>
    <row r="1406" spans="1:2">
      <c r="A1406" s="153" t="s">
        <v>3334</v>
      </c>
      <c r="B1406" s="153" t="s">
        <v>3335</v>
      </c>
    </row>
    <row r="1407" spans="1:2">
      <c r="A1407" s="153" t="s">
        <v>3336</v>
      </c>
      <c r="B1407" s="153" t="s">
        <v>3337</v>
      </c>
    </row>
    <row r="1408" spans="1:2">
      <c r="A1408" s="153" t="s">
        <v>3338</v>
      </c>
      <c r="B1408" s="153" t="s">
        <v>3339</v>
      </c>
    </row>
    <row r="1409" spans="1:2">
      <c r="A1409" s="153" t="s">
        <v>3340</v>
      </c>
      <c r="B1409" s="153" t="s">
        <v>3341</v>
      </c>
    </row>
    <row r="1410" spans="1:2">
      <c r="A1410" s="153" t="s">
        <v>3342</v>
      </c>
      <c r="B1410" s="153" t="s">
        <v>3343</v>
      </c>
    </row>
    <row r="1411" spans="1:2">
      <c r="A1411" s="153" t="s">
        <v>3344</v>
      </c>
      <c r="B1411" s="153" t="s">
        <v>3345</v>
      </c>
    </row>
    <row r="1412" spans="1:2">
      <c r="A1412" s="153" t="s">
        <v>3346</v>
      </c>
      <c r="B1412" s="153" t="s">
        <v>3347</v>
      </c>
    </row>
    <row r="1413" spans="1:2">
      <c r="A1413" s="153" t="s">
        <v>3348</v>
      </c>
      <c r="B1413" s="153" t="s">
        <v>3349</v>
      </c>
    </row>
    <row r="1414" spans="1:2">
      <c r="A1414" s="153" t="s">
        <v>3350</v>
      </c>
      <c r="B1414" s="153" t="s">
        <v>3351</v>
      </c>
    </row>
    <row r="1415" spans="1:2">
      <c r="A1415" s="153" t="s">
        <v>3352</v>
      </c>
      <c r="B1415" s="153" t="s">
        <v>3353</v>
      </c>
    </row>
    <row r="1416" spans="1:2">
      <c r="A1416" s="153" t="s">
        <v>3354</v>
      </c>
      <c r="B1416" s="153" t="s">
        <v>3355</v>
      </c>
    </row>
    <row r="1417" spans="1:2">
      <c r="A1417" s="153" t="s">
        <v>3356</v>
      </c>
      <c r="B1417" s="153" t="s">
        <v>3357</v>
      </c>
    </row>
    <row r="1418" spans="1:2">
      <c r="A1418" s="153" t="s">
        <v>3358</v>
      </c>
      <c r="B1418" s="153" t="s">
        <v>3359</v>
      </c>
    </row>
    <row r="1419" spans="1:2">
      <c r="A1419" s="153" t="s">
        <v>3360</v>
      </c>
      <c r="B1419" s="153" t="s">
        <v>3361</v>
      </c>
    </row>
    <row r="1420" spans="1:2">
      <c r="A1420" s="153" t="s">
        <v>3362</v>
      </c>
      <c r="B1420" s="153" t="s">
        <v>3363</v>
      </c>
    </row>
    <row r="1421" spans="1:2">
      <c r="A1421" s="153" t="s">
        <v>3364</v>
      </c>
      <c r="B1421" s="153" t="s">
        <v>3365</v>
      </c>
    </row>
    <row r="1422" spans="1:2">
      <c r="A1422" s="153" t="s">
        <v>3366</v>
      </c>
      <c r="B1422" s="153" t="s">
        <v>3367</v>
      </c>
    </row>
    <row r="1423" spans="1:2">
      <c r="A1423" s="153" t="s">
        <v>3368</v>
      </c>
      <c r="B1423" s="153" t="s">
        <v>3369</v>
      </c>
    </row>
    <row r="1424" spans="1:2">
      <c r="A1424" s="153" t="s">
        <v>3370</v>
      </c>
      <c r="B1424" s="153" t="s">
        <v>3371</v>
      </c>
    </row>
    <row r="1425" spans="1:2">
      <c r="A1425" s="153" t="s">
        <v>3372</v>
      </c>
      <c r="B1425" s="153" t="s">
        <v>3373</v>
      </c>
    </row>
    <row r="1426" spans="1:2">
      <c r="A1426" s="153" t="s">
        <v>3374</v>
      </c>
      <c r="B1426" s="153" t="s">
        <v>3375</v>
      </c>
    </row>
    <row r="1427" spans="1:2">
      <c r="A1427" s="153" t="s">
        <v>3376</v>
      </c>
      <c r="B1427" s="153" t="s">
        <v>3377</v>
      </c>
    </row>
    <row r="1428" spans="1:2">
      <c r="A1428" s="153" t="s">
        <v>3378</v>
      </c>
      <c r="B1428" s="153" t="s">
        <v>3379</v>
      </c>
    </row>
    <row r="1429" spans="1:2">
      <c r="A1429" s="153" t="s">
        <v>3380</v>
      </c>
      <c r="B1429" s="153" t="s">
        <v>3381</v>
      </c>
    </row>
    <row r="1430" spans="1:2">
      <c r="A1430" s="153" t="s">
        <v>3382</v>
      </c>
      <c r="B1430" s="153" t="s">
        <v>3383</v>
      </c>
    </row>
    <row r="1431" spans="1:2">
      <c r="A1431" s="153" t="s">
        <v>3384</v>
      </c>
      <c r="B1431" s="153" t="s">
        <v>3385</v>
      </c>
    </row>
    <row r="1432" spans="1:2">
      <c r="A1432" s="153" t="s">
        <v>3386</v>
      </c>
      <c r="B1432" s="153" t="s">
        <v>3387</v>
      </c>
    </row>
    <row r="1433" spans="1:2">
      <c r="A1433" s="153" t="s">
        <v>3388</v>
      </c>
      <c r="B1433" s="153" t="s">
        <v>3389</v>
      </c>
    </row>
    <row r="1434" spans="1:2">
      <c r="A1434" s="153" t="s">
        <v>3390</v>
      </c>
      <c r="B1434" s="153" t="s">
        <v>3391</v>
      </c>
    </row>
    <row r="1435" spans="1:2">
      <c r="A1435" s="153" t="s">
        <v>3392</v>
      </c>
      <c r="B1435" s="153" t="s">
        <v>3393</v>
      </c>
    </row>
    <row r="1436" spans="1:2">
      <c r="A1436" s="153" t="s">
        <v>3394</v>
      </c>
      <c r="B1436" s="153" t="s">
        <v>3395</v>
      </c>
    </row>
    <row r="1437" spans="1:2">
      <c r="A1437" s="153" t="s">
        <v>3396</v>
      </c>
      <c r="B1437" s="153" t="s">
        <v>3397</v>
      </c>
    </row>
    <row r="1438" spans="1:2">
      <c r="A1438" s="153" t="s">
        <v>3398</v>
      </c>
      <c r="B1438" s="153" t="s">
        <v>3399</v>
      </c>
    </row>
    <row r="1439" spans="1:2">
      <c r="A1439" s="153" t="s">
        <v>3400</v>
      </c>
      <c r="B1439" s="153" t="s">
        <v>3401</v>
      </c>
    </row>
    <row r="1440" spans="1:2">
      <c r="A1440" s="153" t="s">
        <v>3402</v>
      </c>
      <c r="B1440" s="153" t="s">
        <v>3403</v>
      </c>
    </row>
    <row r="1441" spans="1:2">
      <c r="A1441" s="153" t="s">
        <v>3404</v>
      </c>
      <c r="B1441" s="153" t="s">
        <v>3405</v>
      </c>
    </row>
    <row r="1442" spans="1:2">
      <c r="A1442" s="153" t="s">
        <v>3406</v>
      </c>
      <c r="B1442" s="153" t="s">
        <v>3407</v>
      </c>
    </row>
    <row r="1443" spans="1:2">
      <c r="A1443" s="153" t="s">
        <v>3408</v>
      </c>
      <c r="B1443" s="153" t="s">
        <v>3409</v>
      </c>
    </row>
    <row r="1444" spans="1:2">
      <c r="A1444" s="153" t="s">
        <v>3410</v>
      </c>
      <c r="B1444" s="153" t="s">
        <v>3411</v>
      </c>
    </row>
    <row r="1445" spans="1:2">
      <c r="A1445" s="153" t="s">
        <v>3412</v>
      </c>
      <c r="B1445" s="153" t="s">
        <v>3413</v>
      </c>
    </row>
    <row r="1446" spans="1:2">
      <c r="A1446" s="153" t="s">
        <v>3414</v>
      </c>
      <c r="B1446" s="153" t="s">
        <v>3415</v>
      </c>
    </row>
    <row r="1447" spans="1:2">
      <c r="A1447" s="153" t="s">
        <v>3416</v>
      </c>
      <c r="B1447" s="153" t="s">
        <v>3417</v>
      </c>
    </row>
    <row r="1448" spans="1:2">
      <c r="A1448" s="153" t="s">
        <v>3418</v>
      </c>
      <c r="B1448" s="153" t="s">
        <v>3419</v>
      </c>
    </row>
    <row r="1449" spans="1:2">
      <c r="A1449" s="153" t="s">
        <v>3420</v>
      </c>
      <c r="B1449" s="153" t="s">
        <v>3421</v>
      </c>
    </row>
    <row r="1450" spans="1:2">
      <c r="A1450" s="153" t="s">
        <v>3422</v>
      </c>
      <c r="B1450" s="153" t="s">
        <v>3423</v>
      </c>
    </row>
    <row r="1451" spans="1:2">
      <c r="A1451" s="153" t="s">
        <v>3424</v>
      </c>
      <c r="B1451" s="153" t="s">
        <v>3425</v>
      </c>
    </row>
    <row r="1452" spans="1:2">
      <c r="A1452" s="153" t="s">
        <v>3426</v>
      </c>
      <c r="B1452" s="153" t="s">
        <v>3427</v>
      </c>
    </row>
    <row r="1453" spans="1:2">
      <c r="A1453" s="153" t="s">
        <v>3428</v>
      </c>
      <c r="B1453" s="153" t="s">
        <v>3429</v>
      </c>
    </row>
    <row r="1454" spans="1:2">
      <c r="A1454" s="153" t="s">
        <v>3430</v>
      </c>
      <c r="B1454" s="153" t="s">
        <v>3431</v>
      </c>
    </row>
    <row r="1455" spans="1:2">
      <c r="A1455" s="153" t="s">
        <v>3432</v>
      </c>
      <c r="B1455" s="153" t="s">
        <v>3433</v>
      </c>
    </row>
    <row r="1456" spans="1:2">
      <c r="A1456" s="153" t="s">
        <v>3434</v>
      </c>
      <c r="B1456" s="153" t="s">
        <v>3435</v>
      </c>
    </row>
    <row r="1457" spans="1:2">
      <c r="A1457" s="153" t="s">
        <v>3436</v>
      </c>
      <c r="B1457" s="153" t="s">
        <v>3437</v>
      </c>
    </row>
    <row r="1458" spans="1:2">
      <c r="A1458" s="153" t="s">
        <v>3438</v>
      </c>
    </row>
    <row r="1459" spans="1:2">
      <c r="A1459" s="153" t="s">
        <v>3439</v>
      </c>
    </row>
    <row r="1460" spans="1:2">
      <c r="A1460" s="153" t="s">
        <v>3440</v>
      </c>
    </row>
    <row r="1461" spans="1:2">
      <c r="A1461" s="153" t="s">
        <v>3441</v>
      </c>
    </row>
    <row r="1462" spans="1:2">
      <c r="A1462" s="153" t="s">
        <v>3442</v>
      </c>
    </row>
    <row r="1463" spans="1:2">
      <c r="A1463" s="153" t="s">
        <v>3443</v>
      </c>
    </row>
    <row r="1464" spans="1:2">
      <c r="A1464" s="153" t="s">
        <v>3444</v>
      </c>
    </row>
    <row r="1465" spans="1:2">
      <c r="A1465" s="153" t="s">
        <v>3445</v>
      </c>
    </row>
    <row r="1466" spans="1:2">
      <c r="A1466" s="153" t="s">
        <v>3446</v>
      </c>
    </row>
    <row r="1467" spans="1:2">
      <c r="A1467" s="153" t="s">
        <v>3447</v>
      </c>
    </row>
    <row r="1468" spans="1:2">
      <c r="A1468" s="153" t="s">
        <v>3448</v>
      </c>
    </row>
    <row r="1469" spans="1:2">
      <c r="A1469" s="153" t="s">
        <v>3449</v>
      </c>
    </row>
    <row r="1470" spans="1:2">
      <c r="A1470" s="153" t="s">
        <v>3450</v>
      </c>
    </row>
    <row r="1471" spans="1:2">
      <c r="A1471" s="153" t="s">
        <v>3451</v>
      </c>
    </row>
    <row r="1472" spans="1:2">
      <c r="A1472" s="153" t="s">
        <v>3452</v>
      </c>
    </row>
    <row r="1473" spans="1:1">
      <c r="A1473" s="153" t="s">
        <v>3453</v>
      </c>
    </row>
    <row r="1474" spans="1:1">
      <c r="A1474" s="153" t="s">
        <v>3454</v>
      </c>
    </row>
    <row r="1475" spans="1:1">
      <c r="A1475" s="153" t="s">
        <v>3455</v>
      </c>
    </row>
    <row r="1476" spans="1:1">
      <c r="A1476" s="153" t="s">
        <v>3456</v>
      </c>
    </row>
    <row r="1477" spans="1:1">
      <c r="A1477" s="153" t="s">
        <v>3457</v>
      </c>
    </row>
    <row r="1478" spans="1:1">
      <c r="A1478" s="153" t="s">
        <v>3458</v>
      </c>
    </row>
    <row r="1479" spans="1:1">
      <c r="A1479" s="153" t="s">
        <v>3459</v>
      </c>
    </row>
    <row r="1480" spans="1:1">
      <c r="A1480" s="153" t="s">
        <v>3460</v>
      </c>
    </row>
    <row r="1481" spans="1:1">
      <c r="A1481" s="153" t="s">
        <v>3461</v>
      </c>
    </row>
    <row r="1482" spans="1:1">
      <c r="A1482" s="153" t="s">
        <v>3462</v>
      </c>
    </row>
    <row r="1483" spans="1:1">
      <c r="A1483" s="153" t="s">
        <v>3463</v>
      </c>
    </row>
    <row r="1484" spans="1:1">
      <c r="A1484" s="153" t="s">
        <v>3464</v>
      </c>
    </row>
    <row r="1485" spans="1:1">
      <c r="A1485" s="153" t="s">
        <v>3465</v>
      </c>
    </row>
    <row r="1486" spans="1:1">
      <c r="A1486" s="153" t="s">
        <v>3466</v>
      </c>
    </row>
    <row r="1487" spans="1:1">
      <c r="A1487" s="153" t="s">
        <v>3467</v>
      </c>
    </row>
    <row r="1488" spans="1:1">
      <c r="A1488" s="153" t="s">
        <v>3468</v>
      </c>
    </row>
    <row r="1489" spans="1:1">
      <c r="A1489" s="153" t="s">
        <v>3469</v>
      </c>
    </row>
    <row r="1490" spans="1:1">
      <c r="A1490" s="153" t="s">
        <v>3470</v>
      </c>
    </row>
    <row r="1491" spans="1:1">
      <c r="A1491" s="153" t="s">
        <v>3471</v>
      </c>
    </row>
    <row r="1492" spans="1:1">
      <c r="A1492" s="153" t="s">
        <v>3472</v>
      </c>
    </row>
    <row r="1493" spans="1:1">
      <c r="A1493" s="153" t="s">
        <v>3473</v>
      </c>
    </row>
    <row r="1494" spans="1:1">
      <c r="A1494" s="153" t="s">
        <v>3474</v>
      </c>
    </row>
    <row r="1495" spans="1:1">
      <c r="A1495" s="153" t="s">
        <v>3475</v>
      </c>
    </row>
    <row r="1496" spans="1:1">
      <c r="A1496" s="153" t="s">
        <v>3476</v>
      </c>
    </row>
    <row r="1497" spans="1:1">
      <c r="A1497" s="153" t="s">
        <v>3477</v>
      </c>
    </row>
    <row r="1498" spans="1:1">
      <c r="A1498" s="153" t="s">
        <v>3478</v>
      </c>
    </row>
    <row r="1499" spans="1:1">
      <c r="A1499" s="153" t="s">
        <v>3479</v>
      </c>
    </row>
    <row r="1500" spans="1:1">
      <c r="A1500" s="153" t="s">
        <v>3480</v>
      </c>
    </row>
    <row r="1501" spans="1:1">
      <c r="A1501" s="153" t="s">
        <v>3481</v>
      </c>
    </row>
    <row r="1502" spans="1:1">
      <c r="A1502" s="153" t="s">
        <v>3482</v>
      </c>
    </row>
    <row r="1503" spans="1:1">
      <c r="A1503" s="153" t="s">
        <v>3483</v>
      </c>
    </row>
    <row r="1504" spans="1:1">
      <c r="A1504" s="153" t="s">
        <v>3484</v>
      </c>
    </row>
    <row r="1505" spans="1:1">
      <c r="A1505" s="153" t="s">
        <v>3485</v>
      </c>
    </row>
    <row r="1506" spans="1:1">
      <c r="A1506" s="153" t="s">
        <v>3486</v>
      </c>
    </row>
    <row r="1507" spans="1:1">
      <c r="A1507" s="153" t="s">
        <v>3487</v>
      </c>
    </row>
    <row r="1508" spans="1:1">
      <c r="A1508" s="153" t="s">
        <v>3488</v>
      </c>
    </row>
    <row r="1509" spans="1:1">
      <c r="A1509" s="153" t="s">
        <v>3489</v>
      </c>
    </row>
    <row r="1510" spans="1:1">
      <c r="A1510" s="153" t="s">
        <v>3490</v>
      </c>
    </row>
    <row r="1511" spans="1:1">
      <c r="A1511" s="153" t="s">
        <v>3491</v>
      </c>
    </row>
    <row r="1512" spans="1:1">
      <c r="A1512" s="153" t="s">
        <v>3492</v>
      </c>
    </row>
    <row r="1513" spans="1:1">
      <c r="A1513" s="153" t="s">
        <v>3493</v>
      </c>
    </row>
    <row r="1514" spans="1:1">
      <c r="A1514" s="153" t="s">
        <v>3494</v>
      </c>
    </row>
    <row r="1515" spans="1:1">
      <c r="A1515" s="153" t="s">
        <v>3495</v>
      </c>
    </row>
    <row r="1516" spans="1:1">
      <c r="A1516" s="153" t="s">
        <v>3496</v>
      </c>
    </row>
    <row r="1517" spans="1:1">
      <c r="A1517" s="153" t="s">
        <v>3497</v>
      </c>
    </row>
    <row r="1518" spans="1:1">
      <c r="A1518" s="153" t="s">
        <v>3498</v>
      </c>
    </row>
    <row r="1519" spans="1:1">
      <c r="A1519" s="153" t="s">
        <v>3499</v>
      </c>
    </row>
    <row r="1520" spans="1:1">
      <c r="A1520" s="153" t="s">
        <v>3500</v>
      </c>
    </row>
    <row r="1521" spans="1:1">
      <c r="A1521" s="153" t="s">
        <v>3501</v>
      </c>
    </row>
    <row r="1522" spans="1:1">
      <c r="A1522" s="153" t="s">
        <v>3502</v>
      </c>
    </row>
    <row r="1523" spans="1:1">
      <c r="A1523" s="153" t="s">
        <v>3503</v>
      </c>
    </row>
    <row r="1524" spans="1:1">
      <c r="A1524" s="153" t="s">
        <v>3504</v>
      </c>
    </row>
    <row r="1525" spans="1:1">
      <c r="A1525" s="153" t="s">
        <v>3505</v>
      </c>
    </row>
    <row r="1526" spans="1:1">
      <c r="A1526" s="153" t="s">
        <v>3506</v>
      </c>
    </row>
    <row r="1527" spans="1:1">
      <c r="A1527" s="153" t="s">
        <v>3507</v>
      </c>
    </row>
    <row r="1528" spans="1:1">
      <c r="A1528" s="153" t="s">
        <v>3508</v>
      </c>
    </row>
    <row r="1529" spans="1:1">
      <c r="A1529" s="153" t="s">
        <v>3509</v>
      </c>
    </row>
    <row r="1530" spans="1:1">
      <c r="A1530" s="153" t="s">
        <v>3510</v>
      </c>
    </row>
    <row r="1531" spans="1:1">
      <c r="A1531" s="153" t="s">
        <v>3511</v>
      </c>
    </row>
    <row r="1532" spans="1:1">
      <c r="A1532" s="153" t="s">
        <v>3512</v>
      </c>
    </row>
    <row r="1533" spans="1:1">
      <c r="A1533" s="153" t="s">
        <v>3513</v>
      </c>
    </row>
    <row r="1534" spans="1:1">
      <c r="A1534" s="153" t="s">
        <v>3514</v>
      </c>
    </row>
    <row r="1535" spans="1:1">
      <c r="A1535" s="153" t="s">
        <v>3515</v>
      </c>
    </row>
    <row r="1536" spans="1:1">
      <c r="A1536" s="153" t="s">
        <v>3516</v>
      </c>
    </row>
    <row r="1537" spans="1:1">
      <c r="A1537" s="153" t="s">
        <v>3517</v>
      </c>
    </row>
    <row r="1538" spans="1:1">
      <c r="A1538" s="153" t="s">
        <v>3518</v>
      </c>
    </row>
    <row r="1539" spans="1:1">
      <c r="A1539" s="153" t="s">
        <v>3519</v>
      </c>
    </row>
    <row r="1540" spans="1:1">
      <c r="A1540" s="153" t="s">
        <v>3520</v>
      </c>
    </row>
    <row r="1541" spans="1:1">
      <c r="A1541" s="153" t="s">
        <v>3521</v>
      </c>
    </row>
    <row r="1542" spans="1:1">
      <c r="A1542" s="153" t="s">
        <v>3522</v>
      </c>
    </row>
    <row r="1543" spans="1:1">
      <c r="A1543" s="153" t="s">
        <v>3523</v>
      </c>
    </row>
    <row r="1544" spans="1:1">
      <c r="A1544" s="153" t="s">
        <v>3524</v>
      </c>
    </row>
    <row r="1545" spans="1:1">
      <c r="A1545" s="153" t="s">
        <v>3525</v>
      </c>
    </row>
    <row r="1546" spans="1:1">
      <c r="A1546" s="153" t="s">
        <v>3526</v>
      </c>
    </row>
    <row r="1547" spans="1:1">
      <c r="A1547" s="153" t="s">
        <v>3527</v>
      </c>
    </row>
    <row r="1548" spans="1:1">
      <c r="A1548" s="153" t="s">
        <v>3528</v>
      </c>
    </row>
    <row r="1549" spans="1:1">
      <c r="A1549" s="153" t="s">
        <v>3529</v>
      </c>
    </row>
    <row r="1550" spans="1:1">
      <c r="A1550" s="153" t="s">
        <v>3530</v>
      </c>
    </row>
    <row r="1551" spans="1:1">
      <c r="A1551" s="153" t="s">
        <v>3531</v>
      </c>
    </row>
    <row r="1552" spans="1:1">
      <c r="A1552" s="153" t="s">
        <v>3532</v>
      </c>
    </row>
    <row r="1553" spans="1:1">
      <c r="A1553" s="153" t="s">
        <v>3533</v>
      </c>
    </row>
    <row r="1554" spans="1:1">
      <c r="A1554" s="153" t="s">
        <v>3534</v>
      </c>
    </row>
    <row r="1555" spans="1:1">
      <c r="A1555" s="153" t="s">
        <v>3535</v>
      </c>
    </row>
    <row r="1556" spans="1:1">
      <c r="A1556" s="153" t="s">
        <v>3536</v>
      </c>
    </row>
    <row r="1557" spans="1:1">
      <c r="A1557" s="153" t="s">
        <v>3537</v>
      </c>
    </row>
    <row r="1558" spans="1:1">
      <c r="A1558" s="153" t="s">
        <v>3538</v>
      </c>
    </row>
    <row r="1559" spans="1:1">
      <c r="A1559" s="153" t="s">
        <v>3539</v>
      </c>
    </row>
    <row r="1560" spans="1:1">
      <c r="A1560" s="153" t="s">
        <v>3540</v>
      </c>
    </row>
    <row r="1561" spans="1:1">
      <c r="A1561" s="153" t="s">
        <v>3541</v>
      </c>
    </row>
    <row r="1562" spans="1:1">
      <c r="A1562" s="153" t="s">
        <v>3542</v>
      </c>
    </row>
    <row r="1563" spans="1:1">
      <c r="A1563" s="153" t="s">
        <v>3543</v>
      </c>
    </row>
    <row r="1564" spans="1:1">
      <c r="A1564" s="153" t="s">
        <v>3544</v>
      </c>
    </row>
    <row r="1565" spans="1:1">
      <c r="A1565" s="153" t="s">
        <v>3545</v>
      </c>
    </row>
    <row r="1566" spans="1:1">
      <c r="A1566" s="153" t="s">
        <v>3546</v>
      </c>
    </row>
    <row r="1567" spans="1:1">
      <c r="A1567" s="153" t="s">
        <v>3547</v>
      </c>
    </row>
    <row r="1568" spans="1:1">
      <c r="A1568" s="153" t="s">
        <v>3548</v>
      </c>
    </row>
    <row r="1569" spans="1:1">
      <c r="A1569" s="153" t="s">
        <v>3549</v>
      </c>
    </row>
    <row r="1570" spans="1:1">
      <c r="A1570" s="153" t="s">
        <v>3550</v>
      </c>
    </row>
    <row r="1571" spans="1:1">
      <c r="A1571" s="153" t="s">
        <v>3551</v>
      </c>
    </row>
    <row r="1572" spans="1:1">
      <c r="A1572" s="153" t="s">
        <v>3552</v>
      </c>
    </row>
    <row r="1573" spans="1:1">
      <c r="A1573" s="153" t="s">
        <v>3553</v>
      </c>
    </row>
    <row r="1574" spans="1:1">
      <c r="A1574" s="153" t="s">
        <v>3554</v>
      </c>
    </row>
    <row r="1575" spans="1:1">
      <c r="A1575" s="153" t="s">
        <v>3555</v>
      </c>
    </row>
    <row r="1576" spans="1:1">
      <c r="A1576" s="153" t="s">
        <v>3556</v>
      </c>
    </row>
    <row r="1577" spans="1:1">
      <c r="A1577" s="153" t="s">
        <v>3557</v>
      </c>
    </row>
    <row r="1578" spans="1:1">
      <c r="A1578" s="153" t="s">
        <v>3558</v>
      </c>
    </row>
    <row r="1579" spans="1:1">
      <c r="A1579" s="153" t="s">
        <v>3559</v>
      </c>
    </row>
    <row r="1580" spans="1:1">
      <c r="A1580" s="153" t="s">
        <v>3560</v>
      </c>
    </row>
    <row r="1581" spans="1:1">
      <c r="A1581" s="153" t="s">
        <v>3561</v>
      </c>
    </row>
    <row r="1582" spans="1:1">
      <c r="A1582" s="153" t="s">
        <v>3562</v>
      </c>
    </row>
    <row r="1583" spans="1:1">
      <c r="A1583" s="153" t="s">
        <v>3563</v>
      </c>
    </row>
    <row r="1584" spans="1:1">
      <c r="A1584" s="153" t="s">
        <v>3564</v>
      </c>
    </row>
    <row r="1585" spans="1:1">
      <c r="A1585" s="153" t="s">
        <v>3565</v>
      </c>
    </row>
    <row r="1586" spans="1:1">
      <c r="A1586" s="153" t="s">
        <v>3566</v>
      </c>
    </row>
    <row r="1587" spans="1:1">
      <c r="A1587" s="153" t="s">
        <v>3567</v>
      </c>
    </row>
    <row r="1588" spans="1:1">
      <c r="A1588" s="153" t="s">
        <v>3568</v>
      </c>
    </row>
    <row r="1589" spans="1:1">
      <c r="A1589" s="153" t="s">
        <v>3569</v>
      </c>
    </row>
    <row r="1590" spans="1:1">
      <c r="A1590" s="153" t="s">
        <v>3570</v>
      </c>
    </row>
    <row r="1591" spans="1:1">
      <c r="A1591" s="153" t="s">
        <v>3571</v>
      </c>
    </row>
    <row r="1592" spans="1:1">
      <c r="A1592" s="153" t="s">
        <v>3572</v>
      </c>
    </row>
    <row r="1593" spans="1:1">
      <c r="A1593" s="153" t="s">
        <v>3573</v>
      </c>
    </row>
    <row r="1594" spans="1:1">
      <c r="A1594" s="153" t="s">
        <v>3574</v>
      </c>
    </row>
    <row r="1595" spans="1:1">
      <c r="A1595" s="153" t="s">
        <v>3575</v>
      </c>
    </row>
    <row r="1596" spans="1:1">
      <c r="A1596" s="153" t="s">
        <v>3576</v>
      </c>
    </row>
    <row r="1597" spans="1:1">
      <c r="A1597" s="153" t="s">
        <v>3577</v>
      </c>
    </row>
    <row r="1598" spans="1:1">
      <c r="A1598" s="153" t="s">
        <v>3578</v>
      </c>
    </row>
    <row r="1599" spans="1:1">
      <c r="A1599" s="153" t="s">
        <v>3579</v>
      </c>
    </row>
    <row r="1600" spans="1:1">
      <c r="A1600" s="153" t="s">
        <v>3580</v>
      </c>
    </row>
    <row r="1601" spans="1:1">
      <c r="A1601" s="153" t="s">
        <v>3581</v>
      </c>
    </row>
    <row r="1602" spans="1:1">
      <c r="A1602" s="153" t="s">
        <v>3582</v>
      </c>
    </row>
    <row r="1603" spans="1:1">
      <c r="A1603" s="153" t="s">
        <v>3583</v>
      </c>
    </row>
    <row r="1604" spans="1:1">
      <c r="A1604" s="153" t="s">
        <v>3584</v>
      </c>
    </row>
    <row r="1605" spans="1:1">
      <c r="A1605" s="153" t="s">
        <v>3585</v>
      </c>
    </row>
    <row r="1606" spans="1:1">
      <c r="A1606" s="153" t="s">
        <v>3586</v>
      </c>
    </row>
    <row r="1607" spans="1:1">
      <c r="A1607" s="153" t="s">
        <v>3587</v>
      </c>
    </row>
    <row r="1608" spans="1:1">
      <c r="A1608" s="153" t="s">
        <v>3588</v>
      </c>
    </row>
    <row r="1609" spans="1:1">
      <c r="A1609" s="153" t="s">
        <v>3589</v>
      </c>
    </row>
    <row r="1610" spans="1:1">
      <c r="A1610" s="153" t="s">
        <v>3590</v>
      </c>
    </row>
    <row r="1611" spans="1:1">
      <c r="A1611" s="153" t="s">
        <v>3591</v>
      </c>
    </row>
    <row r="1612" spans="1:1">
      <c r="A1612" s="153" t="s">
        <v>3592</v>
      </c>
    </row>
    <row r="1613" spans="1:1">
      <c r="A1613" s="153" t="s">
        <v>3593</v>
      </c>
    </row>
    <row r="1614" spans="1:1">
      <c r="A1614" s="153" t="s">
        <v>3594</v>
      </c>
    </row>
    <row r="1615" spans="1:1">
      <c r="A1615" s="153" t="s">
        <v>3595</v>
      </c>
    </row>
    <row r="1616" spans="1:1">
      <c r="A1616" s="153" t="s">
        <v>3596</v>
      </c>
    </row>
    <row r="1617" spans="1:1">
      <c r="A1617" s="153" t="s">
        <v>3597</v>
      </c>
    </row>
    <row r="1618" spans="1:1">
      <c r="A1618" s="153" t="s">
        <v>3598</v>
      </c>
    </row>
    <row r="1619" spans="1:1">
      <c r="A1619" s="153" t="s">
        <v>3599</v>
      </c>
    </row>
    <row r="1620" spans="1:1">
      <c r="A1620" s="153" t="s">
        <v>3600</v>
      </c>
    </row>
    <row r="1621" spans="1:1">
      <c r="A1621" s="153" t="s">
        <v>3601</v>
      </c>
    </row>
    <row r="1622" spans="1:1">
      <c r="A1622" s="153" t="s">
        <v>3602</v>
      </c>
    </row>
    <row r="1623" spans="1:1">
      <c r="A1623" s="153" t="s">
        <v>3603</v>
      </c>
    </row>
    <row r="1624" spans="1:1">
      <c r="A1624" s="153" t="s">
        <v>3604</v>
      </c>
    </row>
    <row r="1625" spans="1:1">
      <c r="A1625" s="153" t="s">
        <v>3605</v>
      </c>
    </row>
    <row r="1626" spans="1:1">
      <c r="A1626" s="153" t="s">
        <v>3606</v>
      </c>
    </row>
    <row r="1627" spans="1:1">
      <c r="A1627" s="153" t="s">
        <v>3607</v>
      </c>
    </row>
    <row r="1628" spans="1:1">
      <c r="A1628" s="153" t="s">
        <v>3608</v>
      </c>
    </row>
    <row r="1629" spans="1:1">
      <c r="A1629" s="153" t="s">
        <v>3609</v>
      </c>
    </row>
    <row r="1630" spans="1:1">
      <c r="A1630" s="153" t="s">
        <v>3610</v>
      </c>
    </row>
    <row r="1631" spans="1:1">
      <c r="A1631" s="153" t="s">
        <v>3611</v>
      </c>
    </row>
    <row r="1632" spans="1:1">
      <c r="A1632" s="153" t="s">
        <v>3612</v>
      </c>
    </row>
    <row r="1633" spans="1:1">
      <c r="A1633" s="153" t="s">
        <v>3613</v>
      </c>
    </row>
    <row r="1634" spans="1:1">
      <c r="A1634" s="153" t="s">
        <v>3614</v>
      </c>
    </row>
    <row r="1635" spans="1:1">
      <c r="A1635" s="153" t="s">
        <v>3615</v>
      </c>
    </row>
    <row r="1636" spans="1:1">
      <c r="A1636" s="153" t="s">
        <v>3616</v>
      </c>
    </row>
    <row r="1637" spans="1:1">
      <c r="A1637" s="153" t="s">
        <v>3617</v>
      </c>
    </row>
    <row r="1638" spans="1:1">
      <c r="A1638" s="153" t="s">
        <v>3618</v>
      </c>
    </row>
    <row r="1639" spans="1:1">
      <c r="A1639" s="153" t="s">
        <v>3619</v>
      </c>
    </row>
    <row r="1640" spans="1:1">
      <c r="A1640" s="153" t="s">
        <v>3620</v>
      </c>
    </row>
    <row r="1641" spans="1:1">
      <c r="A1641" s="153" t="s">
        <v>3621</v>
      </c>
    </row>
    <row r="1642" spans="1:1">
      <c r="A1642" s="153" t="s">
        <v>3622</v>
      </c>
    </row>
    <row r="1643" spans="1:1">
      <c r="A1643" s="153" t="s">
        <v>3623</v>
      </c>
    </row>
    <row r="1644" spans="1:1">
      <c r="A1644" s="153" t="s">
        <v>3624</v>
      </c>
    </row>
    <row r="1645" spans="1:1">
      <c r="A1645" s="153" t="s">
        <v>3625</v>
      </c>
    </row>
    <row r="1646" spans="1:1">
      <c r="A1646" s="153" t="s">
        <v>3626</v>
      </c>
    </row>
    <row r="1647" spans="1:1">
      <c r="A1647" s="153" t="s">
        <v>3627</v>
      </c>
    </row>
    <row r="1648" spans="1:1">
      <c r="A1648" s="153" t="s">
        <v>3628</v>
      </c>
    </row>
    <row r="1649" spans="1:1">
      <c r="A1649" s="153" t="s">
        <v>3629</v>
      </c>
    </row>
    <row r="1650" spans="1:1">
      <c r="A1650" s="153" t="s">
        <v>3630</v>
      </c>
    </row>
    <row r="1651" spans="1:1">
      <c r="A1651" s="153" t="s">
        <v>3631</v>
      </c>
    </row>
    <row r="1652" spans="1:1">
      <c r="A1652" s="153" t="s">
        <v>3632</v>
      </c>
    </row>
    <row r="1653" spans="1:1">
      <c r="A1653" s="153" t="s">
        <v>3633</v>
      </c>
    </row>
    <row r="1654" spans="1:1">
      <c r="A1654" s="153" t="s">
        <v>3634</v>
      </c>
    </row>
    <row r="1655" spans="1:1">
      <c r="A1655" s="153" t="s">
        <v>3635</v>
      </c>
    </row>
    <row r="1656" spans="1:1">
      <c r="A1656" s="153" t="s">
        <v>3636</v>
      </c>
    </row>
    <row r="1657" spans="1:1">
      <c r="A1657" s="153" t="s">
        <v>3637</v>
      </c>
    </row>
    <row r="1658" spans="1:1">
      <c r="A1658" s="153" t="s">
        <v>3638</v>
      </c>
    </row>
    <row r="1659" spans="1:1">
      <c r="A1659" s="153" t="s">
        <v>3639</v>
      </c>
    </row>
    <row r="1660" spans="1:1">
      <c r="A1660" s="153" t="s">
        <v>3640</v>
      </c>
    </row>
    <row r="1661" spans="1:1">
      <c r="A1661" s="153" t="s">
        <v>3641</v>
      </c>
    </row>
    <row r="1662" spans="1:1">
      <c r="A1662" s="153" t="s">
        <v>3642</v>
      </c>
    </row>
    <row r="1663" spans="1:1">
      <c r="A1663" s="153" t="s">
        <v>3643</v>
      </c>
    </row>
    <row r="1664" spans="1:1">
      <c r="A1664" s="153" t="s">
        <v>3644</v>
      </c>
    </row>
    <row r="1665" spans="1:1">
      <c r="A1665" s="153" t="s">
        <v>3645</v>
      </c>
    </row>
    <row r="1666" spans="1:1">
      <c r="A1666" s="153" t="s">
        <v>3646</v>
      </c>
    </row>
    <row r="1667" spans="1:1">
      <c r="A1667" s="153" t="s">
        <v>3647</v>
      </c>
    </row>
    <row r="1668" spans="1:1">
      <c r="A1668" s="153" t="s">
        <v>3648</v>
      </c>
    </row>
    <row r="1669" spans="1:1">
      <c r="A1669" s="153" t="s">
        <v>3649</v>
      </c>
    </row>
    <row r="1670" spans="1:1">
      <c r="A1670" s="153" t="s">
        <v>3650</v>
      </c>
    </row>
    <row r="1671" spans="1:1">
      <c r="A1671" s="153" t="s">
        <v>3651</v>
      </c>
    </row>
    <row r="1672" spans="1:1">
      <c r="A1672" s="153" t="s">
        <v>3652</v>
      </c>
    </row>
    <row r="1673" spans="1:1">
      <c r="A1673" s="153" t="s">
        <v>3653</v>
      </c>
    </row>
    <row r="1674" spans="1:1">
      <c r="A1674" s="153" t="s">
        <v>3654</v>
      </c>
    </row>
    <row r="1675" spans="1:1">
      <c r="A1675" s="153" t="s">
        <v>3655</v>
      </c>
    </row>
    <row r="1676" spans="1:1">
      <c r="A1676" s="153" t="s">
        <v>3656</v>
      </c>
    </row>
    <row r="1677" spans="1:1">
      <c r="A1677" s="153" t="s">
        <v>3657</v>
      </c>
    </row>
    <row r="1678" spans="1:1">
      <c r="A1678" s="153" t="s">
        <v>3658</v>
      </c>
    </row>
    <row r="1679" spans="1:1">
      <c r="A1679" s="153" t="s">
        <v>3659</v>
      </c>
    </row>
    <row r="1680" spans="1:1">
      <c r="A1680" s="153" t="s">
        <v>3660</v>
      </c>
    </row>
    <row r="1681" spans="1:1">
      <c r="A1681" s="153" t="s">
        <v>3661</v>
      </c>
    </row>
    <row r="1682" spans="1:1">
      <c r="A1682" s="153" t="s">
        <v>3662</v>
      </c>
    </row>
    <row r="1683" spans="1:1">
      <c r="A1683" s="153" t="s">
        <v>3663</v>
      </c>
    </row>
    <row r="1684" spans="1:1">
      <c r="A1684" s="153" t="s">
        <v>3664</v>
      </c>
    </row>
    <row r="1685" spans="1:1">
      <c r="A1685" s="153" t="s">
        <v>3665</v>
      </c>
    </row>
    <row r="1686" spans="1:1">
      <c r="A1686" s="153" t="s">
        <v>3666</v>
      </c>
    </row>
    <row r="1687" spans="1:1">
      <c r="A1687" s="153" t="s">
        <v>3667</v>
      </c>
    </row>
    <row r="1688" spans="1:1">
      <c r="A1688" s="153" t="s">
        <v>3668</v>
      </c>
    </row>
    <row r="1689" spans="1:1">
      <c r="A1689" s="153" t="s">
        <v>3669</v>
      </c>
    </row>
    <row r="1690" spans="1:1">
      <c r="A1690" s="153" t="s">
        <v>3670</v>
      </c>
    </row>
    <row r="1691" spans="1:1">
      <c r="A1691" s="153" t="s">
        <v>3671</v>
      </c>
    </row>
    <row r="1692" spans="1:1">
      <c r="A1692" s="153" t="s">
        <v>3672</v>
      </c>
    </row>
    <row r="1693" spans="1:1">
      <c r="A1693" s="153" t="s">
        <v>3673</v>
      </c>
    </row>
    <row r="1694" spans="1:1">
      <c r="A1694" s="153" t="s">
        <v>3674</v>
      </c>
    </row>
    <row r="1695" spans="1:1">
      <c r="A1695" s="153" t="s">
        <v>3675</v>
      </c>
    </row>
    <row r="1696" spans="1:1">
      <c r="A1696" s="153" t="s">
        <v>3676</v>
      </c>
    </row>
    <row r="1697" spans="1:1">
      <c r="A1697" s="153" t="s">
        <v>3677</v>
      </c>
    </row>
    <row r="1698" spans="1:1">
      <c r="A1698" s="153" t="s">
        <v>3678</v>
      </c>
    </row>
    <row r="1699" spans="1:1">
      <c r="A1699" s="153" t="s">
        <v>3679</v>
      </c>
    </row>
    <row r="1700" spans="1:1">
      <c r="A1700" s="153" t="s">
        <v>3680</v>
      </c>
    </row>
    <row r="1701" spans="1:1">
      <c r="A1701" s="153" t="s">
        <v>3681</v>
      </c>
    </row>
    <row r="1702" spans="1:1">
      <c r="A1702" s="153" t="s">
        <v>3682</v>
      </c>
    </row>
    <row r="1703" spans="1:1">
      <c r="A1703" s="153" t="s">
        <v>3683</v>
      </c>
    </row>
    <row r="1704" spans="1:1">
      <c r="A1704" s="153" t="s">
        <v>3684</v>
      </c>
    </row>
    <row r="1705" spans="1:1">
      <c r="A1705" s="153" t="s">
        <v>3685</v>
      </c>
    </row>
    <row r="1706" spans="1:1">
      <c r="A1706" s="153" t="s">
        <v>3686</v>
      </c>
    </row>
    <row r="1707" spans="1:1">
      <c r="A1707" s="153" t="s">
        <v>3687</v>
      </c>
    </row>
    <row r="1708" spans="1:1">
      <c r="A1708" s="153" t="s">
        <v>3688</v>
      </c>
    </row>
    <row r="1709" spans="1:1">
      <c r="A1709" s="153" t="s">
        <v>3689</v>
      </c>
    </row>
    <row r="1710" spans="1:1">
      <c r="A1710" s="153" t="s">
        <v>3690</v>
      </c>
    </row>
    <row r="1711" spans="1:1">
      <c r="A1711" s="153" t="s">
        <v>3691</v>
      </c>
    </row>
    <row r="1712" spans="1:1">
      <c r="A1712" s="153" t="s">
        <v>3692</v>
      </c>
    </row>
    <row r="1713" spans="1:1">
      <c r="A1713" s="153" t="s">
        <v>3693</v>
      </c>
    </row>
    <row r="1714" spans="1:1">
      <c r="A1714" s="153" t="s">
        <v>3694</v>
      </c>
    </row>
    <row r="1715" spans="1:1">
      <c r="A1715" s="153" t="s">
        <v>3695</v>
      </c>
    </row>
    <row r="1716" spans="1:1">
      <c r="A1716" s="153" t="s">
        <v>3696</v>
      </c>
    </row>
    <row r="1717" spans="1:1">
      <c r="A1717" s="153" t="s">
        <v>3697</v>
      </c>
    </row>
    <row r="1718" spans="1:1">
      <c r="A1718" s="153" t="s">
        <v>3698</v>
      </c>
    </row>
    <row r="1719" spans="1:1">
      <c r="A1719" s="153" t="s">
        <v>3699</v>
      </c>
    </row>
    <row r="1720" spans="1:1">
      <c r="A1720" s="153" t="s">
        <v>3700</v>
      </c>
    </row>
    <row r="1721" spans="1:1">
      <c r="A1721" s="153" t="s">
        <v>3701</v>
      </c>
    </row>
    <row r="1722" spans="1:1">
      <c r="A1722" s="153" t="s">
        <v>3702</v>
      </c>
    </row>
    <row r="1723" spans="1:1">
      <c r="A1723" s="153" t="s">
        <v>3703</v>
      </c>
    </row>
    <row r="1724" spans="1:1">
      <c r="A1724" s="153" t="s">
        <v>3704</v>
      </c>
    </row>
    <row r="1725" spans="1:1">
      <c r="A1725" s="153" t="s">
        <v>3705</v>
      </c>
    </row>
    <row r="1726" spans="1:1">
      <c r="A1726" s="153" t="s">
        <v>3706</v>
      </c>
    </row>
    <row r="1727" spans="1:1">
      <c r="A1727" s="153" t="s">
        <v>3707</v>
      </c>
    </row>
    <row r="1728" spans="1:1">
      <c r="A1728" s="153" t="s">
        <v>3708</v>
      </c>
    </row>
    <row r="1729" spans="1:1">
      <c r="A1729" s="153" t="s">
        <v>3709</v>
      </c>
    </row>
    <row r="1730" spans="1:1">
      <c r="A1730" s="153" t="s">
        <v>3710</v>
      </c>
    </row>
    <row r="1731" spans="1:1">
      <c r="A1731" s="153" t="s">
        <v>3711</v>
      </c>
    </row>
    <row r="1732" spans="1:1">
      <c r="A1732" s="153" t="s">
        <v>3712</v>
      </c>
    </row>
    <row r="1733" spans="1:1">
      <c r="A1733" s="153" t="s">
        <v>3713</v>
      </c>
    </row>
    <row r="1734" spans="1:1">
      <c r="A1734" s="153" t="s">
        <v>3714</v>
      </c>
    </row>
    <row r="1735" spans="1:1">
      <c r="A1735" s="153" t="s">
        <v>3715</v>
      </c>
    </row>
    <row r="1736" spans="1:1">
      <c r="A1736" s="153" t="s">
        <v>3716</v>
      </c>
    </row>
    <row r="1737" spans="1:1">
      <c r="A1737" s="153" t="s">
        <v>3717</v>
      </c>
    </row>
    <row r="1738" spans="1:1">
      <c r="A1738" s="153" t="s">
        <v>3718</v>
      </c>
    </row>
    <row r="1739" spans="1:1">
      <c r="A1739" s="153" t="s">
        <v>3719</v>
      </c>
    </row>
    <row r="1740" spans="1:1">
      <c r="A1740" s="153" t="s">
        <v>3720</v>
      </c>
    </row>
    <row r="1741" spans="1:1">
      <c r="A1741" s="153" t="s">
        <v>3721</v>
      </c>
    </row>
    <row r="1742" spans="1:1">
      <c r="A1742" s="153" t="s">
        <v>3722</v>
      </c>
    </row>
    <row r="1743" spans="1:1">
      <c r="A1743" s="153" t="s">
        <v>3723</v>
      </c>
    </row>
    <row r="1744" spans="1:1">
      <c r="A1744" s="153" t="s">
        <v>3724</v>
      </c>
    </row>
    <row r="1745" spans="1:1">
      <c r="A1745" s="153" t="s">
        <v>3725</v>
      </c>
    </row>
    <row r="1746" spans="1:1">
      <c r="A1746" s="153" t="s">
        <v>3726</v>
      </c>
    </row>
    <row r="1747" spans="1:1">
      <c r="A1747" s="153" t="s">
        <v>3727</v>
      </c>
    </row>
    <row r="1748" spans="1:1">
      <c r="A1748" s="153" t="s">
        <v>3728</v>
      </c>
    </row>
    <row r="1749" spans="1:1">
      <c r="A1749" s="153" t="s">
        <v>3729</v>
      </c>
    </row>
    <row r="1750" spans="1:1">
      <c r="A1750" s="153" t="s">
        <v>3730</v>
      </c>
    </row>
    <row r="1751" spans="1:1">
      <c r="A1751" s="153" t="s">
        <v>3731</v>
      </c>
    </row>
    <row r="1752" spans="1:1">
      <c r="A1752" s="153" t="s">
        <v>3732</v>
      </c>
    </row>
    <row r="1753" spans="1:1">
      <c r="A1753" s="153" t="s">
        <v>3733</v>
      </c>
    </row>
    <row r="1754" spans="1:1">
      <c r="A1754" s="153" t="s">
        <v>3734</v>
      </c>
    </row>
    <row r="1755" spans="1:1">
      <c r="A1755" s="153" t="s">
        <v>3735</v>
      </c>
    </row>
    <row r="1756" spans="1:1">
      <c r="A1756" s="153" t="s">
        <v>3736</v>
      </c>
    </row>
    <row r="1757" spans="1:1">
      <c r="A1757" s="153" t="s">
        <v>3737</v>
      </c>
    </row>
    <row r="1758" spans="1:1">
      <c r="A1758" s="153" t="s">
        <v>3738</v>
      </c>
    </row>
    <row r="1759" spans="1:1">
      <c r="A1759" s="153" t="s">
        <v>3739</v>
      </c>
    </row>
    <row r="1760" spans="1:1">
      <c r="A1760" s="153" t="s">
        <v>3740</v>
      </c>
    </row>
    <row r="1761" spans="1:1">
      <c r="A1761" s="153" t="s">
        <v>3741</v>
      </c>
    </row>
    <row r="1762" spans="1:1">
      <c r="A1762" s="153" t="s">
        <v>3742</v>
      </c>
    </row>
    <row r="1763" spans="1:1">
      <c r="A1763" s="153" t="s">
        <v>3743</v>
      </c>
    </row>
    <row r="1764" spans="1:1">
      <c r="A1764" s="153" t="s">
        <v>3744</v>
      </c>
    </row>
    <row r="1765" spans="1:1">
      <c r="A1765" s="153" t="s">
        <v>3745</v>
      </c>
    </row>
    <row r="1766" spans="1:1">
      <c r="A1766" s="153" t="s">
        <v>3746</v>
      </c>
    </row>
    <row r="1767" spans="1:1">
      <c r="A1767" s="153" t="s">
        <v>3747</v>
      </c>
    </row>
    <row r="1768" spans="1:1">
      <c r="A1768" s="153" t="s">
        <v>3748</v>
      </c>
    </row>
    <row r="1769" spans="1:1">
      <c r="A1769" s="153" t="s">
        <v>3749</v>
      </c>
    </row>
    <row r="1770" spans="1:1">
      <c r="A1770" s="153" t="s">
        <v>3750</v>
      </c>
    </row>
    <row r="1771" spans="1:1">
      <c r="A1771" s="153" t="s">
        <v>3751</v>
      </c>
    </row>
    <row r="1772" spans="1:1">
      <c r="A1772" s="153" t="s">
        <v>3752</v>
      </c>
    </row>
    <row r="1773" spans="1:1">
      <c r="A1773" s="153" t="s">
        <v>3753</v>
      </c>
    </row>
    <row r="1774" spans="1:1">
      <c r="A1774" s="153" t="s">
        <v>3754</v>
      </c>
    </row>
    <row r="1775" spans="1:1">
      <c r="A1775" s="153" t="s">
        <v>3755</v>
      </c>
    </row>
    <row r="1776" spans="1:1">
      <c r="A1776" s="153" t="s">
        <v>3756</v>
      </c>
    </row>
    <row r="1777" spans="1:1">
      <c r="A1777" s="153" t="s">
        <v>3757</v>
      </c>
    </row>
    <row r="1778" spans="1:1">
      <c r="A1778" s="153" t="s">
        <v>3758</v>
      </c>
    </row>
    <row r="1779" spans="1:1">
      <c r="A1779" s="153" t="s">
        <v>3759</v>
      </c>
    </row>
    <row r="1780" spans="1:1">
      <c r="A1780" s="153" t="s">
        <v>3760</v>
      </c>
    </row>
    <row r="1781" spans="1:1">
      <c r="A1781" s="153" t="s">
        <v>3761</v>
      </c>
    </row>
    <row r="1782" spans="1:1">
      <c r="A1782" s="153" t="s">
        <v>3762</v>
      </c>
    </row>
    <row r="1783" spans="1:1">
      <c r="A1783" s="153" t="s">
        <v>3763</v>
      </c>
    </row>
    <row r="1784" spans="1:1">
      <c r="A1784" s="153" t="s">
        <v>3764</v>
      </c>
    </row>
    <row r="1785" spans="1:1">
      <c r="A1785" s="153" t="s">
        <v>3765</v>
      </c>
    </row>
    <row r="1786" spans="1:1">
      <c r="A1786" s="153" t="s">
        <v>3766</v>
      </c>
    </row>
    <row r="1787" spans="1:1">
      <c r="A1787" s="153" t="s">
        <v>3767</v>
      </c>
    </row>
    <row r="1788" spans="1:1">
      <c r="A1788" s="153" t="s">
        <v>3768</v>
      </c>
    </row>
    <row r="1789" spans="1:1">
      <c r="A1789" s="153" t="s">
        <v>3769</v>
      </c>
    </row>
    <row r="1790" spans="1:1">
      <c r="A1790" s="153" t="s">
        <v>3770</v>
      </c>
    </row>
    <row r="1791" spans="1:1">
      <c r="A1791" s="153" t="s">
        <v>3771</v>
      </c>
    </row>
    <row r="1792" spans="1:1">
      <c r="A1792" s="153" t="s">
        <v>3772</v>
      </c>
    </row>
    <row r="1793" spans="1:1">
      <c r="A1793" s="153" t="s">
        <v>3773</v>
      </c>
    </row>
    <row r="1794" spans="1:1">
      <c r="A1794" s="153" t="s">
        <v>3774</v>
      </c>
    </row>
    <row r="1795" spans="1:1">
      <c r="A1795" s="153" t="s">
        <v>3775</v>
      </c>
    </row>
    <row r="1796" spans="1:1">
      <c r="A1796" s="153" t="s">
        <v>3776</v>
      </c>
    </row>
    <row r="1797" spans="1:1">
      <c r="A1797" s="153" t="s">
        <v>3777</v>
      </c>
    </row>
    <row r="1798" spans="1:1">
      <c r="A1798" s="153" t="s">
        <v>3778</v>
      </c>
    </row>
    <row r="1799" spans="1:1">
      <c r="A1799" s="153" t="s">
        <v>3779</v>
      </c>
    </row>
    <row r="1800" spans="1:1">
      <c r="A1800" s="153" t="s">
        <v>3780</v>
      </c>
    </row>
    <row r="1801" spans="1:1">
      <c r="A1801" s="153" t="s">
        <v>3781</v>
      </c>
    </row>
    <row r="1802" spans="1:1">
      <c r="A1802" s="153" t="s">
        <v>3782</v>
      </c>
    </row>
    <row r="1803" spans="1:1">
      <c r="A1803" s="153" t="s">
        <v>3783</v>
      </c>
    </row>
    <row r="1804" spans="1:1">
      <c r="A1804" s="153" t="s">
        <v>3784</v>
      </c>
    </row>
    <row r="1805" spans="1:1">
      <c r="A1805" s="153" t="s">
        <v>3785</v>
      </c>
    </row>
    <row r="1806" spans="1:1">
      <c r="A1806" s="153" t="s">
        <v>3786</v>
      </c>
    </row>
    <row r="1807" spans="1:1">
      <c r="A1807" s="153" t="s">
        <v>3787</v>
      </c>
    </row>
    <row r="1808" spans="1:1">
      <c r="A1808" s="153" t="s">
        <v>3788</v>
      </c>
    </row>
    <row r="1809" spans="1:1">
      <c r="A1809" s="153" t="s">
        <v>3789</v>
      </c>
    </row>
    <row r="1810" spans="1:1">
      <c r="A1810" s="153" t="s">
        <v>3790</v>
      </c>
    </row>
    <row r="1811" spans="1:1">
      <c r="A1811" s="153" t="s">
        <v>3791</v>
      </c>
    </row>
    <row r="1812" spans="1:1">
      <c r="A1812" s="153" t="s">
        <v>3792</v>
      </c>
    </row>
    <row r="1813" spans="1:1">
      <c r="A1813" s="153" t="s">
        <v>3793</v>
      </c>
    </row>
    <row r="1814" spans="1:1">
      <c r="A1814" s="153" t="s">
        <v>3794</v>
      </c>
    </row>
    <row r="1815" spans="1:1">
      <c r="A1815" s="153" t="s">
        <v>3795</v>
      </c>
    </row>
    <row r="1816" spans="1:1">
      <c r="A1816" s="153" t="s">
        <v>3796</v>
      </c>
    </row>
    <row r="1817" spans="1:1">
      <c r="A1817" s="153" t="s">
        <v>3797</v>
      </c>
    </row>
    <row r="1818" spans="1:1">
      <c r="A1818" s="153" t="s">
        <v>3798</v>
      </c>
    </row>
    <row r="1819" spans="1:1">
      <c r="A1819" s="153" t="s">
        <v>3799</v>
      </c>
    </row>
    <row r="1820" spans="1:1">
      <c r="A1820" s="153" t="s">
        <v>3800</v>
      </c>
    </row>
    <row r="1821" spans="1:1">
      <c r="A1821" s="153" t="s">
        <v>3801</v>
      </c>
    </row>
    <row r="1822" spans="1:1">
      <c r="A1822" s="153" t="s">
        <v>3802</v>
      </c>
    </row>
    <row r="1823" spans="1:1">
      <c r="A1823" s="153" t="s">
        <v>3803</v>
      </c>
    </row>
    <row r="1824" spans="1:1">
      <c r="A1824" s="153" t="s">
        <v>3804</v>
      </c>
    </row>
    <row r="1825" spans="1:1">
      <c r="A1825" s="153" t="s">
        <v>3805</v>
      </c>
    </row>
    <row r="1826" spans="1:1">
      <c r="A1826" s="153" t="s">
        <v>3806</v>
      </c>
    </row>
    <row r="1827" spans="1:1">
      <c r="A1827" s="153" t="s">
        <v>3807</v>
      </c>
    </row>
    <row r="1828" spans="1:1">
      <c r="A1828" s="153" t="s">
        <v>3808</v>
      </c>
    </row>
    <row r="1829" spans="1:1">
      <c r="A1829" s="153" t="s">
        <v>3809</v>
      </c>
    </row>
    <row r="1830" spans="1:1">
      <c r="A1830" s="153" t="s">
        <v>3810</v>
      </c>
    </row>
    <row r="1831" spans="1:1">
      <c r="A1831" s="153" t="s">
        <v>3811</v>
      </c>
    </row>
    <row r="1832" spans="1:1">
      <c r="A1832" s="153" t="s">
        <v>3812</v>
      </c>
    </row>
    <row r="1833" spans="1:1">
      <c r="A1833" s="153" t="s">
        <v>3813</v>
      </c>
    </row>
    <row r="1834" spans="1:1">
      <c r="A1834" s="153" t="s">
        <v>3814</v>
      </c>
    </row>
    <row r="1835" spans="1:1">
      <c r="A1835" s="153" t="s">
        <v>3815</v>
      </c>
    </row>
    <row r="1836" spans="1:1">
      <c r="A1836" s="153" t="s">
        <v>3816</v>
      </c>
    </row>
    <row r="1837" spans="1:1">
      <c r="A1837" s="153" t="s">
        <v>3817</v>
      </c>
    </row>
    <row r="1838" spans="1:1">
      <c r="A1838" s="153" t="s">
        <v>3818</v>
      </c>
    </row>
    <row r="1839" spans="1:1">
      <c r="A1839" s="153" t="s">
        <v>3819</v>
      </c>
    </row>
    <row r="1840" spans="1:1">
      <c r="A1840" s="153" t="s">
        <v>3820</v>
      </c>
    </row>
    <row r="1841" spans="1:1">
      <c r="A1841" s="153" t="s">
        <v>3821</v>
      </c>
    </row>
    <row r="1842" spans="1:1">
      <c r="A1842" s="153" t="s">
        <v>3822</v>
      </c>
    </row>
    <row r="1843" spans="1:1">
      <c r="A1843" s="153" t="s">
        <v>3823</v>
      </c>
    </row>
    <row r="1844" spans="1:1">
      <c r="A1844" s="153" t="s">
        <v>3824</v>
      </c>
    </row>
    <row r="1845" spans="1:1">
      <c r="A1845" s="153" t="s">
        <v>3825</v>
      </c>
    </row>
    <row r="1846" spans="1:1">
      <c r="A1846" s="153" t="s">
        <v>3826</v>
      </c>
    </row>
    <row r="1847" spans="1:1">
      <c r="A1847" s="153" t="s">
        <v>3827</v>
      </c>
    </row>
    <row r="1848" spans="1:1">
      <c r="A1848" s="153" t="s">
        <v>3828</v>
      </c>
    </row>
    <row r="1849" spans="1:1">
      <c r="A1849" s="153" t="s">
        <v>3829</v>
      </c>
    </row>
    <row r="1850" spans="1:1">
      <c r="A1850" s="153" t="s">
        <v>3830</v>
      </c>
    </row>
    <row r="1851" spans="1:1">
      <c r="A1851" s="153" t="s">
        <v>3831</v>
      </c>
    </row>
    <row r="1852" spans="1:1">
      <c r="A1852" s="153" t="s">
        <v>3832</v>
      </c>
    </row>
    <row r="1853" spans="1:1">
      <c r="A1853" s="153" t="s">
        <v>3833</v>
      </c>
    </row>
    <row r="1854" spans="1:1">
      <c r="A1854" s="153" t="s">
        <v>3834</v>
      </c>
    </row>
    <row r="1855" spans="1:1">
      <c r="A1855" s="153" t="s">
        <v>3835</v>
      </c>
    </row>
    <row r="1856" spans="1:1">
      <c r="A1856" s="153" t="s">
        <v>3836</v>
      </c>
    </row>
    <row r="1857" spans="1:1">
      <c r="A1857" s="153" t="s">
        <v>3837</v>
      </c>
    </row>
    <row r="1858" spans="1:1">
      <c r="A1858" s="153" t="s">
        <v>3838</v>
      </c>
    </row>
    <row r="1859" spans="1:1">
      <c r="A1859" s="153" t="s">
        <v>3839</v>
      </c>
    </row>
    <row r="1860" spans="1:1">
      <c r="A1860" s="153" t="s">
        <v>3840</v>
      </c>
    </row>
    <row r="1861" spans="1:1">
      <c r="A1861" s="153" t="s">
        <v>3841</v>
      </c>
    </row>
    <row r="1862" spans="1:1">
      <c r="A1862" s="153" t="s">
        <v>3842</v>
      </c>
    </row>
    <row r="1863" spans="1:1">
      <c r="A1863" s="153" t="s">
        <v>3843</v>
      </c>
    </row>
    <row r="1864" spans="1:1">
      <c r="A1864" s="153" t="s">
        <v>3844</v>
      </c>
    </row>
    <row r="1865" spans="1:1">
      <c r="A1865" s="153" t="s">
        <v>3845</v>
      </c>
    </row>
    <row r="1866" spans="1:1">
      <c r="A1866" s="153" t="s">
        <v>3846</v>
      </c>
    </row>
    <row r="1867" spans="1:1">
      <c r="A1867" s="153" t="s">
        <v>3847</v>
      </c>
    </row>
    <row r="1868" spans="1:1">
      <c r="A1868" s="153" t="s">
        <v>3848</v>
      </c>
    </row>
    <row r="1869" spans="1:1">
      <c r="A1869" s="153" t="s">
        <v>3849</v>
      </c>
    </row>
    <row r="1870" spans="1:1">
      <c r="A1870" s="153" t="s">
        <v>3850</v>
      </c>
    </row>
    <row r="1871" spans="1:1">
      <c r="A1871" s="153" t="s">
        <v>3851</v>
      </c>
    </row>
    <row r="1872" spans="1:1">
      <c r="A1872" s="153" t="s">
        <v>3852</v>
      </c>
    </row>
    <row r="1873" spans="1:1">
      <c r="A1873" s="153" t="s">
        <v>3853</v>
      </c>
    </row>
    <row r="1874" spans="1:1">
      <c r="A1874" s="153" t="s">
        <v>3854</v>
      </c>
    </row>
    <row r="1875" spans="1:1">
      <c r="A1875" s="153" t="s">
        <v>3855</v>
      </c>
    </row>
    <row r="1876" spans="1:1">
      <c r="A1876" s="153" t="s">
        <v>3856</v>
      </c>
    </row>
    <row r="1877" spans="1:1">
      <c r="A1877" s="153" t="s">
        <v>3857</v>
      </c>
    </row>
    <row r="1878" spans="1:1">
      <c r="A1878" s="153" t="s">
        <v>3858</v>
      </c>
    </row>
    <row r="1879" spans="1:1">
      <c r="A1879" s="153" t="s">
        <v>3859</v>
      </c>
    </row>
    <row r="1880" spans="1:1">
      <c r="A1880" s="153" t="s">
        <v>3860</v>
      </c>
    </row>
    <row r="1881" spans="1:1">
      <c r="A1881" s="153" t="s">
        <v>3861</v>
      </c>
    </row>
    <row r="1882" spans="1:1">
      <c r="A1882" s="153" t="s">
        <v>3862</v>
      </c>
    </row>
    <row r="1883" spans="1:1">
      <c r="A1883" s="153" t="s">
        <v>3863</v>
      </c>
    </row>
    <row r="1884" spans="1:1">
      <c r="A1884" s="153" t="s">
        <v>3864</v>
      </c>
    </row>
    <row r="1885" spans="1:1">
      <c r="A1885" s="153" t="s">
        <v>3865</v>
      </c>
    </row>
    <row r="1886" spans="1:1">
      <c r="A1886" s="153" t="s">
        <v>3866</v>
      </c>
    </row>
    <row r="1887" spans="1:1">
      <c r="A1887" s="153" t="s">
        <v>3867</v>
      </c>
    </row>
    <row r="1888" spans="1:1">
      <c r="A1888" s="153" t="s">
        <v>3868</v>
      </c>
    </row>
    <row r="1889" spans="1:1">
      <c r="A1889" s="153" t="s">
        <v>3869</v>
      </c>
    </row>
    <row r="1890" spans="1:1">
      <c r="A1890" s="153" t="s">
        <v>3870</v>
      </c>
    </row>
    <row r="1891" spans="1:1">
      <c r="A1891" s="153" t="s">
        <v>3871</v>
      </c>
    </row>
    <row r="1892" spans="1:1">
      <c r="A1892" s="153" t="s">
        <v>3872</v>
      </c>
    </row>
    <row r="1893" spans="1:1">
      <c r="A1893" s="153" t="s">
        <v>3873</v>
      </c>
    </row>
    <row r="1894" spans="1:1">
      <c r="A1894" s="153" t="s">
        <v>3874</v>
      </c>
    </row>
    <row r="1895" spans="1:1">
      <c r="A1895" s="153" t="s">
        <v>3875</v>
      </c>
    </row>
    <row r="1896" spans="1:1">
      <c r="A1896" s="153" t="s">
        <v>3876</v>
      </c>
    </row>
    <row r="1897" spans="1:1">
      <c r="A1897" s="153" t="s">
        <v>3877</v>
      </c>
    </row>
    <row r="1898" spans="1:1">
      <c r="A1898" s="153" t="s">
        <v>3878</v>
      </c>
    </row>
    <row r="1899" spans="1:1">
      <c r="A1899" s="153" t="s">
        <v>3879</v>
      </c>
    </row>
    <row r="1900" spans="1:1">
      <c r="A1900" s="153" t="s">
        <v>3880</v>
      </c>
    </row>
    <row r="1901" spans="1:1">
      <c r="A1901" s="153" t="s">
        <v>3881</v>
      </c>
    </row>
    <row r="1902" spans="1:1">
      <c r="A1902" s="153" t="s">
        <v>3882</v>
      </c>
    </row>
    <row r="1903" spans="1:1">
      <c r="A1903" s="153" t="s">
        <v>3883</v>
      </c>
    </row>
    <row r="1904" spans="1:1">
      <c r="A1904" s="153" t="s">
        <v>3884</v>
      </c>
    </row>
    <row r="1905" spans="1:1">
      <c r="A1905" s="153" t="s">
        <v>3885</v>
      </c>
    </row>
    <row r="1906" spans="1:1">
      <c r="A1906" s="153" t="s">
        <v>3886</v>
      </c>
    </row>
    <row r="1907" spans="1:1">
      <c r="A1907" s="153" t="s">
        <v>3887</v>
      </c>
    </row>
    <row r="1908" spans="1:1">
      <c r="A1908" s="153" t="s">
        <v>3888</v>
      </c>
    </row>
    <row r="1909" spans="1:1">
      <c r="A1909" s="153" t="s">
        <v>3889</v>
      </c>
    </row>
    <row r="1910" spans="1:1">
      <c r="A1910" s="153" t="s">
        <v>3890</v>
      </c>
    </row>
    <row r="1911" spans="1:1">
      <c r="A1911" s="153" t="s">
        <v>3891</v>
      </c>
    </row>
    <row r="1912" spans="1:1">
      <c r="A1912" s="153" t="s">
        <v>3892</v>
      </c>
    </row>
    <row r="1913" spans="1:1">
      <c r="A1913" s="153" t="s">
        <v>3893</v>
      </c>
    </row>
    <row r="1914" spans="1:1">
      <c r="A1914" s="153" t="s">
        <v>3894</v>
      </c>
    </row>
    <row r="1915" spans="1:1">
      <c r="A1915" s="153" t="s">
        <v>3895</v>
      </c>
    </row>
    <row r="1916" spans="1:1">
      <c r="A1916" s="153" t="s">
        <v>3896</v>
      </c>
    </row>
    <row r="1917" spans="1:1">
      <c r="A1917" s="153" t="s">
        <v>3897</v>
      </c>
    </row>
    <row r="1918" spans="1:1">
      <c r="A1918" s="153" t="s">
        <v>3898</v>
      </c>
    </row>
    <row r="1919" spans="1:1">
      <c r="A1919" s="153" t="s">
        <v>3899</v>
      </c>
    </row>
    <row r="1920" spans="1:1">
      <c r="A1920" s="153" t="s">
        <v>3900</v>
      </c>
    </row>
    <row r="1921" spans="1:1">
      <c r="A1921" s="153" t="s">
        <v>3901</v>
      </c>
    </row>
    <row r="1922" spans="1:1">
      <c r="A1922" s="153" t="s">
        <v>3902</v>
      </c>
    </row>
    <row r="1923" spans="1:1">
      <c r="A1923" s="153" t="s">
        <v>3903</v>
      </c>
    </row>
    <row r="1924" spans="1:1">
      <c r="A1924" s="153" t="s">
        <v>3904</v>
      </c>
    </row>
    <row r="1925" spans="1:1">
      <c r="A1925" s="153" t="s">
        <v>3905</v>
      </c>
    </row>
    <row r="1926" spans="1:1">
      <c r="A1926" s="153" t="s">
        <v>3906</v>
      </c>
    </row>
    <row r="1927" spans="1:1">
      <c r="A1927" s="153" t="s">
        <v>3907</v>
      </c>
    </row>
    <row r="1928" spans="1:1">
      <c r="A1928" s="153" t="s">
        <v>3908</v>
      </c>
    </row>
    <row r="1929" spans="1:1">
      <c r="A1929" s="153" t="s">
        <v>3909</v>
      </c>
    </row>
    <row r="1930" spans="1:1">
      <c r="A1930" s="153" t="s">
        <v>3910</v>
      </c>
    </row>
    <row r="1931" spans="1:1">
      <c r="A1931" s="153" t="s">
        <v>3911</v>
      </c>
    </row>
    <row r="1932" spans="1:1">
      <c r="A1932" s="153" t="s">
        <v>3912</v>
      </c>
    </row>
    <row r="1933" spans="1:1">
      <c r="A1933" s="153" t="s">
        <v>3913</v>
      </c>
    </row>
    <row r="1934" spans="1:1">
      <c r="A1934" s="153" t="s">
        <v>3914</v>
      </c>
    </row>
    <row r="1935" spans="1:1">
      <c r="A1935" s="153" t="s">
        <v>3915</v>
      </c>
    </row>
    <row r="1936" spans="1:1">
      <c r="A1936" s="153" t="s">
        <v>3916</v>
      </c>
    </row>
    <row r="1937" spans="1:1">
      <c r="A1937" s="153" t="s">
        <v>3917</v>
      </c>
    </row>
    <row r="1938" spans="1:1">
      <c r="A1938" s="153" t="s">
        <v>3918</v>
      </c>
    </row>
    <row r="1939" spans="1:1">
      <c r="A1939" s="153" t="s">
        <v>3919</v>
      </c>
    </row>
    <row r="1940" spans="1:1">
      <c r="A1940" s="153" t="s">
        <v>3920</v>
      </c>
    </row>
    <row r="1941" spans="1:1">
      <c r="A1941" s="153" t="s">
        <v>3921</v>
      </c>
    </row>
    <row r="1942" spans="1:1">
      <c r="A1942" s="153" t="s">
        <v>3922</v>
      </c>
    </row>
    <row r="1943" spans="1:1">
      <c r="A1943" s="153" t="s">
        <v>3923</v>
      </c>
    </row>
    <row r="1944" spans="1:1">
      <c r="A1944" s="153" t="s">
        <v>3924</v>
      </c>
    </row>
    <row r="1945" spans="1:1">
      <c r="A1945" s="153" t="s">
        <v>3925</v>
      </c>
    </row>
    <row r="1946" spans="1:1">
      <c r="A1946" s="153" t="s">
        <v>3926</v>
      </c>
    </row>
    <row r="1947" spans="1:1">
      <c r="A1947" s="153" t="s">
        <v>3927</v>
      </c>
    </row>
    <row r="1948" spans="1:1">
      <c r="A1948" s="153" t="s">
        <v>3928</v>
      </c>
    </row>
    <row r="1949" spans="1:1">
      <c r="A1949" s="153" t="s">
        <v>3929</v>
      </c>
    </row>
    <row r="1950" spans="1:1">
      <c r="A1950" s="153" t="s">
        <v>3930</v>
      </c>
    </row>
    <row r="1951" spans="1:1">
      <c r="A1951" s="153" t="s">
        <v>3931</v>
      </c>
    </row>
    <row r="1952" spans="1:1">
      <c r="A1952" s="153" t="s">
        <v>3932</v>
      </c>
    </row>
    <row r="1953" spans="1:1">
      <c r="A1953" s="153" t="s">
        <v>3933</v>
      </c>
    </row>
    <row r="1954" spans="1:1">
      <c r="A1954" s="153" t="s">
        <v>3934</v>
      </c>
    </row>
    <row r="1955" spans="1:1">
      <c r="A1955" s="153" t="s">
        <v>3935</v>
      </c>
    </row>
    <row r="1956" spans="1:1">
      <c r="A1956" s="153" t="s">
        <v>3936</v>
      </c>
    </row>
    <row r="1957" spans="1:1">
      <c r="A1957" s="153" t="s">
        <v>3937</v>
      </c>
    </row>
    <row r="1958" spans="1:1">
      <c r="A1958" s="153" t="s">
        <v>3938</v>
      </c>
    </row>
    <row r="1959" spans="1:1">
      <c r="A1959" s="153" t="s">
        <v>3939</v>
      </c>
    </row>
    <row r="1960" spans="1:1">
      <c r="A1960" s="153" t="s">
        <v>3940</v>
      </c>
    </row>
    <row r="1961" spans="1:1">
      <c r="A1961" s="153" t="s">
        <v>3941</v>
      </c>
    </row>
    <row r="1962" spans="1:1">
      <c r="A1962" s="153" t="s">
        <v>3942</v>
      </c>
    </row>
    <row r="1963" spans="1:1">
      <c r="A1963" s="153" t="s">
        <v>3943</v>
      </c>
    </row>
    <row r="1964" spans="1:1">
      <c r="A1964" s="153" t="s">
        <v>3944</v>
      </c>
    </row>
    <row r="1965" spans="1:1">
      <c r="A1965" s="153" t="s">
        <v>3945</v>
      </c>
    </row>
    <row r="1966" spans="1:1">
      <c r="A1966" s="153" t="s">
        <v>3946</v>
      </c>
    </row>
    <row r="1967" spans="1:1">
      <c r="A1967" s="153" t="s">
        <v>3947</v>
      </c>
    </row>
    <row r="1968" spans="1:1">
      <c r="A1968" s="153" t="s">
        <v>3948</v>
      </c>
    </row>
    <row r="1969" spans="1:1">
      <c r="A1969" s="153" t="s">
        <v>3949</v>
      </c>
    </row>
    <row r="1970" spans="1:1">
      <c r="A1970" s="153" t="s">
        <v>3950</v>
      </c>
    </row>
    <row r="1971" spans="1:1">
      <c r="A1971" s="153" t="s">
        <v>3951</v>
      </c>
    </row>
    <row r="1972" spans="1:1">
      <c r="A1972" s="153" t="s">
        <v>3952</v>
      </c>
    </row>
    <row r="1973" spans="1:1">
      <c r="A1973" s="153" t="s">
        <v>3953</v>
      </c>
    </row>
    <row r="1974" spans="1:1">
      <c r="A1974" s="153" t="s">
        <v>3954</v>
      </c>
    </row>
    <row r="1975" spans="1:1">
      <c r="A1975" s="153" t="s">
        <v>3955</v>
      </c>
    </row>
    <row r="1976" spans="1:1">
      <c r="A1976" s="153" t="s">
        <v>3956</v>
      </c>
    </row>
    <row r="1977" spans="1:1">
      <c r="A1977" s="153" t="s">
        <v>3957</v>
      </c>
    </row>
    <row r="1978" spans="1:1">
      <c r="A1978" s="153" t="s">
        <v>3958</v>
      </c>
    </row>
    <row r="1979" spans="1:1">
      <c r="A1979" s="153" t="s">
        <v>3959</v>
      </c>
    </row>
    <row r="1980" spans="1:1">
      <c r="A1980" s="153" t="s">
        <v>3960</v>
      </c>
    </row>
    <row r="1981" spans="1:1">
      <c r="A1981" s="153" t="s">
        <v>3961</v>
      </c>
    </row>
    <row r="1982" spans="1:1">
      <c r="A1982" s="153" t="s">
        <v>3962</v>
      </c>
    </row>
    <row r="1983" spans="1:1">
      <c r="A1983" s="153" t="s">
        <v>3963</v>
      </c>
    </row>
    <row r="1984" spans="1:1">
      <c r="A1984" s="153" t="s">
        <v>3964</v>
      </c>
    </row>
    <row r="1985" spans="1:1">
      <c r="A1985" s="153" t="s">
        <v>3965</v>
      </c>
    </row>
    <row r="1986" spans="1:1">
      <c r="A1986" s="153" t="s">
        <v>3966</v>
      </c>
    </row>
    <row r="1987" spans="1:1">
      <c r="A1987" s="153" t="s">
        <v>3967</v>
      </c>
    </row>
    <row r="1988" spans="1:1">
      <c r="A1988" s="153" t="s">
        <v>3968</v>
      </c>
    </row>
    <row r="1989" spans="1:1">
      <c r="A1989" s="153" t="s">
        <v>3969</v>
      </c>
    </row>
    <row r="1990" spans="1:1">
      <c r="A1990" s="153" t="s">
        <v>3970</v>
      </c>
    </row>
    <row r="1991" spans="1:1">
      <c r="A1991" s="153" t="s">
        <v>3971</v>
      </c>
    </row>
    <row r="1992" spans="1:1">
      <c r="A1992" s="153" t="s">
        <v>3972</v>
      </c>
    </row>
    <row r="1993" spans="1:1">
      <c r="A1993" s="153" t="s">
        <v>3973</v>
      </c>
    </row>
    <row r="1994" spans="1:1">
      <c r="A1994" s="153" t="s">
        <v>3974</v>
      </c>
    </row>
    <row r="1995" spans="1:1">
      <c r="A1995" s="153" t="s">
        <v>3975</v>
      </c>
    </row>
    <row r="1996" spans="1:1">
      <c r="A1996" s="153" t="s">
        <v>3976</v>
      </c>
    </row>
    <row r="1997" spans="1:1">
      <c r="A1997" s="153" t="s">
        <v>3977</v>
      </c>
    </row>
    <row r="1998" spans="1:1">
      <c r="A1998" s="153" t="s">
        <v>3978</v>
      </c>
    </row>
    <row r="1999" spans="1:1">
      <c r="A1999" s="153" t="s">
        <v>3979</v>
      </c>
    </row>
    <row r="2000" spans="1:1">
      <c r="A2000" s="153" t="s">
        <v>3980</v>
      </c>
    </row>
    <row r="2001" spans="1:1">
      <c r="A2001" s="153" t="s">
        <v>3981</v>
      </c>
    </row>
    <row r="2002" spans="1:1">
      <c r="A2002" s="153" t="s">
        <v>3982</v>
      </c>
    </row>
    <row r="2003" spans="1:1">
      <c r="A2003" s="153" t="s">
        <v>3983</v>
      </c>
    </row>
    <row r="2004" spans="1:1">
      <c r="A2004" s="153" t="s">
        <v>3984</v>
      </c>
    </row>
    <row r="2005" spans="1:1">
      <c r="A2005" s="153" t="s">
        <v>3985</v>
      </c>
    </row>
    <row r="2006" spans="1:1">
      <c r="A2006" s="153" t="s">
        <v>3986</v>
      </c>
    </row>
    <row r="2007" spans="1:1">
      <c r="A2007" s="153" t="s">
        <v>3987</v>
      </c>
    </row>
    <row r="2008" spans="1:1">
      <c r="A2008" s="153" t="s">
        <v>3988</v>
      </c>
    </row>
    <row r="2009" spans="1:1">
      <c r="A2009" s="153" t="s">
        <v>3989</v>
      </c>
    </row>
    <row r="2010" spans="1:1">
      <c r="A2010" s="153" t="s">
        <v>3990</v>
      </c>
    </row>
    <row r="2011" spans="1:1">
      <c r="A2011" s="153" t="s">
        <v>3991</v>
      </c>
    </row>
    <row r="2012" spans="1:1">
      <c r="A2012" s="153" t="s">
        <v>3992</v>
      </c>
    </row>
    <row r="2013" spans="1:1">
      <c r="A2013" s="153" t="s">
        <v>3993</v>
      </c>
    </row>
    <row r="2014" spans="1:1">
      <c r="A2014" s="153" t="s">
        <v>3994</v>
      </c>
    </row>
    <row r="2015" spans="1:1">
      <c r="A2015" s="153" t="s">
        <v>3995</v>
      </c>
    </row>
    <row r="2016" spans="1:1">
      <c r="A2016" s="153" t="s">
        <v>3996</v>
      </c>
    </row>
    <row r="2017" spans="1:1">
      <c r="A2017" s="153" t="s">
        <v>3997</v>
      </c>
    </row>
    <row r="2018" spans="1:1">
      <c r="A2018" s="153" t="s">
        <v>3998</v>
      </c>
    </row>
    <row r="2019" spans="1:1">
      <c r="A2019" s="153" t="s">
        <v>3999</v>
      </c>
    </row>
    <row r="2020" spans="1:1">
      <c r="A2020" s="153" t="s">
        <v>4000</v>
      </c>
    </row>
    <row r="2021" spans="1:1">
      <c r="A2021" s="153" t="s">
        <v>4001</v>
      </c>
    </row>
    <row r="2022" spans="1:1">
      <c r="A2022" s="153" t="s">
        <v>4002</v>
      </c>
    </row>
    <row r="2023" spans="1:1">
      <c r="A2023" s="153" t="s">
        <v>4003</v>
      </c>
    </row>
    <row r="2024" spans="1:1">
      <c r="A2024" s="153" t="s">
        <v>4004</v>
      </c>
    </row>
    <row r="2025" spans="1:1">
      <c r="A2025" s="153" t="s">
        <v>4005</v>
      </c>
    </row>
    <row r="2026" spans="1:1">
      <c r="A2026" s="153" t="s">
        <v>4006</v>
      </c>
    </row>
    <row r="2027" spans="1:1">
      <c r="A2027" s="153" t="s">
        <v>4007</v>
      </c>
    </row>
    <row r="2028" spans="1:1">
      <c r="A2028" s="153" t="s">
        <v>4008</v>
      </c>
    </row>
    <row r="2029" spans="1:1">
      <c r="A2029" s="153" t="s">
        <v>4009</v>
      </c>
    </row>
    <row r="2030" spans="1:1">
      <c r="A2030" s="153" t="s">
        <v>4010</v>
      </c>
    </row>
    <row r="2031" spans="1:1">
      <c r="A2031" s="153" t="s">
        <v>4011</v>
      </c>
    </row>
    <row r="2032" spans="1:1">
      <c r="A2032" s="153" t="s">
        <v>4012</v>
      </c>
    </row>
    <row r="2033" spans="1:1">
      <c r="A2033" s="153" t="s">
        <v>4013</v>
      </c>
    </row>
    <row r="2034" spans="1:1">
      <c r="A2034" s="153" t="s">
        <v>4014</v>
      </c>
    </row>
    <row r="2035" spans="1:1">
      <c r="A2035" s="153" t="s">
        <v>4015</v>
      </c>
    </row>
    <row r="2036" spans="1:1">
      <c r="A2036" s="153" t="s">
        <v>4016</v>
      </c>
    </row>
    <row r="2037" spans="1:1">
      <c r="A2037" s="153" t="s">
        <v>4017</v>
      </c>
    </row>
    <row r="2038" spans="1:1">
      <c r="A2038" s="153" t="s">
        <v>4018</v>
      </c>
    </row>
    <row r="2039" spans="1:1">
      <c r="A2039" s="153" t="s">
        <v>4019</v>
      </c>
    </row>
    <row r="2040" spans="1:1">
      <c r="A2040" s="153" t="s">
        <v>4020</v>
      </c>
    </row>
    <row r="2041" spans="1:1">
      <c r="A2041" s="153" t="s">
        <v>4021</v>
      </c>
    </row>
    <row r="2042" spans="1:1">
      <c r="A2042" s="153" t="s">
        <v>4022</v>
      </c>
    </row>
    <row r="2043" spans="1:1">
      <c r="A2043" s="153" t="s">
        <v>4023</v>
      </c>
    </row>
    <row r="2044" spans="1:1">
      <c r="A2044" s="153" t="s">
        <v>4024</v>
      </c>
    </row>
    <row r="2045" spans="1:1">
      <c r="A2045" s="153" t="s">
        <v>4025</v>
      </c>
    </row>
    <row r="2046" spans="1:1">
      <c r="A2046" s="153" t="s">
        <v>4026</v>
      </c>
    </row>
    <row r="2047" spans="1:1">
      <c r="A2047" s="153" t="s">
        <v>4027</v>
      </c>
    </row>
    <row r="2048" spans="1:1">
      <c r="A2048" s="153" t="s">
        <v>4028</v>
      </c>
    </row>
    <row r="2049" spans="1:1">
      <c r="A2049" s="153" t="s">
        <v>4029</v>
      </c>
    </row>
    <row r="2050" spans="1:1">
      <c r="A2050" s="153" t="s">
        <v>4030</v>
      </c>
    </row>
    <row r="2051" spans="1:1">
      <c r="A2051" s="153" t="s">
        <v>4031</v>
      </c>
    </row>
    <row r="2052" spans="1:1">
      <c r="A2052" s="153" t="s">
        <v>4032</v>
      </c>
    </row>
    <row r="2053" spans="1:1">
      <c r="A2053" s="153" t="s">
        <v>4033</v>
      </c>
    </row>
    <row r="2054" spans="1:1">
      <c r="A2054" s="153" t="s">
        <v>4034</v>
      </c>
    </row>
    <row r="2055" spans="1:1">
      <c r="A2055" s="153" t="s">
        <v>4035</v>
      </c>
    </row>
    <row r="2056" spans="1:1">
      <c r="A2056" s="153" t="s">
        <v>4036</v>
      </c>
    </row>
    <row r="2057" spans="1:1">
      <c r="A2057" s="153" t="s">
        <v>4037</v>
      </c>
    </row>
    <row r="2058" spans="1:1">
      <c r="A2058" s="153" t="s">
        <v>4038</v>
      </c>
    </row>
    <row r="2059" spans="1:1">
      <c r="A2059" s="153" t="s">
        <v>4039</v>
      </c>
    </row>
    <row r="2060" spans="1:1">
      <c r="A2060" s="153" t="s">
        <v>4040</v>
      </c>
    </row>
    <row r="2061" spans="1:1">
      <c r="A2061" s="153" t="s">
        <v>4041</v>
      </c>
    </row>
    <row r="2062" spans="1:1">
      <c r="A2062" s="153" t="s">
        <v>4042</v>
      </c>
    </row>
    <row r="2063" spans="1:1">
      <c r="A2063" s="153" t="s">
        <v>4043</v>
      </c>
    </row>
    <row r="2064" spans="1:1">
      <c r="A2064" s="153" t="s">
        <v>4044</v>
      </c>
    </row>
    <row r="2065" spans="1:1">
      <c r="A2065" s="153" t="s">
        <v>4045</v>
      </c>
    </row>
    <row r="2066" spans="1:1">
      <c r="A2066" s="153" t="s">
        <v>4046</v>
      </c>
    </row>
    <row r="2067" spans="1:1">
      <c r="A2067" s="153" t="s">
        <v>4047</v>
      </c>
    </row>
    <row r="2068" spans="1:1">
      <c r="A2068" s="153" t="s">
        <v>4048</v>
      </c>
    </row>
    <row r="2069" spans="1:1">
      <c r="A2069" s="153" t="s">
        <v>4049</v>
      </c>
    </row>
    <row r="2070" spans="1:1">
      <c r="A2070" s="153" t="s">
        <v>4050</v>
      </c>
    </row>
    <row r="2071" spans="1:1">
      <c r="A2071" s="153" t="s">
        <v>4051</v>
      </c>
    </row>
    <row r="2072" spans="1:1">
      <c r="A2072" s="153" t="s">
        <v>4052</v>
      </c>
    </row>
    <row r="2073" spans="1:1">
      <c r="A2073" s="153" t="s">
        <v>4053</v>
      </c>
    </row>
    <row r="2074" spans="1:1">
      <c r="A2074" s="153" t="s">
        <v>4054</v>
      </c>
    </row>
    <row r="2075" spans="1:1">
      <c r="A2075" s="153" t="s">
        <v>4055</v>
      </c>
    </row>
    <row r="2076" spans="1:1">
      <c r="A2076" s="153" t="s">
        <v>4056</v>
      </c>
    </row>
    <row r="2077" spans="1:1">
      <c r="A2077" s="153" t="s">
        <v>4057</v>
      </c>
    </row>
    <row r="2078" spans="1:1">
      <c r="A2078" s="153" t="s">
        <v>4058</v>
      </c>
    </row>
    <row r="2079" spans="1:1">
      <c r="A2079" s="153" t="s">
        <v>4059</v>
      </c>
    </row>
    <row r="2080" spans="1:1">
      <c r="A2080" s="153" t="s">
        <v>4060</v>
      </c>
    </row>
    <row r="2081" spans="1:1">
      <c r="A2081" s="153" t="s">
        <v>4061</v>
      </c>
    </row>
    <row r="2082" spans="1:1">
      <c r="A2082" s="153" t="s">
        <v>4062</v>
      </c>
    </row>
    <row r="2083" spans="1:1">
      <c r="A2083" s="153" t="s">
        <v>4063</v>
      </c>
    </row>
    <row r="2084" spans="1:1">
      <c r="A2084" s="153" t="s">
        <v>4064</v>
      </c>
    </row>
    <row r="2085" spans="1:1">
      <c r="A2085" s="153" t="s">
        <v>4065</v>
      </c>
    </row>
    <row r="2086" spans="1:1">
      <c r="A2086" s="153" t="s">
        <v>4066</v>
      </c>
    </row>
    <row r="2087" spans="1:1">
      <c r="A2087" s="153" t="s">
        <v>4067</v>
      </c>
    </row>
    <row r="2088" spans="1:1">
      <c r="A2088" s="153" t="s">
        <v>4068</v>
      </c>
    </row>
    <row r="2089" spans="1:1">
      <c r="A2089" s="153" t="s">
        <v>4069</v>
      </c>
    </row>
    <row r="2090" spans="1:1">
      <c r="A2090" s="153" t="s">
        <v>4070</v>
      </c>
    </row>
    <row r="2091" spans="1:1">
      <c r="A2091" s="153" t="s">
        <v>4071</v>
      </c>
    </row>
    <row r="2092" spans="1:1">
      <c r="A2092" s="153" t="s">
        <v>4072</v>
      </c>
    </row>
    <row r="2093" spans="1:1">
      <c r="A2093" s="153" t="s">
        <v>4073</v>
      </c>
    </row>
    <row r="2094" spans="1:1">
      <c r="A2094" s="153" t="s">
        <v>4074</v>
      </c>
    </row>
    <row r="2095" spans="1:1">
      <c r="A2095" s="153" t="s">
        <v>4075</v>
      </c>
    </row>
    <row r="2096" spans="1:1">
      <c r="A2096" s="153" t="s">
        <v>4076</v>
      </c>
    </row>
    <row r="2097" spans="1:1">
      <c r="A2097" s="153" t="s">
        <v>4077</v>
      </c>
    </row>
    <row r="2098" spans="1:1">
      <c r="A2098" s="153" t="s">
        <v>4078</v>
      </c>
    </row>
    <row r="2099" spans="1:1">
      <c r="A2099" s="153" t="s">
        <v>4079</v>
      </c>
    </row>
    <row r="2100" spans="1:1">
      <c r="A2100" s="153" t="s">
        <v>4080</v>
      </c>
    </row>
    <row r="2101" spans="1:1">
      <c r="A2101" s="153" t="s">
        <v>4081</v>
      </c>
    </row>
    <row r="2102" spans="1:1">
      <c r="A2102" s="153" t="s">
        <v>4082</v>
      </c>
    </row>
    <row r="2103" spans="1:1">
      <c r="A2103" s="153" t="s">
        <v>4083</v>
      </c>
    </row>
    <row r="2104" spans="1:1">
      <c r="A2104" s="153" t="s">
        <v>4084</v>
      </c>
    </row>
    <row r="2105" spans="1:1">
      <c r="A2105" s="153" t="s">
        <v>4085</v>
      </c>
    </row>
    <row r="2106" spans="1:1">
      <c r="A2106" s="153" t="s">
        <v>4086</v>
      </c>
    </row>
    <row r="2107" spans="1:1">
      <c r="A2107" s="153" t="s">
        <v>4087</v>
      </c>
    </row>
    <row r="2108" spans="1:1">
      <c r="A2108" s="153" t="s">
        <v>4088</v>
      </c>
    </row>
    <row r="2109" spans="1:1">
      <c r="A2109" s="153" t="s">
        <v>4089</v>
      </c>
    </row>
    <row r="2110" spans="1:1">
      <c r="A2110" s="153" t="s">
        <v>4090</v>
      </c>
    </row>
    <row r="2111" spans="1:1">
      <c r="A2111" s="153" t="s">
        <v>4091</v>
      </c>
    </row>
    <row r="2112" spans="1:1">
      <c r="A2112" s="153" t="s">
        <v>4092</v>
      </c>
    </row>
    <row r="2113" spans="1:1">
      <c r="A2113" s="153" t="s">
        <v>4093</v>
      </c>
    </row>
    <row r="2114" spans="1:1">
      <c r="A2114" s="153" t="s">
        <v>4094</v>
      </c>
    </row>
    <row r="2115" spans="1:1">
      <c r="A2115" s="153" t="s">
        <v>4095</v>
      </c>
    </row>
    <row r="2116" spans="1:1">
      <c r="A2116" s="153" t="s">
        <v>4096</v>
      </c>
    </row>
    <row r="2117" spans="1:1">
      <c r="A2117" s="153" t="s">
        <v>4097</v>
      </c>
    </row>
    <row r="2118" spans="1:1">
      <c r="A2118" s="153" t="s">
        <v>4098</v>
      </c>
    </row>
    <row r="2119" spans="1:1">
      <c r="A2119" s="153" t="s">
        <v>4099</v>
      </c>
    </row>
    <row r="2120" spans="1:1">
      <c r="A2120" s="153" t="s">
        <v>4100</v>
      </c>
    </row>
    <row r="2121" spans="1:1">
      <c r="A2121" s="153" t="s">
        <v>4101</v>
      </c>
    </row>
    <row r="2122" spans="1:1">
      <c r="A2122" s="153" t="s">
        <v>4102</v>
      </c>
    </row>
    <row r="2123" spans="1:1">
      <c r="A2123" s="153" t="s">
        <v>4103</v>
      </c>
    </row>
    <row r="2124" spans="1:1">
      <c r="A2124" s="153" t="s">
        <v>4104</v>
      </c>
    </row>
    <row r="2125" spans="1:1">
      <c r="A2125" s="153" t="s">
        <v>4105</v>
      </c>
    </row>
    <row r="2126" spans="1:1">
      <c r="A2126" s="153" t="s">
        <v>4106</v>
      </c>
    </row>
    <row r="2127" spans="1:1">
      <c r="A2127" s="153" t="s">
        <v>4107</v>
      </c>
    </row>
    <row r="2128" spans="1:1">
      <c r="A2128" s="153" t="s">
        <v>4108</v>
      </c>
    </row>
    <row r="2129" spans="1:1">
      <c r="A2129" s="153" t="s">
        <v>4109</v>
      </c>
    </row>
    <row r="2130" spans="1:1">
      <c r="A2130" s="153" t="s">
        <v>4110</v>
      </c>
    </row>
    <row r="2131" spans="1:1">
      <c r="A2131" s="153" t="s">
        <v>4111</v>
      </c>
    </row>
    <row r="2132" spans="1:1">
      <c r="A2132" s="153" t="s">
        <v>4112</v>
      </c>
    </row>
    <row r="2133" spans="1:1">
      <c r="A2133" s="153" t="s">
        <v>4113</v>
      </c>
    </row>
    <row r="2134" spans="1:1">
      <c r="A2134" s="153" t="s">
        <v>4114</v>
      </c>
    </row>
    <row r="2135" spans="1:1">
      <c r="A2135" s="153" t="s">
        <v>4115</v>
      </c>
    </row>
    <row r="2136" spans="1:1">
      <c r="A2136" s="153" t="s">
        <v>4116</v>
      </c>
    </row>
    <row r="2137" spans="1:1">
      <c r="A2137" s="153" t="s">
        <v>4117</v>
      </c>
    </row>
    <row r="2138" spans="1:1">
      <c r="A2138" s="153" t="s">
        <v>4118</v>
      </c>
    </row>
    <row r="2139" spans="1:1">
      <c r="A2139" s="153" t="s">
        <v>4119</v>
      </c>
    </row>
    <row r="2140" spans="1:1">
      <c r="A2140" s="153" t="s">
        <v>4120</v>
      </c>
    </row>
    <row r="2141" spans="1:1">
      <c r="A2141" s="153" t="s">
        <v>4121</v>
      </c>
    </row>
    <row r="2142" spans="1:1">
      <c r="A2142" s="153" t="s">
        <v>4122</v>
      </c>
    </row>
    <row r="2143" spans="1:1">
      <c r="A2143" s="153" t="s">
        <v>4123</v>
      </c>
    </row>
    <row r="2144" spans="1:1">
      <c r="A2144" s="153" t="s">
        <v>4124</v>
      </c>
    </row>
    <row r="2145" spans="1:1">
      <c r="A2145" s="153" t="s">
        <v>4125</v>
      </c>
    </row>
    <row r="2146" spans="1:1">
      <c r="A2146" s="153" t="s">
        <v>4126</v>
      </c>
    </row>
    <row r="2147" spans="1:1">
      <c r="A2147" s="153" t="s">
        <v>4127</v>
      </c>
    </row>
    <row r="2148" spans="1:1">
      <c r="A2148" s="153" t="s">
        <v>4128</v>
      </c>
    </row>
    <row r="2149" spans="1:1">
      <c r="A2149" s="153" t="s">
        <v>4129</v>
      </c>
    </row>
    <row r="2150" spans="1:1">
      <c r="A2150" s="153" t="s">
        <v>4130</v>
      </c>
    </row>
    <row r="2151" spans="1:1">
      <c r="A2151" s="153" t="s">
        <v>4131</v>
      </c>
    </row>
    <row r="2152" spans="1:1">
      <c r="A2152" s="153" t="s">
        <v>4132</v>
      </c>
    </row>
    <row r="2153" spans="1:1">
      <c r="A2153" s="153" t="s">
        <v>4133</v>
      </c>
    </row>
    <row r="2154" spans="1:1">
      <c r="A2154" s="153" t="s">
        <v>4134</v>
      </c>
    </row>
    <row r="2155" spans="1:1">
      <c r="A2155" s="153" t="s">
        <v>4135</v>
      </c>
    </row>
    <row r="2156" spans="1:1">
      <c r="A2156" s="153" t="s">
        <v>4136</v>
      </c>
    </row>
    <row r="2157" spans="1:1">
      <c r="A2157" s="153" t="s">
        <v>4137</v>
      </c>
    </row>
    <row r="2158" spans="1:1">
      <c r="A2158" s="153" t="s">
        <v>4138</v>
      </c>
    </row>
    <row r="2159" spans="1:1">
      <c r="A2159" s="153" t="s">
        <v>4139</v>
      </c>
    </row>
    <row r="2160" spans="1:1">
      <c r="A2160" s="153" t="s">
        <v>4140</v>
      </c>
    </row>
    <row r="2161" spans="1:1">
      <c r="A2161" s="153" t="s">
        <v>4141</v>
      </c>
    </row>
    <row r="2162" spans="1:1">
      <c r="A2162" s="153" t="s">
        <v>4142</v>
      </c>
    </row>
    <row r="2163" spans="1:1">
      <c r="A2163" s="153" t="s">
        <v>4143</v>
      </c>
    </row>
    <row r="2164" spans="1:1">
      <c r="A2164" s="153" t="s">
        <v>4144</v>
      </c>
    </row>
    <row r="2165" spans="1:1">
      <c r="A2165" s="153" t="s">
        <v>4145</v>
      </c>
    </row>
    <row r="2166" spans="1:1">
      <c r="A2166" s="153" t="s">
        <v>4146</v>
      </c>
    </row>
    <row r="2167" spans="1:1">
      <c r="A2167" s="153" t="s">
        <v>4147</v>
      </c>
    </row>
    <row r="2168" spans="1:1">
      <c r="A2168" s="153" t="s">
        <v>4148</v>
      </c>
    </row>
    <row r="2169" spans="1:1">
      <c r="A2169" s="153" t="s">
        <v>4149</v>
      </c>
    </row>
    <row r="2170" spans="1:1">
      <c r="A2170" s="153" t="s">
        <v>4150</v>
      </c>
    </row>
    <row r="2171" spans="1:1">
      <c r="A2171" s="153" t="s">
        <v>4151</v>
      </c>
    </row>
    <row r="2172" spans="1:1">
      <c r="A2172" s="153" t="s">
        <v>4152</v>
      </c>
    </row>
    <row r="2173" spans="1:1">
      <c r="A2173" s="153" t="s">
        <v>4153</v>
      </c>
    </row>
    <row r="2174" spans="1:1">
      <c r="A2174" s="153" t="s">
        <v>4154</v>
      </c>
    </row>
    <row r="2175" spans="1:1">
      <c r="A2175" s="153" t="s">
        <v>4155</v>
      </c>
    </row>
    <row r="2176" spans="1:1">
      <c r="A2176" s="153" t="s">
        <v>4156</v>
      </c>
    </row>
    <row r="2177" spans="1:1">
      <c r="A2177" s="153" t="s">
        <v>4157</v>
      </c>
    </row>
    <row r="2178" spans="1:1">
      <c r="A2178" s="153" t="s">
        <v>4158</v>
      </c>
    </row>
    <row r="2179" spans="1:1">
      <c r="A2179" s="153" t="s">
        <v>4159</v>
      </c>
    </row>
    <row r="2180" spans="1:1">
      <c r="A2180" s="153" t="s">
        <v>4160</v>
      </c>
    </row>
    <row r="2181" spans="1:1">
      <c r="A2181" s="153" t="s">
        <v>4161</v>
      </c>
    </row>
    <row r="2182" spans="1:1">
      <c r="A2182" s="153" t="s">
        <v>4162</v>
      </c>
    </row>
    <row r="2183" spans="1:1">
      <c r="A2183" s="153" t="s">
        <v>4163</v>
      </c>
    </row>
    <row r="2184" spans="1:1">
      <c r="A2184" s="153" t="s">
        <v>4164</v>
      </c>
    </row>
    <row r="2185" spans="1:1">
      <c r="A2185" s="153" t="s">
        <v>4165</v>
      </c>
    </row>
    <row r="2186" spans="1:1">
      <c r="A2186" s="153" t="s">
        <v>4166</v>
      </c>
    </row>
    <row r="2187" spans="1:1">
      <c r="A2187" s="153" t="s">
        <v>4167</v>
      </c>
    </row>
    <row r="2188" spans="1:1">
      <c r="A2188" s="153" t="s">
        <v>4168</v>
      </c>
    </row>
    <row r="2189" spans="1:1">
      <c r="A2189" s="153" t="s">
        <v>4169</v>
      </c>
    </row>
    <row r="2190" spans="1:1">
      <c r="A2190" s="153" t="s">
        <v>4170</v>
      </c>
    </row>
    <row r="2191" spans="1:1">
      <c r="A2191" s="153" t="s">
        <v>4171</v>
      </c>
    </row>
    <row r="2192" spans="1:1">
      <c r="A2192" s="153" t="s">
        <v>4172</v>
      </c>
    </row>
    <row r="2193" spans="1:1">
      <c r="A2193" s="153" t="s">
        <v>4173</v>
      </c>
    </row>
    <row r="2194" spans="1:1">
      <c r="A2194" s="153" t="s">
        <v>4174</v>
      </c>
    </row>
    <row r="2195" spans="1:1">
      <c r="A2195" s="153" t="s">
        <v>4175</v>
      </c>
    </row>
    <row r="2196" spans="1:1">
      <c r="A2196" s="153" t="s">
        <v>4176</v>
      </c>
    </row>
    <row r="2197" spans="1:1">
      <c r="A2197" s="153" t="s">
        <v>4177</v>
      </c>
    </row>
    <row r="2198" spans="1:1">
      <c r="A2198" s="153" t="s">
        <v>4178</v>
      </c>
    </row>
    <row r="2199" spans="1:1">
      <c r="A2199" s="153" t="s">
        <v>4179</v>
      </c>
    </row>
    <row r="2200" spans="1:1">
      <c r="A2200" s="153" t="s">
        <v>4180</v>
      </c>
    </row>
    <row r="2201" spans="1:1">
      <c r="A2201" s="153" t="s">
        <v>4181</v>
      </c>
    </row>
    <row r="2202" spans="1:1">
      <c r="A2202" s="153" t="s">
        <v>4182</v>
      </c>
    </row>
    <row r="2203" spans="1:1">
      <c r="A2203" s="153" t="s">
        <v>4183</v>
      </c>
    </row>
    <row r="2204" spans="1:1">
      <c r="A2204" s="153" t="s">
        <v>4184</v>
      </c>
    </row>
    <row r="2205" spans="1:1">
      <c r="A2205" s="153" t="s">
        <v>4185</v>
      </c>
    </row>
    <row r="2206" spans="1:1">
      <c r="A2206" s="153" t="s">
        <v>4186</v>
      </c>
    </row>
    <row r="2207" spans="1:1">
      <c r="A2207" s="153" t="s">
        <v>4187</v>
      </c>
    </row>
    <row r="2208" spans="1:1">
      <c r="A2208" s="153" t="s">
        <v>4188</v>
      </c>
    </row>
    <row r="2209" spans="1:1">
      <c r="A2209" s="153" t="s">
        <v>4189</v>
      </c>
    </row>
    <row r="2210" spans="1:1">
      <c r="A2210" s="153" t="s">
        <v>4190</v>
      </c>
    </row>
    <row r="2211" spans="1:1">
      <c r="A2211" s="153" t="s">
        <v>4191</v>
      </c>
    </row>
    <row r="2212" spans="1:1">
      <c r="A2212" s="153" t="s">
        <v>4192</v>
      </c>
    </row>
    <row r="2213" spans="1:1">
      <c r="A2213" s="153" t="s">
        <v>4193</v>
      </c>
    </row>
    <row r="2214" spans="1:1">
      <c r="A2214" s="153" t="s">
        <v>4194</v>
      </c>
    </row>
    <row r="2215" spans="1:1">
      <c r="A2215" s="153" t="s">
        <v>4195</v>
      </c>
    </row>
    <row r="2216" spans="1:1">
      <c r="A2216" s="153" t="s">
        <v>4196</v>
      </c>
    </row>
    <row r="2217" spans="1:1">
      <c r="A2217" s="153" t="s">
        <v>4197</v>
      </c>
    </row>
    <row r="2218" spans="1:1">
      <c r="A2218" s="153" t="s">
        <v>4198</v>
      </c>
    </row>
    <row r="2219" spans="1:1">
      <c r="A2219" s="153" t="s">
        <v>4199</v>
      </c>
    </row>
    <row r="2220" spans="1:1">
      <c r="A2220" s="153" t="s">
        <v>4200</v>
      </c>
    </row>
    <row r="2221" spans="1:1">
      <c r="A2221" s="153" t="s">
        <v>4201</v>
      </c>
    </row>
    <row r="2222" spans="1:1">
      <c r="A2222" s="153" t="s">
        <v>4202</v>
      </c>
    </row>
    <row r="2223" spans="1:1">
      <c r="A2223" s="153" t="s">
        <v>4203</v>
      </c>
    </row>
    <row r="2224" spans="1:1">
      <c r="A2224" s="153" t="s">
        <v>4204</v>
      </c>
    </row>
    <row r="2225" spans="1:1">
      <c r="A2225" s="153" t="s">
        <v>4205</v>
      </c>
    </row>
    <row r="2226" spans="1:1">
      <c r="A2226" s="153" t="s">
        <v>4206</v>
      </c>
    </row>
    <row r="2227" spans="1:1">
      <c r="A2227" s="153" t="s">
        <v>4207</v>
      </c>
    </row>
    <row r="2228" spans="1:1">
      <c r="A2228" s="153" t="s">
        <v>4208</v>
      </c>
    </row>
    <row r="2229" spans="1:1">
      <c r="A2229" s="153" t="s">
        <v>4209</v>
      </c>
    </row>
    <row r="2230" spans="1:1">
      <c r="A2230" s="153" t="s">
        <v>4210</v>
      </c>
    </row>
    <row r="2231" spans="1:1">
      <c r="A2231" s="153" t="s">
        <v>4211</v>
      </c>
    </row>
    <row r="2232" spans="1:1">
      <c r="A2232" s="153" t="s">
        <v>4212</v>
      </c>
    </row>
    <row r="2233" spans="1:1">
      <c r="A2233" s="153" t="s">
        <v>4213</v>
      </c>
    </row>
    <row r="2234" spans="1:1">
      <c r="A2234" s="153" t="s">
        <v>4214</v>
      </c>
    </row>
    <row r="2235" spans="1:1">
      <c r="A2235" s="153" t="s">
        <v>4215</v>
      </c>
    </row>
    <row r="2236" spans="1:1">
      <c r="A2236" s="153" t="s">
        <v>4216</v>
      </c>
    </row>
    <row r="2237" spans="1:1">
      <c r="A2237" s="153" t="s">
        <v>4217</v>
      </c>
    </row>
    <row r="2238" spans="1:1">
      <c r="A2238" s="153" t="s">
        <v>4218</v>
      </c>
    </row>
    <row r="2239" spans="1:1">
      <c r="A2239" s="153" t="s">
        <v>4219</v>
      </c>
    </row>
    <row r="2240" spans="1:1">
      <c r="A2240" s="153" t="s">
        <v>4220</v>
      </c>
    </row>
    <row r="2241" spans="1:1">
      <c r="A2241" s="153" t="s">
        <v>4221</v>
      </c>
    </row>
    <row r="2242" spans="1:1">
      <c r="A2242" s="153" t="s">
        <v>4222</v>
      </c>
    </row>
    <row r="2243" spans="1:1">
      <c r="A2243" s="153" t="s">
        <v>4223</v>
      </c>
    </row>
    <row r="2244" spans="1:1">
      <c r="A2244" s="153" t="s">
        <v>4224</v>
      </c>
    </row>
    <row r="2245" spans="1:1">
      <c r="A2245" s="153" t="s">
        <v>4225</v>
      </c>
    </row>
    <row r="2246" spans="1:1">
      <c r="A2246" s="153" t="s">
        <v>4226</v>
      </c>
    </row>
    <row r="2247" spans="1:1">
      <c r="A2247" s="153" t="s">
        <v>4227</v>
      </c>
    </row>
    <row r="2248" spans="1:1">
      <c r="A2248" s="153" t="s">
        <v>4228</v>
      </c>
    </row>
    <row r="2249" spans="1:1">
      <c r="A2249" s="153" t="s">
        <v>4229</v>
      </c>
    </row>
    <row r="2250" spans="1:1">
      <c r="A2250" s="153" t="s">
        <v>4230</v>
      </c>
    </row>
    <row r="2251" spans="1:1">
      <c r="A2251" s="153" t="s">
        <v>4231</v>
      </c>
    </row>
    <row r="2252" spans="1:1">
      <c r="A2252" s="153" t="s">
        <v>4232</v>
      </c>
    </row>
    <row r="2253" spans="1:1">
      <c r="A2253" s="153" t="s">
        <v>4233</v>
      </c>
    </row>
    <row r="2254" spans="1:1">
      <c r="A2254" s="153" t="s">
        <v>4234</v>
      </c>
    </row>
    <row r="2255" spans="1:1">
      <c r="A2255" s="153" t="s">
        <v>4235</v>
      </c>
    </row>
    <row r="2256" spans="1:1">
      <c r="A2256" s="153" t="s">
        <v>4236</v>
      </c>
    </row>
    <row r="2257" spans="1:1">
      <c r="A2257" s="153" t="s">
        <v>4237</v>
      </c>
    </row>
    <row r="2258" spans="1:1">
      <c r="A2258" s="153" t="s">
        <v>4238</v>
      </c>
    </row>
    <row r="2259" spans="1:1">
      <c r="A2259" s="153" t="s">
        <v>4239</v>
      </c>
    </row>
    <row r="2260" spans="1:1">
      <c r="A2260" s="153" t="s">
        <v>4240</v>
      </c>
    </row>
    <row r="2261" spans="1:1">
      <c r="A2261" s="153" t="s">
        <v>4241</v>
      </c>
    </row>
    <row r="2262" spans="1:1">
      <c r="A2262" s="153" t="s">
        <v>4242</v>
      </c>
    </row>
    <row r="2263" spans="1:1">
      <c r="A2263" s="153" t="s">
        <v>4243</v>
      </c>
    </row>
    <row r="2264" spans="1:1">
      <c r="A2264" s="153" t="s">
        <v>4244</v>
      </c>
    </row>
    <row r="2265" spans="1:1">
      <c r="A2265" s="153" t="s">
        <v>4245</v>
      </c>
    </row>
    <row r="2266" spans="1:1">
      <c r="A2266" s="153" t="s">
        <v>4246</v>
      </c>
    </row>
    <row r="2267" spans="1:1">
      <c r="A2267" s="153" t="s">
        <v>4247</v>
      </c>
    </row>
    <row r="2268" spans="1:1">
      <c r="A2268" s="153" t="s">
        <v>4248</v>
      </c>
    </row>
    <row r="2269" spans="1:1">
      <c r="A2269" s="153" t="s">
        <v>4249</v>
      </c>
    </row>
    <row r="2270" spans="1:1">
      <c r="A2270" s="153" t="s">
        <v>4250</v>
      </c>
    </row>
    <row r="2271" spans="1:1">
      <c r="A2271" s="153" t="s">
        <v>4251</v>
      </c>
    </row>
    <row r="2272" spans="1:1">
      <c r="A2272" s="153" t="s">
        <v>4252</v>
      </c>
    </row>
    <row r="2273" spans="1:1">
      <c r="A2273" s="153" t="s">
        <v>4253</v>
      </c>
    </row>
    <row r="2274" spans="1:1">
      <c r="A2274" s="153" t="s">
        <v>4254</v>
      </c>
    </row>
    <row r="2275" spans="1:1">
      <c r="A2275" s="153" t="s">
        <v>4255</v>
      </c>
    </row>
    <row r="2276" spans="1:1">
      <c r="A2276" s="153" t="s">
        <v>4256</v>
      </c>
    </row>
    <row r="2277" spans="1:1">
      <c r="A2277" s="153" t="s">
        <v>4257</v>
      </c>
    </row>
    <row r="2278" spans="1:1">
      <c r="A2278" s="153" t="s">
        <v>4258</v>
      </c>
    </row>
    <row r="2279" spans="1:1">
      <c r="A2279" s="153" t="s">
        <v>4259</v>
      </c>
    </row>
    <row r="2280" spans="1:1">
      <c r="A2280" s="153" t="s">
        <v>4260</v>
      </c>
    </row>
    <row r="2281" spans="1:1">
      <c r="A2281" s="153" t="s">
        <v>4261</v>
      </c>
    </row>
    <row r="2282" spans="1:1">
      <c r="A2282" s="153" t="s">
        <v>4262</v>
      </c>
    </row>
    <row r="2283" spans="1:1">
      <c r="A2283" s="153" t="s">
        <v>4263</v>
      </c>
    </row>
    <row r="2284" spans="1:1">
      <c r="A2284" s="153" t="s">
        <v>4264</v>
      </c>
    </row>
    <row r="2285" spans="1:1">
      <c r="A2285" s="153" t="s">
        <v>4265</v>
      </c>
    </row>
    <row r="2286" spans="1:1">
      <c r="A2286" s="153" t="s">
        <v>4266</v>
      </c>
    </row>
    <row r="2287" spans="1:1">
      <c r="A2287" s="153" t="s">
        <v>4267</v>
      </c>
    </row>
    <row r="2288" spans="1:1">
      <c r="A2288" s="153" t="s">
        <v>4268</v>
      </c>
    </row>
    <row r="2289" spans="1:1">
      <c r="A2289" s="153" t="s">
        <v>4269</v>
      </c>
    </row>
    <row r="2290" spans="1:1">
      <c r="A2290" s="153" t="s">
        <v>4270</v>
      </c>
    </row>
    <row r="2291" spans="1:1">
      <c r="A2291" s="153" t="s">
        <v>4271</v>
      </c>
    </row>
    <row r="2292" spans="1:1">
      <c r="A2292" s="153" t="s">
        <v>4272</v>
      </c>
    </row>
    <row r="2293" spans="1:1">
      <c r="A2293" s="153" t="s">
        <v>4273</v>
      </c>
    </row>
    <row r="2294" spans="1:1">
      <c r="A2294" s="153" t="s">
        <v>4274</v>
      </c>
    </row>
    <row r="2295" spans="1:1">
      <c r="A2295" s="153" t="s">
        <v>4275</v>
      </c>
    </row>
    <row r="2296" spans="1:1">
      <c r="A2296" s="153" t="s">
        <v>4276</v>
      </c>
    </row>
    <row r="2297" spans="1:1">
      <c r="A2297" s="153" t="s">
        <v>4277</v>
      </c>
    </row>
    <row r="2298" spans="1:1">
      <c r="A2298" s="153" t="s">
        <v>4278</v>
      </c>
    </row>
    <row r="2299" spans="1:1">
      <c r="A2299" s="153" t="s">
        <v>4279</v>
      </c>
    </row>
    <row r="2300" spans="1:1">
      <c r="A2300" s="153" t="s">
        <v>4280</v>
      </c>
    </row>
    <row r="2301" spans="1:1">
      <c r="A2301" s="153" t="s">
        <v>4281</v>
      </c>
    </row>
    <row r="2302" spans="1:1">
      <c r="A2302" s="153" t="s">
        <v>4282</v>
      </c>
    </row>
    <row r="2303" spans="1:1">
      <c r="A2303" s="153" t="s">
        <v>4283</v>
      </c>
    </row>
    <row r="2304" spans="1:1">
      <c r="A2304" s="153" t="s">
        <v>4284</v>
      </c>
    </row>
    <row r="2305" spans="1:1">
      <c r="A2305" s="153" t="s">
        <v>4285</v>
      </c>
    </row>
    <row r="2306" spans="1:1">
      <c r="A2306" s="153" t="s">
        <v>4286</v>
      </c>
    </row>
    <row r="2307" spans="1:1">
      <c r="A2307" s="153" t="s">
        <v>4287</v>
      </c>
    </row>
    <row r="2308" spans="1:1">
      <c r="A2308" s="153" t="s">
        <v>4288</v>
      </c>
    </row>
    <row r="2309" spans="1:1">
      <c r="A2309" s="153" t="s">
        <v>4289</v>
      </c>
    </row>
    <row r="2310" spans="1:1">
      <c r="A2310" s="153" t="s">
        <v>4290</v>
      </c>
    </row>
    <row r="2311" spans="1:1">
      <c r="A2311" s="153" t="s">
        <v>4291</v>
      </c>
    </row>
    <row r="2312" spans="1:1">
      <c r="A2312" s="153" t="s">
        <v>4292</v>
      </c>
    </row>
    <row r="2313" spans="1:1">
      <c r="A2313" s="153" t="s">
        <v>4293</v>
      </c>
    </row>
    <row r="2314" spans="1:1">
      <c r="A2314" s="153" t="s">
        <v>4294</v>
      </c>
    </row>
    <row r="2315" spans="1:1">
      <c r="A2315" s="153" t="s">
        <v>4295</v>
      </c>
    </row>
    <row r="2316" spans="1:1">
      <c r="A2316" s="153" t="s">
        <v>4296</v>
      </c>
    </row>
    <row r="2317" spans="1:1">
      <c r="A2317" s="153" t="s">
        <v>4297</v>
      </c>
    </row>
    <row r="2318" spans="1:1">
      <c r="A2318" s="153" t="s">
        <v>4298</v>
      </c>
    </row>
    <row r="2319" spans="1:1">
      <c r="A2319" s="153" t="s">
        <v>4299</v>
      </c>
    </row>
    <row r="2320" spans="1:1">
      <c r="A2320" s="153" t="s">
        <v>4300</v>
      </c>
    </row>
    <row r="2321" spans="1:1">
      <c r="A2321" s="153" t="s">
        <v>4301</v>
      </c>
    </row>
    <row r="2322" spans="1:1">
      <c r="A2322" s="153" t="s">
        <v>4302</v>
      </c>
    </row>
    <row r="2323" spans="1:1">
      <c r="A2323" s="153" t="s">
        <v>4303</v>
      </c>
    </row>
    <row r="2324" spans="1:1">
      <c r="A2324" s="153" t="s">
        <v>4304</v>
      </c>
    </row>
    <row r="2325" spans="1:1">
      <c r="A2325" s="153" t="s">
        <v>4305</v>
      </c>
    </row>
    <row r="2326" spans="1:1">
      <c r="A2326" s="153" t="s">
        <v>4306</v>
      </c>
    </row>
    <row r="2327" spans="1:1">
      <c r="A2327" s="153" t="s">
        <v>4307</v>
      </c>
    </row>
    <row r="2328" spans="1:1">
      <c r="A2328" s="153" t="s">
        <v>4308</v>
      </c>
    </row>
    <row r="2329" spans="1:1">
      <c r="A2329" s="153" t="s">
        <v>4309</v>
      </c>
    </row>
    <row r="2330" spans="1:1">
      <c r="A2330" s="153" t="s">
        <v>4310</v>
      </c>
    </row>
    <row r="2331" spans="1:1">
      <c r="A2331" s="153" t="s">
        <v>4311</v>
      </c>
    </row>
    <row r="2332" spans="1:1">
      <c r="A2332" s="153" t="s">
        <v>4312</v>
      </c>
    </row>
    <row r="2333" spans="1:1">
      <c r="A2333" s="153" t="s">
        <v>4313</v>
      </c>
    </row>
    <row r="2334" spans="1:1">
      <c r="A2334" s="153" t="s">
        <v>4314</v>
      </c>
    </row>
    <row r="2335" spans="1:1">
      <c r="A2335" s="153" t="s">
        <v>4315</v>
      </c>
    </row>
    <row r="2336" spans="1:1">
      <c r="A2336" s="153" t="s">
        <v>4316</v>
      </c>
    </row>
    <row r="2337" spans="1:1">
      <c r="A2337" s="153" t="s">
        <v>4317</v>
      </c>
    </row>
    <row r="2338" spans="1:1">
      <c r="A2338" s="153" t="s">
        <v>4318</v>
      </c>
    </row>
    <row r="2339" spans="1:1">
      <c r="A2339" s="153" t="s">
        <v>4319</v>
      </c>
    </row>
    <row r="2340" spans="1:1">
      <c r="A2340" s="153" t="s">
        <v>4320</v>
      </c>
    </row>
    <row r="2341" spans="1:1">
      <c r="A2341" s="153" t="s">
        <v>4321</v>
      </c>
    </row>
    <row r="2342" spans="1:1">
      <c r="A2342" s="153" t="s">
        <v>4322</v>
      </c>
    </row>
    <row r="2343" spans="1:1">
      <c r="A2343" s="153" t="s">
        <v>4323</v>
      </c>
    </row>
    <row r="2344" spans="1:1">
      <c r="A2344" s="153" t="s">
        <v>4324</v>
      </c>
    </row>
    <row r="2345" spans="1:1">
      <c r="A2345" s="153" t="s">
        <v>4325</v>
      </c>
    </row>
    <row r="2346" spans="1:1">
      <c r="A2346" s="153" t="s">
        <v>4326</v>
      </c>
    </row>
    <row r="2347" spans="1:1">
      <c r="A2347" s="153" t="s">
        <v>4327</v>
      </c>
    </row>
    <row r="2348" spans="1:1">
      <c r="A2348" s="153" t="s">
        <v>4328</v>
      </c>
    </row>
    <row r="2349" spans="1:1">
      <c r="A2349" s="153" t="s">
        <v>4329</v>
      </c>
    </row>
    <row r="2350" spans="1:1">
      <c r="A2350" s="153" t="s">
        <v>4330</v>
      </c>
    </row>
    <row r="2351" spans="1:1">
      <c r="A2351" s="153" t="s">
        <v>4331</v>
      </c>
    </row>
    <row r="2352" spans="1:1">
      <c r="A2352" s="153" t="s">
        <v>4332</v>
      </c>
    </row>
    <row r="2353" spans="1:1">
      <c r="A2353" s="153" t="s">
        <v>4333</v>
      </c>
    </row>
    <row r="2354" spans="1:1">
      <c r="A2354" s="153" t="s">
        <v>4334</v>
      </c>
    </row>
    <row r="2355" spans="1:1">
      <c r="A2355" s="153" t="s">
        <v>4335</v>
      </c>
    </row>
    <row r="2356" spans="1:1">
      <c r="A2356" s="153" t="s">
        <v>4336</v>
      </c>
    </row>
    <row r="2357" spans="1:1">
      <c r="A2357" s="153" t="s">
        <v>4337</v>
      </c>
    </row>
    <row r="2358" spans="1:1">
      <c r="A2358" s="153" t="s">
        <v>4338</v>
      </c>
    </row>
    <row r="2359" spans="1:1">
      <c r="A2359" s="153" t="s">
        <v>4339</v>
      </c>
    </row>
    <row r="2360" spans="1:1">
      <c r="A2360" s="153" t="s">
        <v>4340</v>
      </c>
    </row>
    <row r="2361" spans="1:1">
      <c r="A2361" s="153" t="s">
        <v>4341</v>
      </c>
    </row>
    <row r="2362" spans="1:1">
      <c r="A2362" s="153" t="s">
        <v>4342</v>
      </c>
    </row>
    <row r="2363" spans="1:1">
      <c r="A2363" s="153" t="s">
        <v>4343</v>
      </c>
    </row>
    <row r="2364" spans="1:1">
      <c r="A2364" s="153" t="s">
        <v>4344</v>
      </c>
    </row>
    <row r="2365" spans="1:1">
      <c r="A2365" s="153" t="s">
        <v>4345</v>
      </c>
    </row>
    <row r="2366" spans="1:1">
      <c r="A2366" s="153" t="s">
        <v>4346</v>
      </c>
    </row>
    <row r="2367" spans="1:1">
      <c r="A2367" s="153" t="s">
        <v>4347</v>
      </c>
    </row>
    <row r="2368" spans="1:1">
      <c r="A2368" s="153" t="s">
        <v>4348</v>
      </c>
    </row>
    <row r="2369" spans="1:1">
      <c r="A2369" s="153" t="s">
        <v>4349</v>
      </c>
    </row>
    <row r="2370" spans="1:1">
      <c r="A2370" s="153" t="s">
        <v>4350</v>
      </c>
    </row>
    <row r="2371" spans="1:1">
      <c r="A2371" s="153" t="s">
        <v>4351</v>
      </c>
    </row>
    <row r="2372" spans="1:1">
      <c r="A2372" s="153" t="s">
        <v>4352</v>
      </c>
    </row>
    <row r="2373" spans="1:1">
      <c r="A2373" s="153" t="s">
        <v>4353</v>
      </c>
    </row>
    <row r="2374" spans="1:1">
      <c r="A2374" s="153" t="s">
        <v>4354</v>
      </c>
    </row>
    <row r="2375" spans="1:1">
      <c r="A2375" s="153" t="s">
        <v>4355</v>
      </c>
    </row>
    <row r="2376" spans="1:1">
      <c r="A2376" s="153" t="s">
        <v>4356</v>
      </c>
    </row>
    <row r="2377" spans="1:1">
      <c r="A2377" s="153" t="s">
        <v>4357</v>
      </c>
    </row>
    <row r="2378" spans="1:1">
      <c r="A2378" s="153" t="s">
        <v>4358</v>
      </c>
    </row>
    <row r="2379" spans="1:1">
      <c r="A2379" s="153" t="s">
        <v>4359</v>
      </c>
    </row>
    <row r="2380" spans="1:1">
      <c r="A2380" s="153" t="s">
        <v>4360</v>
      </c>
    </row>
    <row r="2381" spans="1:1">
      <c r="A2381" s="153" t="s">
        <v>4361</v>
      </c>
    </row>
    <row r="2382" spans="1:1">
      <c r="A2382" s="153" t="s">
        <v>4362</v>
      </c>
    </row>
    <row r="2383" spans="1:1">
      <c r="A2383" s="153" t="s">
        <v>4363</v>
      </c>
    </row>
    <row r="2384" spans="1:1">
      <c r="A2384" s="153" t="s">
        <v>4364</v>
      </c>
    </row>
    <row r="2385" spans="1:1">
      <c r="A2385" s="153" t="s">
        <v>4365</v>
      </c>
    </row>
    <row r="2386" spans="1:1">
      <c r="A2386" s="153" t="s">
        <v>4366</v>
      </c>
    </row>
    <row r="2387" spans="1:1">
      <c r="A2387" s="153" t="s">
        <v>4367</v>
      </c>
    </row>
    <row r="2388" spans="1:1">
      <c r="A2388" s="153" t="s">
        <v>4368</v>
      </c>
    </row>
    <row r="2389" spans="1:1">
      <c r="A2389" s="153" t="s">
        <v>4369</v>
      </c>
    </row>
    <row r="2390" spans="1:1">
      <c r="A2390" s="153" t="s">
        <v>4370</v>
      </c>
    </row>
    <row r="2391" spans="1:1">
      <c r="A2391" s="153" t="s">
        <v>4371</v>
      </c>
    </row>
    <row r="2392" spans="1:1">
      <c r="A2392" s="153" t="s">
        <v>4372</v>
      </c>
    </row>
    <row r="2393" spans="1:1">
      <c r="A2393" s="153" t="s">
        <v>4373</v>
      </c>
    </row>
    <row r="2394" spans="1:1">
      <c r="A2394" s="153" t="s">
        <v>4374</v>
      </c>
    </row>
    <row r="2395" spans="1:1">
      <c r="A2395" s="153" t="s">
        <v>4375</v>
      </c>
    </row>
    <row r="2396" spans="1:1">
      <c r="A2396" s="153" t="s">
        <v>4376</v>
      </c>
    </row>
    <row r="2397" spans="1:1">
      <c r="A2397" s="153" t="s">
        <v>4377</v>
      </c>
    </row>
    <row r="2398" spans="1:1">
      <c r="A2398" s="153" t="s">
        <v>4378</v>
      </c>
    </row>
    <row r="2399" spans="1:1">
      <c r="A2399" s="153" t="s">
        <v>4379</v>
      </c>
    </row>
    <row r="2400" spans="1:1">
      <c r="A2400" s="153" t="s">
        <v>4380</v>
      </c>
    </row>
    <row r="2401" spans="1:1">
      <c r="A2401" s="153" t="s">
        <v>4381</v>
      </c>
    </row>
    <row r="2402" spans="1:1">
      <c r="A2402" s="153" t="s">
        <v>4382</v>
      </c>
    </row>
    <row r="2403" spans="1:1">
      <c r="A2403" s="153" t="s">
        <v>4383</v>
      </c>
    </row>
    <row r="2404" spans="1:1">
      <c r="A2404" s="153" t="s">
        <v>4384</v>
      </c>
    </row>
    <row r="2405" spans="1:1">
      <c r="A2405" s="153" t="s">
        <v>4385</v>
      </c>
    </row>
    <row r="2406" spans="1:1">
      <c r="A2406" s="153" t="s">
        <v>4386</v>
      </c>
    </row>
    <row r="2407" spans="1:1">
      <c r="A2407" s="153" t="s">
        <v>4387</v>
      </c>
    </row>
    <row r="2408" spans="1:1">
      <c r="A2408" s="153" t="s">
        <v>4388</v>
      </c>
    </row>
    <row r="2409" spans="1:1">
      <c r="A2409" s="153" t="s">
        <v>4389</v>
      </c>
    </row>
    <row r="2410" spans="1:1">
      <c r="A2410" s="153" t="s">
        <v>4390</v>
      </c>
    </row>
    <row r="2411" spans="1:1">
      <c r="A2411" s="153" t="s">
        <v>4391</v>
      </c>
    </row>
    <row r="2412" spans="1:1">
      <c r="A2412" s="153" t="s">
        <v>4392</v>
      </c>
    </row>
    <row r="2413" spans="1:1">
      <c r="A2413" s="153" t="s">
        <v>4393</v>
      </c>
    </row>
    <row r="2414" spans="1:1">
      <c r="A2414" s="153" t="s">
        <v>4394</v>
      </c>
    </row>
    <row r="2415" spans="1:1">
      <c r="A2415" s="153" t="s">
        <v>4395</v>
      </c>
    </row>
    <row r="2416" spans="1:1">
      <c r="A2416" s="153" t="s">
        <v>4396</v>
      </c>
    </row>
    <row r="2417" spans="1:1">
      <c r="A2417" s="153" t="s">
        <v>4397</v>
      </c>
    </row>
    <row r="2418" spans="1:1">
      <c r="A2418" s="153" t="s">
        <v>4398</v>
      </c>
    </row>
    <row r="2419" spans="1:1">
      <c r="A2419" s="153" t="s">
        <v>4399</v>
      </c>
    </row>
    <row r="2420" spans="1:1">
      <c r="A2420" s="153" t="s">
        <v>4400</v>
      </c>
    </row>
    <row r="2421" spans="1:1">
      <c r="A2421" s="153" t="s">
        <v>4401</v>
      </c>
    </row>
    <row r="2422" spans="1:1">
      <c r="A2422" s="153" t="s">
        <v>4402</v>
      </c>
    </row>
    <row r="2423" spans="1:1">
      <c r="A2423" s="153" t="s">
        <v>4403</v>
      </c>
    </row>
    <row r="2424" spans="1:1">
      <c r="A2424" s="153" t="s">
        <v>4404</v>
      </c>
    </row>
    <row r="2425" spans="1:1">
      <c r="A2425" s="153" t="s">
        <v>4405</v>
      </c>
    </row>
    <row r="2426" spans="1:1">
      <c r="A2426" s="153" t="s">
        <v>4406</v>
      </c>
    </row>
    <row r="2427" spans="1:1">
      <c r="A2427" s="153" t="s">
        <v>4407</v>
      </c>
    </row>
    <row r="2428" spans="1:1">
      <c r="A2428" s="153" t="s">
        <v>4408</v>
      </c>
    </row>
    <row r="2429" spans="1:1">
      <c r="A2429" s="153" t="s">
        <v>4409</v>
      </c>
    </row>
    <row r="2430" spans="1:1">
      <c r="A2430" s="153" t="s">
        <v>4410</v>
      </c>
    </row>
    <row r="2431" spans="1:1">
      <c r="A2431" s="153" t="s">
        <v>4411</v>
      </c>
    </row>
    <row r="2432" spans="1:1">
      <c r="A2432" s="153" t="s">
        <v>4412</v>
      </c>
    </row>
    <row r="2433" spans="1:1">
      <c r="A2433" s="153" t="s">
        <v>4413</v>
      </c>
    </row>
    <row r="2434" spans="1:1">
      <c r="A2434" s="153" t="s">
        <v>4414</v>
      </c>
    </row>
    <row r="2435" spans="1:1">
      <c r="A2435" s="153" t="s">
        <v>4415</v>
      </c>
    </row>
    <row r="2436" spans="1:1">
      <c r="A2436" s="153" t="s">
        <v>4416</v>
      </c>
    </row>
    <row r="2437" spans="1:1">
      <c r="A2437" s="153" t="s">
        <v>4417</v>
      </c>
    </row>
    <row r="2438" spans="1:1">
      <c r="A2438" s="153" t="s">
        <v>4418</v>
      </c>
    </row>
    <row r="2439" spans="1:1">
      <c r="A2439" s="153" t="s">
        <v>4419</v>
      </c>
    </row>
    <row r="2440" spans="1:1">
      <c r="A2440" s="153" t="s">
        <v>4420</v>
      </c>
    </row>
    <row r="2441" spans="1:1">
      <c r="A2441" s="153" t="s">
        <v>4421</v>
      </c>
    </row>
    <row r="2442" spans="1:1">
      <c r="A2442" s="153" t="s">
        <v>4422</v>
      </c>
    </row>
    <row r="2443" spans="1:1">
      <c r="A2443" s="153" t="s">
        <v>4423</v>
      </c>
    </row>
    <row r="2444" spans="1:1">
      <c r="A2444" s="153" t="s">
        <v>4424</v>
      </c>
    </row>
    <row r="2445" spans="1:1">
      <c r="A2445" s="153" t="s">
        <v>4425</v>
      </c>
    </row>
    <row r="2446" spans="1:1">
      <c r="A2446" s="153" t="s">
        <v>4426</v>
      </c>
    </row>
    <row r="2447" spans="1:1">
      <c r="A2447" s="153" t="s">
        <v>4427</v>
      </c>
    </row>
    <row r="2448" spans="1:1">
      <c r="A2448" s="153" t="s">
        <v>4428</v>
      </c>
    </row>
    <row r="2449" spans="1:1">
      <c r="A2449" s="153" t="s">
        <v>4429</v>
      </c>
    </row>
    <row r="2450" spans="1:1">
      <c r="A2450" s="153" t="s">
        <v>4430</v>
      </c>
    </row>
    <row r="2451" spans="1:1">
      <c r="A2451" s="153" t="s">
        <v>4431</v>
      </c>
    </row>
    <row r="2452" spans="1:1">
      <c r="A2452" s="153" t="s">
        <v>4432</v>
      </c>
    </row>
    <row r="2453" spans="1:1">
      <c r="A2453" s="153" t="s">
        <v>4433</v>
      </c>
    </row>
    <row r="2454" spans="1:1">
      <c r="A2454" s="153" t="s">
        <v>4434</v>
      </c>
    </row>
    <row r="2455" spans="1:1">
      <c r="A2455" s="153" t="s">
        <v>4435</v>
      </c>
    </row>
    <row r="2456" spans="1:1">
      <c r="A2456" s="153" t="s">
        <v>4436</v>
      </c>
    </row>
    <row r="2457" spans="1:1">
      <c r="A2457" s="153" t="s">
        <v>4437</v>
      </c>
    </row>
    <row r="2458" spans="1:1">
      <c r="A2458" s="153" t="s">
        <v>4438</v>
      </c>
    </row>
    <row r="2459" spans="1:1">
      <c r="A2459" s="153" t="s">
        <v>4439</v>
      </c>
    </row>
    <row r="2460" spans="1:1">
      <c r="A2460" s="153" t="s">
        <v>4440</v>
      </c>
    </row>
    <row r="2461" spans="1:1">
      <c r="A2461" s="153" t="s">
        <v>4441</v>
      </c>
    </row>
    <row r="2462" spans="1:1">
      <c r="A2462" s="153" t="s">
        <v>4442</v>
      </c>
    </row>
    <row r="2463" spans="1:1">
      <c r="A2463" s="153" t="s">
        <v>4443</v>
      </c>
    </row>
    <row r="2464" spans="1:1">
      <c r="A2464" s="153" t="s">
        <v>4444</v>
      </c>
    </row>
    <row r="2465" spans="1:1">
      <c r="A2465" s="153" t="s">
        <v>4445</v>
      </c>
    </row>
    <row r="2466" spans="1:1">
      <c r="A2466" s="153" t="s">
        <v>4446</v>
      </c>
    </row>
    <row r="2467" spans="1:1">
      <c r="A2467" s="153" t="s">
        <v>4447</v>
      </c>
    </row>
    <row r="2468" spans="1:1">
      <c r="A2468" s="153" t="s">
        <v>4448</v>
      </c>
    </row>
    <row r="2469" spans="1:1">
      <c r="A2469" s="153" t="s">
        <v>4449</v>
      </c>
    </row>
    <row r="2470" spans="1:1">
      <c r="A2470" s="153" t="s">
        <v>4450</v>
      </c>
    </row>
    <row r="2471" spans="1:1">
      <c r="A2471" s="153" t="s">
        <v>4451</v>
      </c>
    </row>
    <row r="2472" spans="1:1">
      <c r="A2472" s="153" t="s">
        <v>4452</v>
      </c>
    </row>
    <row r="2473" spans="1:1">
      <c r="A2473" s="153" t="s">
        <v>4453</v>
      </c>
    </row>
    <row r="2474" spans="1:1">
      <c r="A2474" s="153" t="s">
        <v>4454</v>
      </c>
    </row>
    <row r="2475" spans="1:1">
      <c r="A2475" s="153" t="s">
        <v>4455</v>
      </c>
    </row>
    <row r="2476" spans="1:1">
      <c r="A2476" s="153" t="s">
        <v>4456</v>
      </c>
    </row>
    <row r="2477" spans="1:1">
      <c r="A2477" s="153" t="s">
        <v>4457</v>
      </c>
    </row>
    <row r="2478" spans="1:1">
      <c r="A2478" s="153" t="s">
        <v>4458</v>
      </c>
    </row>
    <row r="2479" spans="1:1">
      <c r="A2479" s="153" t="s">
        <v>4459</v>
      </c>
    </row>
    <row r="2480" spans="1:1">
      <c r="A2480" s="153" t="s">
        <v>4460</v>
      </c>
    </row>
    <row r="2481" spans="1:1">
      <c r="A2481" s="153" t="s">
        <v>4461</v>
      </c>
    </row>
    <row r="2482" spans="1:1">
      <c r="A2482" s="153" t="s">
        <v>4462</v>
      </c>
    </row>
    <row r="2483" spans="1:1">
      <c r="A2483" s="153" t="s">
        <v>4463</v>
      </c>
    </row>
    <row r="2484" spans="1:1">
      <c r="A2484" s="153" t="s">
        <v>4464</v>
      </c>
    </row>
    <row r="2485" spans="1:1">
      <c r="A2485" s="153" t="s">
        <v>4465</v>
      </c>
    </row>
    <row r="2486" spans="1:1">
      <c r="A2486" s="153" t="s">
        <v>4466</v>
      </c>
    </row>
    <row r="2487" spans="1:1">
      <c r="A2487" s="153" t="s">
        <v>4467</v>
      </c>
    </row>
    <row r="2488" spans="1:1">
      <c r="A2488" s="153" t="s">
        <v>4468</v>
      </c>
    </row>
    <row r="2489" spans="1:1">
      <c r="A2489" s="153" t="s">
        <v>4469</v>
      </c>
    </row>
    <row r="2490" spans="1:1">
      <c r="A2490" s="153" t="s">
        <v>4470</v>
      </c>
    </row>
    <row r="2491" spans="1:1">
      <c r="A2491" s="153" t="s">
        <v>4471</v>
      </c>
    </row>
    <row r="2492" spans="1:1">
      <c r="A2492" s="153" t="s">
        <v>4472</v>
      </c>
    </row>
    <row r="2493" spans="1:1">
      <c r="A2493" s="153" t="s">
        <v>4473</v>
      </c>
    </row>
    <row r="2494" spans="1:1">
      <c r="A2494" s="153" t="s">
        <v>4474</v>
      </c>
    </row>
    <row r="2495" spans="1:1">
      <c r="A2495" s="153" t="s">
        <v>4475</v>
      </c>
    </row>
    <row r="2496" spans="1:1">
      <c r="A2496" s="153" t="s">
        <v>4476</v>
      </c>
    </row>
    <row r="2497" spans="1:1">
      <c r="A2497" s="153" t="s">
        <v>4477</v>
      </c>
    </row>
    <row r="2498" spans="1:1">
      <c r="A2498" s="153" t="s">
        <v>4478</v>
      </c>
    </row>
    <row r="2499" spans="1:1">
      <c r="A2499" s="153" t="s">
        <v>4479</v>
      </c>
    </row>
    <row r="2500" spans="1:1">
      <c r="A2500" s="153" t="s">
        <v>4480</v>
      </c>
    </row>
    <row r="2501" spans="1:1">
      <c r="A2501" s="153" t="s">
        <v>4481</v>
      </c>
    </row>
    <row r="2502" spans="1:1">
      <c r="A2502" s="153" t="s">
        <v>4482</v>
      </c>
    </row>
    <row r="2503" spans="1:1">
      <c r="A2503" s="153" t="s">
        <v>4483</v>
      </c>
    </row>
    <row r="2504" spans="1:1">
      <c r="A2504" s="153" t="s">
        <v>4484</v>
      </c>
    </row>
    <row r="2505" spans="1:1">
      <c r="A2505" s="153" t="s">
        <v>4485</v>
      </c>
    </row>
    <row r="2506" spans="1:1">
      <c r="A2506" s="153" t="s">
        <v>4486</v>
      </c>
    </row>
    <row r="2507" spans="1:1">
      <c r="A2507" s="153" t="s">
        <v>4487</v>
      </c>
    </row>
    <row r="2508" spans="1:1">
      <c r="A2508" s="153" t="s">
        <v>4488</v>
      </c>
    </row>
    <row r="2509" spans="1:1">
      <c r="A2509" s="153" t="s">
        <v>4489</v>
      </c>
    </row>
    <row r="2510" spans="1:1">
      <c r="A2510" s="153" t="s">
        <v>4490</v>
      </c>
    </row>
    <row r="2511" spans="1:1">
      <c r="A2511" s="153" t="s">
        <v>4491</v>
      </c>
    </row>
    <row r="2512" spans="1:1">
      <c r="A2512" s="153" t="s">
        <v>4492</v>
      </c>
    </row>
    <row r="2513" spans="1:1">
      <c r="A2513" s="153" t="s">
        <v>4493</v>
      </c>
    </row>
    <row r="2514" spans="1:1">
      <c r="A2514" s="153" t="s">
        <v>4494</v>
      </c>
    </row>
    <row r="2515" spans="1:1">
      <c r="A2515" s="153" t="s">
        <v>4495</v>
      </c>
    </row>
    <row r="2516" spans="1:1">
      <c r="A2516" s="153" t="s">
        <v>4496</v>
      </c>
    </row>
    <row r="2517" spans="1:1">
      <c r="A2517" s="153" t="s">
        <v>4497</v>
      </c>
    </row>
    <row r="2518" spans="1:1">
      <c r="A2518" s="153" t="s">
        <v>4498</v>
      </c>
    </row>
    <row r="2519" spans="1:1">
      <c r="A2519" s="153" t="s">
        <v>4499</v>
      </c>
    </row>
    <row r="2520" spans="1:1">
      <c r="A2520" s="153" t="s">
        <v>4500</v>
      </c>
    </row>
    <row r="2521" spans="1:1">
      <c r="A2521" s="153" t="s">
        <v>4501</v>
      </c>
    </row>
    <row r="2522" spans="1:1">
      <c r="A2522" s="153" t="s">
        <v>4502</v>
      </c>
    </row>
    <row r="2523" spans="1:1">
      <c r="A2523" s="153" t="s">
        <v>4503</v>
      </c>
    </row>
    <row r="2524" spans="1:1">
      <c r="A2524" s="153" t="s">
        <v>4504</v>
      </c>
    </row>
    <row r="2525" spans="1:1">
      <c r="A2525" s="153" t="s">
        <v>4505</v>
      </c>
    </row>
    <row r="2526" spans="1:1">
      <c r="A2526" s="153" t="s">
        <v>4506</v>
      </c>
    </row>
    <row r="2527" spans="1:1">
      <c r="A2527" s="153" t="s">
        <v>4507</v>
      </c>
    </row>
    <row r="2528" spans="1:1">
      <c r="A2528" s="153" t="s">
        <v>4508</v>
      </c>
    </row>
    <row r="2529" spans="1:1">
      <c r="A2529" s="153" t="s">
        <v>4509</v>
      </c>
    </row>
    <row r="2530" spans="1:1">
      <c r="A2530" s="153" t="s">
        <v>4510</v>
      </c>
    </row>
    <row r="2531" spans="1:1">
      <c r="A2531" s="153" t="s">
        <v>4511</v>
      </c>
    </row>
    <row r="2532" spans="1:1">
      <c r="A2532" s="153" t="s">
        <v>4512</v>
      </c>
    </row>
    <row r="2533" spans="1:1">
      <c r="A2533" s="153" t="s">
        <v>4513</v>
      </c>
    </row>
    <row r="2534" spans="1:1">
      <c r="A2534" s="153" t="s">
        <v>4514</v>
      </c>
    </row>
    <row r="2535" spans="1:1">
      <c r="A2535" s="153" t="s">
        <v>4515</v>
      </c>
    </row>
    <row r="2536" spans="1:1">
      <c r="A2536" s="153" t="s">
        <v>4516</v>
      </c>
    </row>
    <row r="2537" spans="1:1">
      <c r="A2537" s="153" t="s">
        <v>4517</v>
      </c>
    </row>
    <row r="2538" spans="1:1">
      <c r="A2538" s="153" t="s">
        <v>4518</v>
      </c>
    </row>
    <row r="2539" spans="1:1">
      <c r="A2539" s="153" t="s">
        <v>4519</v>
      </c>
    </row>
    <row r="2540" spans="1:1">
      <c r="A2540" s="153" t="s">
        <v>4520</v>
      </c>
    </row>
    <row r="2541" spans="1:1">
      <c r="A2541" s="153" t="s">
        <v>4521</v>
      </c>
    </row>
    <row r="2542" spans="1:1">
      <c r="A2542" s="153" t="s">
        <v>4522</v>
      </c>
    </row>
    <row r="2543" spans="1:1">
      <c r="A2543" s="153" t="s">
        <v>4523</v>
      </c>
    </row>
    <row r="2544" spans="1:1">
      <c r="A2544" s="153" t="s">
        <v>4524</v>
      </c>
    </row>
    <row r="2545" spans="1:1">
      <c r="A2545" s="153" t="s">
        <v>4525</v>
      </c>
    </row>
    <row r="2546" spans="1:1">
      <c r="A2546" s="153" t="s">
        <v>4526</v>
      </c>
    </row>
    <row r="2547" spans="1:1">
      <c r="A2547" s="153" t="s">
        <v>4527</v>
      </c>
    </row>
    <row r="2548" spans="1:1">
      <c r="A2548" s="153" t="s">
        <v>4528</v>
      </c>
    </row>
    <row r="2549" spans="1:1">
      <c r="A2549" s="153" t="s">
        <v>4529</v>
      </c>
    </row>
    <row r="2550" spans="1:1">
      <c r="A2550" s="153" t="s">
        <v>4530</v>
      </c>
    </row>
    <row r="2551" spans="1:1">
      <c r="A2551" s="153" t="s">
        <v>4531</v>
      </c>
    </row>
    <row r="2552" spans="1:1">
      <c r="A2552" s="153" t="s">
        <v>4532</v>
      </c>
    </row>
    <row r="2553" spans="1:1">
      <c r="A2553" s="153" t="s">
        <v>4533</v>
      </c>
    </row>
    <row r="2554" spans="1:1">
      <c r="A2554" s="153" t="s">
        <v>4534</v>
      </c>
    </row>
    <row r="2555" spans="1:1">
      <c r="A2555" s="153" t="s">
        <v>4535</v>
      </c>
    </row>
    <row r="2556" spans="1:1">
      <c r="A2556" s="153" t="s">
        <v>4536</v>
      </c>
    </row>
    <row r="2557" spans="1:1">
      <c r="A2557" s="153" t="s">
        <v>4537</v>
      </c>
    </row>
    <row r="2558" spans="1:1">
      <c r="A2558" s="153" t="s">
        <v>4538</v>
      </c>
    </row>
    <row r="2559" spans="1:1">
      <c r="A2559" s="153" t="s">
        <v>4539</v>
      </c>
    </row>
    <row r="2560" spans="1:1">
      <c r="A2560" s="153" t="s">
        <v>4540</v>
      </c>
    </row>
    <row r="2561" spans="1:1">
      <c r="A2561" s="153" t="s">
        <v>4541</v>
      </c>
    </row>
    <row r="2562" spans="1:1">
      <c r="A2562" s="153" t="s">
        <v>4542</v>
      </c>
    </row>
    <row r="2563" spans="1:1">
      <c r="A2563" s="153" t="s">
        <v>4543</v>
      </c>
    </row>
    <row r="2564" spans="1:1">
      <c r="A2564" s="153" t="s">
        <v>4544</v>
      </c>
    </row>
    <row r="2565" spans="1:1">
      <c r="A2565" s="153" t="s">
        <v>4545</v>
      </c>
    </row>
    <row r="2566" spans="1:1">
      <c r="A2566" s="153" t="s">
        <v>4546</v>
      </c>
    </row>
    <row r="2567" spans="1:1">
      <c r="A2567" s="153" t="s">
        <v>4547</v>
      </c>
    </row>
    <row r="2568" spans="1:1">
      <c r="A2568" s="153" t="s">
        <v>4548</v>
      </c>
    </row>
    <row r="2569" spans="1:1">
      <c r="A2569" s="153" t="s">
        <v>4549</v>
      </c>
    </row>
    <row r="2570" spans="1:1">
      <c r="A2570" s="153" t="s">
        <v>4550</v>
      </c>
    </row>
    <row r="2571" spans="1:1">
      <c r="A2571" s="153" t="s">
        <v>4551</v>
      </c>
    </row>
    <row r="2572" spans="1:1">
      <c r="A2572" s="153" t="s">
        <v>4552</v>
      </c>
    </row>
    <row r="2573" spans="1:1">
      <c r="A2573" s="153" t="s">
        <v>4553</v>
      </c>
    </row>
    <row r="2574" spans="1:1">
      <c r="A2574" s="153" t="s">
        <v>4554</v>
      </c>
    </row>
    <row r="2575" spans="1:1">
      <c r="A2575" s="153" t="s">
        <v>4555</v>
      </c>
    </row>
    <row r="2576" spans="1:1">
      <c r="A2576" s="153" t="s">
        <v>4556</v>
      </c>
    </row>
    <row r="2577" spans="1:1">
      <c r="A2577" s="153" t="s">
        <v>4557</v>
      </c>
    </row>
    <row r="2578" spans="1:1">
      <c r="A2578" s="153" t="s">
        <v>4558</v>
      </c>
    </row>
    <row r="2579" spans="1:1">
      <c r="A2579" s="153" t="s">
        <v>4559</v>
      </c>
    </row>
    <row r="2580" spans="1:1">
      <c r="A2580" s="153" t="s">
        <v>4560</v>
      </c>
    </row>
    <row r="2581" spans="1:1">
      <c r="A2581" s="153" t="s">
        <v>4561</v>
      </c>
    </row>
    <row r="2582" spans="1:1">
      <c r="A2582" s="153" t="s">
        <v>4562</v>
      </c>
    </row>
    <row r="2583" spans="1:1">
      <c r="A2583" s="153" t="s">
        <v>4563</v>
      </c>
    </row>
    <row r="2584" spans="1:1">
      <c r="A2584" s="153" t="s">
        <v>4564</v>
      </c>
    </row>
    <row r="2585" spans="1:1">
      <c r="A2585" s="153" t="s">
        <v>4565</v>
      </c>
    </row>
    <row r="2586" spans="1:1">
      <c r="A2586" s="153" t="s">
        <v>4566</v>
      </c>
    </row>
    <row r="2587" spans="1:1">
      <c r="A2587" s="153" t="s">
        <v>4567</v>
      </c>
    </row>
    <row r="2588" spans="1:1">
      <c r="A2588" s="153" t="s">
        <v>4568</v>
      </c>
    </row>
    <row r="2589" spans="1:1">
      <c r="A2589" s="153" t="s">
        <v>4569</v>
      </c>
    </row>
    <row r="2590" spans="1:1">
      <c r="A2590" s="153" t="s">
        <v>4570</v>
      </c>
    </row>
    <row r="2591" spans="1:1">
      <c r="A2591" s="153" t="s">
        <v>4571</v>
      </c>
    </row>
    <row r="2592" spans="1:1">
      <c r="A2592" s="153" t="s">
        <v>4572</v>
      </c>
    </row>
    <row r="2593" spans="1:1">
      <c r="A2593" s="153" t="s">
        <v>4573</v>
      </c>
    </row>
    <row r="2594" spans="1:1">
      <c r="A2594" s="153" t="s">
        <v>4574</v>
      </c>
    </row>
    <row r="2595" spans="1:1">
      <c r="A2595" s="153" t="s">
        <v>4575</v>
      </c>
    </row>
    <row r="2596" spans="1:1">
      <c r="A2596" s="153" t="s">
        <v>4576</v>
      </c>
    </row>
    <row r="2597" spans="1:1">
      <c r="A2597" s="153" t="s">
        <v>4577</v>
      </c>
    </row>
    <row r="2598" spans="1:1">
      <c r="A2598" s="153" t="s">
        <v>4578</v>
      </c>
    </row>
    <row r="2599" spans="1:1">
      <c r="A2599" s="153" t="s">
        <v>4579</v>
      </c>
    </row>
    <row r="2600" spans="1:1">
      <c r="A2600" s="153" t="s">
        <v>4580</v>
      </c>
    </row>
    <row r="2601" spans="1:1">
      <c r="A2601" s="153" t="s">
        <v>4581</v>
      </c>
    </row>
    <row r="2602" spans="1:1">
      <c r="A2602" s="153" t="s">
        <v>4582</v>
      </c>
    </row>
    <row r="2603" spans="1:1">
      <c r="A2603" s="153" t="s">
        <v>4583</v>
      </c>
    </row>
    <row r="2604" spans="1:1">
      <c r="A2604" s="153" t="s">
        <v>4584</v>
      </c>
    </row>
    <row r="2605" spans="1:1">
      <c r="A2605" s="153" t="s">
        <v>4585</v>
      </c>
    </row>
    <row r="2606" spans="1:1">
      <c r="A2606" s="153" t="s">
        <v>4586</v>
      </c>
    </row>
    <row r="2607" spans="1:1">
      <c r="A2607" s="153" t="s">
        <v>4587</v>
      </c>
    </row>
    <row r="2608" spans="1:1">
      <c r="A2608" s="153" t="s">
        <v>4588</v>
      </c>
    </row>
    <row r="2609" spans="1:1">
      <c r="A2609" s="153" t="s">
        <v>4589</v>
      </c>
    </row>
    <row r="2610" spans="1:1">
      <c r="A2610" s="153" t="s">
        <v>4590</v>
      </c>
    </row>
    <row r="2611" spans="1:1">
      <c r="A2611" s="153" t="s">
        <v>4591</v>
      </c>
    </row>
    <row r="2612" spans="1:1">
      <c r="A2612" s="153" t="s">
        <v>4592</v>
      </c>
    </row>
    <row r="2613" spans="1:1">
      <c r="A2613" s="153" t="s">
        <v>4593</v>
      </c>
    </row>
    <row r="2614" spans="1:1">
      <c r="A2614" s="153" t="s">
        <v>4594</v>
      </c>
    </row>
    <row r="2615" spans="1:1">
      <c r="A2615" s="153" t="s">
        <v>4595</v>
      </c>
    </row>
    <row r="2616" spans="1:1">
      <c r="A2616" s="153" t="s">
        <v>4596</v>
      </c>
    </row>
    <row r="2617" spans="1:1">
      <c r="A2617" s="153" t="s">
        <v>4597</v>
      </c>
    </row>
    <row r="2618" spans="1:1">
      <c r="A2618" s="153" t="s">
        <v>4598</v>
      </c>
    </row>
    <row r="2619" spans="1:1">
      <c r="A2619" s="153" t="s">
        <v>4599</v>
      </c>
    </row>
    <row r="2620" spans="1:1">
      <c r="A2620" s="153" t="s">
        <v>4600</v>
      </c>
    </row>
    <row r="2621" spans="1:1">
      <c r="A2621" s="153" t="s">
        <v>4601</v>
      </c>
    </row>
    <row r="2622" spans="1:1">
      <c r="A2622" s="153" t="s">
        <v>4602</v>
      </c>
    </row>
    <row r="2623" spans="1:1">
      <c r="A2623" s="153" t="s">
        <v>4603</v>
      </c>
    </row>
    <row r="2624" spans="1:1">
      <c r="A2624" s="153" t="s">
        <v>4604</v>
      </c>
    </row>
    <row r="2625" spans="1:1">
      <c r="A2625" s="153" t="s">
        <v>4605</v>
      </c>
    </row>
    <row r="2626" spans="1:1">
      <c r="A2626" s="153" t="s">
        <v>4606</v>
      </c>
    </row>
    <row r="2627" spans="1:1">
      <c r="A2627" s="153" t="s">
        <v>4607</v>
      </c>
    </row>
    <row r="2628" spans="1:1">
      <c r="A2628" s="153" t="s">
        <v>4608</v>
      </c>
    </row>
    <row r="2629" spans="1:1">
      <c r="A2629" s="153" t="s">
        <v>4609</v>
      </c>
    </row>
    <row r="2630" spans="1:1">
      <c r="A2630" s="153" t="s">
        <v>4610</v>
      </c>
    </row>
    <row r="2631" spans="1:1">
      <c r="A2631" s="153" t="s">
        <v>4611</v>
      </c>
    </row>
    <row r="2632" spans="1:1">
      <c r="A2632" s="153" t="s">
        <v>4612</v>
      </c>
    </row>
    <row r="2633" spans="1:1">
      <c r="A2633" s="153" t="s">
        <v>4613</v>
      </c>
    </row>
    <row r="2634" spans="1:1">
      <c r="A2634" s="153" t="s">
        <v>4614</v>
      </c>
    </row>
    <row r="2635" spans="1:1">
      <c r="A2635" s="153" t="s">
        <v>4615</v>
      </c>
    </row>
    <row r="2636" spans="1:1">
      <c r="A2636" s="153" t="s">
        <v>4616</v>
      </c>
    </row>
    <row r="2637" spans="1:1">
      <c r="A2637" s="153" t="s">
        <v>4617</v>
      </c>
    </row>
    <row r="2638" spans="1:1">
      <c r="A2638" s="153" t="s">
        <v>4618</v>
      </c>
    </row>
    <row r="2639" spans="1:1">
      <c r="A2639" s="153" t="s">
        <v>4619</v>
      </c>
    </row>
    <row r="2640" spans="1:1">
      <c r="A2640" s="153" t="s">
        <v>4620</v>
      </c>
    </row>
    <row r="2641" spans="1:1">
      <c r="A2641" s="153" t="s">
        <v>4621</v>
      </c>
    </row>
    <row r="2642" spans="1:1">
      <c r="A2642" s="153" t="s">
        <v>4622</v>
      </c>
    </row>
    <row r="2643" spans="1:1">
      <c r="A2643" s="153" t="s">
        <v>4623</v>
      </c>
    </row>
    <row r="2644" spans="1:1">
      <c r="A2644" s="153" t="s">
        <v>4624</v>
      </c>
    </row>
    <row r="2645" spans="1:1">
      <c r="A2645" s="153" t="s">
        <v>4625</v>
      </c>
    </row>
    <row r="2646" spans="1:1">
      <c r="A2646" s="153" t="s">
        <v>4626</v>
      </c>
    </row>
    <row r="2647" spans="1:1">
      <c r="A2647" s="153" t="s">
        <v>4627</v>
      </c>
    </row>
    <row r="2648" spans="1:1">
      <c r="A2648" s="153" t="s">
        <v>4628</v>
      </c>
    </row>
    <row r="2649" spans="1:1">
      <c r="A2649" s="153" t="s">
        <v>4629</v>
      </c>
    </row>
    <row r="2650" spans="1:1">
      <c r="A2650" s="153" t="s">
        <v>4630</v>
      </c>
    </row>
    <row r="2651" spans="1:1">
      <c r="A2651" s="153" t="s">
        <v>4631</v>
      </c>
    </row>
    <row r="2652" spans="1:1">
      <c r="A2652" s="153" t="s">
        <v>4632</v>
      </c>
    </row>
    <row r="2653" spans="1:1">
      <c r="A2653" s="153" t="s">
        <v>4633</v>
      </c>
    </row>
    <row r="2654" spans="1:1">
      <c r="A2654" s="153" t="s">
        <v>4634</v>
      </c>
    </row>
    <row r="2655" spans="1:1">
      <c r="A2655" s="153" t="s">
        <v>4635</v>
      </c>
    </row>
    <row r="2656" spans="1:1">
      <c r="A2656" s="153" t="s">
        <v>4636</v>
      </c>
    </row>
    <row r="2657" spans="1:1">
      <c r="A2657" s="153" t="s">
        <v>4637</v>
      </c>
    </row>
    <row r="2658" spans="1:1">
      <c r="A2658" s="153" t="s">
        <v>4638</v>
      </c>
    </row>
    <row r="2659" spans="1:1">
      <c r="A2659" s="153" t="s">
        <v>4639</v>
      </c>
    </row>
    <row r="2660" spans="1:1">
      <c r="A2660" s="153" t="s">
        <v>4640</v>
      </c>
    </row>
    <row r="2661" spans="1:1">
      <c r="A2661" s="153" t="s">
        <v>4641</v>
      </c>
    </row>
    <row r="2662" spans="1:1">
      <c r="A2662" s="153" t="s">
        <v>4642</v>
      </c>
    </row>
    <row r="2663" spans="1:1">
      <c r="A2663" s="153" t="s">
        <v>4643</v>
      </c>
    </row>
    <row r="2664" spans="1:1">
      <c r="A2664" s="153" t="s">
        <v>4644</v>
      </c>
    </row>
    <row r="2665" spans="1:1">
      <c r="A2665" s="153" t="s">
        <v>4645</v>
      </c>
    </row>
    <row r="2666" spans="1:1">
      <c r="A2666" s="153" t="s">
        <v>4646</v>
      </c>
    </row>
    <row r="2667" spans="1:1">
      <c r="A2667" s="153" t="s">
        <v>4647</v>
      </c>
    </row>
    <row r="2668" spans="1:1">
      <c r="A2668" s="153" t="s">
        <v>4648</v>
      </c>
    </row>
    <row r="2669" spans="1:1">
      <c r="A2669" s="153" t="s">
        <v>4649</v>
      </c>
    </row>
    <row r="2670" spans="1:1">
      <c r="A2670" s="153" t="s">
        <v>4650</v>
      </c>
    </row>
    <row r="2671" spans="1:1">
      <c r="A2671" s="153" t="s">
        <v>4651</v>
      </c>
    </row>
    <row r="2672" spans="1:1">
      <c r="A2672" s="153" t="s">
        <v>4652</v>
      </c>
    </row>
    <row r="2673" spans="1:1">
      <c r="A2673" s="153" t="s">
        <v>4653</v>
      </c>
    </row>
    <row r="2674" spans="1:1">
      <c r="A2674" s="153" t="s">
        <v>4654</v>
      </c>
    </row>
    <row r="2675" spans="1:1">
      <c r="A2675" s="153" t="s">
        <v>4655</v>
      </c>
    </row>
    <row r="2676" spans="1:1">
      <c r="A2676" s="153" t="s">
        <v>4656</v>
      </c>
    </row>
    <row r="2677" spans="1:1">
      <c r="A2677" s="153" t="s">
        <v>4657</v>
      </c>
    </row>
    <row r="2678" spans="1:1">
      <c r="A2678" s="153" t="s">
        <v>4658</v>
      </c>
    </row>
    <row r="2679" spans="1:1">
      <c r="A2679" s="153" t="s">
        <v>4659</v>
      </c>
    </row>
    <row r="2680" spans="1:1">
      <c r="A2680" s="153" t="s">
        <v>4660</v>
      </c>
    </row>
    <row r="2681" spans="1:1">
      <c r="A2681" s="153" t="s">
        <v>4661</v>
      </c>
    </row>
    <row r="2682" spans="1:1">
      <c r="A2682" s="153" t="s">
        <v>4662</v>
      </c>
    </row>
    <row r="2683" spans="1:1">
      <c r="A2683" s="153" t="s">
        <v>4663</v>
      </c>
    </row>
    <row r="2684" spans="1:1">
      <c r="A2684" s="153" t="s">
        <v>4664</v>
      </c>
    </row>
    <row r="2685" spans="1:1">
      <c r="A2685" s="153" t="s">
        <v>4665</v>
      </c>
    </row>
    <row r="2686" spans="1:1">
      <c r="A2686" s="153" t="s">
        <v>4666</v>
      </c>
    </row>
    <row r="2687" spans="1:1">
      <c r="A2687" s="153" t="s">
        <v>4667</v>
      </c>
    </row>
    <row r="2688" spans="1:1">
      <c r="A2688" s="153" t="s">
        <v>4668</v>
      </c>
    </row>
    <row r="2689" spans="1:1">
      <c r="A2689" s="153" t="s">
        <v>4669</v>
      </c>
    </row>
    <row r="2690" spans="1:1">
      <c r="A2690" s="153" t="s">
        <v>4670</v>
      </c>
    </row>
    <row r="2691" spans="1:1">
      <c r="A2691" s="153" t="s">
        <v>4671</v>
      </c>
    </row>
    <row r="2692" spans="1:1">
      <c r="A2692" s="153" t="s">
        <v>4672</v>
      </c>
    </row>
    <row r="2693" spans="1:1">
      <c r="A2693" s="153" t="s">
        <v>4673</v>
      </c>
    </row>
    <row r="2694" spans="1:1">
      <c r="A2694" s="153" t="s">
        <v>4674</v>
      </c>
    </row>
    <row r="2695" spans="1:1">
      <c r="A2695" s="153" t="s">
        <v>4675</v>
      </c>
    </row>
    <row r="2696" spans="1:1">
      <c r="A2696" s="153" t="s">
        <v>4676</v>
      </c>
    </row>
    <row r="2697" spans="1:1">
      <c r="A2697" s="153" t="s">
        <v>4677</v>
      </c>
    </row>
    <row r="2698" spans="1:1">
      <c r="A2698" s="153" t="s">
        <v>4678</v>
      </c>
    </row>
    <row r="2699" spans="1:1">
      <c r="A2699" s="153" t="s">
        <v>4679</v>
      </c>
    </row>
    <row r="2700" spans="1:1">
      <c r="A2700" s="153" t="s">
        <v>4680</v>
      </c>
    </row>
    <row r="2701" spans="1:1">
      <c r="A2701" s="153" t="s">
        <v>4681</v>
      </c>
    </row>
    <row r="2702" spans="1:1">
      <c r="A2702" s="153" t="s">
        <v>4682</v>
      </c>
    </row>
    <row r="2703" spans="1:1">
      <c r="A2703" s="153" t="s">
        <v>4683</v>
      </c>
    </row>
    <row r="2704" spans="1:1">
      <c r="A2704" s="153" t="s">
        <v>4684</v>
      </c>
    </row>
    <row r="2705" spans="1:1">
      <c r="A2705" s="153" t="s">
        <v>4685</v>
      </c>
    </row>
    <row r="2706" spans="1:1">
      <c r="A2706" s="153" t="s">
        <v>4686</v>
      </c>
    </row>
    <row r="2707" spans="1:1">
      <c r="A2707" s="153" t="s">
        <v>4687</v>
      </c>
    </row>
    <row r="2708" spans="1:1">
      <c r="A2708" s="153" t="s">
        <v>4688</v>
      </c>
    </row>
    <row r="2709" spans="1:1">
      <c r="A2709" s="153" t="s">
        <v>4689</v>
      </c>
    </row>
    <row r="2710" spans="1:1">
      <c r="A2710" s="153" t="s">
        <v>4690</v>
      </c>
    </row>
    <row r="2711" spans="1:1">
      <c r="A2711" s="153" t="s">
        <v>4691</v>
      </c>
    </row>
    <row r="2712" spans="1:1">
      <c r="A2712" s="153" t="s">
        <v>4692</v>
      </c>
    </row>
    <row r="2713" spans="1:1">
      <c r="A2713" s="153" t="s">
        <v>4693</v>
      </c>
    </row>
    <row r="2714" spans="1:1">
      <c r="A2714" s="153" t="s">
        <v>4694</v>
      </c>
    </row>
    <row r="2715" spans="1:1">
      <c r="A2715" s="153" t="s">
        <v>4695</v>
      </c>
    </row>
    <row r="2716" spans="1:1">
      <c r="A2716" s="153" t="s">
        <v>4696</v>
      </c>
    </row>
    <row r="2717" spans="1:1">
      <c r="A2717" s="153" t="s">
        <v>4697</v>
      </c>
    </row>
    <row r="2718" spans="1:1">
      <c r="A2718" s="153" t="s">
        <v>4698</v>
      </c>
    </row>
    <row r="2719" spans="1:1">
      <c r="A2719" s="153" t="s">
        <v>4699</v>
      </c>
    </row>
    <row r="2720" spans="1:1">
      <c r="A2720" s="153" t="s">
        <v>4700</v>
      </c>
    </row>
    <row r="2721" spans="1:1">
      <c r="A2721" s="153" t="s">
        <v>4701</v>
      </c>
    </row>
    <row r="2722" spans="1:1">
      <c r="A2722" s="153" t="s">
        <v>4702</v>
      </c>
    </row>
    <row r="2723" spans="1:1">
      <c r="A2723" s="153" t="s">
        <v>4703</v>
      </c>
    </row>
    <row r="2724" spans="1:1">
      <c r="A2724" s="153" t="s">
        <v>4704</v>
      </c>
    </row>
    <row r="2725" spans="1:1">
      <c r="A2725" s="153" t="s">
        <v>4705</v>
      </c>
    </row>
    <row r="2726" spans="1:1">
      <c r="A2726" s="153" t="s">
        <v>4706</v>
      </c>
    </row>
    <row r="2727" spans="1:1">
      <c r="A2727" s="153" t="s">
        <v>4707</v>
      </c>
    </row>
    <row r="2728" spans="1:1">
      <c r="A2728" s="153" t="s">
        <v>4708</v>
      </c>
    </row>
    <row r="2729" spans="1:1">
      <c r="A2729" s="153" t="s">
        <v>4709</v>
      </c>
    </row>
    <row r="2730" spans="1:1">
      <c r="A2730" s="153" t="s">
        <v>4710</v>
      </c>
    </row>
    <row r="2731" spans="1:1">
      <c r="A2731" s="153" t="s">
        <v>4711</v>
      </c>
    </row>
    <row r="2732" spans="1:1">
      <c r="A2732" s="153" t="s">
        <v>4712</v>
      </c>
    </row>
    <row r="2733" spans="1:1">
      <c r="A2733" s="153" t="s">
        <v>4713</v>
      </c>
    </row>
    <row r="2734" spans="1:1">
      <c r="A2734" s="153" t="s">
        <v>4714</v>
      </c>
    </row>
    <row r="2735" spans="1:1">
      <c r="A2735" s="153" t="s">
        <v>4715</v>
      </c>
    </row>
    <row r="2736" spans="1:1">
      <c r="A2736" s="153" t="s">
        <v>4716</v>
      </c>
    </row>
    <row r="2737" spans="1:1">
      <c r="A2737" s="153" t="s">
        <v>4717</v>
      </c>
    </row>
    <row r="2738" spans="1:1">
      <c r="A2738" s="153" t="s">
        <v>4718</v>
      </c>
    </row>
    <row r="2739" spans="1:1">
      <c r="A2739" s="153" t="s">
        <v>4719</v>
      </c>
    </row>
    <row r="2740" spans="1:1">
      <c r="A2740" s="153" t="s">
        <v>4720</v>
      </c>
    </row>
    <row r="2741" spans="1:1">
      <c r="A2741" s="153" t="s">
        <v>4721</v>
      </c>
    </row>
    <row r="2742" spans="1:1">
      <c r="A2742" s="153" t="s">
        <v>4722</v>
      </c>
    </row>
    <row r="2743" spans="1:1">
      <c r="A2743" s="153" t="s">
        <v>4723</v>
      </c>
    </row>
    <row r="2744" spans="1:1">
      <c r="A2744" s="153" t="s">
        <v>4724</v>
      </c>
    </row>
    <row r="2745" spans="1:1">
      <c r="A2745" s="153" t="s">
        <v>4725</v>
      </c>
    </row>
    <row r="2746" spans="1:1">
      <c r="A2746" s="153" t="s">
        <v>4726</v>
      </c>
    </row>
    <row r="2747" spans="1:1">
      <c r="A2747" s="153" t="s">
        <v>4727</v>
      </c>
    </row>
    <row r="2748" spans="1:1">
      <c r="A2748" s="153" t="s">
        <v>4728</v>
      </c>
    </row>
    <row r="2749" spans="1:1">
      <c r="A2749" s="153" t="s">
        <v>4729</v>
      </c>
    </row>
    <row r="2750" spans="1:1">
      <c r="A2750" s="153" t="s">
        <v>4730</v>
      </c>
    </row>
    <row r="2751" spans="1:1">
      <c r="A2751" s="153" t="s">
        <v>4731</v>
      </c>
    </row>
    <row r="2752" spans="1:1">
      <c r="A2752" s="153" t="s">
        <v>4732</v>
      </c>
    </row>
    <row r="2753" spans="1:1">
      <c r="A2753" s="153" t="s">
        <v>4733</v>
      </c>
    </row>
    <row r="2754" spans="1:1">
      <c r="A2754" s="153" t="s">
        <v>4734</v>
      </c>
    </row>
    <row r="2755" spans="1:1">
      <c r="A2755" s="153" t="s">
        <v>4735</v>
      </c>
    </row>
    <row r="2756" spans="1:1">
      <c r="A2756" s="153" t="s">
        <v>4736</v>
      </c>
    </row>
    <row r="2757" spans="1:1">
      <c r="A2757" s="153" t="s">
        <v>4737</v>
      </c>
    </row>
    <row r="2758" spans="1:1">
      <c r="A2758" s="153" t="s">
        <v>4738</v>
      </c>
    </row>
    <row r="2759" spans="1:1">
      <c r="A2759" s="153" t="s">
        <v>4739</v>
      </c>
    </row>
    <row r="2760" spans="1:1">
      <c r="A2760" s="153" t="s">
        <v>4740</v>
      </c>
    </row>
    <row r="2761" spans="1:1">
      <c r="A2761" s="153" t="s">
        <v>4741</v>
      </c>
    </row>
    <row r="2762" spans="1:1">
      <c r="A2762" s="153" t="s">
        <v>4742</v>
      </c>
    </row>
    <row r="2763" spans="1:1">
      <c r="A2763" s="153" t="s">
        <v>4743</v>
      </c>
    </row>
    <row r="2764" spans="1:1">
      <c r="A2764" s="153" t="s">
        <v>4744</v>
      </c>
    </row>
    <row r="2765" spans="1:1">
      <c r="A2765" s="153" t="s">
        <v>4745</v>
      </c>
    </row>
    <row r="2766" spans="1:1">
      <c r="A2766" s="153" t="s">
        <v>4746</v>
      </c>
    </row>
    <row r="2767" spans="1:1">
      <c r="A2767" s="153" t="s">
        <v>4747</v>
      </c>
    </row>
    <row r="2768" spans="1:1">
      <c r="A2768" s="153" t="s">
        <v>4748</v>
      </c>
    </row>
    <row r="2769" spans="1:1">
      <c r="A2769" s="153" t="s">
        <v>4749</v>
      </c>
    </row>
    <row r="2770" spans="1:1">
      <c r="A2770" s="153" t="s">
        <v>4750</v>
      </c>
    </row>
    <row r="2771" spans="1:1">
      <c r="A2771" s="153" t="s">
        <v>4751</v>
      </c>
    </row>
    <row r="2772" spans="1:1">
      <c r="A2772" s="153" t="s">
        <v>4752</v>
      </c>
    </row>
    <row r="2773" spans="1:1">
      <c r="A2773" s="153" t="s">
        <v>4753</v>
      </c>
    </row>
    <row r="2774" spans="1:1">
      <c r="A2774" s="153" t="s">
        <v>4754</v>
      </c>
    </row>
    <row r="2775" spans="1:1">
      <c r="A2775" s="153" t="s">
        <v>4755</v>
      </c>
    </row>
    <row r="2776" spans="1:1">
      <c r="A2776" s="153" t="s">
        <v>4756</v>
      </c>
    </row>
    <row r="2777" spans="1:1">
      <c r="A2777" s="153" t="s">
        <v>4757</v>
      </c>
    </row>
    <row r="2778" spans="1:1">
      <c r="A2778" s="153" t="s">
        <v>4758</v>
      </c>
    </row>
    <row r="2779" spans="1:1">
      <c r="A2779" s="153" t="s">
        <v>4759</v>
      </c>
    </row>
    <row r="2780" spans="1:1">
      <c r="A2780" s="153" t="s">
        <v>4760</v>
      </c>
    </row>
    <row r="2781" spans="1:1">
      <c r="A2781" s="153" t="s">
        <v>4761</v>
      </c>
    </row>
    <row r="2782" spans="1:1">
      <c r="A2782" s="153" t="s">
        <v>4762</v>
      </c>
    </row>
    <row r="2783" spans="1:1">
      <c r="A2783" s="153" t="s">
        <v>4763</v>
      </c>
    </row>
    <row r="2784" spans="1:1">
      <c r="A2784" s="153" t="s">
        <v>4764</v>
      </c>
    </row>
    <row r="2785" spans="1:1">
      <c r="A2785" s="153" t="s">
        <v>4765</v>
      </c>
    </row>
    <row r="2786" spans="1:1">
      <c r="A2786" s="153" t="s">
        <v>4766</v>
      </c>
    </row>
    <row r="2787" spans="1:1">
      <c r="A2787" s="153" t="s">
        <v>4767</v>
      </c>
    </row>
    <row r="2788" spans="1:1">
      <c r="A2788" s="153" t="s">
        <v>4768</v>
      </c>
    </row>
    <row r="2789" spans="1:1">
      <c r="A2789" s="153" t="s">
        <v>4769</v>
      </c>
    </row>
    <row r="2790" spans="1:1">
      <c r="A2790" s="153" t="s">
        <v>4770</v>
      </c>
    </row>
    <row r="2791" spans="1:1">
      <c r="A2791" s="153" t="s">
        <v>4771</v>
      </c>
    </row>
    <row r="2792" spans="1:1">
      <c r="A2792" s="153" t="s">
        <v>4772</v>
      </c>
    </row>
    <row r="2793" spans="1:1">
      <c r="A2793" s="153" t="s">
        <v>4773</v>
      </c>
    </row>
    <row r="2794" spans="1:1">
      <c r="A2794" s="153" t="s">
        <v>4774</v>
      </c>
    </row>
    <row r="2795" spans="1:1">
      <c r="A2795" s="153" t="s">
        <v>4775</v>
      </c>
    </row>
    <row r="2796" spans="1:1">
      <c r="A2796" s="153" t="s">
        <v>4776</v>
      </c>
    </row>
    <row r="2797" spans="1:1">
      <c r="A2797" s="153" t="s">
        <v>4777</v>
      </c>
    </row>
    <row r="2798" spans="1:1">
      <c r="A2798" s="153" t="s">
        <v>4778</v>
      </c>
    </row>
    <row r="2799" spans="1:1">
      <c r="A2799" s="153" t="s">
        <v>4779</v>
      </c>
    </row>
    <row r="2800" spans="1:1">
      <c r="A2800" s="153" t="s">
        <v>4780</v>
      </c>
    </row>
    <row r="2801" spans="1:1">
      <c r="A2801" s="153" t="s">
        <v>4781</v>
      </c>
    </row>
    <row r="2802" spans="1:1">
      <c r="A2802" s="153" t="s">
        <v>4782</v>
      </c>
    </row>
    <row r="2803" spans="1:1">
      <c r="A2803" s="153" t="s">
        <v>4783</v>
      </c>
    </row>
    <row r="2804" spans="1:1">
      <c r="A2804" s="153" t="s">
        <v>4784</v>
      </c>
    </row>
    <row r="2805" spans="1:1">
      <c r="A2805" s="153" t="s">
        <v>4785</v>
      </c>
    </row>
    <row r="2806" spans="1:1">
      <c r="A2806" s="153" t="s">
        <v>4786</v>
      </c>
    </row>
    <row r="2807" spans="1:1">
      <c r="A2807" s="153" t="s">
        <v>4787</v>
      </c>
    </row>
    <row r="2808" spans="1:1">
      <c r="A2808" s="153" t="s">
        <v>4788</v>
      </c>
    </row>
    <row r="2809" spans="1:1">
      <c r="A2809" s="153" t="s">
        <v>4789</v>
      </c>
    </row>
    <row r="2810" spans="1:1">
      <c r="A2810" s="153" t="s">
        <v>4790</v>
      </c>
    </row>
    <row r="2811" spans="1:1">
      <c r="A2811" s="153" t="s">
        <v>4791</v>
      </c>
    </row>
    <row r="2812" spans="1:1">
      <c r="A2812" s="153" t="s">
        <v>4792</v>
      </c>
    </row>
    <row r="2813" spans="1:1">
      <c r="A2813" s="153" t="s">
        <v>4793</v>
      </c>
    </row>
    <row r="2814" spans="1:1">
      <c r="A2814" s="153" t="s">
        <v>4794</v>
      </c>
    </row>
    <row r="2815" spans="1:1">
      <c r="A2815" s="153" t="s">
        <v>4795</v>
      </c>
    </row>
    <row r="2816" spans="1:1">
      <c r="A2816" s="153" t="s">
        <v>4796</v>
      </c>
    </row>
    <row r="2817" spans="1:1">
      <c r="A2817" s="153" t="s">
        <v>4797</v>
      </c>
    </row>
    <row r="2818" spans="1:1">
      <c r="A2818" s="153" t="s">
        <v>4798</v>
      </c>
    </row>
    <row r="2819" spans="1:1">
      <c r="A2819" s="153" t="s">
        <v>4799</v>
      </c>
    </row>
    <row r="2820" spans="1:1">
      <c r="A2820" s="153" t="s">
        <v>4800</v>
      </c>
    </row>
    <row r="2821" spans="1:1">
      <c r="A2821" s="153" t="s">
        <v>4801</v>
      </c>
    </row>
    <row r="2822" spans="1:1">
      <c r="A2822" s="153" t="s">
        <v>4802</v>
      </c>
    </row>
    <row r="2823" spans="1:1">
      <c r="A2823" s="153" t="s">
        <v>4803</v>
      </c>
    </row>
    <row r="2824" spans="1:1">
      <c r="A2824" s="153" t="s">
        <v>4804</v>
      </c>
    </row>
    <row r="2825" spans="1:1">
      <c r="A2825" s="153" t="s">
        <v>4805</v>
      </c>
    </row>
    <row r="2826" spans="1:1">
      <c r="A2826" s="153" t="s">
        <v>4806</v>
      </c>
    </row>
    <row r="2827" spans="1:1">
      <c r="A2827" s="153" t="s">
        <v>4807</v>
      </c>
    </row>
    <row r="2828" spans="1:1">
      <c r="A2828" s="153" t="s">
        <v>4808</v>
      </c>
    </row>
    <row r="2829" spans="1:1">
      <c r="A2829" s="153" t="s">
        <v>4809</v>
      </c>
    </row>
    <row r="2830" spans="1:1">
      <c r="A2830" s="153" t="s">
        <v>4810</v>
      </c>
    </row>
    <row r="2831" spans="1:1">
      <c r="A2831" s="153" t="s">
        <v>4811</v>
      </c>
    </row>
    <row r="2832" spans="1:1">
      <c r="A2832" s="153" t="s">
        <v>4812</v>
      </c>
    </row>
    <row r="2833" spans="1:1">
      <c r="A2833" s="153" t="s">
        <v>4813</v>
      </c>
    </row>
    <row r="2834" spans="1:1">
      <c r="A2834" s="153" t="s">
        <v>4814</v>
      </c>
    </row>
    <row r="2835" spans="1:1">
      <c r="A2835" s="153" t="s">
        <v>4815</v>
      </c>
    </row>
    <row r="2836" spans="1:1">
      <c r="A2836" s="153" t="s">
        <v>4816</v>
      </c>
    </row>
    <row r="2837" spans="1:1">
      <c r="A2837" s="153" t="s">
        <v>4817</v>
      </c>
    </row>
    <row r="2838" spans="1:1">
      <c r="A2838" s="153" t="s">
        <v>4818</v>
      </c>
    </row>
    <row r="2839" spans="1:1">
      <c r="A2839" s="153" t="s">
        <v>4819</v>
      </c>
    </row>
    <row r="2840" spans="1:1">
      <c r="A2840" s="153" t="s">
        <v>4820</v>
      </c>
    </row>
    <row r="2841" spans="1:1">
      <c r="A2841" s="153" t="s">
        <v>4821</v>
      </c>
    </row>
    <row r="2842" spans="1:1">
      <c r="A2842" s="153" t="s">
        <v>4822</v>
      </c>
    </row>
    <row r="2843" spans="1:1">
      <c r="A2843" s="153" t="s">
        <v>4823</v>
      </c>
    </row>
    <row r="2844" spans="1:1">
      <c r="A2844" s="153" t="s">
        <v>4824</v>
      </c>
    </row>
    <row r="2845" spans="1:1">
      <c r="A2845" s="153" t="s">
        <v>4825</v>
      </c>
    </row>
    <row r="2846" spans="1:1">
      <c r="A2846" s="153" t="s">
        <v>4826</v>
      </c>
    </row>
    <row r="2847" spans="1:1">
      <c r="A2847" s="153" t="s">
        <v>4827</v>
      </c>
    </row>
    <row r="2848" spans="1:1">
      <c r="A2848" s="153" t="s">
        <v>4828</v>
      </c>
    </row>
    <row r="2849" spans="1:1">
      <c r="A2849" s="153" t="s">
        <v>4829</v>
      </c>
    </row>
    <row r="2850" spans="1:1">
      <c r="A2850" s="153" t="s">
        <v>4830</v>
      </c>
    </row>
    <row r="2851" spans="1:1">
      <c r="A2851" s="153" t="s">
        <v>4831</v>
      </c>
    </row>
    <row r="2852" spans="1:1">
      <c r="A2852" s="153" t="s">
        <v>4832</v>
      </c>
    </row>
    <row r="2853" spans="1:1">
      <c r="A2853" s="153" t="s">
        <v>4833</v>
      </c>
    </row>
    <row r="2854" spans="1:1">
      <c r="A2854" s="153" t="s">
        <v>4834</v>
      </c>
    </row>
    <row r="2855" spans="1:1">
      <c r="A2855" s="153" t="s">
        <v>4835</v>
      </c>
    </row>
    <row r="2856" spans="1:1">
      <c r="A2856" s="153" t="s">
        <v>4836</v>
      </c>
    </row>
    <row r="2857" spans="1:1">
      <c r="A2857" s="153" t="s">
        <v>4837</v>
      </c>
    </row>
    <row r="2858" spans="1:1">
      <c r="A2858" s="153" t="s">
        <v>4838</v>
      </c>
    </row>
    <row r="2859" spans="1:1">
      <c r="A2859" s="153" t="s">
        <v>4839</v>
      </c>
    </row>
    <row r="2860" spans="1:1">
      <c r="A2860" s="153" t="s">
        <v>4840</v>
      </c>
    </row>
    <row r="2861" spans="1:1">
      <c r="A2861" s="153" t="s">
        <v>4841</v>
      </c>
    </row>
    <row r="2862" spans="1:1">
      <c r="A2862" s="153" t="s">
        <v>4842</v>
      </c>
    </row>
    <row r="2863" spans="1:1">
      <c r="A2863" s="153" t="s">
        <v>4843</v>
      </c>
    </row>
    <row r="2864" spans="1:1">
      <c r="A2864" s="153" t="s">
        <v>4844</v>
      </c>
    </row>
    <row r="2865" spans="1:1">
      <c r="A2865" s="153" t="s">
        <v>4845</v>
      </c>
    </row>
    <row r="2866" spans="1:1">
      <c r="A2866" s="153" t="s">
        <v>4846</v>
      </c>
    </row>
    <row r="2867" spans="1:1">
      <c r="A2867" s="153" t="s">
        <v>4847</v>
      </c>
    </row>
    <row r="2868" spans="1:1">
      <c r="A2868" s="153" t="s">
        <v>4848</v>
      </c>
    </row>
    <row r="2869" spans="1:1">
      <c r="A2869" s="153" t="s">
        <v>4849</v>
      </c>
    </row>
    <row r="2870" spans="1:1">
      <c r="A2870" s="153" t="s">
        <v>4850</v>
      </c>
    </row>
    <row r="2871" spans="1:1">
      <c r="A2871" s="153" t="s">
        <v>4851</v>
      </c>
    </row>
    <row r="2872" spans="1:1">
      <c r="A2872" s="153" t="s">
        <v>4852</v>
      </c>
    </row>
    <row r="2873" spans="1:1">
      <c r="A2873" s="153" t="s">
        <v>4853</v>
      </c>
    </row>
    <row r="2874" spans="1:1">
      <c r="A2874" s="153" t="s">
        <v>4854</v>
      </c>
    </row>
    <row r="2875" spans="1:1">
      <c r="A2875" s="153" t="s">
        <v>4855</v>
      </c>
    </row>
    <row r="2876" spans="1:1">
      <c r="A2876" s="153" t="s">
        <v>4856</v>
      </c>
    </row>
    <row r="2877" spans="1:1">
      <c r="A2877" s="153" t="s">
        <v>4857</v>
      </c>
    </row>
    <row r="2878" spans="1:1">
      <c r="A2878" s="153" t="s">
        <v>4858</v>
      </c>
    </row>
    <row r="2879" spans="1:1">
      <c r="A2879" s="153" t="s">
        <v>4859</v>
      </c>
    </row>
    <row r="2880" spans="1:1">
      <c r="A2880" s="153" t="s">
        <v>4860</v>
      </c>
    </row>
    <row r="2881" spans="1:1">
      <c r="A2881" s="153" t="s">
        <v>4861</v>
      </c>
    </row>
    <row r="2882" spans="1:1">
      <c r="A2882" s="153" t="s">
        <v>4862</v>
      </c>
    </row>
    <row r="2883" spans="1:1">
      <c r="A2883" s="153" t="s">
        <v>4863</v>
      </c>
    </row>
    <row r="2884" spans="1:1">
      <c r="A2884" s="153" t="s">
        <v>4864</v>
      </c>
    </row>
    <row r="2885" spans="1:1">
      <c r="A2885" s="153" t="s">
        <v>4865</v>
      </c>
    </row>
    <row r="2886" spans="1:1">
      <c r="A2886" s="153" t="s">
        <v>4866</v>
      </c>
    </row>
    <row r="2887" spans="1:1">
      <c r="A2887" s="153" t="s">
        <v>4867</v>
      </c>
    </row>
    <row r="2888" spans="1:1">
      <c r="A2888" s="153" t="s">
        <v>4868</v>
      </c>
    </row>
    <row r="2889" spans="1:1">
      <c r="A2889" s="153" t="s">
        <v>4869</v>
      </c>
    </row>
    <row r="2890" spans="1:1">
      <c r="A2890" s="153" t="s">
        <v>4870</v>
      </c>
    </row>
    <row r="2891" spans="1:1">
      <c r="A2891" s="153" t="s">
        <v>4871</v>
      </c>
    </row>
    <row r="2892" spans="1:1">
      <c r="A2892" s="153" t="s">
        <v>4872</v>
      </c>
    </row>
    <row r="2893" spans="1:1">
      <c r="A2893" s="153" t="s">
        <v>4873</v>
      </c>
    </row>
    <row r="2894" spans="1:1">
      <c r="A2894" s="153" t="s">
        <v>4874</v>
      </c>
    </row>
    <row r="2895" spans="1:1">
      <c r="A2895" s="153" t="s">
        <v>4875</v>
      </c>
    </row>
    <row r="2896" spans="1:1">
      <c r="A2896" s="153" t="s">
        <v>4876</v>
      </c>
    </row>
    <row r="2897" spans="1:1">
      <c r="A2897" s="153" t="s">
        <v>4877</v>
      </c>
    </row>
    <row r="2898" spans="1:1">
      <c r="A2898" s="153" t="s">
        <v>4878</v>
      </c>
    </row>
    <row r="2899" spans="1:1">
      <c r="A2899" s="153" t="s">
        <v>4879</v>
      </c>
    </row>
    <row r="2900" spans="1:1">
      <c r="A2900" s="153" t="s">
        <v>4880</v>
      </c>
    </row>
    <row r="2901" spans="1:1">
      <c r="A2901" s="153" t="s">
        <v>4881</v>
      </c>
    </row>
    <row r="2902" spans="1:1">
      <c r="A2902" s="153" t="s">
        <v>4882</v>
      </c>
    </row>
    <row r="2903" spans="1:1">
      <c r="A2903" s="153" t="s">
        <v>4883</v>
      </c>
    </row>
    <row r="2904" spans="1:1">
      <c r="A2904" s="153" t="s">
        <v>4884</v>
      </c>
    </row>
    <row r="2905" spans="1:1">
      <c r="A2905" s="153" t="s">
        <v>4885</v>
      </c>
    </row>
    <row r="2906" spans="1:1">
      <c r="A2906" s="153" t="s">
        <v>4886</v>
      </c>
    </row>
    <row r="2907" spans="1:1">
      <c r="A2907" s="153" t="s">
        <v>4887</v>
      </c>
    </row>
    <row r="2908" spans="1:1">
      <c r="A2908" s="153" t="s">
        <v>4888</v>
      </c>
    </row>
    <row r="2909" spans="1:1">
      <c r="A2909" s="153" t="s">
        <v>4889</v>
      </c>
    </row>
    <row r="2910" spans="1:1">
      <c r="A2910" s="153" t="s">
        <v>4890</v>
      </c>
    </row>
    <row r="2911" spans="1:1">
      <c r="A2911" s="153" t="s">
        <v>4891</v>
      </c>
    </row>
    <row r="2912" spans="1:1">
      <c r="A2912" s="153" t="s">
        <v>4892</v>
      </c>
    </row>
    <row r="2913" spans="1:1">
      <c r="A2913" s="153" t="s">
        <v>4893</v>
      </c>
    </row>
    <row r="2914" spans="1:1">
      <c r="A2914" s="153" t="s">
        <v>4894</v>
      </c>
    </row>
    <row r="2915" spans="1:1">
      <c r="A2915" s="153" t="s">
        <v>4895</v>
      </c>
    </row>
    <row r="2916" spans="1:1">
      <c r="A2916" s="153" t="s">
        <v>4896</v>
      </c>
    </row>
    <row r="2917" spans="1:1">
      <c r="A2917" s="153" t="s">
        <v>4897</v>
      </c>
    </row>
    <row r="2918" spans="1:1">
      <c r="A2918" s="153" t="s">
        <v>4898</v>
      </c>
    </row>
    <row r="2919" spans="1:1">
      <c r="A2919" s="153" t="s">
        <v>4899</v>
      </c>
    </row>
    <row r="2920" spans="1:1">
      <c r="A2920" s="153" t="s">
        <v>4900</v>
      </c>
    </row>
    <row r="2921" spans="1:1">
      <c r="A2921" s="153" t="s">
        <v>4901</v>
      </c>
    </row>
    <row r="2922" spans="1:1">
      <c r="A2922" s="153" t="s">
        <v>4902</v>
      </c>
    </row>
    <row r="2923" spans="1:1">
      <c r="A2923" s="153" t="s">
        <v>4903</v>
      </c>
    </row>
    <row r="2924" spans="1:1">
      <c r="A2924" s="153" t="s">
        <v>4904</v>
      </c>
    </row>
    <row r="2925" spans="1:1">
      <c r="A2925" s="153" t="s">
        <v>4905</v>
      </c>
    </row>
    <row r="2926" spans="1:1">
      <c r="A2926" s="153" t="s">
        <v>4906</v>
      </c>
    </row>
    <row r="2927" spans="1:1">
      <c r="A2927" s="153" t="s">
        <v>4907</v>
      </c>
    </row>
    <row r="2928" spans="1:1">
      <c r="A2928" s="153" t="s">
        <v>4908</v>
      </c>
    </row>
    <row r="2929" spans="1:1">
      <c r="A2929" s="153" t="s">
        <v>4909</v>
      </c>
    </row>
    <row r="2930" spans="1:1">
      <c r="A2930" s="153" t="s">
        <v>4910</v>
      </c>
    </row>
    <row r="2931" spans="1:1">
      <c r="A2931" s="153" t="s">
        <v>4911</v>
      </c>
    </row>
    <row r="2932" spans="1:1">
      <c r="A2932" s="153" t="s">
        <v>4912</v>
      </c>
    </row>
    <row r="2933" spans="1:1">
      <c r="A2933" s="153" t="s">
        <v>4913</v>
      </c>
    </row>
    <row r="2934" spans="1:1">
      <c r="A2934" s="153" t="s">
        <v>4914</v>
      </c>
    </row>
    <row r="2935" spans="1:1">
      <c r="A2935" s="153" t="s">
        <v>4915</v>
      </c>
    </row>
    <row r="2936" spans="1:1">
      <c r="A2936" s="153" t="s">
        <v>4916</v>
      </c>
    </row>
    <row r="2937" spans="1:1">
      <c r="A2937" s="153" t="s">
        <v>4917</v>
      </c>
    </row>
    <row r="2938" spans="1:1">
      <c r="A2938" s="153" t="s">
        <v>4918</v>
      </c>
    </row>
    <row r="2939" spans="1:1">
      <c r="A2939" s="153" t="s">
        <v>4919</v>
      </c>
    </row>
    <row r="2940" spans="1:1">
      <c r="A2940" s="153" t="s">
        <v>4920</v>
      </c>
    </row>
    <row r="2941" spans="1:1">
      <c r="A2941" s="153" t="s">
        <v>4921</v>
      </c>
    </row>
    <row r="2942" spans="1:1">
      <c r="A2942" s="153" t="s">
        <v>4922</v>
      </c>
    </row>
    <row r="2943" spans="1:1">
      <c r="A2943" s="153" t="s">
        <v>4923</v>
      </c>
    </row>
    <row r="2944" spans="1:1">
      <c r="A2944" s="153" t="s">
        <v>4924</v>
      </c>
    </row>
    <row r="2945" spans="1:1">
      <c r="A2945" s="153" t="s">
        <v>4925</v>
      </c>
    </row>
    <row r="2946" spans="1:1">
      <c r="A2946" s="153" t="s">
        <v>4926</v>
      </c>
    </row>
    <row r="2947" spans="1:1">
      <c r="A2947" s="153" t="s">
        <v>4927</v>
      </c>
    </row>
    <row r="2948" spans="1:1">
      <c r="A2948" s="153" t="s">
        <v>4928</v>
      </c>
    </row>
    <row r="2949" spans="1:1">
      <c r="A2949" s="153" t="s">
        <v>4929</v>
      </c>
    </row>
    <row r="2950" spans="1:1">
      <c r="A2950" s="153" t="s">
        <v>4930</v>
      </c>
    </row>
    <row r="2951" spans="1:1">
      <c r="A2951" s="153" t="s">
        <v>4931</v>
      </c>
    </row>
    <row r="2952" spans="1:1">
      <c r="A2952" s="153" t="s">
        <v>4932</v>
      </c>
    </row>
    <row r="2953" spans="1:1">
      <c r="A2953" s="153" t="s">
        <v>4933</v>
      </c>
    </row>
    <row r="2954" spans="1:1">
      <c r="A2954" s="153" t="s">
        <v>4934</v>
      </c>
    </row>
    <row r="2955" spans="1:1">
      <c r="A2955" s="153" t="s">
        <v>4935</v>
      </c>
    </row>
    <row r="2956" spans="1:1">
      <c r="A2956" s="153" t="s">
        <v>4936</v>
      </c>
    </row>
    <row r="2957" spans="1:1">
      <c r="A2957" s="153" t="s">
        <v>4937</v>
      </c>
    </row>
    <row r="2958" spans="1:1">
      <c r="A2958" s="153" t="s">
        <v>4938</v>
      </c>
    </row>
    <row r="2959" spans="1:1">
      <c r="A2959" s="153" t="s">
        <v>4939</v>
      </c>
    </row>
    <row r="2960" spans="1:1">
      <c r="A2960" s="153" t="s">
        <v>4940</v>
      </c>
    </row>
    <row r="2961" spans="1:1">
      <c r="A2961" s="153" t="s">
        <v>4941</v>
      </c>
    </row>
    <row r="2962" spans="1:1">
      <c r="A2962" s="153" t="s">
        <v>4942</v>
      </c>
    </row>
    <row r="2963" spans="1:1">
      <c r="A2963" s="153" t="s">
        <v>4943</v>
      </c>
    </row>
    <row r="2964" spans="1:1">
      <c r="A2964" s="153" t="s">
        <v>4944</v>
      </c>
    </row>
    <row r="2965" spans="1:1">
      <c r="A2965" s="153" t="s">
        <v>4945</v>
      </c>
    </row>
    <row r="2966" spans="1:1">
      <c r="A2966" s="153" t="s">
        <v>4946</v>
      </c>
    </row>
    <row r="2967" spans="1:1">
      <c r="A2967" s="153" t="s">
        <v>4947</v>
      </c>
    </row>
    <row r="2968" spans="1:1">
      <c r="A2968" s="153" t="s">
        <v>4948</v>
      </c>
    </row>
    <row r="2969" spans="1:1">
      <c r="A2969" s="153" t="s">
        <v>4949</v>
      </c>
    </row>
    <row r="2970" spans="1:1">
      <c r="A2970" s="153" t="s">
        <v>4950</v>
      </c>
    </row>
    <row r="2971" spans="1:1">
      <c r="A2971" s="153" t="s">
        <v>4951</v>
      </c>
    </row>
    <row r="2972" spans="1:1">
      <c r="A2972" s="153" t="s">
        <v>4952</v>
      </c>
    </row>
    <row r="2973" spans="1:1">
      <c r="A2973" s="153" t="s">
        <v>4953</v>
      </c>
    </row>
    <row r="2974" spans="1:1">
      <c r="A2974" s="153" t="s">
        <v>4954</v>
      </c>
    </row>
    <row r="2975" spans="1:1">
      <c r="A2975" s="153" t="s">
        <v>4955</v>
      </c>
    </row>
    <row r="2976" spans="1:1">
      <c r="A2976" s="153" t="s">
        <v>4956</v>
      </c>
    </row>
    <row r="2977" spans="1:1">
      <c r="A2977" s="153" t="s">
        <v>4957</v>
      </c>
    </row>
    <row r="2978" spans="1:1">
      <c r="A2978" s="153" t="s">
        <v>4958</v>
      </c>
    </row>
    <row r="2979" spans="1:1">
      <c r="A2979" s="153" t="s">
        <v>4959</v>
      </c>
    </row>
    <row r="2980" spans="1:1">
      <c r="A2980" s="153" t="s">
        <v>4960</v>
      </c>
    </row>
    <row r="2981" spans="1:1">
      <c r="A2981" s="153" t="s">
        <v>4961</v>
      </c>
    </row>
    <row r="2982" spans="1:1">
      <c r="A2982" s="153" t="s">
        <v>4962</v>
      </c>
    </row>
    <row r="2983" spans="1:1">
      <c r="A2983" s="153" t="s">
        <v>4963</v>
      </c>
    </row>
    <row r="2984" spans="1:1">
      <c r="A2984" s="153" t="s">
        <v>4964</v>
      </c>
    </row>
    <row r="2985" spans="1:1">
      <c r="A2985" s="153" t="s">
        <v>4965</v>
      </c>
    </row>
    <row r="2986" spans="1:1">
      <c r="A2986" s="153" t="s">
        <v>4966</v>
      </c>
    </row>
    <row r="2987" spans="1:1">
      <c r="A2987" s="153" t="s">
        <v>4967</v>
      </c>
    </row>
    <row r="2988" spans="1:1">
      <c r="A2988" s="153" t="s">
        <v>4968</v>
      </c>
    </row>
    <row r="2989" spans="1:1">
      <c r="A2989" s="153" t="s">
        <v>4969</v>
      </c>
    </row>
    <row r="2990" spans="1:1">
      <c r="A2990" s="153" t="s">
        <v>4970</v>
      </c>
    </row>
    <row r="2991" spans="1:1">
      <c r="A2991" s="153" t="s">
        <v>4971</v>
      </c>
    </row>
    <row r="2992" spans="1:1">
      <c r="A2992" s="153" t="s">
        <v>4972</v>
      </c>
    </row>
    <row r="2993" spans="1:1">
      <c r="A2993" s="153" t="s">
        <v>4973</v>
      </c>
    </row>
    <row r="2994" spans="1:1">
      <c r="A2994" s="153" t="s">
        <v>4974</v>
      </c>
    </row>
    <row r="2995" spans="1:1">
      <c r="A2995" s="153" t="s">
        <v>4975</v>
      </c>
    </row>
    <row r="2996" spans="1:1">
      <c r="A2996" s="153" t="s">
        <v>4976</v>
      </c>
    </row>
    <row r="2997" spans="1:1">
      <c r="A2997" s="153" t="s">
        <v>4977</v>
      </c>
    </row>
    <row r="2998" spans="1:1">
      <c r="A2998" s="153" t="s">
        <v>4978</v>
      </c>
    </row>
    <row r="2999" spans="1:1">
      <c r="A2999" s="153" t="s">
        <v>4979</v>
      </c>
    </row>
    <row r="3000" spans="1:1">
      <c r="A3000" s="153" t="s">
        <v>4980</v>
      </c>
    </row>
    <row r="3001" spans="1:1">
      <c r="A3001" s="153" t="s">
        <v>4981</v>
      </c>
    </row>
    <row r="3002" spans="1:1">
      <c r="A3002" s="153" t="s">
        <v>4982</v>
      </c>
    </row>
    <row r="3003" spans="1:1">
      <c r="A3003" s="153" t="s">
        <v>4983</v>
      </c>
    </row>
    <row r="3004" spans="1:1">
      <c r="A3004" s="153" t="s">
        <v>4984</v>
      </c>
    </row>
    <row r="3005" spans="1:1">
      <c r="A3005" s="153" t="s">
        <v>4985</v>
      </c>
    </row>
    <row r="3006" spans="1:1">
      <c r="A3006" s="153" t="s">
        <v>4986</v>
      </c>
    </row>
    <row r="3007" spans="1:1">
      <c r="A3007" s="153" t="s">
        <v>4987</v>
      </c>
    </row>
    <row r="3008" spans="1:1">
      <c r="A3008" s="153" t="s">
        <v>4988</v>
      </c>
    </row>
    <row r="3009" spans="1:1">
      <c r="A3009" s="153" t="s">
        <v>4989</v>
      </c>
    </row>
    <row r="3010" spans="1:1">
      <c r="A3010" s="153" t="s">
        <v>4990</v>
      </c>
    </row>
    <row r="3011" spans="1:1">
      <c r="A3011" s="153" t="s">
        <v>4991</v>
      </c>
    </row>
    <row r="3012" spans="1:1">
      <c r="A3012" s="153" t="s">
        <v>4992</v>
      </c>
    </row>
    <row r="3013" spans="1:1">
      <c r="A3013" s="153" t="s">
        <v>4993</v>
      </c>
    </row>
    <row r="3014" spans="1:1">
      <c r="A3014" s="153" t="s">
        <v>4994</v>
      </c>
    </row>
    <row r="3015" spans="1:1">
      <c r="A3015" s="153" t="s">
        <v>4995</v>
      </c>
    </row>
    <row r="3016" spans="1:1">
      <c r="A3016" s="153" t="s">
        <v>4996</v>
      </c>
    </row>
    <row r="3017" spans="1:1">
      <c r="A3017" s="153" t="s">
        <v>4997</v>
      </c>
    </row>
    <row r="3018" spans="1:1">
      <c r="A3018" s="153" t="s">
        <v>4998</v>
      </c>
    </row>
    <row r="3019" spans="1:1">
      <c r="A3019" s="153" t="s">
        <v>4999</v>
      </c>
    </row>
    <row r="3020" spans="1:1">
      <c r="A3020" s="153" t="s">
        <v>5000</v>
      </c>
    </row>
    <row r="3021" spans="1:1">
      <c r="A3021" s="153" t="s">
        <v>5001</v>
      </c>
    </row>
    <row r="3022" spans="1:1">
      <c r="A3022" s="153" t="s">
        <v>5002</v>
      </c>
    </row>
    <row r="3023" spans="1:1">
      <c r="A3023" s="153" t="s">
        <v>5003</v>
      </c>
    </row>
    <row r="3024" spans="1:1">
      <c r="A3024" s="153" t="s">
        <v>5004</v>
      </c>
    </row>
    <row r="3025" spans="1:1">
      <c r="A3025" s="153" t="s">
        <v>5005</v>
      </c>
    </row>
    <row r="3026" spans="1:1">
      <c r="A3026" s="153" t="s">
        <v>5006</v>
      </c>
    </row>
    <row r="3027" spans="1:1">
      <c r="A3027" s="153" t="s">
        <v>5007</v>
      </c>
    </row>
    <row r="3028" spans="1:1">
      <c r="A3028" s="153" t="s">
        <v>5008</v>
      </c>
    </row>
    <row r="3029" spans="1:1">
      <c r="A3029" s="153" t="s">
        <v>5009</v>
      </c>
    </row>
    <row r="3030" spans="1:1">
      <c r="A3030" s="153" t="s">
        <v>5010</v>
      </c>
    </row>
    <row r="3031" spans="1:1">
      <c r="A3031" s="153" t="s">
        <v>5011</v>
      </c>
    </row>
    <row r="3032" spans="1:1">
      <c r="A3032" s="153" t="s">
        <v>5012</v>
      </c>
    </row>
    <row r="3033" spans="1:1">
      <c r="A3033" s="153" t="s">
        <v>5013</v>
      </c>
    </row>
    <row r="3034" spans="1:1">
      <c r="A3034" s="153" t="s">
        <v>5014</v>
      </c>
    </row>
    <row r="3035" spans="1:1">
      <c r="A3035" s="153" t="s">
        <v>5015</v>
      </c>
    </row>
    <row r="3036" spans="1:1">
      <c r="A3036" s="153" t="s">
        <v>5016</v>
      </c>
    </row>
    <row r="3037" spans="1:1">
      <c r="A3037" s="153" t="s">
        <v>5017</v>
      </c>
    </row>
    <row r="3038" spans="1:1">
      <c r="A3038" s="153" t="s">
        <v>5018</v>
      </c>
    </row>
    <row r="3039" spans="1:1">
      <c r="A3039" s="153" t="s">
        <v>5019</v>
      </c>
    </row>
    <row r="3040" spans="1:1">
      <c r="A3040" s="153" t="s">
        <v>5020</v>
      </c>
    </row>
    <row r="3041" spans="1:1">
      <c r="A3041" s="153" t="s">
        <v>5021</v>
      </c>
    </row>
    <row r="3042" spans="1:1">
      <c r="A3042" s="153" t="s">
        <v>5022</v>
      </c>
    </row>
    <row r="3043" spans="1:1">
      <c r="A3043" s="153" t="s">
        <v>5023</v>
      </c>
    </row>
    <row r="3044" spans="1:1">
      <c r="A3044" s="153" t="s">
        <v>5024</v>
      </c>
    </row>
    <row r="3045" spans="1:1">
      <c r="A3045" s="153" t="s">
        <v>5025</v>
      </c>
    </row>
    <row r="3046" spans="1:1">
      <c r="A3046" s="153" t="s">
        <v>5026</v>
      </c>
    </row>
    <row r="3047" spans="1:1">
      <c r="A3047" s="153" t="s">
        <v>5027</v>
      </c>
    </row>
    <row r="3048" spans="1:1">
      <c r="A3048" s="153" t="s">
        <v>5028</v>
      </c>
    </row>
    <row r="3049" spans="1:1">
      <c r="A3049" s="153" t="s">
        <v>5029</v>
      </c>
    </row>
    <row r="3050" spans="1:1">
      <c r="A3050" s="153" t="s">
        <v>5030</v>
      </c>
    </row>
    <row r="3051" spans="1:1">
      <c r="A3051" s="153" t="s">
        <v>5031</v>
      </c>
    </row>
    <row r="3052" spans="1:1">
      <c r="A3052" s="153" t="s">
        <v>5032</v>
      </c>
    </row>
    <row r="3053" spans="1:1">
      <c r="A3053" s="153" t="s">
        <v>5033</v>
      </c>
    </row>
    <row r="3054" spans="1:1">
      <c r="A3054" s="153" t="s">
        <v>5034</v>
      </c>
    </row>
    <row r="3055" spans="1:1">
      <c r="A3055" s="153" t="s">
        <v>5035</v>
      </c>
    </row>
    <row r="3056" spans="1:1">
      <c r="A3056" s="153" t="s">
        <v>5036</v>
      </c>
    </row>
    <row r="3057" spans="1:1">
      <c r="A3057" s="153" t="s">
        <v>5037</v>
      </c>
    </row>
    <row r="3058" spans="1:1">
      <c r="A3058" s="153" t="s">
        <v>5038</v>
      </c>
    </row>
    <row r="3059" spans="1:1">
      <c r="A3059" s="153" t="s">
        <v>5039</v>
      </c>
    </row>
    <row r="3060" spans="1:1">
      <c r="A3060" s="153" t="s">
        <v>5040</v>
      </c>
    </row>
    <row r="3061" spans="1:1">
      <c r="A3061" s="153" t="s">
        <v>5041</v>
      </c>
    </row>
    <row r="3062" spans="1:1">
      <c r="A3062" s="153" t="s">
        <v>5042</v>
      </c>
    </row>
    <row r="3063" spans="1:1">
      <c r="A3063" s="153" t="s">
        <v>5043</v>
      </c>
    </row>
    <row r="3064" spans="1:1">
      <c r="A3064" s="153" t="s">
        <v>5044</v>
      </c>
    </row>
    <row r="3065" spans="1:1">
      <c r="A3065" s="153" t="s">
        <v>5045</v>
      </c>
    </row>
    <row r="3066" spans="1:1">
      <c r="A3066" s="153" t="s">
        <v>5046</v>
      </c>
    </row>
    <row r="3067" spans="1:1">
      <c r="A3067" s="153" t="s">
        <v>5047</v>
      </c>
    </row>
    <row r="3068" spans="1:1">
      <c r="A3068" s="153" t="s">
        <v>5048</v>
      </c>
    </row>
    <row r="3069" spans="1:1">
      <c r="A3069" s="153" t="s">
        <v>5049</v>
      </c>
    </row>
    <row r="3070" spans="1:1">
      <c r="A3070" s="153" t="s">
        <v>5050</v>
      </c>
    </row>
    <row r="3071" spans="1:1">
      <c r="A3071" s="153" t="s">
        <v>5051</v>
      </c>
    </row>
    <row r="3072" spans="1:1">
      <c r="A3072" s="153" t="s">
        <v>5052</v>
      </c>
    </row>
    <row r="3073" spans="1:1">
      <c r="A3073" s="153" t="s">
        <v>5053</v>
      </c>
    </row>
    <row r="3074" spans="1:1">
      <c r="A3074" s="153" t="s">
        <v>5054</v>
      </c>
    </row>
    <row r="3075" spans="1:1">
      <c r="A3075" s="153" t="s">
        <v>5055</v>
      </c>
    </row>
    <row r="3076" spans="1:1">
      <c r="A3076" s="153" t="s">
        <v>5056</v>
      </c>
    </row>
    <row r="3077" spans="1:1">
      <c r="A3077" s="153" t="s">
        <v>5057</v>
      </c>
    </row>
    <row r="3078" spans="1:1">
      <c r="A3078" s="153" t="s">
        <v>5058</v>
      </c>
    </row>
    <row r="3079" spans="1:1">
      <c r="A3079" s="153" t="s">
        <v>5059</v>
      </c>
    </row>
    <row r="3080" spans="1:1">
      <c r="A3080" s="153" t="s">
        <v>5060</v>
      </c>
    </row>
    <row r="3081" spans="1:1">
      <c r="A3081" s="153" t="s">
        <v>5061</v>
      </c>
    </row>
    <row r="3082" spans="1:1">
      <c r="A3082" s="153" t="s">
        <v>5062</v>
      </c>
    </row>
    <row r="3083" spans="1:1">
      <c r="A3083" s="153" t="s">
        <v>5063</v>
      </c>
    </row>
    <row r="3084" spans="1:1">
      <c r="A3084" s="153" t="s">
        <v>5064</v>
      </c>
    </row>
    <row r="3085" spans="1:1">
      <c r="A3085" s="153" t="s">
        <v>5065</v>
      </c>
    </row>
    <row r="3086" spans="1:1">
      <c r="A3086" s="153" t="s">
        <v>5066</v>
      </c>
    </row>
    <row r="3087" spans="1:1">
      <c r="A3087" s="153" t="s">
        <v>5067</v>
      </c>
    </row>
    <row r="3088" spans="1:1">
      <c r="A3088" s="153" t="s">
        <v>5068</v>
      </c>
    </row>
    <row r="3089" spans="1:1">
      <c r="A3089" s="153" t="s">
        <v>5069</v>
      </c>
    </row>
    <row r="3090" spans="1:1">
      <c r="A3090" s="153" t="s">
        <v>5070</v>
      </c>
    </row>
    <row r="3091" spans="1:1">
      <c r="A3091" s="153" t="s">
        <v>5071</v>
      </c>
    </row>
    <row r="3092" spans="1:1">
      <c r="A3092" s="153" t="s">
        <v>5072</v>
      </c>
    </row>
    <row r="3093" spans="1:1">
      <c r="A3093" s="153" t="s">
        <v>5073</v>
      </c>
    </row>
    <row r="3094" spans="1:1">
      <c r="A3094" s="153" t="s">
        <v>5074</v>
      </c>
    </row>
    <row r="3095" spans="1:1">
      <c r="A3095" s="153" t="s">
        <v>5075</v>
      </c>
    </row>
    <row r="3096" spans="1:1">
      <c r="A3096" s="153" t="s">
        <v>5076</v>
      </c>
    </row>
    <row r="3097" spans="1:1">
      <c r="A3097" s="153" t="s">
        <v>5077</v>
      </c>
    </row>
    <row r="3098" spans="1:1">
      <c r="A3098" s="153" t="s">
        <v>5078</v>
      </c>
    </row>
    <row r="3099" spans="1:1">
      <c r="A3099" s="153" t="s">
        <v>5079</v>
      </c>
    </row>
    <row r="3100" spans="1:1">
      <c r="A3100" s="153" t="s">
        <v>5080</v>
      </c>
    </row>
    <row r="3101" spans="1:1">
      <c r="A3101" s="153" t="s">
        <v>5081</v>
      </c>
    </row>
    <row r="3102" spans="1:1">
      <c r="A3102" s="153" t="s">
        <v>5082</v>
      </c>
    </row>
    <row r="3103" spans="1:1">
      <c r="A3103" s="153" t="s">
        <v>5083</v>
      </c>
    </row>
    <row r="3104" spans="1:1">
      <c r="A3104" s="153" t="s">
        <v>5084</v>
      </c>
    </row>
    <row r="3105" spans="1:1">
      <c r="A3105" s="153" t="s">
        <v>5085</v>
      </c>
    </row>
    <row r="3106" spans="1:1">
      <c r="A3106" s="153" t="s">
        <v>5086</v>
      </c>
    </row>
    <row r="3107" spans="1:1">
      <c r="A3107" s="153" t="s">
        <v>5087</v>
      </c>
    </row>
    <row r="3108" spans="1:1">
      <c r="A3108" s="153" t="s">
        <v>5088</v>
      </c>
    </row>
    <row r="3109" spans="1:1">
      <c r="A3109" s="153" t="s">
        <v>5089</v>
      </c>
    </row>
    <row r="3110" spans="1:1">
      <c r="A3110" s="153" t="s">
        <v>5090</v>
      </c>
    </row>
    <row r="3111" spans="1:1">
      <c r="A3111" s="153" t="s">
        <v>5091</v>
      </c>
    </row>
    <row r="3112" spans="1:1">
      <c r="A3112" s="153" t="s">
        <v>5092</v>
      </c>
    </row>
    <row r="3113" spans="1:1">
      <c r="A3113" s="153" t="s">
        <v>5093</v>
      </c>
    </row>
    <row r="3114" spans="1:1">
      <c r="A3114" s="153" t="s">
        <v>5094</v>
      </c>
    </row>
    <row r="3115" spans="1:1">
      <c r="A3115" s="153" t="s">
        <v>5095</v>
      </c>
    </row>
    <row r="3116" spans="1:1">
      <c r="A3116" s="153" t="s">
        <v>5096</v>
      </c>
    </row>
    <row r="3117" spans="1:1">
      <c r="A3117" s="153" t="s">
        <v>5097</v>
      </c>
    </row>
    <row r="3118" spans="1:1">
      <c r="A3118" s="153" t="s">
        <v>5098</v>
      </c>
    </row>
    <row r="3119" spans="1:1">
      <c r="A3119" s="153" t="s">
        <v>5099</v>
      </c>
    </row>
    <row r="3120" spans="1:1">
      <c r="A3120" s="153" t="s">
        <v>5100</v>
      </c>
    </row>
    <row r="3121" spans="1:1">
      <c r="A3121" s="153" t="s">
        <v>5101</v>
      </c>
    </row>
    <row r="3122" spans="1:1">
      <c r="A3122" s="153" t="s">
        <v>5102</v>
      </c>
    </row>
    <row r="3123" spans="1:1">
      <c r="A3123" s="153" t="s">
        <v>5103</v>
      </c>
    </row>
    <row r="3124" spans="1:1">
      <c r="A3124" s="153" t="s">
        <v>5104</v>
      </c>
    </row>
    <row r="3125" spans="1:1">
      <c r="A3125" s="153" t="s">
        <v>5105</v>
      </c>
    </row>
    <row r="3126" spans="1:1">
      <c r="A3126" s="153" t="s">
        <v>5106</v>
      </c>
    </row>
    <row r="3127" spans="1:1">
      <c r="A3127" s="153" t="s">
        <v>5107</v>
      </c>
    </row>
    <row r="3128" spans="1:1">
      <c r="A3128" s="153" t="s">
        <v>5108</v>
      </c>
    </row>
    <row r="3129" spans="1:1">
      <c r="A3129" s="153" t="s">
        <v>5109</v>
      </c>
    </row>
    <row r="3130" spans="1:1">
      <c r="A3130" s="153" t="s">
        <v>5110</v>
      </c>
    </row>
    <row r="3131" spans="1:1">
      <c r="A3131" s="153" t="s">
        <v>5111</v>
      </c>
    </row>
    <row r="3132" spans="1:1">
      <c r="A3132" s="153" t="s">
        <v>5112</v>
      </c>
    </row>
    <row r="3133" spans="1:1">
      <c r="A3133" s="153" t="s">
        <v>5113</v>
      </c>
    </row>
    <row r="3134" spans="1:1">
      <c r="A3134" s="153" t="s">
        <v>5114</v>
      </c>
    </row>
    <row r="3135" spans="1:1">
      <c r="A3135" s="153" t="s">
        <v>5115</v>
      </c>
    </row>
    <row r="3136" spans="1:1">
      <c r="A3136" s="153" t="s">
        <v>5116</v>
      </c>
    </row>
    <row r="3137" spans="1:1">
      <c r="A3137" s="153" t="s">
        <v>5117</v>
      </c>
    </row>
    <row r="3138" spans="1:1">
      <c r="A3138" s="153" t="s">
        <v>5118</v>
      </c>
    </row>
    <row r="3139" spans="1:1">
      <c r="A3139" s="153" t="s">
        <v>5119</v>
      </c>
    </row>
    <row r="3140" spans="1:1">
      <c r="A3140" s="153" t="s">
        <v>5120</v>
      </c>
    </row>
    <row r="3141" spans="1:1">
      <c r="A3141" s="153" t="s">
        <v>5121</v>
      </c>
    </row>
    <row r="3142" spans="1:1">
      <c r="A3142" s="153" t="s">
        <v>5122</v>
      </c>
    </row>
    <row r="3143" spans="1:1">
      <c r="A3143" s="153" t="s">
        <v>5123</v>
      </c>
    </row>
    <row r="3144" spans="1:1">
      <c r="A3144" s="153" t="s">
        <v>5124</v>
      </c>
    </row>
    <row r="3145" spans="1:1">
      <c r="A3145" s="153" t="s">
        <v>5125</v>
      </c>
    </row>
    <row r="3146" spans="1:1">
      <c r="A3146" s="153" t="s">
        <v>5126</v>
      </c>
    </row>
    <row r="3147" spans="1:1">
      <c r="A3147" s="153" t="s">
        <v>5127</v>
      </c>
    </row>
    <row r="3148" spans="1:1">
      <c r="A3148" s="153" t="s">
        <v>5128</v>
      </c>
    </row>
    <row r="3149" spans="1:1">
      <c r="A3149" s="153" t="s">
        <v>5129</v>
      </c>
    </row>
    <row r="3150" spans="1:1">
      <c r="A3150" s="153" t="s">
        <v>5130</v>
      </c>
    </row>
    <row r="3151" spans="1:1">
      <c r="A3151" s="153" t="s">
        <v>5131</v>
      </c>
    </row>
    <row r="3152" spans="1:1">
      <c r="A3152" s="153" t="s">
        <v>5132</v>
      </c>
    </row>
    <row r="3153" spans="1:1">
      <c r="A3153" s="153" t="s">
        <v>5133</v>
      </c>
    </row>
    <row r="3154" spans="1:1">
      <c r="A3154" s="153" t="s">
        <v>5134</v>
      </c>
    </row>
    <row r="3155" spans="1:1">
      <c r="A3155" s="153" t="s">
        <v>5135</v>
      </c>
    </row>
    <row r="3156" spans="1:1">
      <c r="A3156" s="153" t="s">
        <v>5136</v>
      </c>
    </row>
    <row r="3157" spans="1:1">
      <c r="A3157" s="153" t="s">
        <v>5137</v>
      </c>
    </row>
    <row r="3158" spans="1:1">
      <c r="A3158" s="153" t="s">
        <v>5138</v>
      </c>
    </row>
    <row r="3159" spans="1:1">
      <c r="A3159" s="153" t="s">
        <v>5139</v>
      </c>
    </row>
    <row r="3160" spans="1:1">
      <c r="A3160" s="153" t="s">
        <v>5140</v>
      </c>
    </row>
    <row r="3161" spans="1:1">
      <c r="A3161" s="153" t="s">
        <v>5141</v>
      </c>
    </row>
    <row r="3162" spans="1:1">
      <c r="A3162" s="153" t="s">
        <v>5142</v>
      </c>
    </row>
    <row r="3163" spans="1:1">
      <c r="A3163" s="153" t="s">
        <v>5143</v>
      </c>
    </row>
    <row r="3164" spans="1:1">
      <c r="A3164" s="153" t="s">
        <v>5144</v>
      </c>
    </row>
    <row r="3165" spans="1:1">
      <c r="A3165" s="153" t="s">
        <v>5145</v>
      </c>
    </row>
    <row r="3166" spans="1:1">
      <c r="A3166" s="153" t="s">
        <v>5146</v>
      </c>
    </row>
    <row r="3167" spans="1:1">
      <c r="A3167" s="153" t="s">
        <v>5147</v>
      </c>
    </row>
    <row r="3168" spans="1:1">
      <c r="A3168" s="153" t="s">
        <v>5148</v>
      </c>
    </row>
    <row r="3169" spans="1:1">
      <c r="A3169" s="153" t="s">
        <v>5149</v>
      </c>
    </row>
    <row r="3170" spans="1:1">
      <c r="A3170" s="153" t="s">
        <v>5150</v>
      </c>
    </row>
    <row r="3171" spans="1:1">
      <c r="A3171" s="153" t="s">
        <v>5151</v>
      </c>
    </row>
    <row r="3172" spans="1:1">
      <c r="A3172" s="153" t="s">
        <v>5152</v>
      </c>
    </row>
    <row r="3173" spans="1:1">
      <c r="A3173" s="153" t="s">
        <v>5153</v>
      </c>
    </row>
    <row r="3174" spans="1:1">
      <c r="A3174" s="153" t="s">
        <v>5154</v>
      </c>
    </row>
    <row r="3175" spans="1:1">
      <c r="A3175" s="153" t="s">
        <v>5155</v>
      </c>
    </row>
    <row r="3176" spans="1:1">
      <c r="A3176" s="153" t="s">
        <v>5156</v>
      </c>
    </row>
    <row r="3177" spans="1:1">
      <c r="A3177" s="153" t="s">
        <v>5157</v>
      </c>
    </row>
    <row r="3178" spans="1:1">
      <c r="A3178" s="153" t="s">
        <v>5158</v>
      </c>
    </row>
    <row r="3179" spans="1:1">
      <c r="A3179" s="153" t="s">
        <v>5159</v>
      </c>
    </row>
    <row r="3180" spans="1:1">
      <c r="A3180" s="153" t="s">
        <v>5160</v>
      </c>
    </row>
    <row r="3181" spans="1:1">
      <c r="A3181" s="153" t="s">
        <v>5161</v>
      </c>
    </row>
    <row r="3182" spans="1:1">
      <c r="A3182" s="153" t="s">
        <v>5162</v>
      </c>
    </row>
    <row r="3183" spans="1:1">
      <c r="A3183" s="153" t="s">
        <v>5163</v>
      </c>
    </row>
    <row r="3184" spans="1:1">
      <c r="A3184" s="153" t="s">
        <v>5164</v>
      </c>
    </row>
    <row r="3185" spans="1:1">
      <c r="A3185" s="153" t="s">
        <v>5165</v>
      </c>
    </row>
    <row r="3186" spans="1:1">
      <c r="A3186" s="153" t="s">
        <v>5166</v>
      </c>
    </row>
    <row r="3187" spans="1:1">
      <c r="A3187" s="153" t="s">
        <v>5167</v>
      </c>
    </row>
    <row r="3188" spans="1:1">
      <c r="A3188" s="153" t="s">
        <v>5168</v>
      </c>
    </row>
    <row r="3189" spans="1:1">
      <c r="A3189" s="153" t="s">
        <v>5169</v>
      </c>
    </row>
    <row r="3190" spans="1:1">
      <c r="A3190" s="153" t="s">
        <v>5170</v>
      </c>
    </row>
    <row r="3191" spans="1:1">
      <c r="A3191" s="153" t="s">
        <v>5171</v>
      </c>
    </row>
    <row r="3192" spans="1:1">
      <c r="A3192" s="153" t="s">
        <v>5172</v>
      </c>
    </row>
    <row r="3193" spans="1:1">
      <c r="A3193" s="153" t="s">
        <v>5173</v>
      </c>
    </row>
    <row r="3194" spans="1:1">
      <c r="A3194" s="153" t="s">
        <v>5174</v>
      </c>
    </row>
    <row r="3195" spans="1:1">
      <c r="A3195" s="153" t="s">
        <v>5175</v>
      </c>
    </row>
    <row r="3196" spans="1:1">
      <c r="A3196" s="153" t="s">
        <v>5176</v>
      </c>
    </row>
    <row r="3197" spans="1:1">
      <c r="A3197" s="153" t="s">
        <v>5177</v>
      </c>
    </row>
    <row r="3198" spans="1:1">
      <c r="A3198" s="153" t="s">
        <v>5178</v>
      </c>
    </row>
    <row r="3199" spans="1:1">
      <c r="A3199" s="153" t="s">
        <v>5179</v>
      </c>
    </row>
    <row r="3200" spans="1:1">
      <c r="A3200" s="153" t="s">
        <v>5180</v>
      </c>
    </row>
    <row r="3201" spans="1:1">
      <c r="A3201" s="153" t="s">
        <v>5181</v>
      </c>
    </row>
    <row r="3202" spans="1:1">
      <c r="A3202" s="153" t="s">
        <v>5182</v>
      </c>
    </row>
    <row r="3203" spans="1:1">
      <c r="A3203" s="153" t="s">
        <v>5183</v>
      </c>
    </row>
    <row r="3204" spans="1:1">
      <c r="A3204" s="153" t="s">
        <v>5184</v>
      </c>
    </row>
    <row r="3205" spans="1:1">
      <c r="A3205" s="153" t="s">
        <v>5185</v>
      </c>
    </row>
    <row r="3206" spans="1:1">
      <c r="A3206" s="153" t="s">
        <v>5186</v>
      </c>
    </row>
    <row r="3207" spans="1:1">
      <c r="A3207" s="153" t="s">
        <v>5187</v>
      </c>
    </row>
    <row r="3208" spans="1:1">
      <c r="A3208" s="153" t="s">
        <v>5188</v>
      </c>
    </row>
    <row r="3209" spans="1:1">
      <c r="A3209" s="153" t="s">
        <v>5189</v>
      </c>
    </row>
    <row r="3210" spans="1:1">
      <c r="A3210" s="153" t="s">
        <v>5190</v>
      </c>
    </row>
    <row r="3211" spans="1:1">
      <c r="A3211" s="153" t="s">
        <v>5191</v>
      </c>
    </row>
    <row r="3212" spans="1:1">
      <c r="A3212" s="153" t="s">
        <v>5192</v>
      </c>
    </row>
    <row r="3213" spans="1:1">
      <c r="A3213" s="153" t="s">
        <v>5193</v>
      </c>
    </row>
    <row r="3214" spans="1:1">
      <c r="A3214" s="153" t="s">
        <v>5194</v>
      </c>
    </row>
    <row r="3215" spans="1:1">
      <c r="A3215" s="153" t="s">
        <v>5195</v>
      </c>
    </row>
    <row r="3216" spans="1:1">
      <c r="A3216" s="153" t="s">
        <v>5196</v>
      </c>
    </row>
    <row r="3217" spans="1:1">
      <c r="A3217" s="153" t="s">
        <v>5197</v>
      </c>
    </row>
    <row r="3218" spans="1:1">
      <c r="A3218" s="153" t="s">
        <v>5198</v>
      </c>
    </row>
    <row r="3219" spans="1:1">
      <c r="A3219" s="153" t="s">
        <v>5199</v>
      </c>
    </row>
    <row r="3220" spans="1:1">
      <c r="A3220" s="153" t="s">
        <v>5200</v>
      </c>
    </row>
    <row r="3221" spans="1:1">
      <c r="A3221" s="153" t="s">
        <v>5201</v>
      </c>
    </row>
    <row r="3222" spans="1:1">
      <c r="A3222" s="153" t="s">
        <v>5202</v>
      </c>
    </row>
    <row r="3223" spans="1:1">
      <c r="A3223" s="153" t="s">
        <v>5203</v>
      </c>
    </row>
    <row r="3224" spans="1:1">
      <c r="A3224" s="153" t="s">
        <v>5204</v>
      </c>
    </row>
    <row r="3225" spans="1:1">
      <c r="A3225" s="153" t="s">
        <v>5205</v>
      </c>
    </row>
    <row r="3226" spans="1:1">
      <c r="A3226" s="153" t="s">
        <v>5206</v>
      </c>
    </row>
    <row r="3227" spans="1:1">
      <c r="A3227" s="153" t="s">
        <v>5207</v>
      </c>
    </row>
    <row r="3228" spans="1:1">
      <c r="A3228" s="153" t="s">
        <v>5208</v>
      </c>
    </row>
    <row r="3229" spans="1:1">
      <c r="A3229" s="153" t="s">
        <v>5209</v>
      </c>
    </row>
    <row r="3230" spans="1:1">
      <c r="A3230" s="153" t="s">
        <v>5210</v>
      </c>
    </row>
    <row r="3231" spans="1:1">
      <c r="A3231" s="153" t="s">
        <v>5211</v>
      </c>
    </row>
    <row r="3232" spans="1:1">
      <c r="A3232" s="153" t="s">
        <v>5212</v>
      </c>
    </row>
    <row r="3233" spans="1:1">
      <c r="A3233" s="153" t="s">
        <v>5213</v>
      </c>
    </row>
    <row r="3234" spans="1:1">
      <c r="A3234" s="153" t="s">
        <v>5214</v>
      </c>
    </row>
    <row r="3235" spans="1:1">
      <c r="A3235" s="153" t="s">
        <v>5215</v>
      </c>
    </row>
    <row r="3236" spans="1:1">
      <c r="A3236" s="153" t="s">
        <v>5216</v>
      </c>
    </row>
    <row r="3237" spans="1:1">
      <c r="A3237" s="153" t="s">
        <v>5217</v>
      </c>
    </row>
    <row r="3238" spans="1:1">
      <c r="A3238" s="153" t="s">
        <v>5218</v>
      </c>
    </row>
    <row r="3239" spans="1:1">
      <c r="A3239" s="153" t="s">
        <v>5219</v>
      </c>
    </row>
    <row r="3240" spans="1:1">
      <c r="A3240" s="153" t="s">
        <v>5220</v>
      </c>
    </row>
    <row r="3241" spans="1:1">
      <c r="A3241" s="153" t="s">
        <v>5221</v>
      </c>
    </row>
    <row r="3242" spans="1:1">
      <c r="A3242" s="153" t="s">
        <v>5222</v>
      </c>
    </row>
    <row r="3243" spans="1:1">
      <c r="A3243" s="153" t="s">
        <v>5223</v>
      </c>
    </row>
    <row r="3244" spans="1:1">
      <c r="A3244" s="153" t="s">
        <v>5224</v>
      </c>
    </row>
    <row r="3245" spans="1:1">
      <c r="A3245" s="153" t="s">
        <v>5225</v>
      </c>
    </row>
    <row r="3246" spans="1:1">
      <c r="A3246" s="153" t="s">
        <v>5226</v>
      </c>
    </row>
    <row r="3247" spans="1:1">
      <c r="A3247" s="153" t="s">
        <v>5227</v>
      </c>
    </row>
    <row r="3248" spans="1:1">
      <c r="A3248" s="153" t="s">
        <v>5228</v>
      </c>
    </row>
    <row r="3249" spans="1:1">
      <c r="A3249" s="153" t="s">
        <v>5229</v>
      </c>
    </row>
    <row r="3250" spans="1:1">
      <c r="A3250" s="153" t="s">
        <v>5230</v>
      </c>
    </row>
    <row r="3251" spans="1:1">
      <c r="A3251" s="153" t="s">
        <v>5231</v>
      </c>
    </row>
    <row r="3252" spans="1:1">
      <c r="A3252" s="153" t="s">
        <v>5232</v>
      </c>
    </row>
    <row r="3253" spans="1:1">
      <c r="A3253" s="153" t="s">
        <v>5233</v>
      </c>
    </row>
    <row r="3254" spans="1:1">
      <c r="A3254" s="153" t="s">
        <v>5234</v>
      </c>
    </row>
    <row r="3255" spans="1:1">
      <c r="A3255" s="153" t="s">
        <v>5235</v>
      </c>
    </row>
    <row r="3256" spans="1:1">
      <c r="A3256" s="153" t="s">
        <v>5236</v>
      </c>
    </row>
    <row r="3257" spans="1:1">
      <c r="A3257" s="153" t="s">
        <v>5237</v>
      </c>
    </row>
    <row r="3258" spans="1:1">
      <c r="A3258" s="153" t="s">
        <v>5238</v>
      </c>
    </row>
    <row r="3259" spans="1:1">
      <c r="A3259" s="153" t="s">
        <v>5239</v>
      </c>
    </row>
    <row r="3260" spans="1:1">
      <c r="A3260" s="153" t="s">
        <v>5240</v>
      </c>
    </row>
    <row r="3261" spans="1:1">
      <c r="A3261" s="153" t="s">
        <v>5241</v>
      </c>
    </row>
    <row r="3262" spans="1:1">
      <c r="A3262" s="153" t="s">
        <v>5242</v>
      </c>
    </row>
    <row r="3263" spans="1:1">
      <c r="A3263" s="153" t="s">
        <v>5243</v>
      </c>
    </row>
    <row r="3264" spans="1:1">
      <c r="A3264" s="153" t="s">
        <v>5244</v>
      </c>
    </row>
    <row r="3265" spans="1:1">
      <c r="A3265" s="153" t="s">
        <v>5245</v>
      </c>
    </row>
    <row r="3266" spans="1:1">
      <c r="A3266" s="153" t="s">
        <v>5246</v>
      </c>
    </row>
    <row r="3267" spans="1:1">
      <c r="A3267" s="153" t="s">
        <v>5247</v>
      </c>
    </row>
    <row r="3268" spans="1:1">
      <c r="A3268" s="153" t="s">
        <v>5248</v>
      </c>
    </row>
    <row r="3269" spans="1:1">
      <c r="A3269" s="153" t="s">
        <v>5249</v>
      </c>
    </row>
    <row r="3270" spans="1:1">
      <c r="A3270" s="153" t="s">
        <v>5250</v>
      </c>
    </row>
    <row r="3271" spans="1:1">
      <c r="A3271" s="153" t="s">
        <v>5251</v>
      </c>
    </row>
    <row r="3272" spans="1:1">
      <c r="A3272" s="153" t="s">
        <v>5252</v>
      </c>
    </row>
    <row r="3273" spans="1:1">
      <c r="A3273" s="153" t="s">
        <v>5253</v>
      </c>
    </row>
    <row r="3274" spans="1:1">
      <c r="A3274" s="153" t="s">
        <v>5254</v>
      </c>
    </row>
    <row r="3275" spans="1:1">
      <c r="A3275" s="153" t="s">
        <v>5255</v>
      </c>
    </row>
    <row r="3276" spans="1:1">
      <c r="A3276" s="153" t="s">
        <v>5256</v>
      </c>
    </row>
    <row r="3277" spans="1:1">
      <c r="A3277" s="153" t="s">
        <v>5257</v>
      </c>
    </row>
    <row r="3278" spans="1:1">
      <c r="A3278" s="153" t="s">
        <v>5258</v>
      </c>
    </row>
    <row r="3279" spans="1:1">
      <c r="A3279" s="153" t="s">
        <v>5259</v>
      </c>
    </row>
    <row r="3280" spans="1:1">
      <c r="A3280" s="153" t="s">
        <v>5260</v>
      </c>
    </row>
    <row r="3281" spans="1:1">
      <c r="A3281" s="153" t="s">
        <v>5261</v>
      </c>
    </row>
    <row r="3282" spans="1:1">
      <c r="A3282" s="153" t="s">
        <v>5262</v>
      </c>
    </row>
    <row r="3283" spans="1:1">
      <c r="A3283" s="153" t="s">
        <v>5263</v>
      </c>
    </row>
    <row r="3284" spans="1:1">
      <c r="A3284" s="153" t="s">
        <v>5264</v>
      </c>
    </row>
    <row r="3285" spans="1:1">
      <c r="A3285" s="153" t="s">
        <v>5265</v>
      </c>
    </row>
    <row r="3286" spans="1:1">
      <c r="A3286" s="153" t="s">
        <v>5266</v>
      </c>
    </row>
    <row r="3287" spans="1:1">
      <c r="A3287" s="153" t="s">
        <v>5267</v>
      </c>
    </row>
    <row r="3288" spans="1:1">
      <c r="A3288" s="153" t="s">
        <v>5268</v>
      </c>
    </row>
    <row r="3289" spans="1:1">
      <c r="A3289" s="153" t="s">
        <v>5269</v>
      </c>
    </row>
    <row r="3290" spans="1:1">
      <c r="A3290" s="153" t="s">
        <v>5270</v>
      </c>
    </row>
    <row r="3291" spans="1:1">
      <c r="A3291" s="153" t="s">
        <v>5271</v>
      </c>
    </row>
    <row r="3292" spans="1:1">
      <c r="A3292" s="153" t="s">
        <v>5272</v>
      </c>
    </row>
    <row r="3293" spans="1:1">
      <c r="A3293" s="153" t="s">
        <v>5273</v>
      </c>
    </row>
    <row r="3294" spans="1:1">
      <c r="A3294" s="153" t="s">
        <v>5274</v>
      </c>
    </row>
    <row r="3295" spans="1:1">
      <c r="A3295" s="153" t="s">
        <v>5275</v>
      </c>
    </row>
    <row r="3296" spans="1:1">
      <c r="A3296" s="153" t="s">
        <v>5276</v>
      </c>
    </row>
    <row r="3297" spans="1:1">
      <c r="A3297" s="153" t="s">
        <v>5277</v>
      </c>
    </row>
    <row r="3298" spans="1:1">
      <c r="A3298" s="153" t="s">
        <v>5278</v>
      </c>
    </row>
    <row r="3299" spans="1:1">
      <c r="A3299" s="153" t="s">
        <v>5279</v>
      </c>
    </row>
    <row r="3300" spans="1:1">
      <c r="A3300" s="153" t="s">
        <v>5280</v>
      </c>
    </row>
    <row r="3301" spans="1:1">
      <c r="A3301" s="153" t="s">
        <v>5281</v>
      </c>
    </row>
    <row r="3302" spans="1:1">
      <c r="A3302" s="153" t="s">
        <v>5282</v>
      </c>
    </row>
    <row r="3303" spans="1:1">
      <c r="A3303" s="153" t="s">
        <v>5283</v>
      </c>
    </row>
    <row r="3304" spans="1:1">
      <c r="A3304" s="153" t="s">
        <v>5284</v>
      </c>
    </row>
    <row r="3305" spans="1:1">
      <c r="A3305" s="153" t="s">
        <v>5285</v>
      </c>
    </row>
    <row r="3306" spans="1:1">
      <c r="A3306" s="153" t="s">
        <v>5286</v>
      </c>
    </row>
    <row r="3307" spans="1:1">
      <c r="A3307" s="153" t="s">
        <v>5287</v>
      </c>
    </row>
    <row r="3308" spans="1:1">
      <c r="A3308" s="153" t="s">
        <v>5288</v>
      </c>
    </row>
    <row r="3309" spans="1:1">
      <c r="A3309" s="153" t="s">
        <v>5289</v>
      </c>
    </row>
    <row r="3310" spans="1:1">
      <c r="A3310" s="153" t="s">
        <v>5290</v>
      </c>
    </row>
    <row r="3311" spans="1:1">
      <c r="A3311" s="153" t="s">
        <v>5291</v>
      </c>
    </row>
    <row r="3312" spans="1:1">
      <c r="A3312" s="153" t="s">
        <v>5292</v>
      </c>
    </row>
    <row r="3313" spans="1:1">
      <c r="A3313" s="153" t="s">
        <v>5293</v>
      </c>
    </row>
    <row r="3314" spans="1:1">
      <c r="A3314" s="153" t="s">
        <v>5294</v>
      </c>
    </row>
    <row r="3315" spans="1:1">
      <c r="A3315" s="153" t="s">
        <v>5295</v>
      </c>
    </row>
    <row r="3316" spans="1:1">
      <c r="A3316" s="153" t="s">
        <v>5296</v>
      </c>
    </row>
    <row r="3317" spans="1:1">
      <c r="A3317" s="153" t="s">
        <v>5297</v>
      </c>
    </row>
    <row r="3318" spans="1:1">
      <c r="A3318" s="153" t="s">
        <v>5298</v>
      </c>
    </row>
    <row r="3319" spans="1:1">
      <c r="A3319" s="153" t="s">
        <v>5299</v>
      </c>
    </row>
    <row r="3320" spans="1:1">
      <c r="A3320" s="153" t="s">
        <v>5300</v>
      </c>
    </row>
    <row r="3321" spans="1:1">
      <c r="A3321" s="153" t="s">
        <v>5301</v>
      </c>
    </row>
    <row r="3322" spans="1:1">
      <c r="A3322" s="153" t="s">
        <v>5302</v>
      </c>
    </row>
    <row r="3323" spans="1:1">
      <c r="A3323" s="153" t="s">
        <v>5303</v>
      </c>
    </row>
    <row r="3324" spans="1:1">
      <c r="A3324" s="153" t="s">
        <v>5304</v>
      </c>
    </row>
    <row r="3325" spans="1:1">
      <c r="A3325" s="153" t="s">
        <v>5305</v>
      </c>
    </row>
    <row r="3326" spans="1:1">
      <c r="A3326" s="153" t="s">
        <v>5306</v>
      </c>
    </row>
    <row r="3327" spans="1:1">
      <c r="A3327" s="153" t="s">
        <v>5307</v>
      </c>
    </row>
    <row r="3328" spans="1:1">
      <c r="A3328" s="153" t="s">
        <v>5308</v>
      </c>
    </row>
    <row r="3329" spans="1:1">
      <c r="A3329" s="153" t="s">
        <v>5309</v>
      </c>
    </row>
    <row r="3330" spans="1:1">
      <c r="A3330" s="153" t="s">
        <v>5310</v>
      </c>
    </row>
    <row r="3331" spans="1:1">
      <c r="A3331" s="153" t="s">
        <v>5311</v>
      </c>
    </row>
    <row r="3332" spans="1:1">
      <c r="A3332" s="153" t="s">
        <v>5312</v>
      </c>
    </row>
    <row r="3333" spans="1:1">
      <c r="A3333" s="153" t="s">
        <v>5313</v>
      </c>
    </row>
    <row r="3334" spans="1:1">
      <c r="A3334" s="153" t="s">
        <v>5314</v>
      </c>
    </row>
    <row r="3335" spans="1:1">
      <c r="A3335" s="153" t="s">
        <v>5315</v>
      </c>
    </row>
    <row r="3336" spans="1:1">
      <c r="A3336" s="153" t="s">
        <v>5316</v>
      </c>
    </row>
    <row r="3337" spans="1:1">
      <c r="A3337" s="153" t="s">
        <v>5317</v>
      </c>
    </row>
    <row r="3338" spans="1:1">
      <c r="A3338" s="153" t="s">
        <v>5318</v>
      </c>
    </row>
    <row r="3339" spans="1:1">
      <c r="A3339" s="153" t="s">
        <v>5319</v>
      </c>
    </row>
    <row r="3340" spans="1:1">
      <c r="A3340" s="153" t="s">
        <v>5320</v>
      </c>
    </row>
    <row r="3341" spans="1:1">
      <c r="A3341" s="153" t="s">
        <v>5321</v>
      </c>
    </row>
    <row r="3342" spans="1:1">
      <c r="A3342" s="153" t="s">
        <v>5322</v>
      </c>
    </row>
    <row r="3343" spans="1:1">
      <c r="A3343" s="153" t="s">
        <v>5323</v>
      </c>
    </row>
    <row r="3344" spans="1:1">
      <c r="A3344" s="153" t="s">
        <v>5324</v>
      </c>
    </row>
    <row r="3345" spans="1:1">
      <c r="A3345" s="153" t="s">
        <v>5325</v>
      </c>
    </row>
    <row r="3346" spans="1:1">
      <c r="A3346" s="153" t="s">
        <v>5326</v>
      </c>
    </row>
    <row r="3347" spans="1:1">
      <c r="A3347" s="153" t="s">
        <v>5327</v>
      </c>
    </row>
    <row r="3348" spans="1:1">
      <c r="A3348" s="153" t="s">
        <v>5328</v>
      </c>
    </row>
    <row r="3349" spans="1:1">
      <c r="A3349" s="153" t="s">
        <v>5329</v>
      </c>
    </row>
    <row r="3350" spans="1:1">
      <c r="A3350" s="153" t="s">
        <v>5330</v>
      </c>
    </row>
    <row r="3351" spans="1:1">
      <c r="A3351" s="153" t="s">
        <v>5331</v>
      </c>
    </row>
    <row r="3352" spans="1:1">
      <c r="A3352" s="153" t="s">
        <v>5332</v>
      </c>
    </row>
    <row r="3353" spans="1:1">
      <c r="A3353" s="153" t="s">
        <v>5333</v>
      </c>
    </row>
    <row r="3354" spans="1:1">
      <c r="A3354" s="153" t="s">
        <v>5334</v>
      </c>
    </row>
    <row r="3355" spans="1:1">
      <c r="A3355" s="153" t="s">
        <v>5335</v>
      </c>
    </row>
    <row r="3356" spans="1:1">
      <c r="A3356" s="153" t="s">
        <v>5336</v>
      </c>
    </row>
    <row r="3357" spans="1:1">
      <c r="A3357" s="153" t="s">
        <v>5337</v>
      </c>
    </row>
    <row r="3358" spans="1:1">
      <c r="A3358" s="153" t="s">
        <v>5338</v>
      </c>
    </row>
    <row r="3359" spans="1:1">
      <c r="A3359" s="153" t="s">
        <v>5339</v>
      </c>
    </row>
    <row r="3360" spans="1:1">
      <c r="A3360" s="153" t="s">
        <v>5340</v>
      </c>
    </row>
    <row r="3361" spans="1:1">
      <c r="A3361" s="153" t="s">
        <v>5341</v>
      </c>
    </row>
    <row r="3362" spans="1:1">
      <c r="A3362" s="153" t="s">
        <v>5342</v>
      </c>
    </row>
    <row r="3363" spans="1:1">
      <c r="A3363" s="153" t="s">
        <v>5343</v>
      </c>
    </row>
    <row r="3364" spans="1:1">
      <c r="A3364" s="153" t="s">
        <v>5344</v>
      </c>
    </row>
    <row r="3365" spans="1:1">
      <c r="A3365" s="153" t="s">
        <v>5345</v>
      </c>
    </row>
    <row r="3366" spans="1:1">
      <c r="A3366" s="153" t="s">
        <v>5346</v>
      </c>
    </row>
    <row r="3367" spans="1:1">
      <c r="A3367" s="153" t="s">
        <v>5347</v>
      </c>
    </row>
    <row r="3368" spans="1:1">
      <c r="A3368" s="153" t="s">
        <v>5348</v>
      </c>
    </row>
    <row r="3369" spans="1:1">
      <c r="A3369" s="153" t="s">
        <v>5349</v>
      </c>
    </row>
    <row r="3370" spans="1:1">
      <c r="A3370" s="153" t="s">
        <v>5350</v>
      </c>
    </row>
    <row r="3371" spans="1:1">
      <c r="A3371" s="153" t="s">
        <v>5351</v>
      </c>
    </row>
    <row r="3372" spans="1:1">
      <c r="A3372" s="153" t="s">
        <v>5352</v>
      </c>
    </row>
    <row r="3373" spans="1:1">
      <c r="A3373" s="153" t="s">
        <v>5353</v>
      </c>
    </row>
    <row r="3374" spans="1:1">
      <c r="A3374" s="153" t="s">
        <v>5354</v>
      </c>
    </row>
    <row r="3375" spans="1:1">
      <c r="A3375" s="153" t="s">
        <v>5355</v>
      </c>
    </row>
    <row r="3376" spans="1:1">
      <c r="A3376" s="153" t="s">
        <v>5356</v>
      </c>
    </row>
    <row r="3377" spans="1:1">
      <c r="A3377" s="153" t="s">
        <v>5357</v>
      </c>
    </row>
    <row r="3378" spans="1:1">
      <c r="A3378" s="153" t="s">
        <v>5358</v>
      </c>
    </row>
    <row r="3379" spans="1:1">
      <c r="A3379" s="153" t="s">
        <v>5359</v>
      </c>
    </row>
    <row r="3380" spans="1:1">
      <c r="A3380" s="153" t="s">
        <v>5360</v>
      </c>
    </row>
    <row r="3381" spans="1:1">
      <c r="A3381" s="153" t="s">
        <v>5361</v>
      </c>
    </row>
    <row r="3382" spans="1:1">
      <c r="A3382" s="153" t="s">
        <v>5362</v>
      </c>
    </row>
    <row r="3383" spans="1:1">
      <c r="A3383" s="153" t="s">
        <v>5363</v>
      </c>
    </row>
    <row r="3384" spans="1:1">
      <c r="A3384" s="153" t="s">
        <v>5364</v>
      </c>
    </row>
    <row r="3385" spans="1:1">
      <c r="A3385" s="153" t="s">
        <v>5365</v>
      </c>
    </row>
    <row r="3386" spans="1:1">
      <c r="A3386" s="153" t="s">
        <v>5366</v>
      </c>
    </row>
    <row r="3387" spans="1:1">
      <c r="A3387" s="153" t="s">
        <v>5367</v>
      </c>
    </row>
    <row r="3388" spans="1:1">
      <c r="A3388" s="153" t="s">
        <v>5368</v>
      </c>
    </row>
    <row r="3389" spans="1:1">
      <c r="A3389" s="153" t="s">
        <v>5369</v>
      </c>
    </row>
    <row r="3390" spans="1:1">
      <c r="A3390" s="153" t="s">
        <v>5370</v>
      </c>
    </row>
    <row r="3391" spans="1:1">
      <c r="A3391" s="153" t="s">
        <v>5371</v>
      </c>
    </row>
    <row r="3392" spans="1:1">
      <c r="A3392" s="153" t="s">
        <v>5372</v>
      </c>
    </row>
    <row r="3393" spans="1:1">
      <c r="A3393" s="153" t="s">
        <v>5373</v>
      </c>
    </row>
    <row r="3394" spans="1:1">
      <c r="A3394" s="153" t="s">
        <v>5374</v>
      </c>
    </row>
    <row r="3395" spans="1:1">
      <c r="A3395" s="153" t="s">
        <v>5375</v>
      </c>
    </row>
    <row r="3396" spans="1:1">
      <c r="A3396" s="153" t="s">
        <v>5376</v>
      </c>
    </row>
    <row r="3397" spans="1:1">
      <c r="A3397" s="153" t="s">
        <v>5377</v>
      </c>
    </row>
    <row r="3398" spans="1:1">
      <c r="A3398" s="153" t="s">
        <v>5378</v>
      </c>
    </row>
    <row r="3399" spans="1:1">
      <c r="A3399" s="153" t="s">
        <v>5379</v>
      </c>
    </row>
    <row r="3400" spans="1:1">
      <c r="A3400" s="153" t="s">
        <v>5380</v>
      </c>
    </row>
    <row r="3401" spans="1:1">
      <c r="A3401" s="153" t="s">
        <v>5381</v>
      </c>
    </row>
    <row r="3402" spans="1:1">
      <c r="A3402" s="153" t="s">
        <v>5382</v>
      </c>
    </row>
    <row r="3403" spans="1:1">
      <c r="A3403" s="153" t="s">
        <v>5383</v>
      </c>
    </row>
    <row r="3404" spans="1:1">
      <c r="A3404" s="153" t="s">
        <v>5384</v>
      </c>
    </row>
    <row r="3405" spans="1:1">
      <c r="A3405" s="153" t="s">
        <v>5385</v>
      </c>
    </row>
    <row r="3406" spans="1:1">
      <c r="A3406" s="153" t="s">
        <v>5386</v>
      </c>
    </row>
    <row r="3407" spans="1:1">
      <c r="A3407" s="153" t="s">
        <v>5387</v>
      </c>
    </row>
    <row r="3408" spans="1:1">
      <c r="A3408" s="153" t="s">
        <v>5388</v>
      </c>
    </row>
    <row r="3409" spans="1:1">
      <c r="A3409" s="153" t="s">
        <v>5389</v>
      </c>
    </row>
    <row r="3410" spans="1:1">
      <c r="A3410" s="153" t="s">
        <v>5390</v>
      </c>
    </row>
    <row r="3411" spans="1:1">
      <c r="A3411" s="153" t="s">
        <v>5391</v>
      </c>
    </row>
    <row r="3412" spans="1:1">
      <c r="A3412" s="153" t="s">
        <v>5392</v>
      </c>
    </row>
    <row r="3413" spans="1:1">
      <c r="A3413" s="153" t="s">
        <v>5393</v>
      </c>
    </row>
    <row r="3414" spans="1:1">
      <c r="A3414" s="153" t="s">
        <v>5394</v>
      </c>
    </row>
    <row r="3415" spans="1:1">
      <c r="A3415" s="153" t="s">
        <v>5395</v>
      </c>
    </row>
    <row r="3416" spans="1:1">
      <c r="A3416" s="153" t="s">
        <v>5396</v>
      </c>
    </row>
    <row r="3417" spans="1:1">
      <c r="A3417" s="153" t="s">
        <v>5397</v>
      </c>
    </row>
    <row r="3418" spans="1:1">
      <c r="A3418" s="153" t="s">
        <v>5398</v>
      </c>
    </row>
    <row r="3419" spans="1:1">
      <c r="A3419" s="153" t="s">
        <v>5399</v>
      </c>
    </row>
    <row r="3420" spans="1:1">
      <c r="A3420" s="153" t="s">
        <v>5400</v>
      </c>
    </row>
    <row r="3421" spans="1:1">
      <c r="A3421" s="153" t="s">
        <v>5401</v>
      </c>
    </row>
    <row r="3422" spans="1:1">
      <c r="A3422" s="153" t="s">
        <v>5402</v>
      </c>
    </row>
    <row r="3423" spans="1:1">
      <c r="A3423" s="153" t="s">
        <v>5403</v>
      </c>
    </row>
    <row r="3424" spans="1:1">
      <c r="A3424" s="153" t="s">
        <v>5404</v>
      </c>
    </row>
    <row r="3425" spans="1:1">
      <c r="A3425" s="153" t="s">
        <v>5405</v>
      </c>
    </row>
    <row r="3426" spans="1:1">
      <c r="A3426" s="153" t="s">
        <v>5406</v>
      </c>
    </row>
    <row r="3427" spans="1:1">
      <c r="A3427" s="153" t="s">
        <v>5407</v>
      </c>
    </row>
    <row r="3428" spans="1:1">
      <c r="A3428" s="153" t="s">
        <v>5408</v>
      </c>
    </row>
    <row r="3429" spans="1:1">
      <c r="A3429" s="153" t="s">
        <v>5409</v>
      </c>
    </row>
    <row r="3430" spans="1:1">
      <c r="A3430" s="153" t="s">
        <v>5410</v>
      </c>
    </row>
    <row r="3431" spans="1:1">
      <c r="A3431" s="153" t="s">
        <v>5411</v>
      </c>
    </row>
    <row r="3432" spans="1:1">
      <c r="A3432" s="153" t="s">
        <v>5412</v>
      </c>
    </row>
    <row r="3433" spans="1:1">
      <c r="A3433" s="153" t="s">
        <v>5413</v>
      </c>
    </row>
    <row r="3434" spans="1:1">
      <c r="A3434" s="153" t="s">
        <v>5414</v>
      </c>
    </row>
    <row r="3435" spans="1:1">
      <c r="A3435" s="153" t="s">
        <v>5415</v>
      </c>
    </row>
    <row r="3436" spans="1:1">
      <c r="A3436" s="153" t="s">
        <v>5416</v>
      </c>
    </row>
    <row r="3437" spans="1:1">
      <c r="A3437" s="153" t="s">
        <v>5417</v>
      </c>
    </row>
    <row r="3438" spans="1:1">
      <c r="A3438" s="153" t="s">
        <v>5418</v>
      </c>
    </row>
    <row r="3439" spans="1:1">
      <c r="A3439" s="153" t="s">
        <v>5419</v>
      </c>
    </row>
    <row r="3440" spans="1:1">
      <c r="A3440" s="153" t="s">
        <v>5420</v>
      </c>
    </row>
    <row r="3441" spans="1:1">
      <c r="A3441" s="153" t="s">
        <v>5421</v>
      </c>
    </row>
    <row r="3442" spans="1:1">
      <c r="A3442" s="153" t="s">
        <v>5422</v>
      </c>
    </row>
    <row r="3443" spans="1:1">
      <c r="A3443" s="153" t="s">
        <v>5423</v>
      </c>
    </row>
    <row r="3444" spans="1:1">
      <c r="A3444" s="153" t="s">
        <v>5424</v>
      </c>
    </row>
    <row r="3445" spans="1:1">
      <c r="A3445" s="153" t="s">
        <v>5425</v>
      </c>
    </row>
    <row r="3446" spans="1:1">
      <c r="A3446" s="153" t="s">
        <v>5426</v>
      </c>
    </row>
    <row r="3447" spans="1:1">
      <c r="A3447" s="153" t="s">
        <v>5427</v>
      </c>
    </row>
    <row r="3448" spans="1:1">
      <c r="A3448" s="153" t="s">
        <v>5428</v>
      </c>
    </row>
    <row r="3449" spans="1:1">
      <c r="A3449" s="153" t="s">
        <v>5429</v>
      </c>
    </row>
    <row r="3450" spans="1:1">
      <c r="A3450" s="153" t="s">
        <v>5430</v>
      </c>
    </row>
    <row r="3451" spans="1:1">
      <c r="A3451" s="153" t="s">
        <v>5431</v>
      </c>
    </row>
    <row r="3452" spans="1:1">
      <c r="A3452" s="153" t="s">
        <v>5432</v>
      </c>
    </row>
    <row r="3453" spans="1:1">
      <c r="A3453" s="153" t="s">
        <v>5433</v>
      </c>
    </row>
    <row r="3454" spans="1:1">
      <c r="A3454" s="153" t="s">
        <v>5434</v>
      </c>
    </row>
    <row r="3455" spans="1:1">
      <c r="A3455" s="153" t="s">
        <v>5435</v>
      </c>
    </row>
    <row r="3456" spans="1:1">
      <c r="A3456" s="153" t="s">
        <v>5436</v>
      </c>
    </row>
    <row r="3457" spans="1:1">
      <c r="A3457" s="153" t="s">
        <v>5437</v>
      </c>
    </row>
    <row r="3458" spans="1:1">
      <c r="A3458" s="153" t="s">
        <v>5438</v>
      </c>
    </row>
    <row r="3459" spans="1:1">
      <c r="A3459" s="153" t="s">
        <v>5439</v>
      </c>
    </row>
    <row r="3460" spans="1:1">
      <c r="A3460" s="153" t="s">
        <v>5440</v>
      </c>
    </row>
    <row r="3461" spans="1:1">
      <c r="A3461" s="153" t="s">
        <v>5441</v>
      </c>
    </row>
    <row r="3462" spans="1:1">
      <c r="A3462" s="153" t="s">
        <v>5442</v>
      </c>
    </row>
    <row r="3463" spans="1:1">
      <c r="A3463" s="153" t="s">
        <v>5443</v>
      </c>
    </row>
    <row r="3464" spans="1:1">
      <c r="A3464" s="153" t="s">
        <v>5444</v>
      </c>
    </row>
    <row r="3465" spans="1:1">
      <c r="A3465" s="153" t="s">
        <v>5445</v>
      </c>
    </row>
    <row r="3466" spans="1:1">
      <c r="A3466" s="153" t="s">
        <v>5446</v>
      </c>
    </row>
    <row r="3467" spans="1:1">
      <c r="A3467" s="153" t="s">
        <v>5447</v>
      </c>
    </row>
    <row r="3468" spans="1:1">
      <c r="A3468" s="153" t="s">
        <v>5448</v>
      </c>
    </row>
    <row r="3469" spans="1:1">
      <c r="A3469" s="153" t="s">
        <v>5449</v>
      </c>
    </row>
    <row r="3470" spans="1:1">
      <c r="A3470" s="153" t="s">
        <v>5450</v>
      </c>
    </row>
    <row r="3471" spans="1:1">
      <c r="A3471" s="153" t="s">
        <v>5451</v>
      </c>
    </row>
    <row r="3472" spans="1:1">
      <c r="A3472" s="153" t="s">
        <v>5452</v>
      </c>
    </row>
    <row r="3473" spans="1:1">
      <c r="A3473" s="153" t="s">
        <v>5453</v>
      </c>
    </row>
    <row r="3474" spans="1:1">
      <c r="A3474" s="153" t="s">
        <v>5454</v>
      </c>
    </row>
    <row r="3475" spans="1:1">
      <c r="A3475" s="153" t="s">
        <v>5455</v>
      </c>
    </row>
    <row r="3476" spans="1:1">
      <c r="A3476" s="153" t="s">
        <v>5456</v>
      </c>
    </row>
    <row r="3477" spans="1:1">
      <c r="A3477" s="153" t="s">
        <v>5457</v>
      </c>
    </row>
    <row r="3478" spans="1:1">
      <c r="A3478" s="153" t="s">
        <v>5458</v>
      </c>
    </row>
    <row r="3479" spans="1:1">
      <c r="A3479" s="153" t="s">
        <v>5459</v>
      </c>
    </row>
    <row r="3480" spans="1:1">
      <c r="A3480" s="153" t="s">
        <v>5460</v>
      </c>
    </row>
    <row r="3481" spans="1:1">
      <c r="A3481" s="153" t="s">
        <v>5461</v>
      </c>
    </row>
    <row r="3482" spans="1:1">
      <c r="A3482" s="153" t="s">
        <v>5462</v>
      </c>
    </row>
    <row r="3483" spans="1:1">
      <c r="A3483" s="153" t="s">
        <v>5463</v>
      </c>
    </row>
    <row r="3484" spans="1:1">
      <c r="A3484" s="153" t="s">
        <v>5464</v>
      </c>
    </row>
    <row r="3485" spans="1:1">
      <c r="A3485" s="153" t="s">
        <v>5465</v>
      </c>
    </row>
    <row r="3486" spans="1:1">
      <c r="A3486" s="153" t="s">
        <v>5466</v>
      </c>
    </row>
    <row r="3487" spans="1:1">
      <c r="A3487" s="153" t="s">
        <v>5467</v>
      </c>
    </row>
    <row r="3488" spans="1:1">
      <c r="A3488" s="153" t="s">
        <v>5468</v>
      </c>
    </row>
    <row r="3489" spans="1:1">
      <c r="A3489" s="153" t="s">
        <v>5469</v>
      </c>
    </row>
    <row r="3490" spans="1:1">
      <c r="A3490" s="153" t="s">
        <v>5470</v>
      </c>
    </row>
    <row r="3491" spans="1:1">
      <c r="A3491" s="153" t="s">
        <v>5471</v>
      </c>
    </row>
    <row r="3492" spans="1:1">
      <c r="A3492" s="153" t="s">
        <v>5472</v>
      </c>
    </row>
    <row r="3493" spans="1:1">
      <c r="A3493" s="153" t="s">
        <v>5473</v>
      </c>
    </row>
    <row r="3494" spans="1:1">
      <c r="A3494" s="153" t="s">
        <v>5474</v>
      </c>
    </row>
    <row r="3495" spans="1:1">
      <c r="A3495" s="153" t="s">
        <v>5475</v>
      </c>
    </row>
    <row r="3496" spans="1:1">
      <c r="A3496" s="153" t="s">
        <v>5476</v>
      </c>
    </row>
    <row r="3497" spans="1:1">
      <c r="A3497" s="153" t="s">
        <v>5477</v>
      </c>
    </row>
    <row r="3498" spans="1:1">
      <c r="A3498" s="153" t="s">
        <v>5478</v>
      </c>
    </row>
    <row r="3499" spans="1:1">
      <c r="A3499" s="153" t="s">
        <v>5479</v>
      </c>
    </row>
    <row r="3500" spans="1:1">
      <c r="A3500" s="153" t="s">
        <v>5480</v>
      </c>
    </row>
    <row r="3501" spans="1:1">
      <c r="A3501" s="153" t="s">
        <v>5481</v>
      </c>
    </row>
    <row r="3502" spans="1:1">
      <c r="A3502" s="153" t="s">
        <v>5482</v>
      </c>
    </row>
    <row r="3503" spans="1:1">
      <c r="A3503" s="153" t="s">
        <v>5483</v>
      </c>
    </row>
    <row r="3504" spans="1:1">
      <c r="A3504" s="153" t="s">
        <v>5484</v>
      </c>
    </row>
    <row r="3505" spans="1:1">
      <c r="A3505" s="153" t="s">
        <v>5485</v>
      </c>
    </row>
    <row r="3506" spans="1:1">
      <c r="A3506" s="153" t="s">
        <v>5486</v>
      </c>
    </row>
    <row r="3507" spans="1:1">
      <c r="A3507" s="153" t="s">
        <v>5487</v>
      </c>
    </row>
    <row r="3508" spans="1:1">
      <c r="A3508" s="153" t="s">
        <v>5488</v>
      </c>
    </row>
    <row r="3509" spans="1:1">
      <c r="A3509" s="153" t="s">
        <v>5489</v>
      </c>
    </row>
    <row r="3510" spans="1:1">
      <c r="A3510" s="153" t="s">
        <v>5490</v>
      </c>
    </row>
    <row r="3511" spans="1:1">
      <c r="A3511" s="153" t="s">
        <v>5491</v>
      </c>
    </row>
    <row r="3512" spans="1:1">
      <c r="A3512" s="153" t="s">
        <v>5492</v>
      </c>
    </row>
    <row r="3513" spans="1:1">
      <c r="A3513" s="153" t="s">
        <v>5493</v>
      </c>
    </row>
    <row r="3514" spans="1:1">
      <c r="A3514" s="153" t="s">
        <v>5494</v>
      </c>
    </row>
    <row r="3515" spans="1:1">
      <c r="A3515" s="153" t="s">
        <v>5495</v>
      </c>
    </row>
    <row r="3516" spans="1:1">
      <c r="A3516" s="153" t="s">
        <v>5496</v>
      </c>
    </row>
    <row r="3517" spans="1:1">
      <c r="A3517" s="153" t="s">
        <v>5497</v>
      </c>
    </row>
    <row r="3518" spans="1:1">
      <c r="A3518" s="153" t="s">
        <v>5498</v>
      </c>
    </row>
    <row r="3519" spans="1:1">
      <c r="A3519" s="153" t="s">
        <v>5499</v>
      </c>
    </row>
    <row r="3520" spans="1:1">
      <c r="A3520" s="153" t="s">
        <v>5500</v>
      </c>
    </row>
    <row r="3521" spans="1:1">
      <c r="A3521" s="153" t="s">
        <v>5501</v>
      </c>
    </row>
    <row r="3522" spans="1:1">
      <c r="A3522" s="153" t="s">
        <v>5502</v>
      </c>
    </row>
    <row r="3523" spans="1:1">
      <c r="A3523" s="153" t="s">
        <v>5503</v>
      </c>
    </row>
    <row r="3524" spans="1:1">
      <c r="A3524" s="153" t="s">
        <v>5504</v>
      </c>
    </row>
    <row r="3525" spans="1:1">
      <c r="A3525" s="153" t="s">
        <v>5505</v>
      </c>
    </row>
    <row r="3526" spans="1:1">
      <c r="A3526" s="153" t="s">
        <v>5506</v>
      </c>
    </row>
    <row r="3527" spans="1:1">
      <c r="A3527" s="153" t="s">
        <v>5507</v>
      </c>
    </row>
    <row r="3528" spans="1:1">
      <c r="A3528" s="153" t="s">
        <v>5508</v>
      </c>
    </row>
    <row r="3529" spans="1:1">
      <c r="A3529" s="153" t="s">
        <v>5509</v>
      </c>
    </row>
    <row r="3530" spans="1:1">
      <c r="A3530" s="153" t="s">
        <v>5510</v>
      </c>
    </row>
    <row r="3531" spans="1:1">
      <c r="A3531" s="153" t="s">
        <v>5511</v>
      </c>
    </row>
    <row r="3532" spans="1:1">
      <c r="A3532" s="153" t="s">
        <v>5512</v>
      </c>
    </row>
    <row r="3533" spans="1:1">
      <c r="A3533" s="153" t="s">
        <v>5513</v>
      </c>
    </row>
    <row r="3534" spans="1:1">
      <c r="A3534" s="153" t="s">
        <v>5514</v>
      </c>
    </row>
    <row r="3535" spans="1:1">
      <c r="A3535" s="153" t="s">
        <v>5515</v>
      </c>
    </row>
    <row r="3536" spans="1:1">
      <c r="A3536" s="153" t="s">
        <v>5516</v>
      </c>
    </row>
    <row r="3537" spans="1:1">
      <c r="A3537" s="153" t="s">
        <v>5517</v>
      </c>
    </row>
    <row r="3538" spans="1:1">
      <c r="A3538" s="153" t="s">
        <v>5518</v>
      </c>
    </row>
    <row r="3539" spans="1:1">
      <c r="A3539" s="153" t="s">
        <v>5519</v>
      </c>
    </row>
    <row r="3540" spans="1:1">
      <c r="A3540" s="153" t="s">
        <v>5520</v>
      </c>
    </row>
    <row r="3541" spans="1:1">
      <c r="A3541" s="153" t="s">
        <v>5521</v>
      </c>
    </row>
    <row r="3542" spans="1:1">
      <c r="A3542" s="153" t="s">
        <v>5522</v>
      </c>
    </row>
    <row r="3543" spans="1:1">
      <c r="A3543" s="153" t="s">
        <v>5523</v>
      </c>
    </row>
    <row r="3544" spans="1:1">
      <c r="A3544" s="153" t="s">
        <v>5524</v>
      </c>
    </row>
    <row r="3545" spans="1:1">
      <c r="A3545" s="153" t="s">
        <v>5525</v>
      </c>
    </row>
    <row r="3546" spans="1:1">
      <c r="A3546" s="153" t="s">
        <v>5526</v>
      </c>
    </row>
    <row r="3547" spans="1:1">
      <c r="A3547" s="153" t="s">
        <v>5527</v>
      </c>
    </row>
    <row r="3548" spans="1:1">
      <c r="A3548" s="153" t="s">
        <v>5528</v>
      </c>
    </row>
    <row r="3549" spans="1:1">
      <c r="A3549" s="153" t="s">
        <v>5529</v>
      </c>
    </row>
    <row r="3550" spans="1:1">
      <c r="A3550" s="153" t="s">
        <v>5530</v>
      </c>
    </row>
    <row r="3551" spans="1:1">
      <c r="A3551" s="153" t="s">
        <v>5531</v>
      </c>
    </row>
    <row r="3552" spans="1:1">
      <c r="A3552" s="153" t="s">
        <v>5532</v>
      </c>
    </row>
    <row r="3553" spans="1:1">
      <c r="A3553" s="153" t="s">
        <v>5533</v>
      </c>
    </row>
    <row r="3554" spans="1:1">
      <c r="A3554" s="153" t="s">
        <v>5534</v>
      </c>
    </row>
    <row r="3555" spans="1:1">
      <c r="A3555" s="153" t="s">
        <v>5535</v>
      </c>
    </row>
    <row r="3556" spans="1:1">
      <c r="A3556" s="153" t="s">
        <v>5536</v>
      </c>
    </row>
    <row r="3557" spans="1:1">
      <c r="A3557" s="153" t="s">
        <v>5537</v>
      </c>
    </row>
    <row r="3558" spans="1:1">
      <c r="A3558" s="153" t="s">
        <v>5538</v>
      </c>
    </row>
    <row r="3559" spans="1:1">
      <c r="A3559" s="153" t="s">
        <v>5539</v>
      </c>
    </row>
    <row r="3560" spans="1:1">
      <c r="A3560" s="153" t="s">
        <v>5540</v>
      </c>
    </row>
    <row r="3561" spans="1:1">
      <c r="A3561" s="153" t="s">
        <v>5541</v>
      </c>
    </row>
    <row r="3562" spans="1:1">
      <c r="A3562" s="153" t="s">
        <v>5542</v>
      </c>
    </row>
    <row r="3563" spans="1:1">
      <c r="A3563" s="153" t="s">
        <v>5543</v>
      </c>
    </row>
    <row r="3564" spans="1:1">
      <c r="A3564" s="153" t="s">
        <v>5544</v>
      </c>
    </row>
    <row r="3565" spans="1:1">
      <c r="A3565" s="153" t="s">
        <v>5545</v>
      </c>
    </row>
    <row r="3566" spans="1:1">
      <c r="A3566" s="153" t="s">
        <v>5546</v>
      </c>
    </row>
    <row r="3567" spans="1:1">
      <c r="A3567" s="153" t="s">
        <v>5547</v>
      </c>
    </row>
    <row r="3568" spans="1:1">
      <c r="A3568" s="153" t="s">
        <v>5548</v>
      </c>
    </row>
    <row r="3569" spans="1:1">
      <c r="A3569" s="153" t="s">
        <v>5549</v>
      </c>
    </row>
    <row r="3570" spans="1:1">
      <c r="A3570" s="153" t="s">
        <v>5550</v>
      </c>
    </row>
    <row r="3571" spans="1:1">
      <c r="A3571" s="153" t="s">
        <v>5551</v>
      </c>
    </row>
    <row r="3572" spans="1:1">
      <c r="A3572" s="153" t="s">
        <v>5552</v>
      </c>
    </row>
    <row r="3573" spans="1:1">
      <c r="A3573" s="153" t="s">
        <v>5553</v>
      </c>
    </row>
    <row r="3574" spans="1:1">
      <c r="A3574" s="153" t="s">
        <v>5554</v>
      </c>
    </row>
    <row r="3575" spans="1:1">
      <c r="A3575" s="153" t="s">
        <v>5555</v>
      </c>
    </row>
    <row r="3576" spans="1:1">
      <c r="A3576" s="153" t="s">
        <v>5556</v>
      </c>
    </row>
    <row r="3577" spans="1:1">
      <c r="A3577" s="153" t="s">
        <v>5557</v>
      </c>
    </row>
    <row r="3578" spans="1:1">
      <c r="A3578" s="153" t="s">
        <v>5558</v>
      </c>
    </row>
    <row r="3579" spans="1:1">
      <c r="A3579" s="153" t="s">
        <v>5559</v>
      </c>
    </row>
    <row r="3580" spans="1:1">
      <c r="A3580" s="153" t="s">
        <v>5560</v>
      </c>
    </row>
    <row r="3581" spans="1:1">
      <c r="A3581" s="153" t="s">
        <v>5561</v>
      </c>
    </row>
    <row r="3582" spans="1:1">
      <c r="A3582" s="153" t="s">
        <v>5562</v>
      </c>
    </row>
    <row r="3583" spans="1:1">
      <c r="A3583" s="153" t="s">
        <v>5563</v>
      </c>
    </row>
    <row r="3584" spans="1:1">
      <c r="A3584" s="153" t="s">
        <v>5564</v>
      </c>
    </row>
    <row r="3585" spans="1:1">
      <c r="A3585" s="153" t="s">
        <v>5565</v>
      </c>
    </row>
    <row r="3586" spans="1:1">
      <c r="A3586" s="153" t="s">
        <v>5566</v>
      </c>
    </row>
    <row r="3587" spans="1:1">
      <c r="A3587" s="153" t="s">
        <v>5567</v>
      </c>
    </row>
    <row r="3588" spans="1:1">
      <c r="A3588" s="153" t="s">
        <v>5568</v>
      </c>
    </row>
    <row r="3589" spans="1:1">
      <c r="A3589" s="153" t="s">
        <v>5569</v>
      </c>
    </row>
    <row r="3590" spans="1:1">
      <c r="A3590" s="153" t="s">
        <v>5570</v>
      </c>
    </row>
    <row r="3591" spans="1:1">
      <c r="A3591" s="153" t="s">
        <v>5571</v>
      </c>
    </row>
    <row r="3592" spans="1:1">
      <c r="A3592" s="153" t="s">
        <v>5572</v>
      </c>
    </row>
    <row r="3593" spans="1:1">
      <c r="A3593" s="153" t="s">
        <v>5573</v>
      </c>
    </row>
    <row r="3594" spans="1:1">
      <c r="A3594" s="153" t="s">
        <v>5574</v>
      </c>
    </row>
    <row r="3595" spans="1:1">
      <c r="A3595" s="153" t="s">
        <v>5575</v>
      </c>
    </row>
    <row r="3596" spans="1:1">
      <c r="A3596" s="153" t="s">
        <v>5576</v>
      </c>
    </row>
    <row r="3597" spans="1:1">
      <c r="A3597" s="153" t="s">
        <v>5577</v>
      </c>
    </row>
    <row r="3598" spans="1:1">
      <c r="A3598" s="153" t="s">
        <v>5578</v>
      </c>
    </row>
    <row r="3599" spans="1:1">
      <c r="A3599" s="153" t="s">
        <v>5579</v>
      </c>
    </row>
    <row r="3600" spans="1:1">
      <c r="A3600" s="153" t="s">
        <v>5580</v>
      </c>
    </row>
    <row r="3601" spans="1:1">
      <c r="A3601" s="153" t="s">
        <v>5581</v>
      </c>
    </row>
    <row r="3602" spans="1:1">
      <c r="A3602" s="153" t="s">
        <v>5582</v>
      </c>
    </row>
    <row r="3603" spans="1:1">
      <c r="A3603" s="153" t="s">
        <v>5583</v>
      </c>
    </row>
    <row r="3604" spans="1:1">
      <c r="A3604" s="153" t="s">
        <v>5584</v>
      </c>
    </row>
    <row r="3605" spans="1:1">
      <c r="A3605" s="153" t="s">
        <v>5585</v>
      </c>
    </row>
    <row r="3606" spans="1:1">
      <c r="A3606" s="153" t="s">
        <v>5586</v>
      </c>
    </row>
    <row r="3607" spans="1:1">
      <c r="A3607" s="153" t="s">
        <v>5587</v>
      </c>
    </row>
    <row r="3608" spans="1:1">
      <c r="A3608" s="153" t="s">
        <v>5588</v>
      </c>
    </row>
    <row r="3609" spans="1:1">
      <c r="A3609" s="153" t="s">
        <v>5589</v>
      </c>
    </row>
    <row r="3610" spans="1:1">
      <c r="A3610" s="153" t="s">
        <v>5590</v>
      </c>
    </row>
    <row r="3611" spans="1:1">
      <c r="A3611" s="153" t="s">
        <v>5591</v>
      </c>
    </row>
    <row r="3612" spans="1:1">
      <c r="A3612" s="153" t="s">
        <v>5592</v>
      </c>
    </row>
    <row r="3613" spans="1:1">
      <c r="A3613" s="153" t="s">
        <v>5593</v>
      </c>
    </row>
    <row r="3614" spans="1:1">
      <c r="A3614" s="153" t="s">
        <v>5594</v>
      </c>
    </row>
    <row r="3615" spans="1:1">
      <c r="A3615" s="153" t="s">
        <v>5595</v>
      </c>
    </row>
    <row r="3616" spans="1:1">
      <c r="A3616" s="153" t="s">
        <v>5596</v>
      </c>
    </row>
    <row r="3617" spans="1:1">
      <c r="A3617" s="153" t="s">
        <v>5597</v>
      </c>
    </row>
    <row r="3618" spans="1:1">
      <c r="A3618" s="153" t="s">
        <v>5598</v>
      </c>
    </row>
    <row r="3619" spans="1:1">
      <c r="A3619" s="153" t="s">
        <v>5599</v>
      </c>
    </row>
    <row r="3620" spans="1:1">
      <c r="A3620" s="153" t="s">
        <v>5600</v>
      </c>
    </row>
    <row r="3621" spans="1:1">
      <c r="A3621" s="153" t="s">
        <v>5601</v>
      </c>
    </row>
    <row r="3622" spans="1:1">
      <c r="A3622" s="153" t="s">
        <v>5602</v>
      </c>
    </row>
    <row r="3623" spans="1:1">
      <c r="A3623" s="153" t="s">
        <v>5603</v>
      </c>
    </row>
    <row r="3624" spans="1:1">
      <c r="A3624" s="153" t="s">
        <v>5604</v>
      </c>
    </row>
    <row r="3625" spans="1:1">
      <c r="A3625" s="153" t="s">
        <v>5605</v>
      </c>
    </row>
    <row r="3626" spans="1:1">
      <c r="A3626" s="153" t="s">
        <v>5606</v>
      </c>
    </row>
    <row r="3627" spans="1:1">
      <c r="A3627" s="153" t="s">
        <v>5607</v>
      </c>
    </row>
    <row r="3628" spans="1:1">
      <c r="A3628" s="153" t="s">
        <v>5608</v>
      </c>
    </row>
    <row r="3629" spans="1:1">
      <c r="A3629" s="153" t="s">
        <v>5609</v>
      </c>
    </row>
    <row r="3630" spans="1:1">
      <c r="A3630" s="153" t="s">
        <v>5610</v>
      </c>
    </row>
    <row r="3631" spans="1:1">
      <c r="A3631" s="153" t="s">
        <v>5611</v>
      </c>
    </row>
    <row r="3632" spans="1:1">
      <c r="A3632" s="153" t="s">
        <v>5612</v>
      </c>
    </row>
    <row r="3633" spans="1:1">
      <c r="A3633" s="153" t="s">
        <v>5613</v>
      </c>
    </row>
    <row r="3634" spans="1:1">
      <c r="A3634" s="153" t="s">
        <v>5614</v>
      </c>
    </row>
    <row r="3635" spans="1:1">
      <c r="A3635" s="153" t="s">
        <v>5615</v>
      </c>
    </row>
    <row r="3636" spans="1:1">
      <c r="A3636" s="153" t="s">
        <v>5616</v>
      </c>
    </row>
    <row r="3637" spans="1:1">
      <c r="A3637" s="153" t="s">
        <v>5617</v>
      </c>
    </row>
    <row r="3638" spans="1:1">
      <c r="A3638" s="153" t="s">
        <v>5618</v>
      </c>
    </row>
    <row r="3639" spans="1:1">
      <c r="A3639" s="153" t="s">
        <v>5619</v>
      </c>
    </row>
    <row r="3640" spans="1:1">
      <c r="A3640" s="153" t="s">
        <v>5620</v>
      </c>
    </row>
    <row r="3641" spans="1:1">
      <c r="A3641" s="153" t="s">
        <v>5621</v>
      </c>
    </row>
    <row r="3642" spans="1:1">
      <c r="A3642" s="153" t="s">
        <v>5622</v>
      </c>
    </row>
    <row r="3643" spans="1:1">
      <c r="A3643" s="153" t="s">
        <v>5623</v>
      </c>
    </row>
    <row r="3644" spans="1:1">
      <c r="A3644" s="153" t="s">
        <v>5624</v>
      </c>
    </row>
    <row r="3645" spans="1:1">
      <c r="A3645" s="153" t="s">
        <v>5625</v>
      </c>
    </row>
    <row r="3646" spans="1:1">
      <c r="A3646" s="153" t="s">
        <v>5626</v>
      </c>
    </row>
    <row r="3647" spans="1:1">
      <c r="A3647" s="153" t="s">
        <v>5627</v>
      </c>
    </row>
    <row r="3648" spans="1:1">
      <c r="A3648" s="153" t="s">
        <v>5628</v>
      </c>
    </row>
    <row r="3649" spans="1:1">
      <c r="A3649" s="153" t="s">
        <v>5629</v>
      </c>
    </row>
    <row r="3650" spans="1:1">
      <c r="A3650" s="153" t="s">
        <v>5630</v>
      </c>
    </row>
    <row r="3651" spans="1:1">
      <c r="A3651" s="153" t="s">
        <v>5631</v>
      </c>
    </row>
    <row r="3652" spans="1:1">
      <c r="A3652" s="153" t="s">
        <v>5632</v>
      </c>
    </row>
    <row r="3653" spans="1:1">
      <c r="A3653" s="153" t="s">
        <v>5633</v>
      </c>
    </row>
    <row r="3654" spans="1:1">
      <c r="A3654" s="153" t="s">
        <v>5634</v>
      </c>
    </row>
    <row r="3655" spans="1:1">
      <c r="A3655" s="153" t="s">
        <v>5635</v>
      </c>
    </row>
    <row r="3656" spans="1:1">
      <c r="A3656" s="153" t="s">
        <v>5636</v>
      </c>
    </row>
    <row r="3657" spans="1:1">
      <c r="A3657" s="153" t="s">
        <v>5637</v>
      </c>
    </row>
    <row r="3658" spans="1:1">
      <c r="A3658" s="153" t="s">
        <v>5638</v>
      </c>
    </row>
    <row r="3659" spans="1:1">
      <c r="A3659" s="153" t="s">
        <v>5639</v>
      </c>
    </row>
    <row r="3660" spans="1:1">
      <c r="A3660" s="153" t="s">
        <v>5640</v>
      </c>
    </row>
    <row r="3661" spans="1:1">
      <c r="A3661" s="153" t="s">
        <v>5641</v>
      </c>
    </row>
    <row r="3662" spans="1:1">
      <c r="A3662" s="153" t="s">
        <v>5642</v>
      </c>
    </row>
    <row r="3663" spans="1:1">
      <c r="A3663" s="153" t="s">
        <v>5643</v>
      </c>
    </row>
    <row r="3664" spans="1:1">
      <c r="A3664" s="153" t="s">
        <v>5644</v>
      </c>
    </row>
    <row r="3665" spans="1:1">
      <c r="A3665" s="153" t="s">
        <v>5645</v>
      </c>
    </row>
    <row r="3666" spans="1:1">
      <c r="A3666" s="153" t="s">
        <v>5646</v>
      </c>
    </row>
    <row r="3667" spans="1:1">
      <c r="A3667" s="153" t="s">
        <v>5647</v>
      </c>
    </row>
    <row r="3668" spans="1:1">
      <c r="A3668" s="153" t="s">
        <v>5648</v>
      </c>
    </row>
    <row r="3669" spans="1:1">
      <c r="A3669" s="153" t="s">
        <v>5649</v>
      </c>
    </row>
    <row r="3670" spans="1:1">
      <c r="A3670" s="153" t="s">
        <v>5650</v>
      </c>
    </row>
    <row r="3671" spans="1:1">
      <c r="A3671" s="153" t="s">
        <v>5651</v>
      </c>
    </row>
    <row r="3672" spans="1:1">
      <c r="A3672" s="153" t="s">
        <v>5652</v>
      </c>
    </row>
    <row r="3673" spans="1:1">
      <c r="A3673" s="153" t="s">
        <v>5653</v>
      </c>
    </row>
    <row r="3674" spans="1:1">
      <c r="A3674" s="153" t="s">
        <v>5654</v>
      </c>
    </row>
    <row r="3675" spans="1:1">
      <c r="A3675" s="153" t="s">
        <v>5655</v>
      </c>
    </row>
    <row r="3676" spans="1:1">
      <c r="A3676" s="153" t="s">
        <v>5656</v>
      </c>
    </row>
    <row r="3677" spans="1:1">
      <c r="A3677" s="153" t="s">
        <v>5657</v>
      </c>
    </row>
    <row r="3678" spans="1:1">
      <c r="A3678" s="153" t="s">
        <v>5658</v>
      </c>
    </row>
    <row r="3679" spans="1:1">
      <c r="A3679" s="153" t="s">
        <v>5659</v>
      </c>
    </row>
    <row r="3680" spans="1:1">
      <c r="A3680" s="153" t="s">
        <v>5660</v>
      </c>
    </row>
    <row r="3681" spans="1:1">
      <c r="A3681" s="153" t="s">
        <v>5661</v>
      </c>
    </row>
    <row r="3682" spans="1:1">
      <c r="A3682" s="153" t="s">
        <v>5662</v>
      </c>
    </row>
    <row r="3683" spans="1:1">
      <c r="A3683" s="153" t="s">
        <v>5663</v>
      </c>
    </row>
    <row r="3684" spans="1:1">
      <c r="A3684" s="153" t="s">
        <v>5664</v>
      </c>
    </row>
    <row r="3685" spans="1:1">
      <c r="A3685" s="153" t="s">
        <v>5665</v>
      </c>
    </row>
    <row r="3686" spans="1:1">
      <c r="A3686" s="153" t="s">
        <v>5666</v>
      </c>
    </row>
    <row r="3687" spans="1:1">
      <c r="A3687" s="153" t="s">
        <v>5667</v>
      </c>
    </row>
    <row r="3688" spans="1:1">
      <c r="A3688" s="153" t="s">
        <v>5668</v>
      </c>
    </row>
    <row r="3689" spans="1:1">
      <c r="A3689" s="153" t="s">
        <v>5669</v>
      </c>
    </row>
    <row r="3690" spans="1:1">
      <c r="A3690" s="153" t="s">
        <v>5670</v>
      </c>
    </row>
    <row r="3691" spans="1:1">
      <c r="A3691" s="153" t="s">
        <v>5671</v>
      </c>
    </row>
    <row r="3692" spans="1:1">
      <c r="A3692" s="153" t="s">
        <v>5672</v>
      </c>
    </row>
    <row r="3693" spans="1:1">
      <c r="A3693" s="153" t="s">
        <v>5673</v>
      </c>
    </row>
    <row r="3694" spans="1:1">
      <c r="A3694" s="153" t="s">
        <v>5674</v>
      </c>
    </row>
    <row r="3695" spans="1:1">
      <c r="A3695" s="153" t="s">
        <v>5675</v>
      </c>
    </row>
    <row r="3696" spans="1:1">
      <c r="A3696" s="153" t="s">
        <v>5676</v>
      </c>
    </row>
    <row r="3697" spans="1:1">
      <c r="A3697" s="153" t="s">
        <v>5677</v>
      </c>
    </row>
    <row r="3698" spans="1:1">
      <c r="A3698" s="153" t="s">
        <v>5678</v>
      </c>
    </row>
    <row r="3699" spans="1:1">
      <c r="A3699" s="153" t="s">
        <v>5679</v>
      </c>
    </row>
    <row r="3700" spans="1:1">
      <c r="A3700" s="153" t="s">
        <v>5680</v>
      </c>
    </row>
    <row r="3701" spans="1:1">
      <c r="A3701" s="153" t="s">
        <v>5681</v>
      </c>
    </row>
    <row r="3702" spans="1:1">
      <c r="A3702" s="153" t="s">
        <v>5682</v>
      </c>
    </row>
    <row r="3703" spans="1:1">
      <c r="A3703" s="153" t="s">
        <v>5683</v>
      </c>
    </row>
    <row r="3704" spans="1:1">
      <c r="A3704" s="153" t="s">
        <v>5684</v>
      </c>
    </row>
    <row r="3705" spans="1:1">
      <c r="A3705" s="153" t="s">
        <v>5685</v>
      </c>
    </row>
    <row r="3706" spans="1:1">
      <c r="A3706" s="153" t="s">
        <v>5686</v>
      </c>
    </row>
    <row r="3707" spans="1:1">
      <c r="A3707" s="153" t="s">
        <v>5687</v>
      </c>
    </row>
    <row r="3708" spans="1:1">
      <c r="A3708" s="153" t="s">
        <v>5688</v>
      </c>
    </row>
    <row r="3709" spans="1:1">
      <c r="A3709" s="153" t="s">
        <v>5689</v>
      </c>
    </row>
    <row r="3710" spans="1:1">
      <c r="A3710" s="153" t="s">
        <v>5690</v>
      </c>
    </row>
    <row r="3711" spans="1:1">
      <c r="A3711" s="153" t="s">
        <v>5691</v>
      </c>
    </row>
    <row r="3712" spans="1:1">
      <c r="A3712" s="153" t="s">
        <v>5692</v>
      </c>
    </row>
    <row r="3713" spans="1:1">
      <c r="A3713" s="153" t="s">
        <v>5693</v>
      </c>
    </row>
    <row r="3714" spans="1:1">
      <c r="A3714" s="153" t="s">
        <v>5694</v>
      </c>
    </row>
    <row r="3715" spans="1:1">
      <c r="A3715" s="153" t="s">
        <v>5695</v>
      </c>
    </row>
    <row r="3716" spans="1:1">
      <c r="A3716" s="153" t="s">
        <v>5696</v>
      </c>
    </row>
    <row r="3717" spans="1:1">
      <c r="A3717" s="153" t="s">
        <v>5697</v>
      </c>
    </row>
    <row r="3718" spans="1:1">
      <c r="A3718" s="153" t="s">
        <v>5698</v>
      </c>
    </row>
    <row r="3719" spans="1:1">
      <c r="A3719" s="153" t="s">
        <v>5699</v>
      </c>
    </row>
    <row r="3720" spans="1:1">
      <c r="A3720" s="153" t="s">
        <v>5700</v>
      </c>
    </row>
    <row r="3721" spans="1:1">
      <c r="A3721" s="153" t="s">
        <v>5701</v>
      </c>
    </row>
    <row r="3722" spans="1:1">
      <c r="A3722" s="153" t="s">
        <v>5702</v>
      </c>
    </row>
    <row r="3723" spans="1:1">
      <c r="A3723" s="153" t="s">
        <v>5703</v>
      </c>
    </row>
    <row r="3724" spans="1:1">
      <c r="A3724" s="153" t="s">
        <v>5704</v>
      </c>
    </row>
    <row r="3725" spans="1:1">
      <c r="A3725" s="153" t="s">
        <v>5705</v>
      </c>
    </row>
    <row r="3726" spans="1:1">
      <c r="A3726" s="153" t="s">
        <v>5706</v>
      </c>
    </row>
    <row r="3727" spans="1:1">
      <c r="A3727" s="153" t="s">
        <v>5707</v>
      </c>
    </row>
    <row r="3728" spans="1:1">
      <c r="A3728" s="153" t="s">
        <v>5708</v>
      </c>
    </row>
    <row r="3729" spans="1:1">
      <c r="A3729" s="153" t="s">
        <v>5709</v>
      </c>
    </row>
    <row r="3730" spans="1:1">
      <c r="A3730" s="153" t="s">
        <v>5710</v>
      </c>
    </row>
    <row r="3731" spans="1:1">
      <c r="A3731" s="153" t="s">
        <v>5711</v>
      </c>
    </row>
    <row r="3732" spans="1:1">
      <c r="A3732" s="153" t="s">
        <v>5712</v>
      </c>
    </row>
    <row r="3733" spans="1:1">
      <c r="A3733" s="153" t="s">
        <v>5713</v>
      </c>
    </row>
    <row r="3734" spans="1:1">
      <c r="A3734" s="153" t="s">
        <v>5714</v>
      </c>
    </row>
    <row r="3735" spans="1:1">
      <c r="A3735" s="153" t="s">
        <v>5715</v>
      </c>
    </row>
    <row r="3736" spans="1:1">
      <c r="A3736" s="153" t="s">
        <v>5716</v>
      </c>
    </row>
    <row r="3737" spans="1:1">
      <c r="A3737" s="153" t="s">
        <v>5717</v>
      </c>
    </row>
    <row r="3738" spans="1:1">
      <c r="A3738" s="153" t="s">
        <v>5718</v>
      </c>
    </row>
    <row r="3739" spans="1:1">
      <c r="A3739" s="153" t="s">
        <v>5719</v>
      </c>
    </row>
    <row r="3740" spans="1:1">
      <c r="A3740" s="153" t="s">
        <v>5720</v>
      </c>
    </row>
    <row r="3741" spans="1:1">
      <c r="A3741" s="153" t="s">
        <v>5721</v>
      </c>
    </row>
    <row r="3742" spans="1:1">
      <c r="A3742" s="153" t="s">
        <v>5722</v>
      </c>
    </row>
    <row r="3743" spans="1:1">
      <c r="A3743" s="153" t="s">
        <v>5723</v>
      </c>
    </row>
    <row r="3744" spans="1:1">
      <c r="A3744" s="153" t="s">
        <v>5724</v>
      </c>
    </row>
    <row r="3745" spans="1:1">
      <c r="A3745" s="153" t="s">
        <v>5725</v>
      </c>
    </row>
    <row r="3746" spans="1:1">
      <c r="A3746" s="153" t="s">
        <v>5726</v>
      </c>
    </row>
    <row r="3747" spans="1:1">
      <c r="A3747" s="153" t="s">
        <v>5727</v>
      </c>
    </row>
    <row r="3748" spans="1:1">
      <c r="A3748" s="153" t="s">
        <v>5728</v>
      </c>
    </row>
    <row r="3749" spans="1:1">
      <c r="A3749" s="153" t="s">
        <v>5729</v>
      </c>
    </row>
    <row r="3750" spans="1:1">
      <c r="A3750" s="153" t="s">
        <v>5730</v>
      </c>
    </row>
    <row r="3751" spans="1:1">
      <c r="A3751" s="153" t="s">
        <v>5731</v>
      </c>
    </row>
    <row r="3752" spans="1:1">
      <c r="A3752" s="153" t="s">
        <v>5732</v>
      </c>
    </row>
    <row r="3753" spans="1:1">
      <c r="A3753" s="153" t="s">
        <v>5733</v>
      </c>
    </row>
    <row r="3754" spans="1:1">
      <c r="A3754" s="153" t="s">
        <v>5734</v>
      </c>
    </row>
    <row r="3755" spans="1:1">
      <c r="A3755" s="153" t="s">
        <v>5735</v>
      </c>
    </row>
    <row r="3756" spans="1:1">
      <c r="A3756" s="153" t="s">
        <v>5736</v>
      </c>
    </row>
    <row r="3757" spans="1:1">
      <c r="A3757" s="153" t="s">
        <v>5737</v>
      </c>
    </row>
    <row r="3758" spans="1:1">
      <c r="A3758" s="153" t="s">
        <v>5738</v>
      </c>
    </row>
    <row r="3759" spans="1:1">
      <c r="A3759" s="153" t="s">
        <v>5739</v>
      </c>
    </row>
    <row r="3760" spans="1:1">
      <c r="A3760" s="153" t="s">
        <v>5740</v>
      </c>
    </row>
    <row r="3761" spans="1:1">
      <c r="A3761" s="153" t="s">
        <v>5741</v>
      </c>
    </row>
    <row r="3762" spans="1:1">
      <c r="A3762" s="153" t="s">
        <v>5742</v>
      </c>
    </row>
    <row r="3763" spans="1:1">
      <c r="A3763" s="153" t="s">
        <v>5743</v>
      </c>
    </row>
    <row r="3764" spans="1:1">
      <c r="A3764" s="153" t="s">
        <v>5744</v>
      </c>
    </row>
    <row r="3765" spans="1:1">
      <c r="A3765" s="153" t="s">
        <v>5745</v>
      </c>
    </row>
    <row r="3766" spans="1:1">
      <c r="A3766" s="153" t="s">
        <v>5746</v>
      </c>
    </row>
    <row r="3767" spans="1:1">
      <c r="A3767" s="153" t="s">
        <v>5747</v>
      </c>
    </row>
    <row r="3768" spans="1:1">
      <c r="A3768" s="153" t="s">
        <v>5748</v>
      </c>
    </row>
    <row r="3769" spans="1:1">
      <c r="A3769" s="153" t="s">
        <v>5749</v>
      </c>
    </row>
    <row r="3770" spans="1:1">
      <c r="A3770" s="153" t="s">
        <v>5750</v>
      </c>
    </row>
    <row r="3771" spans="1:1">
      <c r="A3771" s="153" t="s">
        <v>5751</v>
      </c>
    </row>
    <row r="3772" spans="1:1">
      <c r="A3772" s="153" t="s">
        <v>5752</v>
      </c>
    </row>
    <row r="3773" spans="1:1">
      <c r="A3773" s="153" t="s">
        <v>5753</v>
      </c>
    </row>
    <row r="3774" spans="1:1">
      <c r="A3774" s="153" t="s">
        <v>5754</v>
      </c>
    </row>
    <row r="3775" spans="1:1">
      <c r="A3775" s="153" t="s">
        <v>5755</v>
      </c>
    </row>
    <row r="3776" spans="1:1">
      <c r="A3776" s="153" t="s">
        <v>5756</v>
      </c>
    </row>
    <row r="3777" spans="1:1">
      <c r="A3777" s="153" t="s">
        <v>5757</v>
      </c>
    </row>
    <row r="3778" spans="1:1">
      <c r="A3778" s="153" t="s">
        <v>5758</v>
      </c>
    </row>
    <row r="3779" spans="1:1">
      <c r="A3779" s="153" t="s">
        <v>5759</v>
      </c>
    </row>
    <row r="3780" spans="1:1">
      <c r="A3780" s="153" t="s">
        <v>5760</v>
      </c>
    </row>
    <row r="3781" spans="1:1">
      <c r="A3781" s="153" t="s">
        <v>5761</v>
      </c>
    </row>
    <row r="3782" spans="1:1">
      <c r="A3782" s="153" t="s">
        <v>5762</v>
      </c>
    </row>
    <row r="3783" spans="1:1">
      <c r="A3783" s="153" t="s">
        <v>5763</v>
      </c>
    </row>
    <row r="3784" spans="1:1">
      <c r="A3784" s="153" t="s">
        <v>5764</v>
      </c>
    </row>
    <row r="3785" spans="1:1">
      <c r="A3785" s="153" t="s">
        <v>5765</v>
      </c>
    </row>
    <row r="3786" spans="1:1">
      <c r="A3786" s="153" t="s">
        <v>5766</v>
      </c>
    </row>
    <row r="3787" spans="1:1">
      <c r="A3787" s="153" t="s">
        <v>5767</v>
      </c>
    </row>
    <row r="3788" spans="1:1">
      <c r="A3788" s="153" t="s">
        <v>5768</v>
      </c>
    </row>
    <row r="3789" spans="1:1">
      <c r="A3789" s="153" t="s">
        <v>5769</v>
      </c>
    </row>
    <row r="3790" spans="1:1">
      <c r="A3790" s="153" t="s">
        <v>5770</v>
      </c>
    </row>
    <row r="3791" spans="1:1">
      <c r="A3791" s="153" t="s">
        <v>5771</v>
      </c>
    </row>
    <row r="3792" spans="1:1">
      <c r="A3792" s="153" t="s">
        <v>5772</v>
      </c>
    </row>
    <row r="3793" spans="1:1">
      <c r="A3793" s="153" t="s">
        <v>5773</v>
      </c>
    </row>
    <row r="3794" spans="1:1">
      <c r="A3794" s="153" t="s">
        <v>5774</v>
      </c>
    </row>
    <row r="3795" spans="1:1">
      <c r="A3795" s="153" t="s">
        <v>5775</v>
      </c>
    </row>
    <row r="3796" spans="1:1">
      <c r="A3796" s="153" t="s">
        <v>5776</v>
      </c>
    </row>
    <row r="3797" spans="1:1">
      <c r="A3797" s="153" t="s">
        <v>5777</v>
      </c>
    </row>
    <row r="3798" spans="1:1">
      <c r="A3798" s="153" t="s">
        <v>5778</v>
      </c>
    </row>
    <row r="3799" spans="1:1">
      <c r="A3799" s="153" t="s">
        <v>5779</v>
      </c>
    </row>
    <row r="3800" spans="1:1">
      <c r="A3800" s="153" t="s">
        <v>5780</v>
      </c>
    </row>
    <row r="3801" spans="1:1">
      <c r="A3801" s="153" t="s">
        <v>5781</v>
      </c>
    </row>
    <row r="3802" spans="1:1">
      <c r="A3802" s="153" t="s">
        <v>5782</v>
      </c>
    </row>
    <row r="3803" spans="1:1">
      <c r="A3803" s="153" t="s">
        <v>5783</v>
      </c>
    </row>
    <row r="3804" spans="1:1">
      <c r="A3804" s="153" t="s">
        <v>5784</v>
      </c>
    </row>
    <row r="3805" spans="1:1">
      <c r="A3805" s="153" t="s">
        <v>5785</v>
      </c>
    </row>
    <row r="3806" spans="1:1">
      <c r="A3806" s="153" t="s">
        <v>5786</v>
      </c>
    </row>
    <row r="3807" spans="1:1">
      <c r="A3807" s="153" t="s">
        <v>5787</v>
      </c>
    </row>
    <row r="3808" spans="1:1">
      <c r="A3808" s="153" t="s">
        <v>5788</v>
      </c>
    </row>
    <row r="3809" spans="1:1">
      <c r="A3809" s="153" t="s">
        <v>5789</v>
      </c>
    </row>
    <row r="3810" spans="1:1">
      <c r="A3810" s="153" t="s">
        <v>5790</v>
      </c>
    </row>
    <row r="3811" spans="1:1">
      <c r="A3811" s="153" t="s">
        <v>5791</v>
      </c>
    </row>
    <row r="3812" spans="1:1">
      <c r="A3812" s="153" t="s">
        <v>5792</v>
      </c>
    </row>
    <row r="3813" spans="1:1">
      <c r="A3813" s="153" t="s">
        <v>5793</v>
      </c>
    </row>
    <row r="3814" spans="1:1">
      <c r="A3814" s="153" t="s">
        <v>5794</v>
      </c>
    </row>
    <row r="3815" spans="1:1">
      <c r="A3815" s="153" t="s">
        <v>5795</v>
      </c>
    </row>
    <row r="3816" spans="1:1">
      <c r="A3816" s="153" t="s">
        <v>5796</v>
      </c>
    </row>
    <row r="3817" spans="1:1">
      <c r="A3817" s="153" t="s">
        <v>5797</v>
      </c>
    </row>
    <row r="3818" spans="1:1">
      <c r="A3818" s="153" t="s">
        <v>5798</v>
      </c>
    </row>
    <row r="3819" spans="1:1">
      <c r="A3819" s="153" t="s">
        <v>5799</v>
      </c>
    </row>
    <row r="3820" spans="1:1">
      <c r="A3820" s="153" t="s">
        <v>5800</v>
      </c>
    </row>
    <row r="3821" spans="1:1">
      <c r="A3821" s="153" t="s">
        <v>5801</v>
      </c>
    </row>
    <row r="3822" spans="1:1">
      <c r="A3822" s="153" t="s">
        <v>5802</v>
      </c>
    </row>
    <row r="3823" spans="1:1">
      <c r="A3823" s="153" t="s">
        <v>5803</v>
      </c>
    </row>
    <row r="3824" spans="1:1">
      <c r="A3824" s="153" t="s">
        <v>5804</v>
      </c>
    </row>
    <row r="3825" spans="1:1">
      <c r="A3825" s="153" t="s">
        <v>5805</v>
      </c>
    </row>
    <row r="3826" spans="1:1">
      <c r="A3826" s="153" t="s">
        <v>5806</v>
      </c>
    </row>
    <row r="3827" spans="1:1">
      <c r="A3827" s="153" t="s">
        <v>5807</v>
      </c>
    </row>
    <row r="3828" spans="1:1">
      <c r="A3828" s="153" t="s">
        <v>5808</v>
      </c>
    </row>
    <row r="3829" spans="1:1">
      <c r="A3829" s="153" t="s">
        <v>5809</v>
      </c>
    </row>
    <row r="3830" spans="1:1">
      <c r="A3830" s="153" t="s">
        <v>5810</v>
      </c>
    </row>
    <row r="3831" spans="1:1">
      <c r="A3831" s="153" t="s">
        <v>5811</v>
      </c>
    </row>
    <row r="3832" spans="1:1">
      <c r="A3832" s="153" t="s">
        <v>5812</v>
      </c>
    </row>
    <row r="3833" spans="1:1">
      <c r="A3833" s="153" t="s">
        <v>5813</v>
      </c>
    </row>
    <row r="3834" spans="1:1">
      <c r="A3834" s="153" t="s">
        <v>5814</v>
      </c>
    </row>
    <row r="3835" spans="1:1">
      <c r="A3835" s="153" t="s">
        <v>5815</v>
      </c>
    </row>
    <row r="3836" spans="1:1">
      <c r="A3836" s="153" t="s">
        <v>5816</v>
      </c>
    </row>
    <row r="3837" spans="1:1">
      <c r="A3837" s="153" t="s">
        <v>5817</v>
      </c>
    </row>
    <row r="3838" spans="1:1">
      <c r="A3838" s="153" t="s">
        <v>5818</v>
      </c>
    </row>
    <row r="3839" spans="1:1">
      <c r="A3839" s="153" t="s">
        <v>5819</v>
      </c>
    </row>
    <row r="3840" spans="1:1">
      <c r="A3840" s="153" t="s">
        <v>5820</v>
      </c>
    </row>
    <row r="3841" spans="1:1">
      <c r="A3841" s="153" t="s">
        <v>5821</v>
      </c>
    </row>
    <row r="3842" spans="1:1">
      <c r="A3842" s="153" t="s">
        <v>5822</v>
      </c>
    </row>
    <row r="3843" spans="1:1">
      <c r="A3843" s="153" t="s">
        <v>5823</v>
      </c>
    </row>
    <row r="3844" spans="1:1">
      <c r="A3844" s="153" t="s">
        <v>5824</v>
      </c>
    </row>
    <row r="3845" spans="1:1">
      <c r="A3845" s="153" t="s">
        <v>5825</v>
      </c>
    </row>
    <row r="3846" spans="1:1">
      <c r="A3846" s="153" t="s">
        <v>5826</v>
      </c>
    </row>
    <row r="3847" spans="1:1">
      <c r="A3847" s="153" t="s">
        <v>5827</v>
      </c>
    </row>
    <row r="3848" spans="1:1">
      <c r="A3848" s="153" t="s">
        <v>5828</v>
      </c>
    </row>
    <row r="3849" spans="1:1">
      <c r="A3849" s="153" t="s">
        <v>5829</v>
      </c>
    </row>
    <row r="3850" spans="1:1">
      <c r="A3850" s="153" t="s">
        <v>5830</v>
      </c>
    </row>
    <row r="3851" spans="1:1">
      <c r="A3851" s="153" t="s">
        <v>5831</v>
      </c>
    </row>
    <row r="3852" spans="1:1">
      <c r="A3852" s="153" t="s">
        <v>5832</v>
      </c>
    </row>
    <row r="3853" spans="1:1">
      <c r="A3853" s="153" t="s">
        <v>5833</v>
      </c>
    </row>
    <row r="3854" spans="1:1">
      <c r="A3854" s="153" t="s">
        <v>5834</v>
      </c>
    </row>
    <row r="3855" spans="1:1">
      <c r="A3855" s="153" t="s">
        <v>5835</v>
      </c>
    </row>
    <row r="3856" spans="1:1">
      <c r="A3856" s="153" t="s">
        <v>5836</v>
      </c>
    </row>
    <row r="3857" spans="1:1">
      <c r="A3857" s="153" t="s">
        <v>5837</v>
      </c>
    </row>
    <row r="3858" spans="1:1">
      <c r="A3858" s="153" t="s">
        <v>5838</v>
      </c>
    </row>
    <row r="3859" spans="1:1">
      <c r="A3859" s="153" t="s">
        <v>5839</v>
      </c>
    </row>
    <row r="3860" spans="1:1">
      <c r="A3860" s="153" t="s">
        <v>5840</v>
      </c>
    </row>
    <row r="3861" spans="1:1">
      <c r="A3861" s="153" t="s">
        <v>5841</v>
      </c>
    </row>
    <row r="3862" spans="1:1">
      <c r="A3862" s="153" t="s">
        <v>5842</v>
      </c>
    </row>
    <row r="3863" spans="1:1">
      <c r="A3863" s="153" t="s">
        <v>5843</v>
      </c>
    </row>
    <row r="3864" spans="1:1">
      <c r="A3864" s="153" t="s">
        <v>5844</v>
      </c>
    </row>
    <row r="3865" spans="1:1">
      <c r="A3865" s="153" t="s">
        <v>5845</v>
      </c>
    </row>
    <row r="3866" spans="1:1">
      <c r="A3866" s="153" t="s">
        <v>5846</v>
      </c>
    </row>
    <row r="3867" spans="1:1">
      <c r="A3867" s="153" t="s">
        <v>5847</v>
      </c>
    </row>
    <row r="3868" spans="1:1">
      <c r="A3868" s="153" t="s">
        <v>5848</v>
      </c>
    </row>
    <row r="3869" spans="1:1">
      <c r="A3869" s="153" t="s">
        <v>5849</v>
      </c>
    </row>
    <row r="3870" spans="1:1">
      <c r="A3870" s="153" t="s">
        <v>5850</v>
      </c>
    </row>
    <row r="3871" spans="1:1">
      <c r="A3871" s="153" t="s">
        <v>5851</v>
      </c>
    </row>
    <row r="3872" spans="1:1">
      <c r="A3872" s="153" t="s">
        <v>5852</v>
      </c>
    </row>
    <row r="3873" spans="1:1">
      <c r="A3873" s="153" t="s">
        <v>5853</v>
      </c>
    </row>
    <row r="3874" spans="1:1">
      <c r="A3874" s="153" t="s">
        <v>5854</v>
      </c>
    </row>
    <row r="3875" spans="1:1">
      <c r="A3875" s="153" t="s">
        <v>5855</v>
      </c>
    </row>
    <row r="3876" spans="1:1">
      <c r="A3876" s="153" t="s">
        <v>5856</v>
      </c>
    </row>
    <row r="3877" spans="1:1">
      <c r="A3877" s="153" t="s">
        <v>5857</v>
      </c>
    </row>
    <row r="3878" spans="1:1">
      <c r="A3878" s="153" t="s">
        <v>5858</v>
      </c>
    </row>
    <row r="3879" spans="1:1">
      <c r="A3879" s="153" t="s">
        <v>5859</v>
      </c>
    </row>
    <row r="3880" spans="1:1">
      <c r="A3880" s="153" t="s">
        <v>5860</v>
      </c>
    </row>
    <row r="3881" spans="1:1">
      <c r="A3881" s="153" t="s">
        <v>5861</v>
      </c>
    </row>
    <row r="3882" spans="1:1">
      <c r="A3882" s="153" t="s">
        <v>5862</v>
      </c>
    </row>
    <row r="3883" spans="1:1">
      <c r="A3883" s="153" t="s">
        <v>5863</v>
      </c>
    </row>
    <row r="3884" spans="1:1">
      <c r="A3884" s="153" t="s">
        <v>5864</v>
      </c>
    </row>
    <row r="3885" spans="1:1">
      <c r="A3885" s="153" t="s">
        <v>5865</v>
      </c>
    </row>
    <row r="3886" spans="1:1">
      <c r="A3886" s="153" t="s">
        <v>5866</v>
      </c>
    </row>
    <row r="3887" spans="1:1">
      <c r="A3887" s="153" t="s">
        <v>5867</v>
      </c>
    </row>
    <row r="3888" spans="1:1">
      <c r="A3888" s="153" t="s">
        <v>5868</v>
      </c>
    </row>
    <row r="3889" spans="1:1">
      <c r="A3889" s="153" t="s">
        <v>5869</v>
      </c>
    </row>
    <row r="3890" spans="1:1">
      <c r="A3890" s="153" t="s">
        <v>5870</v>
      </c>
    </row>
    <row r="3891" spans="1:1">
      <c r="A3891" s="153" t="s">
        <v>5871</v>
      </c>
    </row>
    <row r="3892" spans="1:1">
      <c r="A3892" s="153" t="s">
        <v>5872</v>
      </c>
    </row>
    <row r="3893" spans="1:1">
      <c r="A3893" s="153" t="s">
        <v>5873</v>
      </c>
    </row>
    <row r="3894" spans="1:1">
      <c r="A3894" s="153" t="s">
        <v>5874</v>
      </c>
    </row>
    <row r="3895" spans="1:1">
      <c r="A3895" s="153" t="s">
        <v>5875</v>
      </c>
    </row>
    <row r="3896" spans="1:1">
      <c r="A3896" s="153" t="s">
        <v>5876</v>
      </c>
    </row>
    <row r="3897" spans="1:1">
      <c r="A3897" s="153" t="s">
        <v>5877</v>
      </c>
    </row>
    <row r="3898" spans="1:1">
      <c r="A3898" s="153" t="s">
        <v>5878</v>
      </c>
    </row>
    <row r="3899" spans="1:1">
      <c r="A3899" s="153" t="s">
        <v>5879</v>
      </c>
    </row>
    <row r="3900" spans="1:1">
      <c r="A3900" s="153" t="s">
        <v>5880</v>
      </c>
    </row>
    <row r="3901" spans="1:1">
      <c r="A3901" s="153" t="s">
        <v>5881</v>
      </c>
    </row>
    <row r="3902" spans="1:1">
      <c r="A3902" s="153" t="s">
        <v>5882</v>
      </c>
    </row>
    <row r="3903" spans="1:1">
      <c r="A3903" s="153" t="s">
        <v>5883</v>
      </c>
    </row>
    <row r="3904" spans="1:1">
      <c r="A3904" s="153" t="s">
        <v>5884</v>
      </c>
    </row>
    <row r="3905" spans="1:1">
      <c r="A3905" s="153" t="s">
        <v>5885</v>
      </c>
    </row>
    <row r="3906" spans="1:1">
      <c r="A3906" s="153" t="s">
        <v>5886</v>
      </c>
    </row>
    <row r="3907" spans="1:1">
      <c r="A3907" s="153" t="s">
        <v>5887</v>
      </c>
    </row>
    <row r="3908" spans="1:1">
      <c r="A3908" s="153" t="s">
        <v>5888</v>
      </c>
    </row>
    <row r="3909" spans="1:1">
      <c r="A3909" s="153" t="s">
        <v>5889</v>
      </c>
    </row>
    <row r="3910" spans="1:1">
      <c r="A3910" s="153" t="s">
        <v>5890</v>
      </c>
    </row>
    <row r="3911" spans="1:1">
      <c r="A3911" s="153" t="s">
        <v>5891</v>
      </c>
    </row>
    <row r="3912" spans="1:1">
      <c r="A3912" s="153" t="s">
        <v>5892</v>
      </c>
    </row>
    <row r="3913" spans="1:1">
      <c r="A3913" s="153" t="s">
        <v>5893</v>
      </c>
    </row>
    <row r="3914" spans="1:1">
      <c r="A3914" s="153" t="s">
        <v>5894</v>
      </c>
    </row>
    <row r="3915" spans="1:1">
      <c r="A3915" s="153" t="s">
        <v>5895</v>
      </c>
    </row>
    <row r="3916" spans="1:1">
      <c r="A3916" s="153" t="s">
        <v>5896</v>
      </c>
    </row>
    <row r="3917" spans="1:1">
      <c r="A3917" s="153" t="s">
        <v>5897</v>
      </c>
    </row>
    <row r="3918" spans="1:1">
      <c r="A3918" s="153" t="s">
        <v>5898</v>
      </c>
    </row>
    <row r="3919" spans="1:1">
      <c r="A3919" s="153" t="s">
        <v>5899</v>
      </c>
    </row>
    <row r="3920" spans="1:1">
      <c r="A3920" s="153" t="s">
        <v>5900</v>
      </c>
    </row>
    <row r="3921" spans="1:1">
      <c r="A3921" s="153" t="s">
        <v>5901</v>
      </c>
    </row>
    <row r="3922" spans="1:1">
      <c r="A3922" s="153" t="s">
        <v>5902</v>
      </c>
    </row>
    <row r="3923" spans="1:1">
      <c r="A3923" s="153" t="s">
        <v>5903</v>
      </c>
    </row>
    <row r="3924" spans="1:1">
      <c r="A3924" s="153" t="s">
        <v>5904</v>
      </c>
    </row>
    <row r="3925" spans="1:1">
      <c r="A3925" s="153" t="s">
        <v>5905</v>
      </c>
    </row>
    <row r="3926" spans="1:1">
      <c r="A3926" s="153" t="s">
        <v>5906</v>
      </c>
    </row>
    <row r="3927" spans="1:1">
      <c r="A3927" s="153" t="s">
        <v>5907</v>
      </c>
    </row>
    <row r="3928" spans="1:1">
      <c r="A3928" s="153" t="s">
        <v>5908</v>
      </c>
    </row>
    <row r="3929" spans="1:1">
      <c r="A3929" s="153" t="s">
        <v>5909</v>
      </c>
    </row>
    <row r="3930" spans="1:1">
      <c r="A3930" s="153" t="s">
        <v>5910</v>
      </c>
    </row>
    <row r="3931" spans="1:1">
      <c r="A3931" s="153" t="s">
        <v>5911</v>
      </c>
    </row>
    <row r="3932" spans="1:1">
      <c r="A3932" s="153" t="s">
        <v>5912</v>
      </c>
    </row>
    <row r="3933" spans="1:1">
      <c r="A3933" s="153" t="s">
        <v>5913</v>
      </c>
    </row>
    <row r="3934" spans="1:1">
      <c r="A3934" s="153" t="s">
        <v>5914</v>
      </c>
    </row>
    <row r="3935" spans="1:1">
      <c r="A3935" s="153" t="s">
        <v>5915</v>
      </c>
    </row>
    <row r="3936" spans="1:1">
      <c r="A3936" s="153" t="s">
        <v>5916</v>
      </c>
    </row>
    <row r="3937" spans="1:1">
      <c r="A3937" s="153" t="s">
        <v>5917</v>
      </c>
    </row>
    <row r="3938" spans="1:1">
      <c r="A3938" s="153" t="s">
        <v>5918</v>
      </c>
    </row>
    <row r="3939" spans="1:1">
      <c r="A3939" s="153" t="s">
        <v>5919</v>
      </c>
    </row>
    <row r="3940" spans="1:1">
      <c r="A3940" s="153" t="s">
        <v>5920</v>
      </c>
    </row>
    <row r="3941" spans="1:1">
      <c r="A3941" s="153" t="s">
        <v>5921</v>
      </c>
    </row>
    <row r="3942" spans="1:1">
      <c r="A3942" s="153" t="s">
        <v>5922</v>
      </c>
    </row>
    <row r="3943" spans="1:1">
      <c r="A3943" s="153" t="s">
        <v>5923</v>
      </c>
    </row>
    <row r="3944" spans="1:1">
      <c r="A3944" s="153" t="s">
        <v>5924</v>
      </c>
    </row>
    <row r="3945" spans="1:1">
      <c r="A3945" s="153" t="s">
        <v>5925</v>
      </c>
    </row>
    <row r="3946" spans="1:1">
      <c r="A3946" s="153" t="s">
        <v>5926</v>
      </c>
    </row>
    <row r="3947" spans="1:1">
      <c r="A3947" s="153" t="s">
        <v>5927</v>
      </c>
    </row>
    <row r="3948" spans="1:1">
      <c r="A3948" s="153" t="s">
        <v>5928</v>
      </c>
    </row>
    <row r="3949" spans="1:1">
      <c r="A3949" s="153" t="s">
        <v>5929</v>
      </c>
    </row>
    <row r="3950" spans="1:1">
      <c r="A3950" s="153" t="s">
        <v>5930</v>
      </c>
    </row>
    <row r="3951" spans="1:1">
      <c r="A3951" s="153" t="s">
        <v>5931</v>
      </c>
    </row>
    <row r="3952" spans="1:1">
      <c r="A3952" s="153" t="s">
        <v>5932</v>
      </c>
    </row>
    <row r="3953" spans="1:1">
      <c r="A3953" s="153" t="s">
        <v>5933</v>
      </c>
    </row>
    <row r="3954" spans="1:1">
      <c r="A3954" s="153" t="s">
        <v>5934</v>
      </c>
    </row>
    <row r="3955" spans="1:1">
      <c r="A3955" s="153" t="s">
        <v>5935</v>
      </c>
    </row>
    <row r="3956" spans="1:1">
      <c r="A3956" s="153" t="s">
        <v>5936</v>
      </c>
    </row>
    <row r="3957" spans="1:1">
      <c r="A3957" s="153" t="s">
        <v>5937</v>
      </c>
    </row>
    <row r="3958" spans="1:1">
      <c r="A3958" s="153" t="s">
        <v>5938</v>
      </c>
    </row>
    <row r="3959" spans="1:1">
      <c r="A3959" s="153" t="s">
        <v>5939</v>
      </c>
    </row>
    <row r="3960" spans="1:1">
      <c r="A3960" s="153" t="s">
        <v>5940</v>
      </c>
    </row>
    <row r="3961" spans="1:1">
      <c r="A3961" s="153" t="s">
        <v>5941</v>
      </c>
    </row>
    <row r="3962" spans="1:1">
      <c r="A3962" s="153" t="s">
        <v>5942</v>
      </c>
    </row>
    <row r="3963" spans="1:1">
      <c r="A3963" s="153" t="s">
        <v>5943</v>
      </c>
    </row>
    <row r="3964" spans="1:1">
      <c r="A3964" s="153" t="s">
        <v>5944</v>
      </c>
    </row>
    <row r="3965" spans="1:1">
      <c r="A3965" s="153" t="s">
        <v>5945</v>
      </c>
    </row>
    <row r="3966" spans="1:1">
      <c r="A3966" s="153" t="s">
        <v>5946</v>
      </c>
    </row>
    <row r="3967" spans="1:1">
      <c r="A3967" s="153" t="s">
        <v>5947</v>
      </c>
    </row>
    <row r="3968" spans="1:1">
      <c r="A3968" s="153" t="s">
        <v>5948</v>
      </c>
    </row>
    <row r="3969" spans="1:1">
      <c r="A3969" s="153" t="s">
        <v>5949</v>
      </c>
    </row>
    <row r="3970" spans="1:1">
      <c r="A3970" s="153" t="s">
        <v>5950</v>
      </c>
    </row>
    <row r="3971" spans="1:1">
      <c r="A3971" s="153" t="s">
        <v>5951</v>
      </c>
    </row>
    <row r="3972" spans="1:1">
      <c r="A3972" s="153" t="s">
        <v>5952</v>
      </c>
    </row>
    <row r="3973" spans="1:1">
      <c r="A3973" s="153" t="s">
        <v>5953</v>
      </c>
    </row>
    <row r="3974" spans="1:1">
      <c r="A3974" s="153" t="s">
        <v>5954</v>
      </c>
    </row>
    <row r="3975" spans="1:1">
      <c r="A3975" s="153" t="s">
        <v>5955</v>
      </c>
    </row>
    <row r="3976" spans="1:1">
      <c r="A3976" s="153" t="s">
        <v>5956</v>
      </c>
    </row>
    <row r="3977" spans="1:1">
      <c r="A3977" s="153" t="s">
        <v>5957</v>
      </c>
    </row>
    <row r="3978" spans="1:1">
      <c r="A3978" s="153" t="s">
        <v>5958</v>
      </c>
    </row>
    <row r="3979" spans="1:1">
      <c r="A3979" s="153" t="s">
        <v>5959</v>
      </c>
    </row>
    <row r="3980" spans="1:1">
      <c r="A3980" s="153" t="s">
        <v>5960</v>
      </c>
    </row>
    <row r="3981" spans="1:1">
      <c r="A3981" s="153" t="s">
        <v>5961</v>
      </c>
    </row>
    <row r="3982" spans="1:1">
      <c r="A3982" s="153" t="s">
        <v>5962</v>
      </c>
    </row>
    <row r="3983" spans="1:1">
      <c r="A3983" s="153" t="s">
        <v>5963</v>
      </c>
    </row>
    <row r="3984" spans="1:1">
      <c r="A3984" s="153" t="s">
        <v>5964</v>
      </c>
    </row>
    <row r="3985" spans="1:1">
      <c r="A3985" s="153" t="s">
        <v>5965</v>
      </c>
    </row>
    <row r="3986" spans="1:1">
      <c r="A3986" s="153" t="s">
        <v>5966</v>
      </c>
    </row>
    <row r="3987" spans="1:1">
      <c r="A3987" s="153" t="s">
        <v>5967</v>
      </c>
    </row>
    <row r="3988" spans="1:1">
      <c r="A3988" s="153" t="s">
        <v>5968</v>
      </c>
    </row>
    <row r="3989" spans="1:1">
      <c r="A3989" s="153" t="s">
        <v>5969</v>
      </c>
    </row>
    <row r="3990" spans="1:1">
      <c r="A3990" s="153" t="s">
        <v>5970</v>
      </c>
    </row>
    <row r="3991" spans="1:1">
      <c r="A3991" s="153" t="s">
        <v>5971</v>
      </c>
    </row>
    <row r="3992" spans="1:1">
      <c r="A3992" s="153" t="s">
        <v>5972</v>
      </c>
    </row>
    <row r="3993" spans="1:1">
      <c r="A3993" s="153" t="s">
        <v>5973</v>
      </c>
    </row>
    <row r="3994" spans="1:1">
      <c r="A3994" s="153" t="s">
        <v>5974</v>
      </c>
    </row>
    <row r="3995" spans="1:1">
      <c r="A3995" s="153" t="s">
        <v>5975</v>
      </c>
    </row>
    <row r="3996" spans="1:1">
      <c r="A3996" s="153" t="s">
        <v>5976</v>
      </c>
    </row>
    <row r="3997" spans="1:1">
      <c r="A3997" s="153" t="s">
        <v>5977</v>
      </c>
    </row>
    <row r="3998" spans="1:1">
      <c r="A3998" s="153" t="s">
        <v>5978</v>
      </c>
    </row>
    <row r="3999" spans="1:1">
      <c r="A3999" s="153" t="s">
        <v>5979</v>
      </c>
    </row>
    <row r="4000" spans="1:1">
      <c r="A4000" s="153" t="s">
        <v>5980</v>
      </c>
    </row>
    <row r="4001" spans="1:1">
      <c r="A4001" s="153" t="s">
        <v>5981</v>
      </c>
    </row>
    <row r="4002" spans="1:1">
      <c r="A4002" s="153" t="s">
        <v>5982</v>
      </c>
    </row>
    <row r="4003" spans="1:1">
      <c r="A4003" s="153" t="s">
        <v>5983</v>
      </c>
    </row>
    <row r="4004" spans="1:1">
      <c r="A4004" s="153" t="s">
        <v>5984</v>
      </c>
    </row>
    <row r="4005" spans="1:1">
      <c r="A4005" s="153" t="s">
        <v>5985</v>
      </c>
    </row>
    <row r="4006" spans="1:1">
      <c r="A4006" s="153" t="s">
        <v>5986</v>
      </c>
    </row>
    <row r="4007" spans="1:1">
      <c r="A4007" s="153" t="s">
        <v>5987</v>
      </c>
    </row>
    <row r="4008" spans="1:1">
      <c r="A4008" s="153" t="s">
        <v>5988</v>
      </c>
    </row>
    <row r="4009" spans="1:1">
      <c r="A4009" s="153" t="s">
        <v>5989</v>
      </c>
    </row>
    <row r="4010" spans="1:1">
      <c r="A4010" s="153" t="s">
        <v>5990</v>
      </c>
    </row>
    <row r="4011" spans="1:1">
      <c r="A4011" s="153" t="s">
        <v>5991</v>
      </c>
    </row>
    <row r="4012" spans="1:1">
      <c r="A4012" s="153" t="s">
        <v>5992</v>
      </c>
    </row>
    <row r="4013" spans="1:1">
      <c r="A4013" s="153" t="s">
        <v>5993</v>
      </c>
    </row>
    <row r="4014" spans="1:1">
      <c r="A4014" s="153" t="s">
        <v>5994</v>
      </c>
    </row>
    <row r="4015" spans="1:1">
      <c r="A4015" s="153" t="s">
        <v>5995</v>
      </c>
    </row>
    <row r="4016" spans="1:1">
      <c r="A4016" s="153" t="s">
        <v>5996</v>
      </c>
    </row>
    <row r="4017" spans="1:1">
      <c r="A4017" s="153" t="s">
        <v>5997</v>
      </c>
    </row>
    <row r="4018" spans="1:1">
      <c r="A4018" s="153" t="s">
        <v>5998</v>
      </c>
    </row>
    <row r="4019" spans="1:1">
      <c r="A4019" s="153" t="s">
        <v>5999</v>
      </c>
    </row>
    <row r="4020" spans="1:1">
      <c r="A4020" s="153" t="s">
        <v>6000</v>
      </c>
    </row>
    <row r="4021" spans="1:1">
      <c r="A4021" s="153" t="s">
        <v>6001</v>
      </c>
    </row>
    <row r="4022" spans="1:1">
      <c r="A4022" s="153" t="s">
        <v>6002</v>
      </c>
    </row>
    <row r="4023" spans="1:1">
      <c r="A4023" s="153" t="s">
        <v>6003</v>
      </c>
    </row>
    <row r="4024" spans="1:1">
      <c r="A4024" s="153" t="s">
        <v>6004</v>
      </c>
    </row>
    <row r="4025" spans="1:1">
      <c r="A4025" s="153" t="s">
        <v>6005</v>
      </c>
    </row>
    <row r="4026" spans="1:1">
      <c r="A4026" s="153" t="s">
        <v>6006</v>
      </c>
    </row>
    <row r="4027" spans="1:1">
      <c r="A4027" s="153" t="s">
        <v>6007</v>
      </c>
    </row>
    <row r="4028" spans="1:1">
      <c r="A4028" s="153" t="s">
        <v>6008</v>
      </c>
    </row>
    <row r="4029" spans="1:1">
      <c r="A4029" s="153" t="s">
        <v>6009</v>
      </c>
    </row>
    <row r="4030" spans="1:1">
      <c r="A4030" s="153" t="s">
        <v>6010</v>
      </c>
    </row>
    <row r="4031" spans="1:1">
      <c r="A4031" s="153" t="s">
        <v>6011</v>
      </c>
    </row>
    <row r="4032" spans="1:1">
      <c r="A4032" s="153" t="s">
        <v>6012</v>
      </c>
    </row>
    <row r="4033" spans="1:1">
      <c r="A4033" s="153" t="s">
        <v>6013</v>
      </c>
    </row>
    <row r="4034" spans="1:1">
      <c r="A4034" s="153" t="s">
        <v>6014</v>
      </c>
    </row>
    <row r="4035" spans="1:1">
      <c r="A4035" s="153" t="s">
        <v>6015</v>
      </c>
    </row>
    <row r="4036" spans="1:1">
      <c r="A4036" s="153" t="s">
        <v>6016</v>
      </c>
    </row>
    <row r="4037" spans="1:1">
      <c r="A4037" s="153" t="s">
        <v>6017</v>
      </c>
    </row>
    <row r="4038" spans="1:1">
      <c r="A4038" s="153" t="s">
        <v>6018</v>
      </c>
    </row>
    <row r="4039" spans="1:1">
      <c r="A4039" s="153" t="s">
        <v>6019</v>
      </c>
    </row>
    <row r="4040" spans="1:1">
      <c r="A4040" s="153" t="s">
        <v>6020</v>
      </c>
    </row>
    <row r="4041" spans="1:1">
      <c r="A4041" s="153" t="s">
        <v>6021</v>
      </c>
    </row>
    <row r="4042" spans="1:1">
      <c r="A4042" s="153" t="s">
        <v>6022</v>
      </c>
    </row>
    <row r="4043" spans="1:1">
      <c r="A4043" s="153" t="s">
        <v>6023</v>
      </c>
    </row>
    <row r="4044" spans="1:1">
      <c r="A4044" s="153" t="s">
        <v>6024</v>
      </c>
    </row>
    <row r="4045" spans="1:1">
      <c r="A4045" s="153" t="s">
        <v>6025</v>
      </c>
    </row>
    <row r="4046" spans="1:1">
      <c r="A4046" s="153" t="s">
        <v>6026</v>
      </c>
    </row>
    <row r="4047" spans="1:1">
      <c r="A4047" s="153" t="s">
        <v>6027</v>
      </c>
    </row>
    <row r="4048" spans="1:1">
      <c r="A4048" s="153" t="s">
        <v>6028</v>
      </c>
    </row>
    <row r="4049" spans="1:1">
      <c r="A4049" s="153" t="s">
        <v>6029</v>
      </c>
    </row>
    <row r="4050" spans="1:1">
      <c r="A4050" s="153" t="s">
        <v>6030</v>
      </c>
    </row>
    <row r="4051" spans="1:1">
      <c r="A4051" s="153" t="s">
        <v>6031</v>
      </c>
    </row>
    <row r="4052" spans="1:1">
      <c r="A4052" s="153" t="s">
        <v>6032</v>
      </c>
    </row>
    <row r="4053" spans="1:1">
      <c r="A4053" s="153" t="s">
        <v>6033</v>
      </c>
    </row>
    <row r="4054" spans="1:1">
      <c r="A4054" s="153" t="s">
        <v>6034</v>
      </c>
    </row>
    <row r="4055" spans="1:1">
      <c r="A4055" s="153" t="s">
        <v>6035</v>
      </c>
    </row>
    <row r="4056" spans="1:1">
      <c r="A4056" s="153" t="s">
        <v>6036</v>
      </c>
    </row>
    <row r="4057" spans="1:1">
      <c r="A4057" s="153" t="s">
        <v>6037</v>
      </c>
    </row>
    <row r="4058" spans="1:1">
      <c r="A4058" s="153" t="s">
        <v>6038</v>
      </c>
    </row>
    <row r="4059" spans="1:1">
      <c r="A4059" s="153" t="s">
        <v>6039</v>
      </c>
    </row>
    <row r="4060" spans="1:1">
      <c r="A4060" s="153" t="s">
        <v>6040</v>
      </c>
    </row>
    <row r="4061" spans="1:1">
      <c r="A4061" s="153" t="s">
        <v>6041</v>
      </c>
    </row>
    <row r="4062" spans="1:1">
      <c r="A4062" s="153" t="s">
        <v>6042</v>
      </c>
    </row>
    <row r="4063" spans="1:1">
      <c r="A4063" s="153" t="s">
        <v>6043</v>
      </c>
    </row>
    <row r="4064" spans="1:1">
      <c r="A4064" s="153" t="s">
        <v>6044</v>
      </c>
    </row>
    <row r="4065" spans="1:1">
      <c r="A4065" s="153" t="s">
        <v>6045</v>
      </c>
    </row>
    <row r="4066" spans="1:1">
      <c r="A4066" s="153" t="s">
        <v>6046</v>
      </c>
    </row>
    <row r="4067" spans="1:1">
      <c r="A4067" s="153" t="s">
        <v>6047</v>
      </c>
    </row>
    <row r="4068" spans="1:1">
      <c r="A4068" s="153" t="s">
        <v>6048</v>
      </c>
    </row>
    <row r="4069" spans="1:1">
      <c r="A4069" s="153" t="s">
        <v>6049</v>
      </c>
    </row>
    <row r="4070" spans="1:1">
      <c r="A4070" s="153" t="s">
        <v>6050</v>
      </c>
    </row>
    <row r="4071" spans="1:1">
      <c r="A4071" s="153" t="s">
        <v>6051</v>
      </c>
    </row>
    <row r="4072" spans="1:1">
      <c r="A4072" s="153" t="s">
        <v>6052</v>
      </c>
    </row>
    <row r="4073" spans="1:1">
      <c r="A4073" s="153" t="s">
        <v>6053</v>
      </c>
    </row>
    <row r="4074" spans="1:1">
      <c r="A4074" s="153" t="s">
        <v>6054</v>
      </c>
    </row>
    <row r="4075" spans="1:1">
      <c r="A4075" s="153" t="s">
        <v>6055</v>
      </c>
    </row>
    <row r="4076" spans="1:1">
      <c r="A4076" s="153" t="s">
        <v>6056</v>
      </c>
    </row>
    <row r="4077" spans="1:1">
      <c r="A4077" s="153" t="s">
        <v>6057</v>
      </c>
    </row>
    <row r="4078" spans="1:1">
      <c r="A4078" s="153" t="s">
        <v>6058</v>
      </c>
    </row>
    <row r="4079" spans="1:1">
      <c r="A4079" s="153" t="s">
        <v>6059</v>
      </c>
    </row>
    <row r="4080" spans="1:1">
      <c r="A4080" s="153" t="s">
        <v>6060</v>
      </c>
    </row>
    <row r="4081" spans="1:1">
      <c r="A4081" s="153" t="s">
        <v>6061</v>
      </c>
    </row>
    <row r="4082" spans="1:1">
      <c r="A4082" s="153" t="s">
        <v>6062</v>
      </c>
    </row>
    <row r="4083" spans="1:1">
      <c r="A4083" s="153" t="s">
        <v>6063</v>
      </c>
    </row>
    <row r="4084" spans="1:1">
      <c r="A4084" s="153" t="s">
        <v>6064</v>
      </c>
    </row>
    <row r="4085" spans="1:1">
      <c r="A4085" s="153" t="s">
        <v>6065</v>
      </c>
    </row>
    <row r="4086" spans="1:1">
      <c r="A4086" s="153" t="s">
        <v>6066</v>
      </c>
    </row>
    <row r="4087" spans="1:1">
      <c r="A4087" s="153" t="s">
        <v>6067</v>
      </c>
    </row>
    <row r="4088" spans="1:1">
      <c r="A4088" s="153" t="s">
        <v>6068</v>
      </c>
    </row>
    <row r="4089" spans="1:1">
      <c r="A4089" s="153" t="s">
        <v>6069</v>
      </c>
    </row>
    <row r="4090" spans="1:1">
      <c r="A4090" s="153" t="s">
        <v>6070</v>
      </c>
    </row>
    <row r="4091" spans="1:1">
      <c r="A4091" s="153" t="s">
        <v>6071</v>
      </c>
    </row>
    <row r="4092" spans="1:1">
      <c r="A4092" s="153" t="s">
        <v>6072</v>
      </c>
    </row>
    <row r="4093" spans="1:1">
      <c r="A4093" s="153" t="s">
        <v>6073</v>
      </c>
    </row>
    <row r="4094" spans="1:1">
      <c r="A4094" s="153" t="s">
        <v>6074</v>
      </c>
    </row>
    <row r="4095" spans="1:1">
      <c r="A4095" s="153" t="s">
        <v>6075</v>
      </c>
    </row>
    <row r="4096" spans="1:1">
      <c r="A4096" s="153" t="s">
        <v>6076</v>
      </c>
    </row>
    <row r="4097" spans="1:1">
      <c r="A4097" s="153" t="s">
        <v>6077</v>
      </c>
    </row>
    <row r="4098" spans="1:1">
      <c r="A4098" s="153" t="s">
        <v>6078</v>
      </c>
    </row>
    <row r="4099" spans="1:1">
      <c r="A4099" s="153" t="s">
        <v>6079</v>
      </c>
    </row>
    <row r="4100" spans="1:1">
      <c r="A4100" s="153" t="s">
        <v>6080</v>
      </c>
    </row>
    <row r="4101" spans="1:1">
      <c r="A4101" s="153" t="s">
        <v>6081</v>
      </c>
    </row>
    <row r="4102" spans="1:1">
      <c r="A4102" s="153" t="s">
        <v>6082</v>
      </c>
    </row>
    <row r="4103" spans="1:1">
      <c r="A4103" s="153" t="s">
        <v>6083</v>
      </c>
    </row>
    <row r="4104" spans="1:1">
      <c r="A4104" s="153" t="s">
        <v>6084</v>
      </c>
    </row>
    <row r="4105" spans="1:1">
      <c r="A4105" s="153" t="s">
        <v>6085</v>
      </c>
    </row>
    <row r="4106" spans="1:1">
      <c r="A4106" s="153" t="s">
        <v>6086</v>
      </c>
    </row>
    <row r="4107" spans="1:1">
      <c r="A4107" s="153" t="s">
        <v>6087</v>
      </c>
    </row>
    <row r="4108" spans="1:1">
      <c r="A4108" s="153" t="s">
        <v>6088</v>
      </c>
    </row>
    <row r="4109" spans="1:1">
      <c r="A4109" s="153" t="s">
        <v>6089</v>
      </c>
    </row>
    <row r="4110" spans="1:1">
      <c r="A4110" s="153" t="s">
        <v>6090</v>
      </c>
    </row>
    <row r="4111" spans="1:1">
      <c r="A4111" s="153" t="s">
        <v>6091</v>
      </c>
    </row>
    <row r="4112" spans="1:1">
      <c r="A4112" s="153" t="s">
        <v>6092</v>
      </c>
    </row>
    <row r="4113" spans="1:1">
      <c r="A4113" s="153" t="s">
        <v>6093</v>
      </c>
    </row>
    <row r="4114" spans="1:1">
      <c r="A4114" s="153" t="s">
        <v>6094</v>
      </c>
    </row>
    <row r="4115" spans="1:1">
      <c r="A4115" s="153" t="s">
        <v>6095</v>
      </c>
    </row>
    <row r="4116" spans="1:1">
      <c r="A4116" s="153" t="s">
        <v>6096</v>
      </c>
    </row>
    <row r="4117" spans="1:1">
      <c r="A4117" s="153" t="s">
        <v>6097</v>
      </c>
    </row>
    <row r="4118" spans="1:1">
      <c r="A4118" s="153" t="s">
        <v>6098</v>
      </c>
    </row>
    <row r="4119" spans="1:1">
      <c r="A4119" s="153" t="s">
        <v>6099</v>
      </c>
    </row>
    <row r="4120" spans="1:1">
      <c r="A4120" s="153" t="s">
        <v>6100</v>
      </c>
    </row>
    <row r="4121" spans="1:1">
      <c r="A4121" s="153" t="s">
        <v>6101</v>
      </c>
    </row>
    <row r="4122" spans="1:1">
      <c r="A4122" s="153" t="s">
        <v>6102</v>
      </c>
    </row>
    <row r="4123" spans="1:1">
      <c r="A4123" s="153" t="s">
        <v>6103</v>
      </c>
    </row>
    <row r="4124" spans="1:1">
      <c r="A4124" s="153" t="s">
        <v>6104</v>
      </c>
    </row>
    <row r="4125" spans="1:1">
      <c r="A4125" s="153" t="s">
        <v>6105</v>
      </c>
    </row>
    <row r="4126" spans="1:1">
      <c r="A4126" s="153" t="s">
        <v>6106</v>
      </c>
    </row>
    <row r="4127" spans="1:1">
      <c r="A4127" s="153" t="s">
        <v>6107</v>
      </c>
    </row>
    <row r="4128" spans="1:1">
      <c r="A4128" s="153" t="s">
        <v>6108</v>
      </c>
    </row>
    <row r="4129" spans="1:1">
      <c r="A4129" s="153" t="s">
        <v>6109</v>
      </c>
    </row>
    <row r="4130" spans="1:1">
      <c r="A4130" s="153" t="s">
        <v>6110</v>
      </c>
    </row>
    <row r="4131" spans="1:1">
      <c r="A4131" s="153" t="s">
        <v>6111</v>
      </c>
    </row>
    <row r="4132" spans="1:1">
      <c r="A4132" s="153" t="s">
        <v>6112</v>
      </c>
    </row>
    <row r="4133" spans="1:1">
      <c r="A4133" s="153" t="s">
        <v>6113</v>
      </c>
    </row>
    <row r="4134" spans="1:1">
      <c r="A4134" s="153" t="s">
        <v>6114</v>
      </c>
    </row>
    <row r="4135" spans="1:1">
      <c r="A4135" s="153" t="s">
        <v>6115</v>
      </c>
    </row>
    <row r="4136" spans="1:1">
      <c r="A4136" s="153" t="s">
        <v>6116</v>
      </c>
    </row>
    <row r="4137" spans="1:1">
      <c r="A4137" s="153" t="s">
        <v>6117</v>
      </c>
    </row>
    <row r="4138" spans="1:1">
      <c r="A4138" s="153" t="s">
        <v>6118</v>
      </c>
    </row>
    <row r="4139" spans="1:1">
      <c r="A4139" s="153" t="s">
        <v>6119</v>
      </c>
    </row>
    <row r="4140" spans="1:1">
      <c r="A4140" s="153" t="s">
        <v>6120</v>
      </c>
    </row>
    <row r="4141" spans="1:1">
      <c r="A4141" s="153" t="s">
        <v>6121</v>
      </c>
    </row>
    <row r="4142" spans="1:1">
      <c r="A4142" s="153" t="s">
        <v>6122</v>
      </c>
    </row>
    <row r="4143" spans="1:1">
      <c r="A4143" s="153" t="s">
        <v>6123</v>
      </c>
    </row>
    <row r="4144" spans="1:1">
      <c r="A4144" s="153" t="s">
        <v>6124</v>
      </c>
    </row>
    <row r="4145" spans="1:1">
      <c r="A4145" s="153" t="s">
        <v>6125</v>
      </c>
    </row>
    <row r="4146" spans="1:1">
      <c r="A4146" s="153" t="s">
        <v>6126</v>
      </c>
    </row>
    <row r="4147" spans="1:1">
      <c r="A4147" s="153" t="s">
        <v>6127</v>
      </c>
    </row>
    <row r="4148" spans="1:1">
      <c r="A4148" s="153" t="s">
        <v>6128</v>
      </c>
    </row>
    <row r="4149" spans="1:1">
      <c r="A4149" s="153" t="s">
        <v>6129</v>
      </c>
    </row>
    <row r="4150" spans="1:1">
      <c r="A4150" s="153" t="s">
        <v>6130</v>
      </c>
    </row>
    <row r="4151" spans="1:1">
      <c r="A4151" s="153" t="s">
        <v>6131</v>
      </c>
    </row>
    <row r="4152" spans="1:1">
      <c r="A4152" s="153" t="s">
        <v>6132</v>
      </c>
    </row>
    <row r="4153" spans="1:1">
      <c r="A4153" s="153" t="s">
        <v>6133</v>
      </c>
    </row>
    <row r="4154" spans="1:1">
      <c r="A4154" s="153" t="s">
        <v>6134</v>
      </c>
    </row>
    <row r="4155" spans="1:1">
      <c r="A4155" s="153" t="s">
        <v>6135</v>
      </c>
    </row>
    <row r="4156" spans="1:1">
      <c r="A4156" s="153" t="s">
        <v>6136</v>
      </c>
    </row>
    <row r="4157" spans="1:1">
      <c r="A4157" s="153" t="s">
        <v>6137</v>
      </c>
    </row>
    <row r="4158" spans="1:1">
      <c r="A4158" s="153" t="s">
        <v>6138</v>
      </c>
    </row>
    <row r="4159" spans="1:1">
      <c r="A4159" s="153" t="s">
        <v>6139</v>
      </c>
    </row>
    <row r="4160" spans="1:1">
      <c r="A4160" s="153" t="s">
        <v>6140</v>
      </c>
    </row>
    <row r="4161" spans="1:1">
      <c r="A4161" s="153" t="s">
        <v>6141</v>
      </c>
    </row>
    <row r="4162" spans="1:1">
      <c r="A4162" s="153" t="s">
        <v>6142</v>
      </c>
    </row>
    <row r="4163" spans="1:1">
      <c r="A4163" s="153" t="s">
        <v>6143</v>
      </c>
    </row>
    <row r="4164" spans="1:1">
      <c r="A4164" s="153" t="s">
        <v>6144</v>
      </c>
    </row>
    <row r="4165" spans="1:1">
      <c r="A4165" s="153" t="s">
        <v>6145</v>
      </c>
    </row>
    <row r="4166" spans="1:1">
      <c r="A4166" s="153" t="s">
        <v>6146</v>
      </c>
    </row>
    <row r="4167" spans="1:1">
      <c r="A4167" s="153" t="s">
        <v>6147</v>
      </c>
    </row>
    <row r="4168" spans="1:1">
      <c r="A4168" s="153" t="s">
        <v>6148</v>
      </c>
    </row>
    <row r="4169" spans="1:1">
      <c r="A4169" s="153" t="s">
        <v>6149</v>
      </c>
    </row>
    <row r="4170" spans="1:1">
      <c r="A4170" s="153" t="s">
        <v>6150</v>
      </c>
    </row>
    <row r="4171" spans="1:1">
      <c r="A4171" s="153" t="s">
        <v>6151</v>
      </c>
    </row>
    <row r="4172" spans="1:1">
      <c r="A4172" s="153" t="s">
        <v>6152</v>
      </c>
    </row>
    <row r="4173" spans="1:1">
      <c r="A4173" s="153" t="s">
        <v>6153</v>
      </c>
    </row>
    <row r="4174" spans="1:1">
      <c r="A4174" s="153" t="s">
        <v>6154</v>
      </c>
    </row>
    <row r="4175" spans="1:1">
      <c r="A4175" s="153" t="s">
        <v>6155</v>
      </c>
    </row>
    <row r="4176" spans="1:1">
      <c r="A4176" s="153" t="s">
        <v>6156</v>
      </c>
    </row>
    <row r="4177" spans="1:1">
      <c r="A4177" s="153" t="s">
        <v>6157</v>
      </c>
    </row>
    <row r="4178" spans="1:1">
      <c r="A4178" s="153" t="s">
        <v>6158</v>
      </c>
    </row>
    <row r="4179" spans="1:1">
      <c r="A4179" s="153" t="s">
        <v>6159</v>
      </c>
    </row>
    <row r="4180" spans="1:1">
      <c r="A4180" s="153" t="s">
        <v>6160</v>
      </c>
    </row>
    <row r="4181" spans="1:1">
      <c r="A4181" s="153" t="s">
        <v>6161</v>
      </c>
    </row>
    <row r="4182" spans="1:1">
      <c r="A4182" s="153" t="s">
        <v>6162</v>
      </c>
    </row>
    <row r="4183" spans="1:1">
      <c r="A4183" s="153" t="s">
        <v>6163</v>
      </c>
    </row>
    <row r="4184" spans="1:1">
      <c r="A4184" s="153" t="s">
        <v>6164</v>
      </c>
    </row>
    <row r="4185" spans="1:1">
      <c r="A4185" s="153" t="s">
        <v>6165</v>
      </c>
    </row>
    <row r="4186" spans="1:1">
      <c r="A4186" s="153" t="s">
        <v>6166</v>
      </c>
    </row>
    <row r="4187" spans="1:1">
      <c r="A4187" s="153" t="s">
        <v>6167</v>
      </c>
    </row>
    <row r="4188" spans="1:1">
      <c r="A4188" s="153" t="s">
        <v>6168</v>
      </c>
    </row>
    <row r="4189" spans="1:1">
      <c r="A4189" s="153" t="s">
        <v>6169</v>
      </c>
    </row>
    <row r="4190" spans="1:1">
      <c r="A4190" s="153" t="s">
        <v>6170</v>
      </c>
    </row>
    <row r="4191" spans="1:1">
      <c r="A4191" s="153" t="s">
        <v>6171</v>
      </c>
    </row>
    <row r="4192" spans="1:1">
      <c r="A4192" s="153" t="s">
        <v>6172</v>
      </c>
    </row>
    <row r="4193" spans="1:1">
      <c r="A4193" s="153" t="s">
        <v>6173</v>
      </c>
    </row>
    <row r="4194" spans="1:1">
      <c r="A4194" s="153" t="s">
        <v>6174</v>
      </c>
    </row>
    <row r="4195" spans="1:1">
      <c r="A4195" s="153" t="s">
        <v>6175</v>
      </c>
    </row>
    <row r="4196" spans="1:1">
      <c r="A4196" s="153" t="s">
        <v>6176</v>
      </c>
    </row>
    <row r="4197" spans="1:1">
      <c r="A4197" s="153" t="s">
        <v>6177</v>
      </c>
    </row>
    <row r="4198" spans="1:1">
      <c r="A4198" s="153" t="s">
        <v>6178</v>
      </c>
    </row>
    <row r="4199" spans="1:1">
      <c r="A4199" s="153" t="s">
        <v>6179</v>
      </c>
    </row>
    <row r="4200" spans="1:1">
      <c r="A4200" s="153" t="s">
        <v>6180</v>
      </c>
    </row>
    <row r="4201" spans="1:1">
      <c r="A4201" s="153" t="s">
        <v>6181</v>
      </c>
    </row>
    <row r="4202" spans="1:1">
      <c r="A4202" s="153" t="s">
        <v>6182</v>
      </c>
    </row>
    <row r="4203" spans="1:1">
      <c r="A4203" s="153" t="s">
        <v>6183</v>
      </c>
    </row>
    <row r="4204" spans="1:1">
      <c r="A4204" s="153" t="s">
        <v>6184</v>
      </c>
    </row>
    <row r="4205" spans="1:1">
      <c r="A4205" s="153" t="s">
        <v>6185</v>
      </c>
    </row>
    <row r="4206" spans="1:1">
      <c r="A4206" s="153" t="s">
        <v>6186</v>
      </c>
    </row>
    <row r="4207" spans="1:1">
      <c r="A4207" s="153" t="s">
        <v>6187</v>
      </c>
    </row>
    <row r="4208" spans="1:1">
      <c r="A4208" s="153" t="s">
        <v>6188</v>
      </c>
    </row>
    <row r="4209" spans="1:1">
      <c r="A4209" s="153" t="s">
        <v>6189</v>
      </c>
    </row>
    <row r="4210" spans="1:1">
      <c r="A4210" s="153" t="s">
        <v>6190</v>
      </c>
    </row>
    <row r="4211" spans="1:1">
      <c r="A4211" s="153" t="s">
        <v>6191</v>
      </c>
    </row>
    <row r="4212" spans="1:1">
      <c r="A4212" s="153" t="s">
        <v>6192</v>
      </c>
    </row>
    <row r="4213" spans="1:1">
      <c r="A4213" s="153" t="s">
        <v>6193</v>
      </c>
    </row>
    <row r="4214" spans="1:1">
      <c r="A4214" s="153" t="s">
        <v>6194</v>
      </c>
    </row>
    <row r="4215" spans="1:1">
      <c r="A4215" s="153" t="s">
        <v>6195</v>
      </c>
    </row>
    <row r="4216" spans="1:1">
      <c r="A4216" s="153" t="s">
        <v>6196</v>
      </c>
    </row>
    <row r="4217" spans="1:1">
      <c r="A4217" s="153" t="s">
        <v>6197</v>
      </c>
    </row>
    <row r="4218" spans="1:1">
      <c r="A4218" s="153" t="s">
        <v>6198</v>
      </c>
    </row>
    <row r="4219" spans="1:1">
      <c r="A4219" s="153" t="s">
        <v>6199</v>
      </c>
    </row>
    <row r="4220" spans="1:1">
      <c r="A4220" s="153" t="s">
        <v>6200</v>
      </c>
    </row>
    <row r="4221" spans="1:1">
      <c r="A4221" s="153" t="s">
        <v>6201</v>
      </c>
    </row>
    <row r="4222" spans="1:1">
      <c r="A4222" s="153" t="s">
        <v>6202</v>
      </c>
    </row>
    <row r="4223" spans="1:1">
      <c r="A4223" s="153" t="s">
        <v>6203</v>
      </c>
    </row>
    <row r="4224" spans="1:1">
      <c r="A4224" s="153" t="s">
        <v>6204</v>
      </c>
    </row>
    <row r="4225" spans="1:1">
      <c r="A4225" s="153" t="s">
        <v>6205</v>
      </c>
    </row>
    <row r="4226" spans="1:1">
      <c r="A4226" s="153" t="s">
        <v>6206</v>
      </c>
    </row>
    <row r="4227" spans="1:1">
      <c r="A4227" s="153" t="s">
        <v>6207</v>
      </c>
    </row>
    <row r="4228" spans="1:1">
      <c r="A4228" s="153" t="s">
        <v>6208</v>
      </c>
    </row>
    <row r="4229" spans="1:1">
      <c r="A4229" s="153" t="s">
        <v>6209</v>
      </c>
    </row>
    <row r="4230" spans="1:1">
      <c r="A4230" s="153" t="s">
        <v>6210</v>
      </c>
    </row>
    <row r="4231" spans="1:1">
      <c r="A4231" s="153" t="s">
        <v>6211</v>
      </c>
    </row>
    <row r="4232" spans="1:1">
      <c r="A4232" s="153" t="s">
        <v>6212</v>
      </c>
    </row>
    <row r="4233" spans="1:1">
      <c r="A4233" s="153" t="s">
        <v>6213</v>
      </c>
    </row>
    <row r="4234" spans="1:1">
      <c r="A4234" s="153" t="s">
        <v>6214</v>
      </c>
    </row>
    <row r="4235" spans="1:1">
      <c r="A4235" s="153" t="s">
        <v>6215</v>
      </c>
    </row>
    <row r="4236" spans="1:1">
      <c r="A4236" s="153" t="s">
        <v>6216</v>
      </c>
    </row>
    <row r="4237" spans="1:1">
      <c r="A4237" s="153" t="s">
        <v>6217</v>
      </c>
    </row>
    <row r="4238" spans="1:1">
      <c r="A4238" s="153" t="s">
        <v>6218</v>
      </c>
    </row>
    <row r="4239" spans="1:1">
      <c r="A4239" s="153" t="s">
        <v>6219</v>
      </c>
    </row>
    <row r="4240" spans="1:1">
      <c r="A4240" s="153" t="s">
        <v>6220</v>
      </c>
    </row>
    <row r="4241" spans="1:1">
      <c r="A4241" s="153" t="s">
        <v>6221</v>
      </c>
    </row>
    <row r="4242" spans="1:1">
      <c r="A4242" s="153" t="s">
        <v>6222</v>
      </c>
    </row>
    <row r="4243" spans="1:1">
      <c r="A4243" s="153" t="s">
        <v>6223</v>
      </c>
    </row>
    <row r="4244" spans="1:1">
      <c r="A4244" s="153" t="s">
        <v>6224</v>
      </c>
    </row>
    <row r="4245" spans="1:1">
      <c r="A4245" s="153" t="s">
        <v>6225</v>
      </c>
    </row>
    <row r="4246" spans="1:1">
      <c r="A4246" s="153" t="s">
        <v>6226</v>
      </c>
    </row>
    <row r="4247" spans="1:1">
      <c r="A4247" s="153" t="s">
        <v>6227</v>
      </c>
    </row>
    <row r="4248" spans="1:1">
      <c r="A4248" s="153" t="s">
        <v>6228</v>
      </c>
    </row>
    <row r="4249" spans="1:1">
      <c r="A4249" s="153" t="s">
        <v>6229</v>
      </c>
    </row>
    <row r="4250" spans="1:1">
      <c r="A4250" s="153" t="s">
        <v>6230</v>
      </c>
    </row>
    <row r="4251" spans="1:1">
      <c r="A4251" s="153" t="s">
        <v>6231</v>
      </c>
    </row>
    <row r="4252" spans="1:1">
      <c r="A4252" s="153" t="s">
        <v>6232</v>
      </c>
    </row>
    <row r="4253" spans="1:1">
      <c r="A4253" s="153" t="s">
        <v>6233</v>
      </c>
    </row>
    <row r="4254" spans="1:1">
      <c r="A4254" s="153" t="s">
        <v>6234</v>
      </c>
    </row>
    <row r="4255" spans="1:1">
      <c r="A4255" s="153" t="s">
        <v>6235</v>
      </c>
    </row>
    <row r="4256" spans="1:1">
      <c r="A4256" s="153" t="s">
        <v>6236</v>
      </c>
    </row>
    <row r="4257" spans="1:1">
      <c r="A4257" s="153" t="s">
        <v>6237</v>
      </c>
    </row>
    <row r="4258" spans="1:1">
      <c r="A4258" s="153" t="s">
        <v>6238</v>
      </c>
    </row>
    <row r="4259" spans="1:1">
      <c r="A4259" s="153" t="s">
        <v>6239</v>
      </c>
    </row>
    <row r="4260" spans="1:1">
      <c r="A4260" s="153" t="s">
        <v>6240</v>
      </c>
    </row>
    <row r="4261" spans="1:1">
      <c r="A4261" s="153" t="s">
        <v>6241</v>
      </c>
    </row>
    <row r="4262" spans="1:1">
      <c r="A4262" s="153" t="s">
        <v>6242</v>
      </c>
    </row>
    <row r="4263" spans="1:1">
      <c r="A4263" s="153" t="s">
        <v>6243</v>
      </c>
    </row>
    <row r="4264" spans="1:1">
      <c r="A4264" s="153" t="s">
        <v>6244</v>
      </c>
    </row>
    <row r="4265" spans="1:1">
      <c r="A4265" s="153" t="s">
        <v>6245</v>
      </c>
    </row>
    <row r="4266" spans="1:1">
      <c r="A4266" s="153" t="s">
        <v>6246</v>
      </c>
    </row>
    <row r="4267" spans="1:1">
      <c r="A4267" s="153" t="s">
        <v>6247</v>
      </c>
    </row>
    <row r="4268" spans="1:1">
      <c r="A4268" s="153" t="s">
        <v>6248</v>
      </c>
    </row>
    <row r="4269" spans="1:1">
      <c r="A4269" s="153" t="s">
        <v>6249</v>
      </c>
    </row>
    <row r="4270" spans="1:1">
      <c r="A4270" s="153" t="s">
        <v>6250</v>
      </c>
    </row>
    <row r="4271" spans="1:1">
      <c r="A4271" s="153" t="s">
        <v>6251</v>
      </c>
    </row>
    <row r="4272" spans="1:1">
      <c r="A4272" s="153" t="s">
        <v>6252</v>
      </c>
    </row>
    <row r="4273" spans="1:1">
      <c r="A4273" s="153" t="s">
        <v>6253</v>
      </c>
    </row>
    <row r="4274" spans="1:1">
      <c r="A4274" s="153" t="s">
        <v>6254</v>
      </c>
    </row>
    <row r="4275" spans="1:1">
      <c r="A4275" s="153" t="s">
        <v>6255</v>
      </c>
    </row>
    <row r="4276" spans="1:1">
      <c r="A4276" s="153" t="s">
        <v>6256</v>
      </c>
    </row>
    <row r="4277" spans="1:1">
      <c r="A4277" s="153" t="s">
        <v>6257</v>
      </c>
    </row>
    <row r="4278" spans="1:1">
      <c r="A4278" s="153" t="s">
        <v>6258</v>
      </c>
    </row>
    <row r="4279" spans="1:1">
      <c r="A4279" s="153" t="s">
        <v>6259</v>
      </c>
    </row>
    <row r="4280" spans="1:1">
      <c r="A4280" s="153" t="s">
        <v>6260</v>
      </c>
    </row>
    <row r="4281" spans="1:1">
      <c r="A4281" s="153" t="s">
        <v>6261</v>
      </c>
    </row>
    <row r="4282" spans="1:1">
      <c r="A4282" s="153" t="s">
        <v>6262</v>
      </c>
    </row>
    <row r="4283" spans="1:1">
      <c r="A4283" s="153" t="s">
        <v>6263</v>
      </c>
    </row>
    <row r="4284" spans="1:1">
      <c r="A4284" s="153" t="s">
        <v>6264</v>
      </c>
    </row>
    <row r="4285" spans="1:1">
      <c r="A4285" s="153" t="s">
        <v>6265</v>
      </c>
    </row>
    <row r="4286" spans="1:1">
      <c r="A4286" s="153" t="s">
        <v>6266</v>
      </c>
    </row>
    <row r="4287" spans="1:1">
      <c r="A4287" s="153" t="s">
        <v>6267</v>
      </c>
    </row>
    <row r="4288" spans="1:1">
      <c r="A4288" s="153" t="s">
        <v>6268</v>
      </c>
    </row>
    <row r="4289" spans="1:1">
      <c r="A4289" s="153" t="s">
        <v>6269</v>
      </c>
    </row>
    <row r="4290" spans="1:1">
      <c r="A4290" s="153" t="s">
        <v>6270</v>
      </c>
    </row>
    <row r="4291" spans="1:1">
      <c r="A4291" s="153" t="s">
        <v>6271</v>
      </c>
    </row>
    <row r="4292" spans="1:1">
      <c r="A4292" s="153" t="s">
        <v>6272</v>
      </c>
    </row>
    <row r="4293" spans="1:1">
      <c r="A4293" s="153" t="s">
        <v>6273</v>
      </c>
    </row>
    <row r="4294" spans="1:1">
      <c r="A4294" s="153" t="s">
        <v>6274</v>
      </c>
    </row>
    <row r="4295" spans="1:1">
      <c r="A4295" s="153" t="s">
        <v>6275</v>
      </c>
    </row>
    <row r="4296" spans="1:1">
      <c r="A4296" s="153" t="s">
        <v>6276</v>
      </c>
    </row>
    <row r="4297" spans="1:1">
      <c r="A4297" s="153" t="s">
        <v>6277</v>
      </c>
    </row>
    <row r="4298" spans="1:1">
      <c r="A4298" s="153" t="s">
        <v>6278</v>
      </c>
    </row>
    <row r="4299" spans="1:1">
      <c r="A4299" s="153" t="s">
        <v>6279</v>
      </c>
    </row>
    <row r="4300" spans="1:1">
      <c r="A4300" s="153" t="s">
        <v>6280</v>
      </c>
    </row>
    <row r="4301" spans="1:1">
      <c r="A4301" s="153" t="s">
        <v>6281</v>
      </c>
    </row>
    <row r="4302" spans="1:1">
      <c r="A4302" s="153" t="s">
        <v>6282</v>
      </c>
    </row>
    <row r="4303" spans="1:1">
      <c r="A4303" s="153" t="s">
        <v>6283</v>
      </c>
    </row>
    <row r="4304" spans="1:1">
      <c r="A4304" s="153" t="s">
        <v>6284</v>
      </c>
    </row>
    <row r="4305" spans="1:1">
      <c r="A4305" s="153" t="s">
        <v>6285</v>
      </c>
    </row>
    <row r="4306" spans="1:1">
      <c r="A4306" s="153" t="s">
        <v>6286</v>
      </c>
    </row>
    <row r="4307" spans="1:1">
      <c r="A4307" s="153" t="s">
        <v>6287</v>
      </c>
    </row>
    <row r="4308" spans="1:1">
      <c r="A4308" s="153" t="s">
        <v>6288</v>
      </c>
    </row>
    <row r="4309" spans="1:1">
      <c r="A4309" s="153" t="s">
        <v>6289</v>
      </c>
    </row>
    <row r="4310" spans="1:1">
      <c r="A4310" s="153" t="s">
        <v>6290</v>
      </c>
    </row>
    <row r="4311" spans="1:1">
      <c r="A4311" s="153" t="s">
        <v>6291</v>
      </c>
    </row>
    <row r="4312" spans="1:1">
      <c r="A4312" s="153" t="s">
        <v>6292</v>
      </c>
    </row>
    <row r="4313" spans="1:1">
      <c r="A4313" s="153" t="s">
        <v>6293</v>
      </c>
    </row>
    <row r="4314" spans="1:1">
      <c r="A4314" s="153" t="s">
        <v>6294</v>
      </c>
    </row>
    <row r="4315" spans="1:1">
      <c r="A4315" s="153" t="s">
        <v>6295</v>
      </c>
    </row>
    <row r="4316" spans="1:1">
      <c r="A4316" s="153" t="s">
        <v>6296</v>
      </c>
    </row>
    <row r="4317" spans="1:1">
      <c r="A4317" s="153" t="s">
        <v>6297</v>
      </c>
    </row>
    <row r="4318" spans="1:1">
      <c r="A4318" s="153" t="s">
        <v>6298</v>
      </c>
    </row>
    <row r="4319" spans="1:1">
      <c r="A4319" s="153" t="s">
        <v>6299</v>
      </c>
    </row>
    <row r="4320" spans="1:1">
      <c r="A4320" s="153" t="s">
        <v>6300</v>
      </c>
    </row>
    <row r="4321" spans="1:1">
      <c r="A4321" s="153" t="s">
        <v>6301</v>
      </c>
    </row>
    <row r="4322" spans="1:1">
      <c r="A4322" s="153" t="s">
        <v>6302</v>
      </c>
    </row>
    <row r="4323" spans="1:1">
      <c r="A4323" s="153" t="s">
        <v>6303</v>
      </c>
    </row>
    <row r="4324" spans="1:1">
      <c r="A4324" s="153" t="s">
        <v>6304</v>
      </c>
    </row>
    <row r="4325" spans="1:1">
      <c r="A4325" s="153" t="s">
        <v>6305</v>
      </c>
    </row>
    <row r="4326" spans="1:1">
      <c r="A4326" s="153" t="s">
        <v>6306</v>
      </c>
    </row>
    <row r="4327" spans="1:1">
      <c r="A4327" s="153" t="s">
        <v>6307</v>
      </c>
    </row>
    <row r="4328" spans="1:1">
      <c r="A4328" s="153" t="s">
        <v>6308</v>
      </c>
    </row>
    <row r="4329" spans="1:1">
      <c r="A4329" s="153" t="s">
        <v>6309</v>
      </c>
    </row>
    <row r="4330" spans="1:1">
      <c r="A4330" s="153" t="s">
        <v>6310</v>
      </c>
    </row>
    <row r="4331" spans="1:1">
      <c r="A4331" s="153" t="s">
        <v>6311</v>
      </c>
    </row>
    <row r="4332" spans="1:1">
      <c r="A4332" s="153" t="s">
        <v>6312</v>
      </c>
    </row>
    <row r="4333" spans="1:1">
      <c r="A4333" s="153" t="s">
        <v>6313</v>
      </c>
    </row>
    <row r="4334" spans="1:1">
      <c r="A4334" s="153" t="s">
        <v>6314</v>
      </c>
    </row>
    <row r="4335" spans="1:1">
      <c r="A4335" s="153" t="s">
        <v>6315</v>
      </c>
    </row>
    <row r="4336" spans="1:1">
      <c r="A4336" s="153" t="s">
        <v>6316</v>
      </c>
    </row>
    <row r="4337" spans="1:1">
      <c r="A4337" s="153" t="s">
        <v>6317</v>
      </c>
    </row>
    <row r="4338" spans="1:1">
      <c r="A4338" s="153" t="s">
        <v>6318</v>
      </c>
    </row>
    <row r="4339" spans="1:1">
      <c r="A4339" s="153" t="s">
        <v>6319</v>
      </c>
    </row>
    <row r="4340" spans="1:1">
      <c r="A4340" s="153" t="s">
        <v>6320</v>
      </c>
    </row>
    <row r="4341" spans="1:1">
      <c r="A4341" s="153" t="s">
        <v>6321</v>
      </c>
    </row>
    <row r="4342" spans="1:1">
      <c r="A4342" s="153" t="s">
        <v>6322</v>
      </c>
    </row>
    <row r="4343" spans="1:1">
      <c r="A4343" s="153" t="s">
        <v>6323</v>
      </c>
    </row>
    <row r="4344" spans="1:1">
      <c r="A4344" s="153" t="s">
        <v>6324</v>
      </c>
    </row>
    <row r="4345" spans="1:1">
      <c r="A4345" s="153" t="s">
        <v>6325</v>
      </c>
    </row>
    <row r="4346" spans="1:1">
      <c r="A4346" s="153" t="s">
        <v>6326</v>
      </c>
    </row>
    <row r="4347" spans="1:1">
      <c r="A4347" s="153" t="s">
        <v>6327</v>
      </c>
    </row>
    <row r="4348" spans="1:1">
      <c r="A4348" s="153" t="s">
        <v>6328</v>
      </c>
    </row>
    <row r="4349" spans="1:1">
      <c r="A4349" s="153" t="s">
        <v>6329</v>
      </c>
    </row>
    <row r="4350" spans="1:1">
      <c r="A4350" s="153" t="s">
        <v>6330</v>
      </c>
    </row>
    <row r="4351" spans="1:1">
      <c r="A4351" s="153" t="s">
        <v>6331</v>
      </c>
    </row>
    <row r="4352" spans="1:1">
      <c r="A4352" s="153" t="s">
        <v>6332</v>
      </c>
    </row>
    <row r="4353" spans="1:1">
      <c r="A4353" s="153" t="s">
        <v>6333</v>
      </c>
    </row>
    <row r="4354" spans="1:1">
      <c r="A4354" s="153" t="s">
        <v>6334</v>
      </c>
    </row>
    <row r="4355" spans="1:1">
      <c r="A4355" s="153" t="s">
        <v>6335</v>
      </c>
    </row>
    <row r="4356" spans="1:1">
      <c r="A4356" s="153" t="s">
        <v>6336</v>
      </c>
    </row>
    <row r="4357" spans="1:1">
      <c r="A4357" s="153" t="s">
        <v>6337</v>
      </c>
    </row>
    <row r="4358" spans="1:1">
      <c r="A4358" s="153" t="s">
        <v>6338</v>
      </c>
    </row>
    <row r="4359" spans="1:1">
      <c r="A4359" s="153" t="s">
        <v>6339</v>
      </c>
    </row>
    <row r="4360" spans="1:1">
      <c r="A4360" s="153" t="s">
        <v>6340</v>
      </c>
    </row>
    <row r="4361" spans="1:1">
      <c r="A4361" s="153" t="s">
        <v>6341</v>
      </c>
    </row>
    <row r="4362" spans="1:1">
      <c r="A4362" s="153" t="s">
        <v>6342</v>
      </c>
    </row>
    <row r="4363" spans="1:1">
      <c r="A4363" s="153" t="s">
        <v>6343</v>
      </c>
    </row>
    <row r="4364" spans="1:1">
      <c r="A4364" s="153" t="s">
        <v>6344</v>
      </c>
    </row>
    <row r="4365" spans="1:1">
      <c r="A4365" s="153" t="s">
        <v>6345</v>
      </c>
    </row>
    <row r="4366" spans="1:1">
      <c r="A4366" s="153" t="s">
        <v>6346</v>
      </c>
    </row>
    <row r="4367" spans="1:1">
      <c r="A4367" s="153" t="s">
        <v>6347</v>
      </c>
    </row>
    <row r="4368" spans="1:1">
      <c r="A4368" s="153" t="s">
        <v>6348</v>
      </c>
    </row>
    <row r="4369" spans="1:1">
      <c r="A4369" s="153" t="s">
        <v>6349</v>
      </c>
    </row>
    <row r="4370" spans="1:1">
      <c r="A4370" s="153" t="s">
        <v>6350</v>
      </c>
    </row>
    <row r="4371" spans="1:1">
      <c r="A4371" s="153" t="s">
        <v>6351</v>
      </c>
    </row>
    <row r="4372" spans="1:1">
      <c r="A4372" s="153" t="s">
        <v>6352</v>
      </c>
    </row>
    <row r="4373" spans="1:1">
      <c r="A4373" s="153" t="s">
        <v>6353</v>
      </c>
    </row>
    <row r="4374" spans="1:1">
      <c r="A4374" s="153" t="s">
        <v>6354</v>
      </c>
    </row>
    <row r="4375" spans="1:1">
      <c r="A4375" s="153" t="s">
        <v>6355</v>
      </c>
    </row>
    <row r="4376" spans="1:1">
      <c r="A4376" s="153" t="s">
        <v>6356</v>
      </c>
    </row>
    <row r="4377" spans="1:1">
      <c r="A4377" s="153" t="s">
        <v>6357</v>
      </c>
    </row>
    <row r="4378" spans="1:1">
      <c r="A4378" s="153" t="s">
        <v>6358</v>
      </c>
    </row>
    <row r="4379" spans="1:1">
      <c r="A4379" s="153" t="s">
        <v>6359</v>
      </c>
    </row>
    <row r="4380" spans="1:1">
      <c r="A4380" s="153" t="s">
        <v>6360</v>
      </c>
    </row>
    <row r="4381" spans="1:1">
      <c r="A4381" s="153" t="s">
        <v>6361</v>
      </c>
    </row>
    <row r="4382" spans="1:1">
      <c r="A4382" s="153" t="s">
        <v>6362</v>
      </c>
    </row>
    <row r="4383" spans="1:1">
      <c r="A4383" s="153" t="s">
        <v>6363</v>
      </c>
    </row>
    <row r="4384" spans="1:1">
      <c r="A4384" s="153" t="s">
        <v>6364</v>
      </c>
    </row>
    <row r="4385" spans="1:1">
      <c r="A4385" s="153" t="s">
        <v>6365</v>
      </c>
    </row>
    <row r="4386" spans="1:1">
      <c r="A4386" s="153" t="s">
        <v>6366</v>
      </c>
    </row>
    <row r="4387" spans="1:1">
      <c r="A4387" s="153" t="s">
        <v>6367</v>
      </c>
    </row>
    <row r="4388" spans="1:1">
      <c r="A4388" s="153" t="s">
        <v>6368</v>
      </c>
    </row>
    <row r="4389" spans="1:1">
      <c r="A4389" s="153" t="s">
        <v>6369</v>
      </c>
    </row>
    <row r="4390" spans="1:1">
      <c r="A4390" s="153" t="s">
        <v>6370</v>
      </c>
    </row>
    <row r="4391" spans="1:1">
      <c r="A4391" s="153" t="s">
        <v>6371</v>
      </c>
    </row>
    <row r="4392" spans="1:1">
      <c r="A4392" s="153" t="s">
        <v>6372</v>
      </c>
    </row>
    <row r="4393" spans="1:1">
      <c r="A4393" s="153" t="s">
        <v>6373</v>
      </c>
    </row>
    <row r="4394" spans="1:1">
      <c r="A4394" s="153" t="s">
        <v>6374</v>
      </c>
    </row>
    <row r="4395" spans="1:1">
      <c r="A4395" s="153" t="s">
        <v>6375</v>
      </c>
    </row>
    <row r="4396" spans="1:1">
      <c r="A4396" s="153" t="s">
        <v>6376</v>
      </c>
    </row>
    <row r="4397" spans="1:1">
      <c r="A4397" s="153" t="s">
        <v>6377</v>
      </c>
    </row>
    <row r="4398" spans="1:1">
      <c r="A4398" s="153" t="s">
        <v>6378</v>
      </c>
    </row>
    <row r="4399" spans="1:1">
      <c r="A4399" s="153" t="s">
        <v>6379</v>
      </c>
    </row>
    <row r="4400" spans="1:1">
      <c r="A4400" s="153" t="s">
        <v>6380</v>
      </c>
    </row>
    <row r="4401" spans="1:1">
      <c r="A4401" s="153" t="s">
        <v>6381</v>
      </c>
    </row>
    <row r="4402" spans="1:1">
      <c r="A4402" s="153" t="s">
        <v>6382</v>
      </c>
    </row>
    <row r="4403" spans="1:1">
      <c r="A4403" s="153" t="s">
        <v>6383</v>
      </c>
    </row>
    <row r="4404" spans="1:1">
      <c r="A4404" s="153" t="s">
        <v>6384</v>
      </c>
    </row>
    <row r="4405" spans="1:1">
      <c r="A4405" s="153" t="s">
        <v>6385</v>
      </c>
    </row>
    <row r="4406" spans="1:1">
      <c r="A4406" s="153" t="s">
        <v>6386</v>
      </c>
    </row>
    <row r="4407" spans="1:1">
      <c r="A4407" s="153" t="s">
        <v>6387</v>
      </c>
    </row>
    <row r="4408" spans="1:1">
      <c r="A4408" s="153" t="s">
        <v>6388</v>
      </c>
    </row>
    <row r="4409" spans="1:1">
      <c r="A4409" s="153" t="s">
        <v>6389</v>
      </c>
    </row>
    <row r="4410" spans="1:1">
      <c r="A4410" s="153" t="s">
        <v>6390</v>
      </c>
    </row>
    <row r="4411" spans="1:1">
      <c r="A4411" s="153" t="s">
        <v>6391</v>
      </c>
    </row>
    <row r="4412" spans="1:1">
      <c r="A4412" s="153" t="s">
        <v>6392</v>
      </c>
    </row>
    <row r="4413" spans="1:1">
      <c r="A4413" s="153" t="s">
        <v>6393</v>
      </c>
    </row>
    <row r="4414" spans="1:1">
      <c r="A4414" s="153" t="s">
        <v>6394</v>
      </c>
    </row>
    <row r="4415" spans="1:1">
      <c r="A4415" s="153" t="s">
        <v>6395</v>
      </c>
    </row>
    <row r="4416" spans="1:1">
      <c r="A4416" s="153" t="s">
        <v>6396</v>
      </c>
    </row>
    <row r="4417" spans="1:1">
      <c r="A4417" s="153" t="s">
        <v>6397</v>
      </c>
    </row>
    <row r="4418" spans="1:1">
      <c r="A4418" s="153" t="s">
        <v>6398</v>
      </c>
    </row>
    <row r="4419" spans="1:1">
      <c r="A4419" s="153" t="s">
        <v>6399</v>
      </c>
    </row>
    <row r="4420" spans="1:1">
      <c r="A4420" s="153" t="s">
        <v>6400</v>
      </c>
    </row>
    <row r="4421" spans="1:1">
      <c r="A4421" s="153" t="s">
        <v>6401</v>
      </c>
    </row>
    <row r="4422" spans="1:1">
      <c r="A4422" s="153" t="s">
        <v>6402</v>
      </c>
    </row>
    <row r="4423" spans="1:1">
      <c r="A4423" s="153" t="s">
        <v>6403</v>
      </c>
    </row>
    <row r="4424" spans="1:1">
      <c r="A4424" s="153" t="s">
        <v>6404</v>
      </c>
    </row>
    <row r="4425" spans="1:1">
      <c r="A4425" s="153" t="s">
        <v>6405</v>
      </c>
    </row>
    <row r="4426" spans="1:1">
      <c r="A4426" s="153" t="s">
        <v>6406</v>
      </c>
    </row>
    <row r="4427" spans="1:1">
      <c r="A4427" s="153" t="s">
        <v>6407</v>
      </c>
    </row>
    <row r="4428" spans="1:1">
      <c r="A4428" s="153" t="s">
        <v>6408</v>
      </c>
    </row>
    <row r="4429" spans="1:1">
      <c r="A4429" s="153" t="s">
        <v>6409</v>
      </c>
    </row>
    <row r="4430" spans="1:1">
      <c r="A4430" s="153" t="s">
        <v>6410</v>
      </c>
    </row>
    <row r="4431" spans="1:1">
      <c r="A4431" s="153" t="s">
        <v>6411</v>
      </c>
    </row>
    <row r="4432" spans="1:1">
      <c r="A4432" s="153" t="s">
        <v>6412</v>
      </c>
    </row>
    <row r="4433" spans="1:1">
      <c r="A4433" s="153" t="s">
        <v>6413</v>
      </c>
    </row>
    <row r="4434" spans="1:1">
      <c r="A4434" s="153" t="s">
        <v>6414</v>
      </c>
    </row>
    <row r="4435" spans="1:1">
      <c r="A4435" s="153" t="s">
        <v>6415</v>
      </c>
    </row>
    <row r="4436" spans="1:1">
      <c r="A4436" s="153" t="s">
        <v>6416</v>
      </c>
    </row>
    <row r="4437" spans="1:1">
      <c r="A4437" s="153" t="s">
        <v>6417</v>
      </c>
    </row>
    <row r="4438" spans="1:1">
      <c r="A4438" s="153" t="s">
        <v>6418</v>
      </c>
    </row>
    <row r="4439" spans="1:1">
      <c r="A4439" s="153" t="s">
        <v>6419</v>
      </c>
    </row>
    <row r="4440" spans="1:1">
      <c r="A4440" s="153" t="s">
        <v>6420</v>
      </c>
    </row>
    <row r="4441" spans="1:1">
      <c r="A4441" s="153" t="s">
        <v>6421</v>
      </c>
    </row>
    <row r="4442" spans="1:1">
      <c r="A4442" s="153" t="s">
        <v>6422</v>
      </c>
    </row>
    <row r="4443" spans="1:1">
      <c r="A4443" s="153" t="s">
        <v>6423</v>
      </c>
    </row>
    <row r="4444" spans="1:1">
      <c r="A4444" s="153" t="s">
        <v>6424</v>
      </c>
    </row>
    <row r="4445" spans="1:1">
      <c r="A4445" s="153" t="s">
        <v>6425</v>
      </c>
    </row>
    <row r="4446" spans="1:1">
      <c r="A4446" s="153" t="s">
        <v>6426</v>
      </c>
    </row>
    <row r="4447" spans="1:1">
      <c r="A4447" s="153" t="s">
        <v>6427</v>
      </c>
    </row>
    <row r="4448" spans="1:1">
      <c r="A4448" s="153" t="s">
        <v>6428</v>
      </c>
    </row>
    <row r="4449" spans="1:1">
      <c r="A4449" s="153" t="s">
        <v>6429</v>
      </c>
    </row>
    <row r="4450" spans="1:1">
      <c r="A4450" s="153" t="s">
        <v>6430</v>
      </c>
    </row>
    <row r="4451" spans="1:1">
      <c r="A4451" s="153" t="s">
        <v>6431</v>
      </c>
    </row>
    <row r="4452" spans="1:1">
      <c r="A4452" s="153" t="s">
        <v>6432</v>
      </c>
    </row>
    <row r="4453" spans="1:1">
      <c r="A4453" s="153" t="s">
        <v>6433</v>
      </c>
    </row>
    <row r="4454" spans="1:1">
      <c r="A4454" s="153" t="s">
        <v>6434</v>
      </c>
    </row>
    <row r="4455" spans="1:1">
      <c r="A4455" s="153" t="s">
        <v>6435</v>
      </c>
    </row>
    <row r="4456" spans="1:1">
      <c r="A4456" s="153" t="s">
        <v>6436</v>
      </c>
    </row>
    <row r="4457" spans="1:1">
      <c r="A4457" s="153" t="s">
        <v>6437</v>
      </c>
    </row>
    <row r="4458" spans="1:1">
      <c r="A4458" s="153" t="s">
        <v>6438</v>
      </c>
    </row>
    <row r="4459" spans="1:1">
      <c r="A4459" s="153" t="s">
        <v>6439</v>
      </c>
    </row>
    <row r="4460" spans="1:1">
      <c r="A4460" s="153" t="s">
        <v>6440</v>
      </c>
    </row>
    <row r="4461" spans="1:1">
      <c r="A4461" s="153" t="s">
        <v>6441</v>
      </c>
    </row>
    <row r="4462" spans="1:1">
      <c r="A4462" s="153" t="s">
        <v>6442</v>
      </c>
    </row>
    <row r="4463" spans="1:1">
      <c r="A4463" s="153" t="s">
        <v>6443</v>
      </c>
    </row>
    <row r="4464" spans="1:1">
      <c r="A4464" s="153" t="s">
        <v>6444</v>
      </c>
    </row>
    <row r="4465" spans="1:1">
      <c r="A4465" s="153" t="s">
        <v>6445</v>
      </c>
    </row>
    <row r="4466" spans="1:1">
      <c r="A4466" s="153" t="s">
        <v>6446</v>
      </c>
    </row>
    <row r="4467" spans="1:1">
      <c r="A4467" s="153" t="s">
        <v>6447</v>
      </c>
    </row>
    <row r="4468" spans="1:1">
      <c r="A4468" s="153" t="s">
        <v>6448</v>
      </c>
    </row>
    <row r="4469" spans="1:1">
      <c r="A4469" s="153" t="s">
        <v>6449</v>
      </c>
    </row>
    <row r="4470" spans="1:1">
      <c r="A4470" s="153" t="s">
        <v>6450</v>
      </c>
    </row>
    <row r="4471" spans="1:1">
      <c r="A4471" s="153" t="s">
        <v>6451</v>
      </c>
    </row>
    <row r="4472" spans="1:1">
      <c r="A4472" s="153" t="s">
        <v>6452</v>
      </c>
    </row>
    <row r="4473" spans="1:1">
      <c r="A4473" s="153" t="s">
        <v>6453</v>
      </c>
    </row>
    <row r="4474" spans="1:1">
      <c r="A4474" s="153" t="s">
        <v>6454</v>
      </c>
    </row>
    <row r="4475" spans="1:1">
      <c r="A4475" s="153" t="s">
        <v>6455</v>
      </c>
    </row>
    <row r="4476" spans="1:1">
      <c r="A4476" s="153" t="s">
        <v>6456</v>
      </c>
    </row>
    <row r="4477" spans="1:1">
      <c r="A4477" s="153" t="s">
        <v>6457</v>
      </c>
    </row>
    <row r="4478" spans="1:1">
      <c r="A4478" s="153" t="s">
        <v>6458</v>
      </c>
    </row>
    <row r="4479" spans="1:1">
      <c r="A4479" s="153" t="s">
        <v>6459</v>
      </c>
    </row>
    <row r="4480" spans="1:1">
      <c r="A4480" s="153" t="s">
        <v>6460</v>
      </c>
    </row>
    <row r="4481" spans="1:1">
      <c r="A4481" s="153" t="s">
        <v>6461</v>
      </c>
    </row>
    <row r="4482" spans="1:1">
      <c r="A4482" s="153" t="s">
        <v>6462</v>
      </c>
    </row>
    <row r="4483" spans="1:1">
      <c r="A4483" s="153" t="s">
        <v>6463</v>
      </c>
    </row>
    <row r="4484" spans="1:1">
      <c r="A4484" s="153" t="s">
        <v>6464</v>
      </c>
    </row>
    <row r="4485" spans="1:1">
      <c r="A4485" s="153" t="s">
        <v>6465</v>
      </c>
    </row>
    <row r="4486" spans="1:1">
      <c r="A4486" s="153" t="s">
        <v>6466</v>
      </c>
    </row>
    <row r="4487" spans="1:1">
      <c r="A4487" s="153" t="s">
        <v>6467</v>
      </c>
    </row>
    <row r="4488" spans="1:1">
      <c r="A4488" s="153" t="s">
        <v>6468</v>
      </c>
    </row>
    <row r="4489" spans="1:1">
      <c r="A4489" s="153" t="s">
        <v>6469</v>
      </c>
    </row>
    <row r="4490" spans="1:1">
      <c r="A4490" s="153" t="s">
        <v>6470</v>
      </c>
    </row>
    <row r="4491" spans="1:1">
      <c r="A4491" s="153" t="s">
        <v>6471</v>
      </c>
    </row>
    <row r="4492" spans="1:1">
      <c r="A4492" s="153" t="s">
        <v>6472</v>
      </c>
    </row>
    <row r="4493" spans="1:1">
      <c r="A4493" s="153" t="s">
        <v>6473</v>
      </c>
    </row>
    <row r="4494" spans="1:1">
      <c r="A4494" s="153" t="s">
        <v>6474</v>
      </c>
    </row>
    <row r="4495" spans="1:1">
      <c r="A4495" s="153" t="s">
        <v>6475</v>
      </c>
    </row>
    <row r="4496" spans="1:1">
      <c r="A4496" s="153" t="s">
        <v>6476</v>
      </c>
    </row>
    <row r="4497" spans="1:1">
      <c r="A4497" s="153" t="s">
        <v>6477</v>
      </c>
    </row>
    <row r="4498" spans="1:1">
      <c r="A4498" s="153" t="s">
        <v>6478</v>
      </c>
    </row>
    <row r="4499" spans="1:1">
      <c r="A4499" s="153" t="s">
        <v>6479</v>
      </c>
    </row>
    <row r="4500" spans="1:1">
      <c r="A4500" s="153" t="s">
        <v>6480</v>
      </c>
    </row>
    <row r="4501" spans="1:1">
      <c r="A4501" s="153" t="s">
        <v>6481</v>
      </c>
    </row>
    <row r="4502" spans="1:1">
      <c r="A4502" s="153" t="s">
        <v>6482</v>
      </c>
    </row>
    <row r="4503" spans="1:1">
      <c r="A4503" s="153" t="s">
        <v>6483</v>
      </c>
    </row>
    <row r="4504" spans="1:1">
      <c r="A4504" s="153" t="s">
        <v>6484</v>
      </c>
    </row>
    <row r="4505" spans="1:1">
      <c r="A4505" s="153" t="s">
        <v>6485</v>
      </c>
    </row>
    <row r="4506" spans="1:1">
      <c r="A4506" s="153" t="s">
        <v>6486</v>
      </c>
    </row>
    <row r="4507" spans="1:1">
      <c r="A4507" s="153" t="s">
        <v>6487</v>
      </c>
    </row>
    <row r="4508" spans="1:1">
      <c r="A4508" s="153" t="s">
        <v>6488</v>
      </c>
    </row>
    <row r="4509" spans="1:1">
      <c r="A4509" s="153" t="s">
        <v>6489</v>
      </c>
    </row>
    <row r="4510" spans="1:1">
      <c r="A4510" s="153" t="s">
        <v>6490</v>
      </c>
    </row>
    <row r="4511" spans="1:1">
      <c r="A4511" s="153" t="s">
        <v>6491</v>
      </c>
    </row>
    <row r="4512" spans="1:1">
      <c r="A4512" s="153" t="s">
        <v>6492</v>
      </c>
    </row>
    <row r="4513" spans="1:1">
      <c r="A4513" s="153" t="s">
        <v>6493</v>
      </c>
    </row>
    <row r="4514" spans="1:1">
      <c r="A4514" s="153" t="s">
        <v>6494</v>
      </c>
    </row>
    <row r="4515" spans="1:1">
      <c r="A4515" s="153" t="s">
        <v>6495</v>
      </c>
    </row>
    <row r="4516" spans="1:1">
      <c r="A4516" s="153" t="s">
        <v>6496</v>
      </c>
    </row>
    <row r="4517" spans="1:1">
      <c r="A4517" s="153" t="s">
        <v>6497</v>
      </c>
    </row>
    <row r="4518" spans="1:1">
      <c r="A4518" s="153" t="s">
        <v>6498</v>
      </c>
    </row>
    <row r="4519" spans="1:1">
      <c r="A4519" s="153" t="s">
        <v>6499</v>
      </c>
    </row>
    <row r="4520" spans="1:1">
      <c r="A4520" s="153" t="s">
        <v>6500</v>
      </c>
    </row>
    <row r="4521" spans="1:1">
      <c r="A4521" s="153" t="s">
        <v>6501</v>
      </c>
    </row>
    <row r="4522" spans="1:1">
      <c r="A4522" s="153" t="s">
        <v>6502</v>
      </c>
    </row>
    <row r="4523" spans="1:1">
      <c r="A4523" s="153" t="s">
        <v>6503</v>
      </c>
    </row>
    <row r="4524" spans="1:1">
      <c r="A4524" s="153" t="s">
        <v>6504</v>
      </c>
    </row>
    <row r="4525" spans="1:1">
      <c r="A4525" s="153" t="s">
        <v>6505</v>
      </c>
    </row>
    <row r="4526" spans="1:1">
      <c r="A4526" s="153" t="s">
        <v>6506</v>
      </c>
    </row>
    <row r="4527" spans="1:1">
      <c r="A4527" s="153" t="s">
        <v>6507</v>
      </c>
    </row>
    <row r="4528" spans="1:1">
      <c r="A4528" s="153" t="s">
        <v>6508</v>
      </c>
    </row>
    <row r="4529" spans="1:1">
      <c r="A4529" s="153" t="s">
        <v>6509</v>
      </c>
    </row>
    <row r="4530" spans="1:1">
      <c r="A4530" s="153" t="s">
        <v>6510</v>
      </c>
    </row>
    <row r="4531" spans="1:1">
      <c r="A4531" s="153" t="s">
        <v>6511</v>
      </c>
    </row>
    <row r="4532" spans="1:1">
      <c r="A4532" s="153" t="s">
        <v>6512</v>
      </c>
    </row>
    <row r="4533" spans="1:1">
      <c r="A4533" s="153" t="s">
        <v>6513</v>
      </c>
    </row>
    <row r="4534" spans="1:1">
      <c r="A4534" s="153" t="s">
        <v>6514</v>
      </c>
    </row>
    <row r="4535" spans="1:1">
      <c r="A4535" s="153" t="s">
        <v>6515</v>
      </c>
    </row>
    <row r="4536" spans="1:1">
      <c r="A4536" s="153" t="s">
        <v>6516</v>
      </c>
    </row>
    <row r="4537" spans="1:1">
      <c r="A4537" s="153" t="s">
        <v>6517</v>
      </c>
    </row>
    <row r="4538" spans="1:1">
      <c r="A4538" s="153" t="s">
        <v>6518</v>
      </c>
    </row>
    <row r="4539" spans="1:1">
      <c r="A4539" s="153" t="s">
        <v>6519</v>
      </c>
    </row>
    <row r="4540" spans="1:1">
      <c r="A4540" s="153" t="s">
        <v>6520</v>
      </c>
    </row>
    <row r="4541" spans="1:1">
      <c r="A4541" s="153" t="s">
        <v>6521</v>
      </c>
    </row>
    <row r="4542" spans="1:1">
      <c r="A4542" s="153" t="s">
        <v>6522</v>
      </c>
    </row>
    <row r="4543" spans="1:1">
      <c r="A4543" s="153" t="s">
        <v>6523</v>
      </c>
    </row>
    <row r="4544" spans="1:1">
      <c r="A4544" s="153" t="s">
        <v>6524</v>
      </c>
    </row>
    <row r="4545" spans="1:1">
      <c r="A4545" s="153" t="s">
        <v>6525</v>
      </c>
    </row>
    <row r="4546" spans="1:1">
      <c r="A4546" s="153" t="s">
        <v>6526</v>
      </c>
    </row>
    <row r="4547" spans="1:1">
      <c r="A4547" s="153" t="s">
        <v>6527</v>
      </c>
    </row>
    <row r="4548" spans="1:1">
      <c r="A4548" s="153" t="s">
        <v>6528</v>
      </c>
    </row>
    <row r="4549" spans="1:1">
      <c r="A4549" s="153" t="s">
        <v>6529</v>
      </c>
    </row>
    <row r="4550" spans="1:1">
      <c r="A4550" s="153" t="s">
        <v>6530</v>
      </c>
    </row>
    <row r="4551" spans="1:1">
      <c r="A4551" s="153" t="s">
        <v>6531</v>
      </c>
    </row>
    <row r="4552" spans="1:1">
      <c r="A4552" s="153" t="s">
        <v>6532</v>
      </c>
    </row>
    <row r="4553" spans="1:1">
      <c r="A4553" s="153" t="s">
        <v>6533</v>
      </c>
    </row>
    <row r="4554" spans="1:1">
      <c r="A4554" s="153" t="s">
        <v>6534</v>
      </c>
    </row>
    <row r="4555" spans="1:1">
      <c r="A4555" s="153" t="s">
        <v>6535</v>
      </c>
    </row>
    <row r="4556" spans="1:1">
      <c r="A4556" s="153" t="s">
        <v>6536</v>
      </c>
    </row>
    <row r="4557" spans="1:1">
      <c r="A4557" s="153" t="s">
        <v>6537</v>
      </c>
    </row>
    <row r="4558" spans="1:1">
      <c r="A4558" s="153" t="s">
        <v>6538</v>
      </c>
    </row>
    <row r="4559" spans="1:1">
      <c r="A4559" s="153" t="s">
        <v>6539</v>
      </c>
    </row>
    <row r="4560" spans="1:1">
      <c r="A4560" s="153" t="s">
        <v>6540</v>
      </c>
    </row>
    <row r="4561" spans="1:1">
      <c r="A4561" s="153" t="s">
        <v>6541</v>
      </c>
    </row>
    <row r="4562" spans="1:1">
      <c r="A4562" s="153" t="s">
        <v>6542</v>
      </c>
    </row>
    <row r="4563" spans="1:1">
      <c r="A4563" s="153" t="s">
        <v>6543</v>
      </c>
    </row>
    <row r="4564" spans="1:1">
      <c r="A4564" s="153" t="s">
        <v>6544</v>
      </c>
    </row>
    <row r="4565" spans="1:1">
      <c r="A4565" s="153" t="s">
        <v>6545</v>
      </c>
    </row>
    <row r="4566" spans="1:1">
      <c r="A4566" s="153" t="s">
        <v>6546</v>
      </c>
    </row>
    <row r="4567" spans="1:1">
      <c r="A4567" s="153" t="s">
        <v>6547</v>
      </c>
    </row>
    <row r="4568" spans="1:1">
      <c r="A4568" s="153" t="s">
        <v>6548</v>
      </c>
    </row>
    <row r="4569" spans="1:1">
      <c r="A4569" s="153" t="s">
        <v>6549</v>
      </c>
    </row>
    <row r="4570" spans="1:1">
      <c r="A4570" s="153" t="s">
        <v>6550</v>
      </c>
    </row>
    <row r="4571" spans="1:1">
      <c r="A4571" s="153" t="s">
        <v>6551</v>
      </c>
    </row>
    <row r="4572" spans="1:1">
      <c r="A4572" s="153" t="s">
        <v>6552</v>
      </c>
    </row>
    <row r="4573" spans="1:1">
      <c r="A4573" s="153" t="s">
        <v>6553</v>
      </c>
    </row>
    <row r="4574" spans="1:1">
      <c r="A4574" s="153" t="s">
        <v>6554</v>
      </c>
    </row>
    <row r="4575" spans="1:1">
      <c r="A4575" s="153" t="s">
        <v>6555</v>
      </c>
    </row>
    <row r="4576" spans="1:1">
      <c r="A4576" s="153" t="s">
        <v>6556</v>
      </c>
    </row>
    <row r="4577" spans="1:1">
      <c r="A4577" s="153" t="s">
        <v>6557</v>
      </c>
    </row>
    <row r="4578" spans="1:1">
      <c r="A4578" s="153" t="s">
        <v>6558</v>
      </c>
    </row>
    <row r="4579" spans="1:1">
      <c r="A4579" s="153" t="s">
        <v>6559</v>
      </c>
    </row>
    <row r="4580" spans="1:1">
      <c r="A4580" s="153" t="s">
        <v>6560</v>
      </c>
    </row>
    <row r="4581" spans="1:1">
      <c r="A4581" s="153" t="s">
        <v>6561</v>
      </c>
    </row>
    <row r="4582" spans="1:1">
      <c r="A4582" s="153" t="s">
        <v>6562</v>
      </c>
    </row>
    <row r="4583" spans="1:1">
      <c r="A4583" s="153" t="s">
        <v>6563</v>
      </c>
    </row>
    <row r="4584" spans="1:1">
      <c r="A4584" s="153" t="s">
        <v>6564</v>
      </c>
    </row>
    <row r="4585" spans="1:1">
      <c r="A4585" s="153" t="s">
        <v>6565</v>
      </c>
    </row>
    <row r="4586" spans="1:1">
      <c r="A4586" s="153" t="s">
        <v>6566</v>
      </c>
    </row>
    <row r="4587" spans="1:1">
      <c r="A4587" s="153" t="s">
        <v>6567</v>
      </c>
    </row>
    <row r="4588" spans="1:1">
      <c r="A4588" s="153" t="s">
        <v>6568</v>
      </c>
    </row>
    <row r="4589" spans="1:1">
      <c r="A4589" s="153" t="s">
        <v>6569</v>
      </c>
    </row>
    <row r="4590" spans="1:1">
      <c r="A4590" s="153" t="s">
        <v>6570</v>
      </c>
    </row>
    <row r="4591" spans="1:1">
      <c r="A4591" s="153" t="s">
        <v>6571</v>
      </c>
    </row>
    <row r="4592" spans="1:1">
      <c r="A4592" s="153" t="s">
        <v>6572</v>
      </c>
    </row>
    <row r="4593" spans="1:1">
      <c r="A4593" s="153" t="s">
        <v>6573</v>
      </c>
    </row>
    <row r="4594" spans="1:1">
      <c r="A4594" s="153" t="s">
        <v>6574</v>
      </c>
    </row>
    <row r="4595" spans="1:1">
      <c r="A4595" s="153" t="s">
        <v>6575</v>
      </c>
    </row>
    <row r="4596" spans="1:1">
      <c r="A4596" s="153" t="s">
        <v>6576</v>
      </c>
    </row>
    <row r="4597" spans="1:1">
      <c r="A4597" s="153" t="s">
        <v>6577</v>
      </c>
    </row>
    <row r="4598" spans="1:1">
      <c r="A4598" s="153" t="s">
        <v>6578</v>
      </c>
    </row>
    <row r="4599" spans="1:1">
      <c r="A4599" s="153" t="s">
        <v>6579</v>
      </c>
    </row>
    <row r="4600" spans="1:1">
      <c r="A4600" s="153" t="s">
        <v>6580</v>
      </c>
    </row>
    <row r="4601" spans="1:1">
      <c r="A4601" s="153" t="s">
        <v>6581</v>
      </c>
    </row>
    <row r="4602" spans="1:1">
      <c r="A4602" s="153" t="s">
        <v>6582</v>
      </c>
    </row>
    <row r="4603" spans="1:1">
      <c r="A4603" s="153" t="s">
        <v>6583</v>
      </c>
    </row>
    <row r="4604" spans="1:1">
      <c r="A4604" s="153" t="s">
        <v>6584</v>
      </c>
    </row>
    <row r="4605" spans="1:1">
      <c r="A4605" s="153" t="s">
        <v>6585</v>
      </c>
    </row>
    <row r="4606" spans="1:1">
      <c r="A4606" s="153" t="s">
        <v>6586</v>
      </c>
    </row>
    <row r="4607" spans="1:1">
      <c r="A4607" s="153" t="s">
        <v>6587</v>
      </c>
    </row>
    <row r="4608" spans="1:1">
      <c r="A4608" s="153" t="s">
        <v>6588</v>
      </c>
    </row>
    <row r="4609" spans="1:1">
      <c r="A4609" s="153" t="s">
        <v>6589</v>
      </c>
    </row>
    <row r="4610" spans="1:1">
      <c r="A4610" s="153" t="s">
        <v>6590</v>
      </c>
    </row>
    <row r="4611" spans="1:1">
      <c r="A4611" s="153" t="s">
        <v>6591</v>
      </c>
    </row>
    <row r="4612" spans="1:1">
      <c r="A4612" s="153" t="s">
        <v>6592</v>
      </c>
    </row>
    <row r="4613" spans="1:1">
      <c r="A4613" s="153" t="s">
        <v>6593</v>
      </c>
    </row>
    <row r="4614" spans="1:1">
      <c r="A4614" s="153" t="s">
        <v>6594</v>
      </c>
    </row>
    <row r="4615" spans="1:1">
      <c r="A4615" s="153" t="s">
        <v>6595</v>
      </c>
    </row>
    <row r="4616" spans="1:1">
      <c r="A4616" s="153" t="s">
        <v>6596</v>
      </c>
    </row>
    <row r="4617" spans="1:1">
      <c r="A4617" s="153" t="s">
        <v>6597</v>
      </c>
    </row>
    <row r="4618" spans="1:1">
      <c r="A4618" s="153" t="s">
        <v>6598</v>
      </c>
    </row>
    <row r="4619" spans="1:1">
      <c r="A4619" s="153" t="s">
        <v>6599</v>
      </c>
    </row>
    <row r="4620" spans="1:1">
      <c r="A4620" s="153" t="s">
        <v>6600</v>
      </c>
    </row>
    <row r="4621" spans="1:1">
      <c r="A4621" s="153" t="s">
        <v>6601</v>
      </c>
    </row>
    <row r="4622" spans="1:1">
      <c r="A4622" s="153" t="s">
        <v>6602</v>
      </c>
    </row>
    <row r="4623" spans="1:1">
      <c r="A4623" s="153" t="s">
        <v>6603</v>
      </c>
    </row>
    <row r="4624" spans="1:1">
      <c r="A4624" s="153" t="s">
        <v>6604</v>
      </c>
    </row>
    <row r="4625" spans="1:1">
      <c r="A4625" s="153" t="s">
        <v>6605</v>
      </c>
    </row>
    <row r="4626" spans="1:1">
      <c r="A4626" s="153" t="s">
        <v>6606</v>
      </c>
    </row>
    <row r="4627" spans="1:1">
      <c r="A4627" s="153" t="s">
        <v>6607</v>
      </c>
    </row>
    <row r="4628" spans="1:1">
      <c r="A4628" s="153" t="s">
        <v>6608</v>
      </c>
    </row>
    <row r="4629" spans="1:1">
      <c r="A4629" s="153" t="s">
        <v>6609</v>
      </c>
    </row>
    <row r="4630" spans="1:1">
      <c r="A4630" s="153" t="s">
        <v>6610</v>
      </c>
    </row>
    <row r="4631" spans="1:1">
      <c r="A4631" s="153" t="s">
        <v>6611</v>
      </c>
    </row>
    <row r="4632" spans="1:1">
      <c r="A4632" s="153" t="s">
        <v>6612</v>
      </c>
    </row>
    <row r="4633" spans="1:1">
      <c r="A4633" s="153" t="s">
        <v>6613</v>
      </c>
    </row>
    <row r="4634" spans="1:1">
      <c r="A4634" s="153" t="s">
        <v>6614</v>
      </c>
    </row>
    <row r="4635" spans="1:1">
      <c r="A4635" s="153" t="s">
        <v>6615</v>
      </c>
    </row>
    <row r="4636" spans="1:1">
      <c r="A4636" s="153" t="s">
        <v>6616</v>
      </c>
    </row>
    <row r="4637" spans="1:1">
      <c r="A4637" s="153" t="s">
        <v>6617</v>
      </c>
    </row>
    <row r="4638" spans="1:1">
      <c r="A4638" s="153" t="s">
        <v>6618</v>
      </c>
    </row>
    <row r="4639" spans="1:1">
      <c r="A4639" s="153" t="s">
        <v>6619</v>
      </c>
    </row>
    <row r="4640" spans="1:1">
      <c r="A4640" s="153" t="s">
        <v>6620</v>
      </c>
    </row>
    <row r="4641" spans="1:1">
      <c r="A4641" s="153" t="s">
        <v>6621</v>
      </c>
    </row>
    <row r="4642" spans="1:1">
      <c r="A4642" s="153" t="s">
        <v>6622</v>
      </c>
    </row>
    <row r="4643" spans="1:1">
      <c r="A4643" s="153" t="s">
        <v>6623</v>
      </c>
    </row>
    <row r="4644" spans="1:1">
      <c r="A4644" s="153" t="s">
        <v>6624</v>
      </c>
    </row>
    <row r="4645" spans="1:1">
      <c r="A4645" s="153" t="s">
        <v>6625</v>
      </c>
    </row>
    <row r="4646" spans="1:1">
      <c r="A4646" s="153" t="s">
        <v>6626</v>
      </c>
    </row>
    <row r="4647" spans="1:1">
      <c r="A4647" s="153" t="s">
        <v>6627</v>
      </c>
    </row>
    <row r="4648" spans="1:1">
      <c r="A4648" s="153" t="s">
        <v>6628</v>
      </c>
    </row>
    <row r="4649" spans="1:1">
      <c r="A4649" s="153" t="s">
        <v>6629</v>
      </c>
    </row>
    <row r="4650" spans="1:1">
      <c r="A4650" s="153" t="s">
        <v>6630</v>
      </c>
    </row>
    <row r="4651" spans="1:1">
      <c r="A4651" s="153" t="s">
        <v>6631</v>
      </c>
    </row>
    <row r="4652" spans="1:1">
      <c r="A4652" s="153" t="s">
        <v>6632</v>
      </c>
    </row>
    <row r="4653" spans="1:1">
      <c r="A4653" s="153" t="s">
        <v>6633</v>
      </c>
    </row>
    <row r="4654" spans="1:1">
      <c r="A4654" s="153" t="s">
        <v>6634</v>
      </c>
    </row>
    <row r="4655" spans="1:1">
      <c r="A4655" s="153" t="s">
        <v>6635</v>
      </c>
    </row>
    <row r="4656" spans="1:1">
      <c r="A4656" s="153" t="s">
        <v>6636</v>
      </c>
    </row>
    <row r="4657" spans="1:1">
      <c r="A4657" s="153" t="s">
        <v>6637</v>
      </c>
    </row>
    <row r="4658" spans="1:1">
      <c r="A4658" s="153" t="s">
        <v>6638</v>
      </c>
    </row>
    <row r="4659" spans="1:1">
      <c r="A4659" s="153" t="s">
        <v>6639</v>
      </c>
    </row>
    <row r="4660" spans="1:1">
      <c r="A4660" s="153" t="s">
        <v>6640</v>
      </c>
    </row>
    <row r="4661" spans="1:1">
      <c r="A4661" s="153" t="s">
        <v>6641</v>
      </c>
    </row>
    <row r="4662" spans="1:1">
      <c r="A4662" s="153" t="s">
        <v>6642</v>
      </c>
    </row>
    <row r="4663" spans="1:1">
      <c r="A4663" s="153" t="s">
        <v>6643</v>
      </c>
    </row>
    <row r="4664" spans="1:1">
      <c r="A4664" s="153" t="s">
        <v>6644</v>
      </c>
    </row>
    <row r="4665" spans="1:1">
      <c r="A4665" s="153" t="s">
        <v>6645</v>
      </c>
    </row>
    <row r="4666" spans="1:1">
      <c r="A4666" s="153" t="s">
        <v>6646</v>
      </c>
    </row>
    <row r="4667" spans="1:1">
      <c r="A4667" s="153" t="s">
        <v>6647</v>
      </c>
    </row>
    <row r="4668" spans="1:1">
      <c r="A4668" s="153" t="s">
        <v>6648</v>
      </c>
    </row>
    <row r="4669" spans="1:1">
      <c r="A4669" s="153" t="s">
        <v>6649</v>
      </c>
    </row>
    <row r="4670" spans="1:1">
      <c r="A4670" s="153" t="s">
        <v>6650</v>
      </c>
    </row>
    <row r="4671" spans="1:1">
      <c r="A4671" s="153" t="s">
        <v>6651</v>
      </c>
    </row>
    <row r="4672" spans="1:1">
      <c r="A4672" s="153" t="s">
        <v>6652</v>
      </c>
    </row>
    <row r="4673" spans="1:1">
      <c r="A4673" s="153" t="s">
        <v>6653</v>
      </c>
    </row>
    <row r="4674" spans="1:1">
      <c r="A4674" s="153" t="s">
        <v>6654</v>
      </c>
    </row>
    <row r="4675" spans="1:1">
      <c r="A4675" s="153" t="s">
        <v>6655</v>
      </c>
    </row>
    <row r="4676" spans="1:1">
      <c r="A4676" s="153" t="s">
        <v>6656</v>
      </c>
    </row>
    <row r="4677" spans="1:1">
      <c r="A4677" s="153" t="s">
        <v>6657</v>
      </c>
    </row>
    <row r="4678" spans="1:1">
      <c r="A4678" s="153" t="s">
        <v>6658</v>
      </c>
    </row>
    <row r="4679" spans="1:1">
      <c r="A4679" s="153" t="s">
        <v>6659</v>
      </c>
    </row>
    <row r="4680" spans="1:1">
      <c r="A4680" s="153" t="s">
        <v>6660</v>
      </c>
    </row>
    <row r="4681" spans="1:1">
      <c r="A4681" s="153" t="s">
        <v>6661</v>
      </c>
    </row>
    <row r="4682" spans="1:1">
      <c r="A4682" s="153" t="s">
        <v>6662</v>
      </c>
    </row>
    <row r="4683" spans="1:1">
      <c r="A4683" s="153" t="s">
        <v>6663</v>
      </c>
    </row>
    <row r="4684" spans="1:1">
      <c r="A4684" s="153" t="s">
        <v>6664</v>
      </c>
    </row>
    <row r="4685" spans="1:1">
      <c r="A4685" s="153" t="s">
        <v>6665</v>
      </c>
    </row>
    <row r="4686" spans="1:1">
      <c r="A4686" s="153" t="s">
        <v>6666</v>
      </c>
    </row>
    <row r="4687" spans="1:1">
      <c r="A4687" s="153" t="s">
        <v>6667</v>
      </c>
    </row>
    <row r="4688" spans="1:1">
      <c r="A4688" s="153" t="s">
        <v>6668</v>
      </c>
    </row>
    <row r="4689" spans="1:1">
      <c r="A4689" s="153" t="s">
        <v>6669</v>
      </c>
    </row>
    <row r="4690" spans="1:1">
      <c r="A4690" s="153" t="s">
        <v>6670</v>
      </c>
    </row>
    <row r="4691" spans="1:1">
      <c r="A4691" s="153" t="s">
        <v>6671</v>
      </c>
    </row>
    <row r="4692" spans="1:1">
      <c r="A4692" s="153" t="s">
        <v>6672</v>
      </c>
    </row>
    <row r="4693" spans="1:1">
      <c r="A4693" s="153" t="s">
        <v>6673</v>
      </c>
    </row>
    <row r="4694" spans="1:1">
      <c r="A4694" s="153" t="s">
        <v>6674</v>
      </c>
    </row>
    <row r="4695" spans="1:1">
      <c r="A4695" s="153" t="s">
        <v>6675</v>
      </c>
    </row>
    <row r="4696" spans="1:1">
      <c r="A4696" s="153" t="s">
        <v>6676</v>
      </c>
    </row>
    <row r="4697" spans="1:1">
      <c r="A4697" s="153" t="s">
        <v>6677</v>
      </c>
    </row>
    <row r="4698" spans="1:1">
      <c r="A4698" s="153" t="s">
        <v>6678</v>
      </c>
    </row>
    <row r="4699" spans="1:1">
      <c r="A4699" s="153" t="s">
        <v>6679</v>
      </c>
    </row>
    <row r="4700" spans="1:1">
      <c r="A4700" s="153" t="s">
        <v>6680</v>
      </c>
    </row>
    <row r="4701" spans="1:1">
      <c r="A4701" s="153" t="s">
        <v>6681</v>
      </c>
    </row>
    <row r="4702" spans="1:1">
      <c r="A4702" s="153" t="s">
        <v>6682</v>
      </c>
    </row>
    <row r="4703" spans="1:1">
      <c r="A4703" s="153" t="s">
        <v>6683</v>
      </c>
    </row>
    <row r="4704" spans="1:1">
      <c r="A4704" s="153" t="s">
        <v>6684</v>
      </c>
    </row>
    <row r="4705" spans="1:1">
      <c r="A4705" s="153" t="s">
        <v>6685</v>
      </c>
    </row>
    <row r="4706" spans="1:1">
      <c r="A4706" s="153" t="s">
        <v>6686</v>
      </c>
    </row>
    <row r="4707" spans="1:1">
      <c r="A4707" s="153" t="s">
        <v>6687</v>
      </c>
    </row>
    <row r="4708" spans="1:1">
      <c r="A4708" s="153" t="s">
        <v>6688</v>
      </c>
    </row>
    <row r="4709" spans="1:1">
      <c r="A4709" s="153" t="s">
        <v>6689</v>
      </c>
    </row>
    <row r="4710" spans="1:1">
      <c r="A4710" s="153" t="s">
        <v>6690</v>
      </c>
    </row>
    <row r="4711" spans="1:1">
      <c r="A4711" s="153" t="s">
        <v>6691</v>
      </c>
    </row>
    <row r="4712" spans="1:1">
      <c r="A4712" s="153" t="s">
        <v>6692</v>
      </c>
    </row>
    <row r="4713" spans="1:1">
      <c r="A4713" s="153" t="s">
        <v>6693</v>
      </c>
    </row>
    <row r="4714" spans="1:1">
      <c r="A4714" s="153" t="s">
        <v>6694</v>
      </c>
    </row>
    <row r="4715" spans="1:1">
      <c r="A4715" s="153" t="s">
        <v>6695</v>
      </c>
    </row>
    <row r="4716" spans="1:1">
      <c r="A4716" s="153" t="s">
        <v>6696</v>
      </c>
    </row>
    <row r="4717" spans="1:1">
      <c r="A4717" s="153" t="s">
        <v>6697</v>
      </c>
    </row>
    <row r="4718" spans="1:1">
      <c r="A4718" s="153" t="s">
        <v>6698</v>
      </c>
    </row>
    <row r="4719" spans="1:1">
      <c r="A4719" s="153" t="s">
        <v>6699</v>
      </c>
    </row>
    <row r="4720" spans="1:1">
      <c r="A4720" s="153" t="s">
        <v>6700</v>
      </c>
    </row>
    <row r="4721" spans="1:1">
      <c r="A4721" s="153" t="s">
        <v>6701</v>
      </c>
    </row>
    <row r="4722" spans="1:1">
      <c r="A4722" s="153" t="s">
        <v>6702</v>
      </c>
    </row>
    <row r="4723" spans="1:1">
      <c r="A4723" s="153" t="s">
        <v>6703</v>
      </c>
    </row>
    <row r="4724" spans="1:1">
      <c r="A4724" s="153" t="s">
        <v>6704</v>
      </c>
    </row>
    <row r="4725" spans="1:1">
      <c r="A4725" s="153" t="s">
        <v>6705</v>
      </c>
    </row>
    <row r="4726" spans="1:1">
      <c r="A4726" s="153" t="s">
        <v>6706</v>
      </c>
    </row>
    <row r="4727" spans="1:1">
      <c r="A4727" s="153" t="s">
        <v>6707</v>
      </c>
    </row>
    <row r="4728" spans="1:1">
      <c r="A4728" s="153" t="s">
        <v>6708</v>
      </c>
    </row>
    <row r="4729" spans="1:1">
      <c r="A4729" s="153" t="s">
        <v>6709</v>
      </c>
    </row>
    <row r="4730" spans="1:1">
      <c r="A4730" s="153" t="s">
        <v>6710</v>
      </c>
    </row>
    <row r="4731" spans="1:1">
      <c r="A4731" s="153" t="s">
        <v>6711</v>
      </c>
    </row>
    <row r="4732" spans="1:1">
      <c r="A4732" s="153" t="s">
        <v>6712</v>
      </c>
    </row>
    <row r="4733" spans="1:1">
      <c r="A4733" s="153" t="s">
        <v>6713</v>
      </c>
    </row>
    <row r="4734" spans="1:1">
      <c r="A4734" s="153" t="s">
        <v>6714</v>
      </c>
    </row>
    <row r="4735" spans="1:1">
      <c r="A4735" s="153" t="s">
        <v>6715</v>
      </c>
    </row>
    <row r="4736" spans="1:1">
      <c r="A4736" s="153" t="s">
        <v>6716</v>
      </c>
    </row>
    <row r="4737" spans="1:1">
      <c r="A4737" s="153" t="s">
        <v>6717</v>
      </c>
    </row>
    <row r="4738" spans="1:1">
      <c r="A4738" s="153" t="s">
        <v>6718</v>
      </c>
    </row>
    <row r="4739" spans="1:1">
      <c r="A4739" s="153" t="s">
        <v>6719</v>
      </c>
    </row>
    <row r="4740" spans="1:1">
      <c r="A4740" s="153" t="s">
        <v>6720</v>
      </c>
    </row>
    <row r="4741" spans="1:1">
      <c r="A4741" s="153" t="s">
        <v>6721</v>
      </c>
    </row>
    <row r="4742" spans="1:1">
      <c r="A4742" s="153" t="s">
        <v>6722</v>
      </c>
    </row>
    <row r="4743" spans="1:1">
      <c r="A4743" s="153" t="s">
        <v>6723</v>
      </c>
    </row>
    <row r="4744" spans="1:1">
      <c r="A4744" s="153" t="s">
        <v>6724</v>
      </c>
    </row>
    <row r="4745" spans="1:1">
      <c r="A4745" s="153" t="s">
        <v>6725</v>
      </c>
    </row>
    <row r="4746" spans="1:1">
      <c r="A4746" s="153" t="s">
        <v>6726</v>
      </c>
    </row>
    <row r="4747" spans="1:1">
      <c r="A4747" s="153" t="s">
        <v>6727</v>
      </c>
    </row>
    <row r="4748" spans="1:1">
      <c r="A4748" s="153" t="s">
        <v>6728</v>
      </c>
    </row>
    <row r="4749" spans="1:1">
      <c r="A4749" s="153" t="s">
        <v>6729</v>
      </c>
    </row>
    <row r="4750" spans="1:1">
      <c r="A4750" s="153" t="s">
        <v>6730</v>
      </c>
    </row>
    <row r="4751" spans="1:1">
      <c r="A4751" s="153" t="s">
        <v>6731</v>
      </c>
    </row>
    <row r="4752" spans="1:1">
      <c r="A4752" s="153" t="s">
        <v>6732</v>
      </c>
    </row>
    <row r="4753" spans="1:1">
      <c r="A4753" s="153" t="s">
        <v>6733</v>
      </c>
    </row>
    <row r="4754" spans="1:1">
      <c r="A4754" s="153" t="s">
        <v>6734</v>
      </c>
    </row>
    <row r="4755" spans="1:1">
      <c r="A4755" s="153" t="s">
        <v>6735</v>
      </c>
    </row>
    <row r="4756" spans="1:1">
      <c r="A4756" s="153" t="s">
        <v>6736</v>
      </c>
    </row>
    <row r="4757" spans="1:1">
      <c r="A4757" s="153" t="s">
        <v>6737</v>
      </c>
    </row>
    <row r="4758" spans="1:1">
      <c r="A4758" s="153" t="s">
        <v>6738</v>
      </c>
    </row>
    <row r="4759" spans="1:1">
      <c r="A4759" s="153" t="s">
        <v>6739</v>
      </c>
    </row>
    <row r="4760" spans="1:1">
      <c r="A4760" s="153" t="s">
        <v>6740</v>
      </c>
    </row>
    <row r="4761" spans="1:1">
      <c r="A4761" s="153" t="s">
        <v>6741</v>
      </c>
    </row>
    <row r="4762" spans="1:1">
      <c r="A4762" s="153" t="s">
        <v>6742</v>
      </c>
    </row>
    <row r="4763" spans="1:1">
      <c r="A4763" s="153" t="s">
        <v>6743</v>
      </c>
    </row>
    <row r="4764" spans="1:1">
      <c r="A4764" s="153" t="s">
        <v>6744</v>
      </c>
    </row>
    <row r="4765" spans="1:1">
      <c r="A4765" s="153" t="s">
        <v>6745</v>
      </c>
    </row>
    <row r="4766" spans="1:1">
      <c r="A4766" s="153" t="s">
        <v>6746</v>
      </c>
    </row>
    <row r="4767" spans="1:1">
      <c r="A4767" s="153" t="s">
        <v>6747</v>
      </c>
    </row>
    <row r="4768" spans="1:1">
      <c r="A4768" s="153" t="s">
        <v>6748</v>
      </c>
    </row>
    <row r="4769" spans="1:1">
      <c r="A4769" s="153" t="s">
        <v>6749</v>
      </c>
    </row>
    <row r="4770" spans="1:1">
      <c r="A4770" s="153" t="s">
        <v>6750</v>
      </c>
    </row>
    <row r="4771" spans="1:1">
      <c r="A4771" s="153" t="s">
        <v>6751</v>
      </c>
    </row>
    <row r="4772" spans="1:1">
      <c r="A4772" s="153" t="s">
        <v>6752</v>
      </c>
    </row>
    <row r="4773" spans="1:1">
      <c r="A4773" s="153" t="s">
        <v>6753</v>
      </c>
    </row>
    <row r="4774" spans="1:1">
      <c r="A4774" s="153" t="s">
        <v>6754</v>
      </c>
    </row>
    <row r="4775" spans="1:1">
      <c r="A4775" s="153" t="s">
        <v>6755</v>
      </c>
    </row>
    <row r="4776" spans="1:1">
      <c r="A4776" s="153" t="s">
        <v>6756</v>
      </c>
    </row>
    <row r="4777" spans="1:1">
      <c r="A4777" s="153" t="s">
        <v>6757</v>
      </c>
    </row>
    <row r="4778" spans="1:1">
      <c r="A4778" s="153" t="s">
        <v>6758</v>
      </c>
    </row>
    <row r="4779" spans="1:1">
      <c r="A4779" s="153" t="s">
        <v>6759</v>
      </c>
    </row>
    <row r="4780" spans="1:1">
      <c r="A4780" s="153" t="s">
        <v>6760</v>
      </c>
    </row>
    <row r="4781" spans="1:1">
      <c r="A4781" s="153" t="s">
        <v>6761</v>
      </c>
    </row>
    <row r="4782" spans="1:1">
      <c r="A4782" s="153" t="s">
        <v>6762</v>
      </c>
    </row>
    <row r="4783" spans="1:1">
      <c r="A4783" s="153" t="s">
        <v>6763</v>
      </c>
    </row>
    <row r="4784" spans="1:1">
      <c r="A4784" s="153" t="s">
        <v>6764</v>
      </c>
    </row>
    <row r="4785" spans="1:1">
      <c r="A4785" s="153" t="s">
        <v>6765</v>
      </c>
    </row>
    <row r="4786" spans="1:1">
      <c r="A4786" s="153" t="s">
        <v>6766</v>
      </c>
    </row>
    <row r="4787" spans="1:1">
      <c r="A4787" s="153" t="s">
        <v>6767</v>
      </c>
    </row>
    <row r="4788" spans="1:1">
      <c r="A4788" s="153" t="s">
        <v>6768</v>
      </c>
    </row>
    <row r="4789" spans="1:1">
      <c r="A4789" s="153" t="s">
        <v>6769</v>
      </c>
    </row>
    <row r="4790" spans="1:1">
      <c r="A4790" s="153" t="s">
        <v>6770</v>
      </c>
    </row>
    <row r="4791" spans="1:1">
      <c r="A4791" s="153" t="s">
        <v>6771</v>
      </c>
    </row>
    <row r="4792" spans="1:1">
      <c r="A4792" s="153" t="s">
        <v>6772</v>
      </c>
    </row>
    <row r="4793" spans="1:1">
      <c r="A4793" s="153" t="s">
        <v>6773</v>
      </c>
    </row>
    <row r="4794" spans="1:1">
      <c r="A4794" s="153" t="s">
        <v>6774</v>
      </c>
    </row>
    <row r="4795" spans="1:1">
      <c r="A4795" s="153" t="s">
        <v>6775</v>
      </c>
    </row>
    <row r="4796" spans="1:1">
      <c r="A4796" s="153" t="s">
        <v>6776</v>
      </c>
    </row>
    <row r="4797" spans="1:1">
      <c r="A4797" s="153" t="s">
        <v>6777</v>
      </c>
    </row>
    <row r="4798" spans="1:1">
      <c r="A4798" s="153" t="s">
        <v>6778</v>
      </c>
    </row>
    <row r="4799" spans="1:1">
      <c r="A4799" s="153" t="s">
        <v>6779</v>
      </c>
    </row>
    <row r="4800" spans="1:1">
      <c r="A4800" s="153" t="s">
        <v>6780</v>
      </c>
    </row>
    <row r="4801" spans="1:1">
      <c r="A4801" s="153" t="s">
        <v>6781</v>
      </c>
    </row>
    <row r="4802" spans="1:1">
      <c r="A4802" s="153" t="s">
        <v>6782</v>
      </c>
    </row>
    <row r="4803" spans="1:1">
      <c r="A4803" s="153" t="s">
        <v>6783</v>
      </c>
    </row>
    <row r="4804" spans="1:1">
      <c r="A4804" s="153" t="s">
        <v>6784</v>
      </c>
    </row>
    <row r="4805" spans="1:1">
      <c r="A4805" s="153" t="s">
        <v>6785</v>
      </c>
    </row>
    <row r="4806" spans="1:1">
      <c r="A4806" s="153" t="s">
        <v>6786</v>
      </c>
    </row>
    <row r="4807" spans="1:1">
      <c r="A4807" s="153" t="s">
        <v>6787</v>
      </c>
    </row>
    <row r="4808" spans="1:1">
      <c r="A4808" s="153" t="s">
        <v>6788</v>
      </c>
    </row>
    <row r="4809" spans="1:1">
      <c r="A4809" s="153" t="s">
        <v>6789</v>
      </c>
    </row>
    <row r="4810" spans="1:1">
      <c r="A4810" s="153" t="s">
        <v>6790</v>
      </c>
    </row>
    <row r="4811" spans="1:1">
      <c r="A4811" s="153" t="s">
        <v>6791</v>
      </c>
    </row>
    <row r="4812" spans="1:1">
      <c r="A4812" s="153" t="s">
        <v>6792</v>
      </c>
    </row>
    <row r="4813" spans="1:1">
      <c r="A4813" s="153" t="s">
        <v>6793</v>
      </c>
    </row>
    <row r="4814" spans="1:1">
      <c r="A4814" s="153" t="s">
        <v>6794</v>
      </c>
    </row>
    <row r="4815" spans="1:1">
      <c r="A4815" s="153" t="s">
        <v>6795</v>
      </c>
    </row>
    <row r="4816" spans="1:1">
      <c r="A4816" s="153" t="s">
        <v>6796</v>
      </c>
    </row>
    <row r="4817" spans="1:1">
      <c r="A4817" s="153" t="s">
        <v>6797</v>
      </c>
    </row>
    <row r="4818" spans="1:1">
      <c r="A4818" s="153" t="s">
        <v>6798</v>
      </c>
    </row>
    <row r="4819" spans="1:1">
      <c r="A4819" s="153" t="s">
        <v>6799</v>
      </c>
    </row>
    <row r="4820" spans="1:1">
      <c r="A4820" s="153" t="s">
        <v>6800</v>
      </c>
    </row>
    <row r="4821" spans="1:1">
      <c r="A4821" s="153" t="s">
        <v>6801</v>
      </c>
    </row>
    <row r="4822" spans="1:1">
      <c r="A4822" s="153" t="s">
        <v>6802</v>
      </c>
    </row>
    <row r="4823" spans="1:1">
      <c r="A4823" s="153" t="s">
        <v>6803</v>
      </c>
    </row>
    <row r="4824" spans="1:1">
      <c r="A4824" s="153" t="s">
        <v>6804</v>
      </c>
    </row>
    <row r="4825" spans="1:1">
      <c r="A4825" s="153" t="s">
        <v>6805</v>
      </c>
    </row>
    <row r="4826" spans="1:1">
      <c r="A4826" s="153" t="s">
        <v>6806</v>
      </c>
    </row>
    <row r="4827" spans="1:1">
      <c r="A4827" s="153" t="s">
        <v>6807</v>
      </c>
    </row>
    <row r="4828" spans="1:1">
      <c r="A4828" s="153" t="s">
        <v>6808</v>
      </c>
    </row>
    <row r="4829" spans="1:1">
      <c r="A4829" s="153" t="s">
        <v>6809</v>
      </c>
    </row>
    <row r="4830" spans="1:1">
      <c r="A4830" s="153" t="s">
        <v>6810</v>
      </c>
    </row>
    <row r="4831" spans="1:1">
      <c r="A4831" s="153" t="s">
        <v>6811</v>
      </c>
    </row>
    <row r="4832" spans="1:1">
      <c r="A4832" s="153" t="s">
        <v>6812</v>
      </c>
    </row>
    <row r="4833" spans="1:1">
      <c r="A4833" s="153" t="s">
        <v>6813</v>
      </c>
    </row>
    <row r="4834" spans="1:1">
      <c r="A4834" s="153" t="s">
        <v>6814</v>
      </c>
    </row>
    <row r="4835" spans="1:1">
      <c r="A4835" s="153" t="s">
        <v>6815</v>
      </c>
    </row>
    <row r="4836" spans="1:1">
      <c r="A4836" s="153" t="s">
        <v>6816</v>
      </c>
    </row>
    <row r="4837" spans="1:1">
      <c r="A4837" s="153" t="s">
        <v>6817</v>
      </c>
    </row>
    <row r="4838" spans="1:1">
      <c r="A4838" s="153" t="s">
        <v>6818</v>
      </c>
    </row>
    <row r="4839" spans="1:1">
      <c r="A4839" s="153" t="s">
        <v>6819</v>
      </c>
    </row>
    <row r="4840" spans="1:1">
      <c r="A4840" s="153" t="s">
        <v>6820</v>
      </c>
    </row>
    <row r="4841" spans="1:1">
      <c r="A4841" s="153" t="s">
        <v>6821</v>
      </c>
    </row>
    <row r="4842" spans="1:1">
      <c r="A4842" s="153" t="s">
        <v>6822</v>
      </c>
    </row>
    <row r="4843" spans="1:1">
      <c r="A4843" s="153" t="s">
        <v>6823</v>
      </c>
    </row>
    <row r="4844" spans="1:1">
      <c r="A4844" s="153" t="s">
        <v>6824</v>
      </c>
    </row>
    <row r="4845" spans="1:1">
      <c r="A4845" s="153" t="s">
        <v>6825</v>
      </c>
    </row>
    <row r="4846" spans="1:1">
      <c r="A4846" s="153" t="s">
        <v>6826</v>
      </c>
    </row>
    <row r="4847" spans="1:1">
      <c r="A4847" s="153" t="s">
        <v>6827</v>
      </c>
    </row>
    <row r="4848" spans="1:1">
      <c r="A4848" s="153" t="s">
        <v>6828</v>
      </c>
    </row>
    <row r="4849" spans="1:1">
      <c r="A4849" s="153" t="s">
        <v>6829</v>
      </c>
    </row>
    <row r="4850" spans="1:1">
      <c r="A4850" s="153" t="s">
        <v>6830</v>
      </c>
    </row>
    <row r="4851" spans="1:1">
      <c r="A4851" s="153" t="s">
        <v>6831</v>
      </c>
    </row>
    <row r="4852" spans="1:1">
      <c r="A4852" s="153" t="s">
        <v>6832</v>
      </c>
    </row>
    <row r="4853" spans="1:1">
      <c r="A4853" s="153" t="s">
        <v>6833</v>
      </c>
    </row>
    <row r="4854" spans="1:1">
      <c r="A4854" s="153" t="s">
        <v>6834</v>
      </c>
    </row>
    <row r="4855" spans="1:1">
      <c r="A4855" s="153" t="s">
        <v>6835</v>
      </c>
    </row>
    <row r="4856" spans="1:1">
      <c r="A4856" s="153" t="s">
        <v>6836</v>
      </c>
    </row>
    <row r="4857" spans="1:1">
      <c r="A4857" s="153" t="s">
        <v>6837</v>
      </c>
    </row>
    <row r="4858" spans="1:1">
      <c r="A4858" s="153" t="s">
        <v>6838</v>
      </c>
    </row>
    <row r="4859" spans="1:1">
      <c r="A4859" s="153" t="s">
        <v>6839</v>
      </c>
    </row>
    <row r="4860" spans="1:1">
      <c r="A4860" s="153" t="s">
        <v>6840</v>
      </c>
    </row>
    <row r="4861" spans="1:1">
      <c r="A4861" s="153" t="s">
        <v>6841</v>
      </c>
    </row>
    <row r="4862" spans="1:1">
      <c r="A4862" s="153" t="s">
        <v>6842</v>
      </c>
    </row>
    <row r="4863" spans="1:1">
      <c r="A4863" s="153" t="s">
        <v>6843</v>
      </c>
    </row>
    <row r="4864" spans="1:1">
      <c r="A4864" s="153" t="s">
        <v>6844</v>
      </c>
    </row>
    <row r="4865" spans="1:1">
      <c r="A4865" s="153" t="s">
        <v>6845</v>
      </c>
    </row>
    <row r="4866" spans="1:1">
      <c r="A4866" s="153" t="s">
        <v>6846</v>
      </c>
    </row>
    <row r="4867" spans="1:1">
      <c r="A4867" s="153" t="s">
        <v>6847</v>
      </c>
    </row>
    <row r="4868" spans="1:1">
      <c r="A4868" s="153" t="s">
        <v>6848</v>
      </c>
    </row>
    <row r="4869" spans="1:1">
      <c r="A4869" s="153" t="s">
        <v>6849</v>
      </c>
    </row>
    <row r="4870" spans="1:1">
      <c r="A4870" s="153" t="s">
        <v>6850</v>
      </c>
    </row>
    <row r="4871" spans="1:1">
      <c r="A4871" s="153" t="s">
        <v>6851</v>
      </c>
    </row>
    <row r="4872" spans="1:1">
      <c r="A4872" s="153" t="s">
        <v>6852</v>
      </c>
    </row>
    <row r="4873" spans="1:1">
      <c r="A4873" s="153" t="s">
        <v>6853</v>
      </c>
    </row>
    <row r="4874" spans="1:1">
      <c r="A4874" s="153" t="s">
        <v>6854</v>
      </c>
    </row>
    <row r="4875" spans="1:1">
      <c r="A4875" s="153" t="s">
        <v>6855</v>
      </c>
    </row>
    <row r="4876" spans="1:1">
      <c r="A4876" s="153" t="s">
        <v>6856</v>
      </c>
    </row>
    <row r="4877" spans="1:1">
      <c r="A4877" s="153" t="s">
        <v>6857</v>
      </c>
    </row>
    <row r="4878" spans="1:1">
      <c r="A4878" s="153" t="s">
        <v>6858</v>
      </c>
    </row>
    <row r="4879" spans="1:1">
      <c r="A4879" s="153" t="s">
        <v>6859</v>
      </c>
    </row>
    <row r="4880" spans="1:1">
      <c r="A4880" s="153" t="s">
        <v>6860</v>
      </c>
    </row>
    <row r="4881" spans="1:1">
      <c r="A4881" s="153" t="s">
        <v>6861</v>
      </c>
    </row>
    <row r="4882" spans="1:1">
      <c r="A4882" s="153" t="s">
        <v>6862</v>
      </c>
    </row>
    <row r="4883" spans="1:1">
      <c r="A4883" s="153" t="s">
        <v>6863</v>
      </c>
    </row>
    <row r="4884" spans="1:1">
      <c r="A4884" s="153" t="s">
        <v>6864</v>
      </c>
    </row>
    <row r="4885" spans="1:1">
      <c r="A4885" s="153" t="s">
        <v>6865</v>
      </c>
    </row>
    <row r="4886" spans="1:1">
      <c r="A4886" s="153" t="s">
        <v>6866</v>
      </c>
    </row>
    <row r="4887" spans="1:1">
      <c r="A4887" s="153" t="s">
        <v>6867</v>
      </c>
    </row>
    <row r="4888" spans="1:1">
      <c r="A4888" s="153" t="s">
        <v>6868</v>
      </c>
    </row>
    <row r="4889" spans="1:1">
      <c r="A4889" s="153" t="s">
        <v>6869</v>
      </c>
    </row>
    <row r="4890" spans="1:1">
      <c r="A4890" s="153" t="s">
        <v>6870</v>
      </c>
    </row>
    <row r="4891" spans="1:1">
      <c r="A4891" s="153" t="s">
        <v>6871</v>
      </c>
    </row>
    <row r="4892" spans="1:1">
      <c r="A4892" s="153" t="s">
        <v>6872</v>
      </c>
    </row>
    <row r="4893" spans="1:1">
      <c r="A4893" s="153" t="s">
        <v>6873</v>
      </c>
    </row>
    <row r="4894" spans="1:1">
      <c r="A4894" s="153" t="s">
        <v>6874</v>
      </c>
    </row>
    <row r="4895" spans="1:1">
      <c r="A4895" s="153" t="s">
        <v>6875</v>
      </c>
    </row>
    <row r="4896" spans="1:1">
      <c r="A4896" s="153" t="s">
        <v>6876</v>
      </c>
    </row>
    <row r="4897" spans="1:1">
      <c r="A4897" s="153" t="s">
        <v>6877</v>
      </c>
    </row>
    <row r="4898" spans="1:1">
      <c r="A4898" s="153" t="s">
        <v>6878</v>
      </c>
    </row>
    <row r="4899" spans="1:1">
      <c r="A4899" s="153" t="s">
        <v>6879</v>
      </c>
    </row>
    <row r="4900" spans="1:1">
      <c r="A4900" s="153" t="s">
        <v>6880</v>
      </c>
    </row>
    <row r="4901" spans="1:1">
      <c r="A4901" s="153" t="s">
        <v>6881</v>
      </c>
    </row>
    <row r="4902" spans="1:1">
      <c r="A4902" s="153" t="s">
        <v>6882</v>
      </c>
    </row>
    <row r="4903" spans="1:1">
      <c r="A4903" s="153" t="s">
        <v>6883</v>
      </c>
    </row>
    <row r="4904" spans="1:1">
      <c r="A4904" s="153" t="s">
        <v>6884</v>
      </c>
    </row>
    <row r="4905" spans="1:1">
      <c r="A4905" s="153" t="s">
        <v>6885</v>
      </c>
    </row>
    <row r="4906" spans="1:1">
      <c r="A4906" s="153" t="s">
        <v>6886</v>
      </c>
    </row>
    <row r="4907" spans="1:1">
      <c r="A4907" s="153" t="s">
        <v>6887</v>
      </c>
    </row>
    <row r="4908" spans="1:1">
      <c r="A4908" s="153" t="s">
        <v>6888</v>
      </c>
    </row>
    <row r="4909" spans="1:1">
      <c r="A4909" s="153" t="s">
        <v>6889</v>
      </c>
    </row>
    <row r="4910" spans="1:1">
      <c r="A4910" s="153" t="s">
        <v>6890</v>
      </c>
    </row>
    <row r="4911" spans="1:1">
      <c r="A4911" s="153" t="s">
        <v>6891</v>
      </c>
    </row>
    <row r="4912" spans="1:1">
      <c r="A4912" s="153" t="s">
        <v>6892</v>
      </c>
    </row>
    <row r="4913" spans="1:1">
      <c r="A4913" s="153" t="s">
        <v>6893</v>
      </c>
    </row>
    <row r="4914" spans="1:1">
      <c r="A4914" s="153" t="s">
        <v>6894</v>
      </c>
    </row>
    <row r="4915" spans="1:1">
      <c r="A4915" s="153" t="s">
        <v>6895</v>
      </c>
    </row>
    <row r="4916" spans="1:1">
      <c r="A4916" s="153" t="s">
        <v>6896</v>
      </c>
    </row>
    <row r="4917" spans="1:1">
      <c r="A4917" s="153" t="s">
        <v>6897</v>
      </c>
    </row>
    <row r="4918" spans="1:1">
      <c r="A4918" s="153" t="s">
        <v>6898</v>
      </c>
    </row>
    <row r="4919" spans="1:1">
      <c r="A4919" s="153" t="s">
        <v>6899</v>
      </c>
    </row>
    <row r="4920" spans="1:1">
      <c r="A4920" s="153" t="s">
        <v>6900</v>
      </c>
    </row>
    <row r="4921" spans="1:1">
      <c r="A4921" s="153" t="s">
        <v>6901</v>
      </c>
    </row>
    <row r="4922" spans="1:1">
      <c r="A4922" s="153" t="s">
        <v>6902</v>
      </c>
    </row>
    <row r="4923" spans="1:1">
      <c r="A4923" s="153" t="s">
        <v>6903</v>
      </c>
    </row>
    <row r="4924" spans="1:1">
      <c r="A4924" s="153" t="s">
        <v>6904</v>
      </c>
    </row>
    <row r="4925" spans="1:1">
      <c r="A4925" s="153" t="s">
        <v>6905</v>
      </c>
    </row>
    <row r="4926" spans="1:1">
      <c r="A4926" s="153" t="s">
        <v>6906</v>
      </c>
    </row>
    <row r="4927" spans="1:1">
      <c r="A4927" s="153" t="s">
        <v>6907</v>
      </c>
    </row>
    <row r="4928" spans="1:1">
      <c r="A4928" s="153" t="s">
        <v>6908</v>
      </c>
    </row>
    <row r="4929" spans="1:1">
      <c r="A4929" s="153" t="s">
        <v>6909</v>
      </c>
    </row>
    <row r="4930" spans="1:1">
      <c r="A4930" s="153" t="s">
        <v>6910</v>
      </c>
    </row>
    <row r="4931" spans="1:1">
      <c r="A4931" s="153" t="s">
        <v>6911</v>
      </c>
    </row>
    <row r="4932" spans="1:1">
      <c r="A4932" s="153" t="s">
        <v>6912</v>
      </c>
    </row>
    <row r="4933" spans="1:1">
      <c r="A4933" s="153" t="s">
        <v>6913</v>
      </c>
    </row>
    <row r="4934" spans="1:1">
      <c r="A4934" s="153" t="s">
        <v>6914</v>
      </c>
    </row>
    <row r="4935" spans="1:1">
      <c r="A4935" s="153" t="s">
        <v>6915</v>
      </c>
    </row>
    <row r="4936" spans="1:1">
      <c r="A4936" s="153" t="s">
        <v>6916</v>
      </c>
    </row>
    <row r="4937" spans="1:1">
      <c r="A4937" s="153" t="s">
        <v>6917</v>
      </c>
    </row>
    <row r="4938" spans="1:1">
      <c r="A4938" s="153" t="s">
        <v>6918</v>
      </c>
    </row>
    <row r="4939" spans="1:1">
      <c r="A4939" s="153" t="s">
        <v>6919</v>
      </c>
    </row>
    <row r="4940" spans="1:1">
      <c r="A4940" s="153" t="s">
        <v>6920</v>
      </c>
    </row>
    <row r="4941" spans="1:1">
      <c r="A4941" s="153" t="s">
        <v>6921</v>
      </c>
    </row>
    <row r="4942" spans="1:1">
      <c r="A4942" s="153" t="s">
        <v>6922</v>
      </c>
    </row>
    <row r="4943" spans="1:1">
      <c r="A4943" s="153" t="s">
        <v>6923</v>
      </c>
    </row>
    <row r="4944" spans="1:1">
      <c r="A4944" s="153" t="s">
        <v>6924</v>
      </c>
    </row>
    <row r="4945" spans="1:1">
      <c r="A4945" s="153" t="s">
        <v>6925</v>
      </c>
    </row>
    <row r="4946" spans="1:1">
      <c r="A4946" s="153" t="s">
        <v>6926</v>
      </c>
    </row>
    <row r="4947" spans="1:1">
      <c r="A4947" s="153" t="s">
        <v>6927</v>
      </c>
    </row>
    <row r="4948" spans="1:1">
      <c r="A4948" s="153" t="s">
        <v>6928</v>
      </c>
    </row>
    <row r="4949" spans="1:1">
      <c r="A4949" s="153" t="s">
        <v>6929</v>
      </c>
    </row>
    <row r="4950" spans="1:1">
      <c r="A4950" s="153" t="s">
        <v>6930</v>
      </c>
    </row>
    <row r="4951" spans="1:1">
      <c r="A4951" s="153" t="s">
        <v>6931</v>
      </c>
    </row>
    <row r="4952" spans="1:1">
      <c r="A4952" s="153" t="s">
        <v>6932</v>
      </c>
    </row>
    <row r="4953" spans="1:1">
      <c r="A4953" s="153" t="s">
        <v>6933</v>
      </c>
    </row>
    <row r="4954" spans="1:1">
      <c r="A4954" s="153" t="s">
        <v>6934</v>
      </c>
    </row>
    <row r="4955" spans="1:1">
      <c r="A4955" s="153" t="s">
        <v>6935</v>
      </c>
    </row>
    <row r="4956" spans="1:1">
      <c r="A4956" s="153" t="s">
        <v>6936</v>
      </c>
    </row>
    <row r="4957" spans="1:1">
      <c r="A4957" s="153" t="s">
        <v>6937</v>
      </c>
    </row>
    <row r="4958" spans="1:1">
      <c r="A4958" s="153" t="s">
        <v>6938</v>
      </c>
    </row>
    <row r="4959" spans="1:1">
      <c r="A4959" s="153" t="s">
        <v>6939</v>
      </c>
    </row>
    <row r="4960" spans="1:1">
      <c r="A4960" s="153" t="s">
        <v>6940</v>
      </c>
    </row>
    <row r="4961" spans="1:1">
      <c r="A4961" s="153" t="s">
        <v>6941</v>
      </c>
    </row>
    <row r="4962" spans="1:1">
      <c r="A4962" s="153" t="s">
        <v>6942</v>
      </c>
    </row>
    <row r="4963" spans="1:1">
      <c r="A4963" s="153" t="s">
        <v>6943</v>
      </c>
    </row>
    <row r="4964" spans="1:1">
      <c r="A4964" s="153" t="s">
        <v>6944</v>
      </c>
    </row>
    <row r="4965" spans="1:1">
      <c r="A4965" s="153" t="s">
        <v>6945</v>
      </c>
    </row>
    <row r="4966" spans="1:1">
      <c r="A4966" s="153" t="s">
        <v>6946</v>
      </c>
    </row>
    <row r="4967" spans="1:1">
      <c r="A4967" s="153" t="s">
        <v>6947</v>
      </c>
    </row>
    <row r="4968" spans="1:1">
      <c r="A4968" s="153" t="s">
        <v>6948</v>
      </c>
    </row>
    <row r="4969" spans="1:1">
      <c r="A4969" s="153" t="s">
        <v>6949</v>
      </c>
    </row>
    <row r="4970" spans="1:1">
      <c r="A4970" s="153" t="s">
        <v>6950</v>
      </c>
    </row>
    <row r="4971" spans="1:1">
      <c r="A4971" s="153" t="s">
        <v>6951</v>
      </c>
    </row>
    <row r="4972" spans="1:1">
      <c r="A4972" s="153" t="s">
        <v>6952</v>
      </c>
    </row>
    <row r="4973" spans="1:1">
      <c r="A4973" s="153" t="s">
        <v>6953</v>
      </c>
    </row>
    <row r="4974" spans="1:1">
      <c r="A4974" s="153" t="s">
        <v>6954</v>
      </c>
    </row>
    <row r="4975" spans="1:1">
      <c r="A4975" s="153" t="s">
        <v>6955</v>
      </c>
    </row>
    <row r="4976" spans="1:1">
      <c r="A4976" s="153" t="s">
        <v>6956</v>
      </c>
    </row>
    <row r="4977" spans="1:1">
      <c r="A4977" s="153" t="s">
        <v>6957</v>
      </c>
    </row>
    <row r="4978" spans="1:1">
      <c r="A4978" s="153" t="s">
        <v>6958</v>
      </c>
    </row>
    <row r="4979" spans="1:1">
      <c r="A4979" s="153" t="s">
        <v>6959</v>
      </c>
    </row>
    <row r="4980" spans="1:1">
      <c r="A4980" s="153" t="s">
        <v>6960</v>
      </c>
    </row>
    <row r="4981" spans="1:1">
      <c r="A4981" s="153" t="s">
        <v>6961</v>
      </c>
    </row>
    <row r="4982" spans="1:1">
      <c r="A4982" s="153" t="s">
        <v>6962</v>
      </c>
    </row>
    <row r="4983" spans="1:1">
      <c r="A4983" s="153" t="s">
        <v>6963</v>
      </c>
    </row>
    <row r="4984" spans="1:1">
      <c r="A4984" s="153" t="s">
        <v>6964</v>
      </c>
    </row>
    <row r="4985" spans="1:1">
      <c r="A4985" s="153" t="s">
        <v>6965</v>
      </c>
    </row>
    <row r="4986" spans="1:1">
      <c r="A4986" s="153" t="s">
        <v>6966</v>
      </c>
    </row>
    <row r="4987" spans="1:1">
      <c r="A4987" s="153" t="s">
        <v>6967</v>
      </c>
    </row>
    <row r="4988" spans="1:1">
      <c r="A4988" s="153" t="s">
        <v>6968</v>
      </c>
    </row>
    <row r="4989" spans="1:1">
      <c r="A4989" s="153" t="s">
        <v>6969</v>
      </c>
    </row>
    <row r="4990" spans="1:1">
      <c r="A4990" s="153" t="s">
        <v>6970</v>
      </c>
    </row>
    <row r="4991" spans="1:1">
      <c r="A4991" s="153" t="s">
        <v>6971</v>
      </c>
    </row>
    <row r="4992" spans="1:1">
      <c r="A4992" s="153" t="s">
        <v>6972</v>
      </c>
    </row>
    <row r="4993" spans="1:1">
      <c r="A4993" s="153" t="s">
        <v>6973</v>
      </c>
    </row>
    <row r="4994" spans="1:1">
      <c r="A4994" s="153" t="s">
        <v>6974</v>
      </c>
    </row>
    <row r="4995" spans="1:1">
      <c r="A4995" s="153" t="s">
        <v>6975</v>
      </c>
    </row>
    <row r="4996" spans="1:1">
      <c r="A4996" s="153" t="s">
        <v>6976</v>
      </c>
    </row>
    <row r="4997" spans="1:1">
      <c r="A4997" s="153" t="s">
        <v>6977</v>
      </c>
    </row>
    <row r="4998" spans="1:1">
      <c r="A4998" s="153" t="s">
        <v>6978</v>
      </c>
    </row>
    <row r="4999" spans="1:1">
      <c r="A4999" s="153" t="s">
        <v>6979</v>
      </c>
    </row>
    <row r="5000" spans="1:1">
      <c r="A5000" s="153" t="s">
        <v>6980</v>
      </c>
    </row>
    <row r="5001" spans="1:1">
      <c r="A5001" s="153" t="s">
        <v>6981</v>
      </c>
    </row>
    <row r="5002" spans="1:1">
      <c r="A5002" s="153" t="s">
        <v>6982</v>
      </c>
    </row>
    <row r="5003" spans="1:1">
      <c r="A5003" s="153" t="s">
        <v>6983</v>
      </c>
    </row>
    <row r="5004" spans="1:1">
      <c r="A5004" s="153" t="s">
        <v>6984</v>
      </c>
    </row>
    <row r="5005" spans="1:1">
      <c r="A5005" s="153" t="s">
        <v>6985</v>
      </c>
    </row>
    <row r="5006" spans="1:1">
      <c r="A5006" s="153" t="s">
        <v>6986</v>
      </c>
    </row>
    <row r="5007" spans="1:1">
      <c r="A5007" s="153" t="s">
        <v>6987</v>
      </c>
    </row>
    <row r="5008" spans="1:1">
      <c r="A5008" s="153" t="s">
        <v>6988</v>
      </c>
    </row>
    <row r="5009" spans="1:1">
      <c r="A5009" s="153" t="s">
        <v>6989</v>
      </c>
    </row>
    <row r="5010" spans="1:1">
      <c r="A5010" s="153" t="s">
        <v>6990</v>
      </c>
    </row>
    <row r="5011" spans="1:1">
      <c r="A5011" s="153" t="s">
        <v>6991</v>
      </c>
    </row>
    <row r="5012" spans="1:1">
      <c r="A5012" s="153" t="s">
        <v>6992</v>
      </c>
    </row>
    <row r="5013" spans="1:1">
      <c r="A5013" s="153" t="s">
        <v>6993</v>
      </c>
    </row>
    <row r="5014" spans="1:1">
      <c r="A5014" s="153" t="s">
        <v>6994</v>
      </c>
    </row>
    <row r="5015" spans="1:1">
      <c r="A5015" s="153" t="s">
        <v>6995</v>
      </c>
    </row>
    <row r="5016" spans="1:1">
      <c r="A5016" s="153" t="s">
        <v>6996</v>
      </c>
    </row>
    <row r="5017" spans="1:1">
      <c r="A5017" s="153" t="s">
        <v>6997</v>
      </c>
    </row>
    <row r="5018" spans="1:1">
      <c r="A5018" s="153" t="s">
        <v>6998</v>
      </c>
    </row>
    <row r="5019" spans="1:1">
      <c r="A5019" s="153" t="s">
        <v>6999</v>
      </c>
    </row>
    <row r="5020" spans="1:1">
      <c r="A5020" s="153" t="s">
        <v>7000</v>
      </c>
    </row>
    <row r="5021" spans="1:1">
      <c r="A5021" s="153" t="s">
        <v>7001</v>
      </c>
    </row>
    <row r="5022" spans="1:1">
      <c r="A5022" s="153" t="s">
        <v>7002</v>
      </c>
    </row>
    <row r="5023" spans="1:1">
      <c r="A5023" s="153" t="s">
        <v>7003</v>
      </c>
    </row>
    <row r="5024" spans="1:1">
      <c r="A5024" s="153" t="s">
        <v>7004</v>
      </c>
    </row>
    <row r="5025" spans="1:1">
      <c r="A5025" s="153" t="s">
        <v>7005</v>
      </c>
    </row>
    <row r="5026" spans="1:1">
      <c r="A5026" s="153" t="s">
        <v>7006</v>
      </c>
    </row>
    <row r="5027" spans="1:1">
      <c r="A5027" s="153" t="s">
        <v>7007</v>
      </c>
    </row>
    <row r="5028" spans="1:1">
      <c r="A5028" s="153" t="s">
        <v>7008</v>
      </c>
    </row>
    <row r="5029" spans="1:1">
      <c r="A5029" s="153" t="s">
        <v>7009</v>
      </c>
    </row>
    <row r="5030" spans="1:1">
      <c r="A5030" s="153" t="s">
        <v>7010</v>
      </c>
    </row>
    <row r="5031" spans="1:1">
      <c r="A5031" s="153" t="s">
        <v>7011</v>
      </c>
    </row>
    <row r="5032" spans="1:1">
      <c r="A5032" s="153" t="s">
        <v>7012</v>
      </c>
    </row>
    <row r="5033" spans="1:1">
      <c r="A5033" s="153" t="s">
        <v>7013</v>
      </c>
    </row>
    <row r="5034" spans="1:1">
      <c r="A5034" s="153" t="s">
        <v>7014</v>
      </c>
    </row>
    <row r="5035" spans="1:1">
      <c r="A5035" s="153" t="s">
        <v>7015</v>
      </c>
    </row>
    <row r="5036" spans="1:1">
      <c r="A5036" s="153" t="s">
        <v>7016</v>
      </c>
    </row>
    <row r="5037" spans="1:1">
      <c r="A5037" s="153" t="s">
        <v>7017</v>
      </c>
    </row>
    <row r="5038" spans="1:1">
      <c r="A5038" s="153" t="s">
        <v>7018</v>
      </c>
    </row>
    <row r="5039" spans="1:1">
      <c r="A5039" s="153" t="s">
        <v>7019</v>
      </c>
    </row>
    <row r="5040" spans="1:1">
      <c r="A5040" s="153" t="s">
        <v>7020</v>
      </c>
    </row>
    <row r="5041" spans="1:1">
      <c r="A5041" s="153" t="s">
        <v>7021</v>
      </c>
    </row>
    <row r="5042" spans="1:1">
      <c r="A5042" s="153" t="s">
        <v>7022</v>
      </c>
    </row>
    <row r="5043" spans="1:1">
      <c r="A5043" s="153" t="s">
        <v>7023</v>
      </c>
    </row>
    <row r="5044" spans="1:1">
      <c r="A5044" s="153" t="s">
        <v>7024</v>
      </c>
    </row>
    <row r="5045" spans="1:1">
      <c r="A5045" s="153" t="s">
        <v>7025</v>
      </c>
    </row>
    <row r="5046" spans="1:1">
      <c r="A5046" s="153" t="s">
        <v>7026</v>
      </c>
    </row>
    <row r="5047" spans="1:1">
      <c r="A5047" s="153" t="s">
        <v>7027</v>
      </c>
    </row>
    <row r="5048" spans="1:1">
      <c r="A5048" s="153" t="s">
        <v>7028</v>
      </c>
    </row>
    <row r="5049" spans="1:1">
      <c r="A5049" s="153" t="s">
        <v>7029</v>
      </c>
    </row>
    <row r="5050" spans="1:1">
      <c r="A5050" s="153" t="s">
        <v>7030</v>
      </c>
    </row>
    <row r="5051" spans="1:1">
      <c r="A5051" s="153" t="s">
        <v>7031</v>
      </c>
    </row>
    <row r="5052" spans="1:1">
      <c r="A5052" s="153" t="s">
        <v>7032</v>
      </c>
    </row>
    <row r="5053" spans="1:1">
      <c r="A5053" s="153" t="s">
        <v>7033</v>
      </c>
    </row>
    <row r="5054" spans="1:1">
      <c r="A5054" s="153" t="s">
        <v>7034</v>
      </c>
    </row>
    <row r="5055" spans="1:1">
      <c r="A5055" s="153" t="s">
        <v>7035</v>
      </c>
    </row>
    <row r="5056" spans="1:1">
      <c r="A5056" s="153" t="s">
        <v>7036</v>
      </c>
    </row>
    <row r="5057" spans="1:1">
      <c r="A5057" s="153" t="s">
        <v>7037</v>
      </c>
    </row>
    <row r="5058" spans="1:1">
      <c r="A5058" s="153" t="s">
        <v>7038</v>
      </c>
    </row>
    <row r="5059" spans="1:1">
      <c r="A5059" s="153" t="s">
        <v>7039</v>
      </c>
    </row>
    <row r="5060" spans="1:1">
      <c r="A5060" s="153" t="s">
        <v>7040</v>
      </c>
    </row>
    <row r="5061" spans="1:1">
      <c r="A5061" s="153" t="s">
        <v>7041</v>
      </c>
    </row>
    <row r="5062" spans="1:1">
      <c r="A5062" s="153" t="s">
        <v>7042</v>
      </c>
    </row>
    <row r="5063" spans="1:1">
      <c r="A5063" s="153" t="s">
        <v>7043</v>
      </c>
    </row>
    <row r="5064" spans="1:1">
      <c r="A5064" s="153" t="s">
        <v>7044</v>
      </c>
    </row>
    <row r="5065" spans="1:1">
      <c r="A5065" s="153" t="s">
        <v>7045</v>
      </c>
    </row>
    <row r="5066" spans="1:1">
      <c r="A5066" s="153" t="s">
        <v>7046</v>
      </c>
    </row>
    <row r="5067" spans="1:1">
      <c r="A5067" s="153" t="s">
        <v>7047</v>
      </c>
    </row>
    <row r="5068" spans="1:1">
      <c r="A5068" s="153" t="s">
        <v>7048</v>
      </c>
    </row>
    <row r="5069" spans="1:1">
      <c r="A5069" s="153" t="s">
        <v>7049</v>
      </c>
    </row>
    <row r="5070" spans="1:1">
      <c r="A5070" s="153" t="s">
        <v>7050</v>
      </c>
    </row>
    <row r="5071" spans="1:1">
      <c r="A5071" s="153" t="s">
        <v>7051</v>
      </c>
    </row>
    <row r="5072" spans="1:1">
      <c r="A5072" s="153" t="s">
        <v>7052</v>
      </c>
    </row>
    <row r="5073" spans="1:1">
      <c r="A5073" s="153" t="s">
        <v>7053</v>
      </c>
    </row>
    <row r="5074" spans="1:1">
      <c r="A5074" s="153" t="s">
        <v>7054</v>
      </c>
    </row>
    <row r="5075" spans="1:1">
      <c r="A5075" s="153" t="s">
        <v>7055</v>
      </c>
    </row>
    <row r="5076" spans="1:1">
      <c r="A5076" s="153" t="s">
        <v>7056</v>
      </c>
    </row>
    <row r="5077" spans="1:1">
      <c r="A5077" s="153" t="s">
        <v>7057</v>
      </c>
    </row>
    <row r="5078" spans="1:1">
      <c r="A5078" s="153" t="s">
        <v>7058</v>
      </c>
    </row>
    <row r="5079" spans="1:1">
      <c r="A5079" s="153" t="s">
        <v>7059</v>
      </c>
    </row>
    <row r="5080" spans="1:1">
      <c r="A5080" s="153" t="s">
        <v>7060</v>
      </c>
    </row>
    <row r="5081" spans="1:1">
      <c r="A5081" s="153" t="s">
        <v>7061</v>
      </c>
    </row>
    <row r="5082" spans="1:1">
      <c r="A5082" s="153" t="s">
        <v>7062</v>
      </c>
    </row>
    <row r="5083" spans="1:1">
      <c r="A5083" s="153" t="s">
        <v>7063</v>
      </c>
    </row>
    <row r="5084" spans="1:1">
      <c r="A5084" s="153" t="s">
        <v>7064</v>
      </c>
    </row>
    <row r="5085" spans="1:1">
      <c r="A5085" s="153" t="s">
        <v>7065</v>
      </c>
    </row>
    <row r="5086" spans="1:1">
      <c r="A5086" s="153" t="s">
        <v>7066</v>
      </c>
    </row>
    <row r="5087" spans="1:1">
      <c r="A5087" s="153" t="s">
        <v>7067</v>
      </c>
    </row>
    <row r="5088" spans="1:1">
      <c r="A5088" s="153" t="s">
        <v>7068</v>
      </c>
    </row>
    <row r="5089" spans="1:1">
      <c r="A5089" s="153" t="s">
        <v>7069</v>
      </c>
    </row>
    <row r="5090" spans="1:1">
      <c r="A5090" s="153" t="s">
        <v>7070</v>
      </c>
    </row>
    <row r="5091" spans="1:1">
      <c r="A5091" s="153" t="s">
        <v>7071</v>
      </c>
    </row>
    <row r="5092" spans="1:1">
      <c r="A5092" s="153" t="s">
        <v>7072</v>
      </c>
    </row>
    <row r="5093" spans="1:1">
      <c r="A5093" s="153" t="s">
        <v>7073</v>
      </c>
    </row>
    <row r="5094" spans="1:1">
      <c r="A5094" s="153" t="s">
        <v>7074</v>
      </c>
    </row>
    <row r="5095" spans="1:1">
      <c r="A5095" s="153" t="s">
        <v>7075</v>
      </c>
    </row>
    <row r="5096" spans="1:1">
      <c r="A5096" s="153" t="s">
        <v>7076</v>
      </c>
    </row>
    <row r="5097" spans="1:1">
      <c r="A5097" s="153" t="s">
        <v>7077</v>
      </c>
    </row>
    <row r="5098" spans="1:1">
      <c r="A5098" s="153" t="s">
        <v>7078</v>
      </c>
    </row>
    <row r="5099" spans="1:1">
      <c r="A5099" s="153" t="s">
        <v>7079</v>
      </c>
    </row>
    <row r="5100" spans="1:1">
      <c r="A5100" s="153" t="s">
        <v>7080</v>
      </c>
    </row>
    <row r="5101" spans="1:1">
      <c r="A5101" s="153" t="s">
        <v>7081</v>
      </c>
    </row>
    <row r="5102" spans="1:1">
      <c r="A5102" s="153" t="s">
        <v>7082</v>
      </c>
    </row>
    <row r="5103" spans="1:1">
      <c r="A5103" s="153" t="s">
        <v>7083</v>
      </c>
    </row>
    <row r="5104" spans="1:1">
      <c r="A5104" s="153" t="s">
        <v>7084</v>
      </c>
    </row>
    <row r="5105" spans="1:1">
      <c r="A5105" s="153" t="s">
        <v>7085</v>
      </c>
    </row>
    <row r="5106" spans="1:1">
      <c r="A5106" s="153" t="s">
        <v>7086</v>
      </c>
    </row>
    <row r="5107" spans="1:1">
      <c r="A5107" s="153" t="s">
        <v>7087</v>
      </c>
    </row>
    <row r="5108" spans="1:1">
      <c r="A5108" s="153" t="s">
        <v>7088</v>
      </c>
    </row>
    <row r="5109" spans="1:1">
      <c r="A5109" s="153" t="s">
        <v>7089</v>
      </c>
    </row>
    <row r="5110" spans="1:1">
      <c r="A5110" s="153" t="s">
        <v>7090</v>
      </c>
    </row>
    <row r="5111" spans="1:1">
      <c r="A5111" s="153" t="s">
        <v>7091</v>
      </c>
    </row>
    <row r="5112" spans="1:1">
      <c r="A5112" s="153" t="s">
        <v>7092</v>
      </c>
    </row>
    <row r="5113" spans="1:1">
      <c r="A5113" s="153" t="s">
        <v>7093</v>
      </c>
    </row>
    <row r="5114" spans="1:1">
      <c r="A5114" s="153" t="s">
        <v>7094</v>
      </c>
    </row>
    <row r="5115" spans="1:1">
      <c r="A5115" s="153" t="s">
        <v>7095</v>
      </c>
    </row>
    <row r="5116" spans="1:1">
      <c r="A5116" s="153" t="s">
        <v>7096</v>
      </c>
    </row>
    <row r="5117" spans="1:1">
      <c r="A5117" s="153" t="s">
        <v>7097</v>
      </c>
    </row>
    <row r="5118" spans="1:1">
      <c r="A5118" s="153" t="s">
        <v>7098</v>
      </c>
    </row>
    <row r="5119" spans="1:1">
      <c r="A5119" s="153" t="s">
        <v>7099</v>
      </c>
    </row>
    <row r="5120" spans="1:1">
      <c r="A5120" s="153" t="s">
        <v>7100</v>
      </c>
    </row>
    <row r="5121" spans="1:1">
      <c r="A5121" s="153" t="s">
        <v>7101</v>
      </c>
    </row>
    <row r="5122" spans="1:1">
      <c r="A5122" s="153" t="s">
        <v>7102</v>
      </c>
    </row>
    <row r="5123" spans="1:1">
      <c r="A5123" s="153" t="s">
        <v>7103</v>
      </c>
    </row>
    <row r="5124" spans="1:1">
      <c r="A5124" s="153" t="s">
        <v>7104</v>
      </c>
    </row>
    <row r="5125" spans="1:1">
      <c r="A5125" s="153" t="s">
        <v>7105</v>
      </c>
    </row>
    <row r="5126" spans="1:1">
      <c r="A5126" s="153" t="s">
        <v>7106</v>
      </c>
    </row>
    <row r="5127" spans="1:1">
      <c r="A5127" s="153" t="s">
        <v>7107</v>
      </c>
    </row>
    <row r="5128" spans="1:1">
      <c r="A5128" s="153" t="s">
        <v>7108</v>
      </c>
    </row>
    <row r="5129" spans="1:1">
      <c r="A5129" s="153" t="s">
        <v>7109</v>
      </c>
    </row>
    <row r="5130" spans="1:1">
      <c r="A5130" s="153" t="s">
        <v>7110</v>
      </c>
    </row>
    <row r="5131" spans="1:1">
      <c r="A5131" s="153" t="s">
        <v>7111</v>
      </c>
    </row>
    <row r="5132" spans="1:1">
      <c r="A5132" s="153" t="s">
        <v>7112</v>
      </c>
    </row>
    <row r="5133" spans="1:1">
      <c r="A5133" s="153" t="s">
        <v>7113</v>
      </c>
    </row>
    <row r="5134" spans="1:1">
      <c r="A5134" s="153" t="s">
        <v>7114</v>
      </c>
    </row>
    <row r="5135" spans="1:1">
      <c r="A5135" s="153" t="s">
        <v>7115</v>
      </c>
    </row>
    <row r="5136" spans="1:1">
      <c r="A5136" s="153" t="s">
        <v>7116</v>
      </c>
    </row>
    <row r="5137" spans="1:1">
      <c r="A5137" s="153" t="s">
        <v>7117</v>
      </c>
    </row>
    <row r="5138" spans="1:1">
      <c r="A5138" s="153" t="s">
        <v>7118</v>
      </c>
    </row>
    <row r="5139" spans="1:1">
      <c r="A5139" s="153" t="s">
        <v>7119</v>
      </c>
    </row>
    <row r="5140" spans="1:1">
      <c r="A5140" s="153" t="s">
        <v>7120</v>
      </c>
    </row>
    <row r="5141" spans="1:1">
      <c r="A5141" s="153" t="s">
        <v>7121</v>
      </c>
    </row>
    <row r="5142" spans="1:1">
      <c r="A5142" s="153" t="s">
        <v>7122</v>
      </c>
    </row>
    <row r="5143" spans="1:1">
      <c r="A5143" s="153" t="s">
        <v>7123</v>
      </c>
    </row>
    <row r="5144" spans="1:1">
      <c r="A5144" s="153" t="s">
        <v>7124</v>
      </c>
    </row>
    <row r="5145" spans="1:1">
      <c r="A5145" s="153" t="s">
        <v>7125</v>
      </c>
    </row>
    <row r="5146" spans="1:1">
      <c r="A5146" s="153" t="s">
        <v>7126</v>
      </c>
    </row>
    <row r="5147" spans="1:1">
      <c r="A5147" s="153" t="s">
        <v>7127</v>
      </c>
    </row>
    <row r="5148" spans="1:1">
      <c r="A5148" s="153" t="s">
        <v>7128</v>
      </c>
    </row>
    <row r="5149" spans="1:1">
      <c r="A5149" s="153" t="s">
        <v>7129</v>
      </c>
    </row>
    <row r="5150" spans="1:1">
      <c r="A5150" s="153" t="s">
        <v>7130</v>
      </c>
    </row>
    <row r="5151" spans="1:1">
      <c r="A5151" s="153" t="s">
        <v>7131</v>
      </c>
    </row>
    <row r="5152" spans="1:1">
      <c r="A5152" s="153" t="s">
        <v>7132</v>
      </c>
    </row>
    <row r="5153" spans="1:1">
      <c r="A5153" s="153" t="s">
        <v>7133</v>
      </c>
    </row>
    <row r="5154" spans="1:1">
      <c r="A5154" s="153" t="s">
        <v>7134</v>
      </c>
    </row>
    <row r="5155" spans="1:1">
      <c r="A5155" s="153" t="s">
        <v>7135</v>
      </c>
    </row>
    <row r="5156" spans="1:1">
      <c r="A5156" s="153" t="s">
        <v>7136</v>
      </c>
    </row>
    <row r="5157" spans="1:1">
      <c r="A5157" s="153" t="s">
        <v>7137</v>
      </c>
    </row>
    <row r="5158" spans="1:1">
      <c r="A5158" s="153" t="s">
        <v>7138</v>
      </c>
    </row>
    <row r="5159" spans="1:1">
      <c r="A5159" s="153" t="s">
        <v>7139</v>
      </c>
    </row>
    <row r="5160" spans="1:1">
      <c r="A5160" s="153" t="s">
        <v>7140</v>
      </c>
    </row>
    <row r="5161" spans="1:1">
      <c r="A5161" s="153" t="s">
        <v>7141</v>
      </c>
    </row>
    <row r="5162" spans="1:1">
      <c r="A5162" s="153" t="s">
        <v>7142</v>
      </c>
    </row>
    <row r="5163" spans="1:1">
      <c r="A5163" s="153" t="s">
        <v>7143</v>
      </c>
    </row>
    <row r="5164" spans="1:1">
      <c r="A5164" s="153" t="s">
        <v>7144</v>
      </c>
    </row>
    <row r="5165" spans="1:1">
      <c r="A5165" s="153" t="s">
        <v>7145</v>
      </c>
    </row>
    <row r="5166" spans="1:1">
      <c r="A5166" s="153" t="s">
        <v>7146</v>
      </c>
    </row>
    <row r="5167" spans="1:1">
      <c r="A5167" s="153" t="s">
        <v>7147</v>
      </c>
    </row>
    <row r="5168" spans="1:1">
      <c r="A5168" s="153" t="s">
        <v>7148</v>
      </c>
    </row>
    <row r="5169" spans="1:1">
      <c r="A5169" s="153" t="s">
        <v>7149</v>
      </c>
    </row>
    <row r="5170" spans="1:1">
      <c r="A5170" s="153" t="s">
        <v>7150</v>
      </c>
    </row>
    <row r="5171" spans="1:1">
      <c r="A5171" s="153" t="s">
        <v>7151</v>
      </c>
    </row>
    <row r="5172" spans="1:1">
      <c r="A5172" s="153" t="s">
        <v>7152</v>
      </c>
    </row>
    <row r="5173" spans="1:1">
      <c r="A5173" s="153" t="s">
        <v>7153</v>
      </c>
    </row>
    <row r="5174" spans="1:1">
      <c r="A5174" s="153" t="s">
        <v>7154</v>
      </c>
    </row>
    <row r="5175" spans="1:1">
      <c r="A5175" s="153" t="s">
        <v>7155</v>
      </c>
    </row>
    <row r="5176" spans="1:1">
      <c r="A5176" s="153" t="s">
        <v>7156</v>
      </c>
    </row>
    <row r="5177" spans="1:1">
      <c r="A5177" s="153" t="s">
        <v>7157</v>
      </c>
    </row>
    <row r="5178" spans="1:1">
      <c r="A5178" s="153" t="s">
        <v>7158</v>
      </c>
    </row>
    <row r="5179" spans="1:1">
      <c r="A5179" s="153" t="s">
        <v>7159</v>
      </c>
    </row>
    <row r="5180" spans="1:1">
      <c r="A5180" s="153" t="s">
        <v>7160</v>
      </c>
    </row>
    <row r="5181" spans="1:1">
      <c r="A5181" s="153" t="s">
        <v>7161</v>
      </c>
    </row>
    <row r="5182" spans="1:1">
      <c r="A5182" s="153" t="s">
        <v>7162</v>
      </c>
    </row>
    <row r="5183" spans="1:1">
      <c r="A5183" s="153" t="s">
        <v>7163</v>
      </c>
    </row>
    <row r="5184" spans="1:1">
      <c r="A5184" s="153" t="s">
        <v>7164</v>
      </c>
    </row>
    <row r="5185" spans="1:1">
      <c r="A5185" s="153" t="s">
        <v>7165</v>
      </c>
    </row>
    <row r="5186" spans="1:1">
      <c r="A5186" s="153" t="s">
        <v>7166</v>
      </c>
    </row>
    <row r="5187" spans="1:1">
      <c r="A5187" s="153" t="s">
        <v>7167</v>
      </c>
    </row>
    <row r="5188" spans="1:1">
      <c r="A5188" s="153" t="s">
        <v>7168</v>
      </c>
    </row>
    <row r="5189" spans="1:1">
      <c r="A5189" s="153" t="s">
        <v>7169</v>
      </c>
    </row>
    <row r="5190" spans="1:1">
      <c r="A5190" s="153" t="s">
        <v>7170</v>
      </c>
    </row>
    <row r="5191" spans="1:1">
      <c r="A5191" s="153" t="s">
        <v>7171</v>
      </c>
    </row>
    <row r="5192" spans="1:1">
      <c r="A5192" s="153" t="s">
        <v>7172</v>
      </c>
    </row>
    <row r="5193" spans="1:1">
      <c r="A5193" s="153" t="s">
        <v>7173</v>
      </c>
    </row>
    <row r="5194" spans="1:1">
      <c r="A5194" s="153" t="s">
        <v>7174</v>
      </c>
    </row>
    <row r="5195" spans="1:1">
      <c r="A5195" s="153" t="s">
        <v>7175</v>
      </c>
    </row>
    <row r="5196" spans="1:1">
      <c r="A5196" s="153" t="s">
        <v>7176</v>
      </c>
    </row>
    <row r="5197" spans="1:1">
      <c r="A5197" s="153" t="s">
        <v>7177</v>
      </c>
    </row>
    <row r="5198" spans="1:1">
      <c r="A5198" s="153" t="s">
        <v>7178</v>
      </c>
    </row>
    <row r="5199" spans="1:1">
      <c r="A5199" s="153" t="s">
        <v>7179</v>
      </c>
    </row>
    <row r="5200" spans="1:1">
      <c r="A5200" s="153" t="s">
        <v>7180</v>
      </c>
    </row>
    <row r="5201" spans="1:1">
      <c r="A5201" s="153" t="s">
        <v>7181</v>
      </c>
    </row>
    <row r="5202" spans="1:1">
      <c r="A5202" s="153" t="s">
        <v>7182</v>
      </c>
    </row>
    <row r="5203" spans="1:1">
      <c r="A5203" s="153" t="s">
        <v>7183</v>
      </c>
    </row>
    <row r="5204" spans="1:1">
      <c r="A5204" s="153" t="s">
        <v>7184</v>
      </c>
    </row>
    <row r="5205" spans="1:1">
      <c r="A5205" s="153" t="s">
        <v>7185</v>
      </c>
    </row>
    <row r="5206" spans="1:1">
      <c r="A5206" s="153" t="s">
        <v>7186</v>
      </c>
    </row>
    <row r="5207" spans="1:1">
      <c r="A5207" s="153" t="s">
        <v>7187</v>
      </c>
    </row>
    <row r="5208" spans="1:1">
      <c r="A5208" s="153" t="s">
        <v>7188</v>
      </c>
    </row>
    <row r="5209" spans="1:1">
      <c r="A5209" s="153" t="s">
        <v>7189</v>
      </c>
    </row>
    <row r="5210" spans="1:1">
      <c r="A5210" s="153" t="s">
        <v>7190</v>
      </c>
    </row>
    <row r="5211" spans="1:1">
      <c r="A5211" s="153" t="s">
        <v>7191</v>
      </c>
    </row>
    <row r="5212" spans="1:1">
      <c r="A5212" s="153" t="s">
        <v>7192</v>
      </c>
    </row>
    <row r="5213" spans="1:1">
      <c r="A5213" s="153" t="s">
        <v>7193</v>
      </c>
    </row>
    <row r="5214" spans="1:1">
      <c r="A5214" s="153" t="s">
        <v>7194</v>
      </c>
    </row>
    <row r="5215" spans="1:1">
      <c r="A5215" s="153" t="s">
        <v>7195</v>
      </c>
    </row>
    <row r="5216" spans="1:1">
      <c r="A5216" s="153" t="s">
        <v>7196</v>
      </c>
    </row>
    <row r="5217" spans="1:1">
      <c r="A5217" s="153" t="s">
        <v>7197</v>
      </c>
    </row>
    <row r="5218" spans="1:1">
      <c r="A5218" s="153" t="s">
        <v>7198</v>
      </c>
    </row>
    <row r="5219" spans="1:1">
      <c r="A5219" s="153" t="s">
        <v>7199</v>
      </c>
    </row>
    <row r="5220" spans="1:1">
      <c r="A5220" s="153" t="s">
        <v>7200</v>
      </c>
    </row>
    <row r="5221" spans="1:1">
      <c r="A5221" s="153" t="s">
        <v>7201</v>
      </c>
    </row>
    <row r="5222" spans="1:1">
      <c r="A5222" s="153" t="s">
        <v>7202</v>
      </c>
    </row>
    <row r="5223" spans="1:1">
      <c r="A5223" s="153" t="s">
        <v>7203</v>
      </c>
    </row>
    <row r="5224" spans="1:1">
      <c r="A5224" s="153" t="s">
        <v>7204</v>
      </c>
    </row>
    <row r="5225" spans="1:1">
      <c r="A5225" s="153" t="s">
        <v>7205</v>
      </c>
    </row>
    <row r="5226" spans="1:1">
      <c r="A5226" s="153" t="s">
        <v>7206</v>
      </c>
    </row>
    <row r="5227" spans="1:1">
      <c r="A5227" s="153" t="s">
        <v>7207</v>
      </c>
    </row>
    <row r="5228" spans="1:1">
      <c r="A5228" s="153" t="s">
        <v>7208</v>
      </c>
    </row>
    <row r="5229" spans="1:1">
      <c r="A5229" s="153" t="s">
        <v>7209</v>
      </c>
    </row>
    <row r="5230" spans="1:1">
      <c r="A5230" s="153" t="s">
        <v>7210</v>
      </c>
    </row>
    <row r="5231" spans="1:1">
      <c r="A5231" s="153" t="s">
        <v>7211</v>
      </c>
    </row>
    <row r="5232" spans="1:1">
      <c r="A5232" s="153" t="s">
        <v>7212</v>
      </c>
    </row>
    <row r="5233" spans="1:1">
      <c r="A5233" s="153" t="s">
        <v>7213</v>
      </c>
    </row>
    <row r="5234" spans="1:1">
      <c r="A5234" s="153" t="s">
        <v>7214</v>
      </c>
    </row>
    <row r="5235" spans="1:1">
      <c r="A5235" s="153" t="s">
        <v>7215</v>
      </c>
    </row>
    <row r="5236" spans="1:1">
      <c r="A5236" s="153" t="s">
        <v>7216</v>
      </c>
    </row>
    <row r="5237" spans="1:1">
      <c r="A5237" s="153" t="s">
        <v>7217</v>
      </c>
    </row>
    <row r="5238" spans="1:1">
      <c r="A5238" s="153" t="s">
        <v>7218</v>
      </c>
    </row>
    <row r="5239" spans="1:1">
      <c r="A5239" s="153" t="s">
        <v>7219</v>
      </c>
    </row>
    <row r="5240" spans="1:1">
      <c r="A5240" s="153" t="s">
        <v>7220</v>
      </c>
    </row>
    <row r="5241" spans="1:1">
      <c r="A5241" s="153" t="s">
        <v>7221</v>
      </c>
    </row>
    <row r="5242" spans="1:1">
      <c r="A5242" s="153" t="s">
        <v>7222</v>
      </c>
    </row>
    <row r="5243" spans="1:1">
      <c r="A5243" s="153" t="s">
        <v>7223</v>
      </c>
    </row>
    <row r="5244" spans="1:1">
      <c r="A5244" s="153" t="s">
        <v>7224</v>
      </c>
    </row>
    <row r="5245" spans="1:1">
      <c r="A5245" s="153" t="s">
        <v>7225</v>
      </c>
    </row>
    <row r="5246" spans="1:1">
      <c r="A5246" s="153" t="s">
        <v>7226</v>
      </c>
    </row>
    <row r="5247" spans="1:1">
      <c r="A5247" s="153" t="s">
        <v>7227</v>
      </c>
    </row>
    <row r="5248" spans="1:1">
      <c r="A5248" s="153" t="s">
        <v>7228</v>
      </c>
    </row>
    <row r="5249" spans="1:1">
      <c r="A5249" s="153" t="s">
        <v>7229</v>
      </c>
    </row>
    <row r="5250" spans="1:1">
      <c r="A5250" s="153" t="s">
        <v>7230</v>
      </c>
    </row>
    <row r="5251" spans="1:1">
      <c r="A5251" s="153" t="s">
        <v>7231</v>
      </c>
    </row>
    <row r="5252" spans="1:1">
      <c r="A5252" s="153" t="s">
        <v>7232</v>
      </c>
    </row>
    <row r="5253" spans="1:1">
      <c r="A5253" s="153" t="s">
        <v>7233</v>
      </c>
    </row>
    <row r="5254" spans="1:1">
      <c r="A5254" s="153" t="s">
        <v>7234</v>
      </c>
    </row>
    <row r="5255" spans="1:1">
      <c r="A5255" s="153" t="s">
        <v>7235</v>
      </c>
    </row>
    <row r="5256" spans="1:1">
      <c r="A5256" s="153" t="s">
        <v>7236</v>
      </c>
    </row>
    <row r="5257" spans="1:1">
      <c r="A5257" s="153" t="s">
        <v>7237</v>
      </c>
    </row>
    <row r="5258" spans="1:1">
      <c r="A5258" s="153" t="s">
        <v>7238</v>
      </c>
    </row>
    <row r="5259" spans="1:1">
      <c r="A5259" s="153" t="s">
        <v>7239</v>
      </c>
    </row>
    <row r="5260" spans="1:1">
      <c r="A5260" s="153" t="s">
        <v>7240</v>
      </c>
    </row>
    <row r="5261" spans="1:1">
      <c r="A5261" s="153" t="s">
        <v>7241</v>
      </c>
    </row>
    <row r="5262" spans="1:1">
      <c r="A5262" s="153" t="s">
        <v>7242</v>
      </c>
    </row>
    <row r="5263" spans="1:1">
      <c r="A5263" s="153" t="s">
        <v>7243</v>
      </c>
    </row>
    <row r="5264" spans="1:1">
      <c r="A5264" s="153" t="s">
        <v>7244</v>
      </c>
    </row>
    <row r="5265" spans="1:1">
      <c r="A5265" s="153" t="s">
        <v>7245</v>
      </c>
    </row>
    <row r="5266" spans="1:1">
      <c r="A5266" s="153" t="s">
        <v>7246</v>
      </c>
    </row>
    <row r="5267" spans="1:1">
      <c r="A5267" s="153" t="s">
        <v>7247</v>
      </c>
    </row>
    <row r="5268" spans="1:1">
      <c r="A5268" s="153" t="s">
        <v>7248</v>
      </c>
    </row>
    <row r="5269" spans="1:1">
      <c r="A5269" s="153" t="s">
        <v>7249</v>
      </c>
    </row>
    <row r="5270" spans="1:1">
      <c r="A5270" s="153" t="s">
        <v>7250</v>
      </c>
    </row>
    <row r="5271" spans="1:1">
      <c r="A5271" s="153" t="s">
        <v>7251</v>
      </c>
    </row>
    <row r="5272" spans="1:1">
      <c r="A5272" s="153" t="s">
        <v>7252</v>
      </c>
    </row>
    <row r="5273" spans="1:1">
      <c r="A5273" s="153" t="s">
        <v>7253</v>
      </c>
    </row>
    <row r="5274" spans="1:1">
      <c r="A5274" s="153" t="s">
        <v>7254</v>
      </c>
    </row>
    <row r="5275" spans="1:1">
      <c r="A5275" s="153" t="s">
        <v>7255</v>
      </c>
    </row>
    <row r="5276" spans="1:1">
      <c r="A5276" s="153" t="s">
        <v>7256</v>
      </c>
    </row>
    <row r="5277" spans="1:1">
      <c r="A5277" s="153" t="s">
        <v>7257</v>
      </c>
    </row>
    <row r="5278" spans="1:1">
      <c r="A5278" s="153" t="s">
        <v>7258</v>
      </c>
    </row>
    <row r="5279" spans="1:1">
      <c r="A5279" s="153" t="s">
        <v>7259</v>
      </c>
    </row>
    <row r="5280" spans="1:1">
      <c r="A5280" s="153" t="s">
        <v>7260</v>
      </c>
    </row>
    <row r="5281" spans="1:1">
      <c r="A5281" s="153" t="s">
        <v>7261</v>
      </c>
    </row>
    <row r="5282" spans="1:1">
      <c r="A5282" s="153" t="s">
        <v>7262</v>
      </c>
    </row>
    <row r="5283" spans="1:1">
      <c r="A5283" s="153" t="s">
        <v>7263</v>
      </c>
    </row>
    <row r="5284" spans="1:1">
      <c r="A5284" s="153" t="s">
        <v>7264</v>
      </c>
    </row>
    <row r="5285" spans="1:1">
      <c r="A5285" s="153" t="s">
        <v>7265</v>
      </c>
    </row>
    <row r="5286" spans="1:1">
      <c r="A5286" s="153" t="s">
        <v>7266</v>
      </c>
    </row>
    <row r="5287" spans="1:1">
      <c r="A5287" s="153" t="s">
        <v>7267</v>
      </c>
    </row>
    <row r="5288" spans="1:1">
      <c r="A5288" s="153" t="s">
        <v>7268</v>
      </c>
    </row>
    <row r="5289" spans="1:1">
      <c r="A5289" s="153" t="s">
        <v>7269</v>
      </c>
    </row>
    <row r="5290" spans="1:1">
      <c r="A5290" s="153" t="s">
        <v>7270</v>
      </c>
    </row>
    <row r="5291" spans="1:1">
      <c r="A5291" s="153" t="s">
        <v>7271</v>
      </c>
    </row>
    <row r="5292" spans="1:1">
      <c r="A5292" s="153" t="s">
        <v>7272</v>
      </c>
    </row>
    <row r="5293" spans="1:1">
      <c r="A5293" s="153" t="s">
        <v>7273</v>
      </c>
    </row>
    <row r="5294" spans="1:1">
      <c r="A5294" s="153" t="s">
        <v>7274</v>
      </c>
    </row>
    <row r="5295" spans="1:1">
      <c r="A5295" s="153" t="s">
        <v>7275</v>
      </c>
    </row>
    <row r="5296" spans="1:1">
      <c r="A5296" s="153" t="s">
        <v>7276</v>
      </c>
    </row>
    <row r="5297" spans="1:1">
      <c r="A5297" s="153" t="s">
        <v>7277</v>
      </c>
    </row>
    <row r="5298" spans="1:1">
      <c r="A5298" s="153" t="s">
        <v>7278</v>
      </c>
    </row>
    <row r="5299" spans="1:1">
      <c r="A5299" s="153" t="s">
        <v>7279</v>
      </c>
    </row>
    <row r="5300" spans="1:1">
      <c r="A5300" s="153" t="s">
        <v>7280</v>
      </c>
    </row>
    <row r="5301" spans="1:1">
      <c r="A5301" s="153" t="s">
        <v>7281</v>
      </c>
    </row>
    <row r="5302" spans="1:1">
      <c r="A5302" s="153" t="s">
        <v>7282</v>
      </c>
    </row>
    <row r="5303" spans="1:1">
      <c r="A5303" s="153" t="s">
        <v>7283</v>
      </c>
    </row>
    <row r="5304" spans="1:1">
      <c r="A5304" s="153" t="s">
        <v>7284</v>
      </c>
    </row>
    <row r="5305" spans="1:1">
      <c r="A5305" s="153" t="s">
        <v>7285</v>
      </c>
    </row>
    <row r="5306" spans="1:1">
      <c r="A5306" s="153" t="s">
        <v>7286</v>
      </c>
    </row>
    <row r="5307" spans="1:1">
      <c r="A5307" s="153" t="s">
        <v>7287</v>
      </c>
    </row>
    <row r="5308" spans="1:1">
      <c r="A5308" s="153" t="s">
        <v>7288</v>
      </c>
    </row>
    <row r="5309" spans="1:1">
      <c r="A5309" s="153" t="s">
        <v>7289</v>
      </c>
    </row>
    <row r="5310" spans="1:1">
      <c r="A5310" s="153" t="s">
        <v>7290</v>
      </c>
    </row>
    <row r="5311" spans="1:1">
      <c r="A5311" s="153" t="s">
        <v>7291</v>
      </c>
    </row>
    <row r="5312" spans="1:1">
      <c r="A5312" s="153" t="s">
        <v>7292</v>
      </c>
    </row>
    <row r="5313" spans="1:1">
      <c r="A5313" s="153" t="s">
        <v>7293</v>
      </c>
    </row>
    <row r="5314" spans="1:1">
      <c r="A5314" s="153" t="s">
        <v>7294</v>
      </c>
    </row>
    <row r="5315" spans="1:1">
      <c r="A5315" s="153" t="s">
        <v>7295</v>
      </c>
    </row>
    <row r="5316" spans="1:1">
      <c r="A5316" s="153" t="s">
        <v>7296</v>
      </c>
    </row>
    <row r="5317" spans="1:1">
      <c r="A5317" s="153" t="s">
        <v>7297</v>
      </c>
    </row>
    <row r="5318" spans="1:1">
      <c r="A5318" s="153" t="s">
        <v>7298</v>
      </c>
    </row>
    <row r="5319" spans="1:1">
      <c r="A5319" s="153" t="s">
        <v>7299</v>
      </c>
    </row>
    <row r="5320" spans="1:1">
      <c r="A5320" s="153" t="s">
        <v>7300</v>
      </c>
    </row>
    <row r="5321" spans="1:1">
      <c r="A5321" s="153" t="s">
        <v>7301</v>
      </c>
    </row>
    <row r="5322" spans="1:1">
      <c r="A5322" s="153" t="s">
        <v>7302</v>
      </c>
    </row>
    <row r="5323" spans="1:1">
      <c r="A5323" s="153" t="s">
        <v>7303</v>
      </c>
    </row>
    <row r="5324" spans="1:1">
      <c r="A5324" s="153" t="s">
        <v>7304</v>
      </c>
    </row>
    <row r="5325" spans="1:1">
      <c r="A5325" s="153" t="s">
        <v>7305</v>
      </c>
    </row>
    <row r="5326" spans="1:1">
      <c r="A5326" s="153" t="s">
        <v>7306</v>
      </c>
    </row>
    <row r="5327" spans="1:1">
      <c r="A5327" s="153" t="s">
        <v>7307</v>
      </c>
    </row>
    <row r="5328" spans="1:1">
      <c r="A5328" s="153" t="s">
        <v>7308</v>
      </c>
    </row>
    <row r="5329" spans="1:1">
      <c r="A5329" s="153" t="s">
        <v>7309</v>
      </c>
    </row>
    <row r="5330" spans="1:1">
      <c r="A5330" s="153" t="s">
        <v>7310</v>
      </c>
    </row>
    <row r="5331" spans="1:1">
      <c r="A5331" s="153" t="s">
        <v>7311</v>
      </c>
    </row>
    <row r="5332" spans="1:1">
      <c r="A5332" s="153" t="s">
        <v>7312</v>
      </c>
    </row>
    <row r="5333" spans="1:1">
      <c r="A5333" s="153" t="s">
        <v>7313</v>
      </c>
    </row>
    <row r="5334" spans="1:1">
      <c r="A5334" s="153" t="s">
        <v>7314</v>
      </c>
    </row>
    <row r="5335" spans="1:1">
      <c r="A5335" s="153" t="s">
        <v>7315</v>
      </c>
    </row>
    <row r="5336" spans="1:1">
      <c r="A5336" s="153" t="s">
        <v>7316</v>
      </c>
    </row>
    <row r="5337" spans="1:1">
      <c r="A5337" s="153" t="s">
        <v>7317</v>
      </c>
    </row>
    <row r="5338" spans="1:1">
      <c r="A5338" s="153" t="s">
        <v>7318</v>
      </c>
    </row>
    <row r="5339" spans="1:1">
      <c r="A5339" s="153" t="s">
        <v>7319</v>
      </c>
    </row>
    <row r="5340" spans="1:1">
      <c r="A5340" s="153" t="s">
        <v>7320</v>
      </c>
    </row>
    <row r="5341" spans="1:1">
      <c r="A5341" s="153" t="s">
        <v>7321</v>
      </c>
    </row>
    <row r="5342" spans="1:1">
      <c r="A5342" s="153" t="s">
        <v>7322</v>
      </c>
    </row>
    <row r="5343" spans="1:1">
      <c r="A5343" s="153" t="s">
        <v>7323</v>
      </c>
    </row>
    <row r="5344" spans="1:1">
      <c r="A5344" s="153" t="s">
        <v>7324</v>
      </c>
    </row>
    <row r="5345" spans="1:1">
      <c r="A5345" s="153" t="s">
        <v>7325</v>
      </c>
    </row>
    <row r="5346" spans="1:1">
      <c r="A5346" s="153" t="s">
        <v>7326</v>
      </c>
    </row>
    <row r="5347" spans="1:1">
      <c r="A5347" s="153" t="s">
        <v>7327</v>
      </c>
    </row>
    <row r="5348" spans="1:1">
      <c r="A5348" s="153" t="s">
        <v>7328</v>
      </c>
    </row>
    <row r="5349" spans="1:1">
      <c r="A5349" s="153" t="s">
        <v>7329</v>
      </c>
    </row>
    <row r="5350" spans="1:1">
      <c r="A5350" s="153" t="s">
        <v>7330</v>
      </c>
    </row>
    <row r="5351" spans="1:1">
      <c r="A5351" s="153" t="s">
        <v>7331</v>
      </c>
    </row>
    <row r="5352" spans="1:1">
      <c r="A5352" s="153" t="s">
        <v>7332</v>
      </c>
    </row>
    <row r="5353" spans="1:1">
      <c r="A5353" s="153" t="s">
        <v>7333</v>
      </c>
    </row>
    <row r="5354" spans="1:1">
      <c r="A5354" s="153" t="s">
        <v>7334</v>
      </c>
    </row>
    <row r="5355" spans="1:1">
      <c r="A5355" s="153" t="s">
        <v>7335</v>
      </c>
    </row>
    <row r="5356" spans="1:1">
      <c r="A5356" s="153" t="s">
        <v>7336</v>
      </c>
    </row>
    <row r="5357" spans="1:1">
      <c r="A5357" s="153" t="s">
        <v>7337</v>
      </c>
    </row>
    <row r="5358" spans="1:1">
      <c r="A5358" s="153" t="s">
        <v>7338</v>
      </c>
    </row>
    <row r="5359" spans="1:1">
      <c r="A5359" s="153" t="s">
        <v>7339</v>
      </c>
    </row>
    <row r="5360" spans="1:1">
      <c r="A5360" s="153" t="s">
        <v>7340</v>
      </c>
    </row>
    <row r="5361" spans="1:1">
      <c r="A5361" s="153" t="s">
        <v>7341</v>
      </c>
    </row>
    <row r="5362" spans="1:1">
      <c r="A5362" s="153" t="s">
        <v>7342</v>
      </c>
    </row>
    <row r="5363" spans="1:1">
      <c r="A5363" s="153" t="s">
        <v>7343</v>
      </c>
    </row>
    <row r="5364" spans="1:1">
      <c r="A5364" s="153" t="s">
        <v>7344</v>
      </c>
    </row>
    <row r="5365" spans="1:1">
      <c r="A5365" s="153" t="s">
        <v>7345</v>
      </c>
    </row>
    <row r="5366" spans="1:1">
      <c r="A5366" s="153" t="s">
        <v>7346</v>
      </c>
    </row>
    <row r="5367" spans="1:1">
      <c r="A5367" s="153" t="s">
        <v>7347</v>
      </c>
    </row>
    <row r="5368" spans="1:1">
      <c r="A5368" s="153" t="s">
        <v>7348</v>
      </c>
    </row>
    <row r="5369" spans="1:1">
      <c r="A5369" s="153" t="s">
        <v>7349</v>
      </c>
    </row>
    <row r="5370" spans="1:1">
      <c r="A5370" s="153" t="s">
        <v>7350</v>
      </c>
    </row>
    <row r="5371" spans="1:1">
      <c r="A5371" s="153" t="s">
        <v>7351</v>
      </c>
    </row>
    <row r="5372" spans="1:1">
      <c r="A5372" s="153" t="s">
        <v>7352</v>
      </c>
    </row>
    <row r="5373" spans="1:1">
      <c r="A5373" s="153" t="s">
        <v>7353</v>
      </c>
    </row>
    <row r="5374" spans="1:1">
      <c r="A5374" s="153" t="s">
        <v>7354</v>
      </c>
    </row>
    <row r="5375" spans="1:1">
      <c r="A5375" s="153" t="s">
        <v>7355</v>
      </c>
    </row>
    <row r="5376" spans="1:1">
      <c r="A5376" s="153" t="s">
        <v>7356</v>
      </c>
    </row>
    <row r="5377" spans="1:1">
      <c r="A5377" s="153" t="s">
        <v>7357</v>
      </c>
    </row>
    <row r="5378" spans="1:1">
      <c r="A5378" s="153" t="s">
        <v>7358</v>
      </c>
    </row>
    <row r="5379" spans="1:1">
      <c r="A5379" s="153" t="s">
        <v>7359</v>
      </c>
    </row>
    <row r="5380" spans="1:1">
      <c r="A5380" s="153" t="s">
        <v>7360</v>
      </c>
    </row>
    <row r="5381" spans="1:1">
      <c r="A5381" s="153" t="s">
        <v>7361</v>
      </c>
    </row>
    <row r="5382" spans="1:1">
      <c r="A5382" s="153" t="s">
        <v>7362</v>
      </c>
    </row>
    <row r="5383" spans="1:1">
      <c r="A5383" s="153" t="s">
        <v>7363</v>
      </c>
    </row>
    <row r="5384" spans="1:1">
      <c r="A5384" s="153" t="s">
        <v>7364</v>
      </c>
    </row>
    <row r="5385" spans="1:1">
      <c r="A5385" s="153" t="s">
        <v>7365</v>
      </c>
    </row>
    <row r="5386" spans="1:1">
      <c r="A5386" s="153" t="s">
        <v>7366</v>
      </c>
    </row>
    <row r="5387" spans="1:1">
      <c r="A5387" s="153" t="s">
        <v>7367</v>
      </c>
    </row>
    <row r="5388" spans="1:1">
      <c r="A5388" s="153" t="s">
        <v>7368</v>
      </c>
    </row>
    <row r="5389" spans="1:1">
      <c r="A5389" s="153" t="s">
        <v>7369</v>
      </c>
    </row>
    <row r="5390" spans="1:1">
      <c r="A5390" s="153" t="s">
        <v>7370</v>
      </c>
    </row>
    <row r="5391" spans="1:1">
      <c r="A5391" s="153" t="s">
        <v>7371</v>
      </c>
    </row>
    <row r="5392" spans="1:1">
      <c r="A5392" s="153" t="s">
        <v>7372</v>
      </c>
    </row>
    <row r="5393" spans="1:1">
      <c r="A5393" s="153" t="s">
        <v>7373</v>
      </c>
    </row>
    <row r="5394" spans="1:1">
      <c r="A5394" s="153" t="s">
        <v>7374</v>
      </c>
    </row>
    <row r="5395" spans="1:1">
      <c r="A5395" s="153" t="s">
        <v>7375</v>
      </c>
    </row>
    <row r="5396" spans="1:1">
      <c r="A5396" s="153" t="s">
        <v>7376</v>
      </c>
    </row>
    <row r="5397" spans="1:1">
      <c r="A5397" s="153" t="s">
        <v>7377</v>
      </c>
    </row>
    <row r="5398" spans="1:1">
      <c r="A5398" s="153" t="s">
        <v>7378</v>
      </c>
    </row>
    <row r="5399" spans="1:1">
      <c r="A5399" s="153" t="s">
        <v>7379</v>
      </c>
    </row>
    <row r="5400" spans="1:1">
      <c r="A5400" s="153" t="s">
        <v>7380</v>
      </c>
    </row>
    <row r="5401" spans="1:1">
      <c r="A5401" s="153" t="s">
        <v>7381</v>
      </c>
    </row>
    <row r="5402" spans="1:1">
      <c r="A5402" s="153" t="s">
        <v>7382</v>
      </c>
    </row>
    <row r="5403" spans="1:1">
      <c r="A5403" s="153" t="s">
        <v>7383</v>
      </c>
    </row>
    <row r="5404" spans="1:1">
      <c r="A5404" s="153" t="s">
        <v>7384</v>
      </c>
    </row>
    <row r="5405" spans="1:1">
      <c r="A5405" s="153" t="s">
        <v>7385</v>
      </c>
    </row>
    <row r="5406" spans="1:1">
      <c r="A5406" s="153" t="s">
        <v>7386</v>
      </c>
    </row>
    <row r="5407" spans="1:1">
      <c r="A5407" s="153" t="s">
        <v>7387</v>
      </c>
    </row>
    <row r="5408" spans="1:1">
      <c r="A5408" s="153" t="s">
        <v>7388</v>
      </c>
    </row>
    <row r="5409" spans="1:1">
      <c r="A5409" s="153" t="s">
        <v>7389</v>
      </c>
    </row>
    <row r="5410" spans="1:1">
      <c r="A5410" s="153" t="s">
        <v>7390</v>
      </c>
    </row>
    <row r="5411" spans="1:1">
      <c r="A5411" s="153" t="s">
        <v>7391</v>
      </c>
    </row>
    <row r="5412" spans="1:1">
      <c r="A5412" s="153" t="s">
        <v>7392</v>
      </c>
    </row>
    <row r="5413" spans="1:1">
      <c r="A5413" s="153" t="s">
        <v>7393</v>
      </c>
    </row>
    <row r="5414" spans="1:1">
      <c r="A5414" s="153" t="s">
        <v>7394</v>
      </c>
    </row>
    <row r="5415" spans="1:1">
      <c r="A5415" s="153" t="s">
        <v>7395</v>
      </c>
    </row>
    <row r="5416" spans="1:1">
      <c r="A5416" s="153" t="s">
        <v>7396</v>
      </c>
    </row>
    <row r="5417" spans="1:1">
      <c r="A5417" s="153" t="s">
        <v>7397</v>
      </c>
    </row>
    <row r="5418" spans="1:1">
      <c r="A5418" s="153" t="s">
        <v>7398</v>
      </c>
    </row>
    <row r="5419" spans="1:1">
      <c r="A5419" s="153" t="s">
        <v>7399</v>
      </c>
    </row>
    <row r="5420" spans="1:1">
      <c r="A5420" s="153" t="s">
        <v>7400</v>
      </c>
    </row>
    <row r="5421" spans="1:1">
      <c r="A5421" s="153" t="s">
        <v>7401</v>
      </c>
    </row>
    <row r="5422" spans="1:1">
      <c r="A5422" s="153" t="s">
        <v>7402</v>
      </c>
    </row>
    <row r="5423" spans="1:1">
      <c r="A5423" s="153" t="s">
        <v>7403</v>
      </c>
    </row>
    <row r="5424" spans="1:1">
      <c r="A5424" s="153" t="s">
        <v>7404</v>
      </c>
    </row>
    <row r="5425" spans="1:1">
      <c r="A5425" s="153" t="s">
        <v>7405</v>
      </c>
    </row>
    <row r="5426" spans="1:1">
      <c r="A5426" s="153" t="s">
        <v>7406</v>
      </c>
    </row>
    <row r="5427" spans="1:1">
      <c r="A5427" s="153" t="s">
        <v>7407</v>
      </c>
    </row>
    <row r="5428" spans="1:1">
      <c r="A5428" s="153" t="s">
        <v>7408</v>
      </c>
    </row>
    <row r="5429" spans="1:1">
      <c r="A5429" s="153" t="s">
        <v>7409</v>
      </c>
    </row>
    <row r="5430" spans="1:1">
      <c r="A5430" s="153" t="s">
        <v>7410</v>
      </c>
    </row>
    <row r="5431" spans="1:1">
      <c r="A5431" s="153" t="s">
        <v>7411</v>
      </c>
    </row>
    <row r="5432" spans="1:1">
      <c r="A5432" s="153" t="s">
        <v>7412</v>
      </c>
    </row>
    <row r="5433" spans="1:1">
      <c r="A5433" s="153" t="s">
        <v>7413</v>
      </c>
    </row>
    <row r="5434" spans="1:1">
      <c r="A5434" s="153" t="s">
        <v>7414</v>
      </c>
    </row>
    <row r="5435" spans="1:1">
      <c r="A5435" s="153" t="s">
        <v>7415</v>
      </c>
    </row>
    <row r="5436" spans="1:1">
      <c r="A5436" s="153" t="s">
        <v>7416</v>
      </c>
    </row>
    <row r="5437" spans="1:1">
      <c r="A5437" s="153" t="s">
        <v>7417</v>
      </c>
    </row>
    <row r="5438" spans="1:1">
      <c r="A5438" s="153" t="s">
        <v>7418</v>
      </c>
    </row>
    <row r="5439" spans="1:1">
      <c r="A5439" s="153" t="s">
        <v>7419</v>
      </c>
    </row>
    <row r="5440" spans="1:1">
      <c r="A5440" s="153" t="s">
        <v>7420</v>
      </c>
    </row>
    <row r="5441" spans="1:1">
      <c r="A5441" s="153" t="s">
        <v>7421</v>
      </c>
    </row>
    <row r="5442" spans="1:1">
      <c r="A5442" s="153" t="s">
        <v>7422</v>
      </c>
    </row>
    <row r="5443" spans="1:1">
      <c r="A5443" s="153" t="s">
        <v>7423</v>
      </c>
    </row>
    <row r="5444" spans="1:1">
      <c r="A5444" s="153" t="s">
        <v>7424</v>
      </c>
    </row>
    <row r="5445" spans="1:1">
      <c r="A5445" s="153" t="s">
        <v>7425</v>
      </c>
    </row>
    <row r="5446" spans="1:1">
      <c r="A5446" s="153" t="s">
        <v>7426</v>
      </c>
    </row>
    <row r="5447" spans="1:1">
      <c r="A5447" s="153" t="s">
        <v>7427</v>
      </c>
    </row>
    <row r="5448" spans="1:1">
      <c r="A5448" s="153" t="s">
        <v>7428</v>
      </c>
    </row>
    <row r="5449" spans="1:1">
      <c r="A5449" s="153" t="s">
        <v>7429</v>
      </c>
    </row>
    <row r="5450" spans="1:1">
      <c r="A5450" s="153" t="s">
        <v>7430</v>
      </c>
    </row>
    <row r="5451" spans="1:1">
      <c r="A5451" s="153" t="s">
        <v>7431</v>
      </c>
    </row>
    <row r="5452" spans="1:1">
      <c r="A5452" s="153" t="s">
        <v>7432</v>
      </c>
    </row>
    <row r="5453" spans="1:1">
      <c r="A5453" s="153" t="s">
        <v>7433</v>
      </c>
    </row>
    <row r="5454" spans="1:1">
      <c r="A5454" s="153" t="s">
        <v>7434</v>
      </c>
    </row>
    <row r="5455" spans="1:1">
      <c r="A5455" s="153" t="s">
        <v>7435</v>
      </c>
    </row>
    <row r="5456" spans="1:1">
      <c r="A5456" s="153" t="s">
        <v>7436</v>
      </c>
    </row>
    <row r="5457" spans="1:1">
      <c r="A5457" s="153" t="s">
        <v>7437</v>
      </c>
    </row>
    <row r="5458" spans="1:1">
      <c r="A5458" s="153" t="s">
        <v>7438</v>
      </c>
    </row>
    <row r="5459" spans="1:1">
      <c r="A5459" s="153" t="s">
        <v>7439</v>
      </c>
    </row>
    <row r="5460" spans="1:1">
      <c r="A5460" s="153" t="s">
        <v>7440</v>
      </c>
    </row>
    <row r="5461" spans="1:1">
      <c r="A5461" s="153" t="s">
        <v>7441</v>
      </c>
    </row>
    <row r="5462" spans="1:1">
      <c r="A5462" s="153" t="s">
        <v>7442</v>
      </c>
    </row>
    <row r="5463" spans="1:1">
      <c r="A5463" s="153" t="s">
        <v>7443</v>
      </c>
    </row>
    <row r="5464" spans="1:1">
      <c r="A5464" s="153" t="s">
        <v>7444</v>
      </c>
    </row>
    <row r="5465" spans="1:1">
      <c r="A5465" s="153" t="s">
        <v>7445</v>
      </c>
    </row>
    <row r="5466" spans="1:1">
      <c r="A5466" s="153" t="s">
        <v>7446</v>
      </c>
    </row>
    <row r="5467" spans="1:1">
      <c r="A5467" s="153" t="s">
        <v>7447</v>
      </c>
    </row>
    <row r="5468" spans="1:1">
      <c r="A5468" s="153" t="s">
        <v>7448</v>
      </c>
    </row>
    <row r="5469" spans="1:1">
      <c r="A5469" s="153" t="s">
        <v>7449</v>
      </c>
    </row>
    <row r="5470" spans="1:1">
      <c r="A5470" s="153" t="s">
        <v>7450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selection activeCell="L35" sqref="L35"/>
    </sheetView>
  </sheetViews>
  <sheetFormatPr baseColWidth="10" defaultRowHeight="12"/>
  <cols>
    <col min="1" max="1" width="17.7109375" bestFit="1" customWidth="1"/>
    <col min="2" max="2" width="15.85546875" bestFit="1" customWidth="1"/>
  </cols>
  <sheetData>
    <row r="1" spans="1:8" ht="12.75">
      <c r="A1" s="210" t="s">
        <v>8156</v>
      </c>
      <c r="B1" s="210" t="s">
        <v>8157</v>
      </c>
    </row>
    <row r="2" spans="1:8" ht="12.75">
      <c r="A2" s="210" t="s">
        <v>8152</v>
      </c>
      <c r="B2" s="210" t="s">
        <v>8153</v>
      </c>
    </row>
    <row r="3" spans="1:8" ht="12.75">
      <c r="A3" s="210" t="s">
        <v>8154</v>
      </c>
      <c r="B3" s="210"/>
    </row>
    <row r="4" spans="1:8" ht="12.75">
      <c r="A4" s="210" t="s">
        <v>8155</v>
      </c>
      <c r="B4" s="211"/>
    </row>
    <row r="7" spans="1:8" ht="12.75">
      <c r="A7" s="265" t="s">
        <v>8158</v>
      </c>
      <c r="B7" s="212" t="s">
        <v>8159</v>
      </c>
      <c r="C7" s="264" t="s">
        <v>8160</v>
      </c>
      <c r="D7" s="264"/>
      <c r="E7" s="264"/>
      <c r="F7" s="264"/>
      <c r="G7" s="264"/>
      <c r="H7" s="213" t="s">
        <v>8161</v>
      </c>
    </row>
    <row r="8" spans="1:8" ht="12.75">
      <c r="A8" s="265"/>
      <c r="B8" s="212" t="s">
        <v>8162</v>
      </c>
      <c r="C8" s="264" t="s">
        <v>8163</v>
      </c>
      <c r="D8" s="264"/>
      <c r="E8" s="264"/>
      <c r="F8" s="264"/>
      <c r="G8" s="264"/>
      <c r="H8" s="213" t="s">
        <v>8161</v>
      </c>
    </row>
    <row r="9" spans="1:8" ht="12.75">
      <c r="A9" s="265"/>
      <c r="B9" s="212" t="s">
        <v>8164</v>
      </c>
      <c r="C9" s="264" t="s">
        <v>8165</v>
      </c>
      <c r="D9" s="264"/>
      <c r="E9" s="264"/>
      <c r="F9" s="264"/>
      <c r="G9" s="264"/>
      <c r="H9" s="213" t="s">
        <v>8161</v>
      </c>
    </row>
    <row r="10" spans="1:8" ht="12.75">
      <c r="A10" s="212" t="s">
        <v>8166</v>
      </c>
      <c r="B10" s="212" t="s">
        <v>8159</v>
      </c>
      <c r="C10" s="264" t="s">
        <v>8167</v>
      </c>
      <c r="D10" s="264"/>
      <c r="E10" s="264"/>
      <c r="F10" s="264"/>
      <c r="G10" s="264"/>
      <c r="H10" s="214" t="s">
        <v>251</v>
      </c>
    </row>
    <row r="11" spans="1:8" ht="12.75">
      <c r="A11" s="212" t="s">
        <v>8168</v>
      </c>
      <c r="B11" s="212" t="s">
        <v>8169</v>
      </c>
      <c r="C11" s="264" t="s">
        <v>8170</v>
      </c>
      <c r="D11" s="264"/>
      <c r="E11" s="264"/>
      <c r="F11" s="264"/>
      <c r="G11" s="264"/>
      <c r="H11" s="214" t="s">
        <v>8171</v>
      </c>
    </row>
    <row r="12" spans="1:8" ht="12.75">
      <c r="A12" s="212" t="s">
        <v>8172</v>
      </c>
      <c r="B12" s="212" t="s">
        <v>8173</v>
      </c>
      <c r="C12" s="264" t="s">
        <v>8174</v>
      </c>
      <c r="D12" s="264"/>
      <c r="E12" s="264"/>
      <c r="F12" s="264"/>
      <c r="G12" s="264"/>
      <c r="H12" s="214" t="s">
        <v>8175</v>
      </c>
    </row>
    <row r="13" spans="1:8" ht="12.75">
      <c r="A13" s="212" t="s">
        <v>8176</v>
      </c>
      <c r="B13" s="212" t="s">
        <v>8177</v>
      </c>
      <c r="C13" s="264" t="s">
        <v>8178</v>
      </c>
      <c r="D13" s="264"/>
      <c r="E13" s="264"/>
      <c r="F13" s="264"/>
      <c r="G13" s="264"/>
      <c r="H13" s="214" t="s">
        <v>8179</v>
      </c>
    </row>
    <row r="14" spans="1:8" ht="12.75">
      <c r="A14" s="212" t="s">
        <v>8180</v>
      </c>
      <c r="B14" s="212" t="s">
        <v>8181</v>
      </c>
      <c r="C14" s="264" t="s">
        <v>8182</v>
      </c>
      <c r="D14" s="264"/>
      <c r="E14" s="264"/>
      <c r="F14" s="264"/>
      <c r="G14" s="264"/>
      <c r="H14" s="214" t="s">
        <v>8179</v>
      </c>
    </row>
    <row r="15" spans="1:8" ht="12.75">
      <c r="A15" s="212" t="s">
        <v>8180</v>
      </c>
      <c r="B15" s="212" t="s">
        <v>7863</v>
      </c>
      <c r="C15" s="264" t="s">
        <v>8183</v>
      </c>
      <c r="D15" s="264"/>
      <c r="E15" s="264"/>
      <c r="F15" s="264"/>
      <c r="G15" s="264"/>
      <c r="H15" s="214" t="s">
        <v>8179</v>
      </c>
    </row>
    <row r="16" spans="1:8" ht="12.75">
      <c r="A16" s="212" t="s">
        <v>8184</v>
      </c>
      <c r="B16" s="212" t="s">
        <v>8185</v>
      </c>
      <c r="C16" s="264" t="s">
        <v>8186</v>
      </c>
      <c r="D16" s="264"/>
      <c r="E16" s="264"/>
      <c r="F16" s="264"/>
      <c r="G16" s="264"/>
      <c r="H16" s="214" t="s">
        <v>8179</v>
      </c>
    </row>
    <row r="17" spans="1:13" ht="12.75">
      <c r="A17" s="212" t="s">
        <v>8187</v>
      </c>
      <c r="B17" s="212" t="s">
        <v>8188</v>
      </c>
      <c r="C17" s="264" t="s">
        <v>8189</v>
      </c>
      <c r="D17" s="264"/>
      <c r="E17" s="264"/>
      <c r="F17" s="264"/>
      <c r="G17" s="264"/>
      <c r="H17" s="214" t="s">
        <v>8179</v>
      </c>
    </row>
    <row r="18" spans="1:13" ht="12.75">
      <c r="A18" s="215" t="s">
        <v>8190</v>
      </c>
      <c r="B18" s="215" t="s">
        <v>8187</v>
      </c>
      <c r="C18" s="210"/>
      <c r="D18" s="210"/>
      <c r="E18" s="210"/>
      <c r="F18" s="210"/>
      <c r="G18" s="210"/>
      <c r="H18" s="210"/>
    </row>
    <row r="20" spans="1:13" s="216" customFormat="1">
      <c r="A20" s="215"/>
      <c r="B20" s="263" t="s">
        <v>8158</v>
      </c>
      <c r="C20" s="263"/>
      <c r="D20" s="263"/>
      <c r="E20" s="215" t="s">
        <v>8166</v>
      </c>
      <c r="F20" s="215" t="s">
        <v>8168</v>
      </c>
      <c r="G20" s="215" t="s">
        <v>8172</v>
      </c>
      <c r="H20" s="215" t="s">
        <v>8176</v>
      </c>
      <c r="I20" s="215" t="s">
        <v>8180</v>
      </c>
      <c r="J20" s="215" t="s">
        <v>8180</v>
      </c>
      <c r="K20" s="215" t="s">
        <v>8184</v>
      </c>
      <c r="L20" s="215" t="s">
        <v>8187</v>
      </c>
      <c r="M20" s="215" t="s">
        <v>8190</v>
      </c>
    </row>
    <row r="21" spans="1:13" s="216" customFormat="1">
      <c r="A21" s="215" t="s">
        <v>213</v>
      </c>
      <c r="B21" s="215" t="s">
        <v>8159</v>
      </c>
      <c r="C21" s="215" t="s">
        <v>8162</v>
      </c>
      <c r="D21" s="215" t="s">
        <v>8164</v>
      </c>
      <c r="E21" s="215" t="s">
        <v>8159</v>
      </c>
      <c r="F21" s="215" t="s">
        <v>8169</v>
      </c>
      <c r="G21" s="215" t="s">
        <v>8173</v>
      </c>
      <c r="H21" s="215" t="s">
        <v>8177</v>
      </c>
      <c r="I21" s="215" t="s">
        <v>8181</v>
      </c>
      <c r="J21" s="215" t="s">
        <v>7863</v>
      </c>
      <c r="K21" s="215" t="s">
        <v>8185</v>
      </c>
      <c r="L21" s="215" t="s">
        <v>8188</v>
      </c>
      <c r="M21" s="215" t="s">
        <v>8187</v>
      </c>
    </row>
    <row r="25" spans="1:13" ht="18">
      <c r="C25" s="262" t="s">
        <v>8246</v>
      </c>
      <c r="D25" s="262"/>
      <c r="E25" s="262"/>
      <c r="F25" s="262"/>
      <c r="G25" s="262"/>
      <c r="H25" s="262"/>
      <c r="I25" s="262"/>
    </row>
  </sheetData>
  <mergeCells count="14">
    <mergeCell ref="C11:G11"/>
    <mergeCell ref="A7:A9"/>
    <mergeCell ref="C7:G7"/>
    <mergeCell ref="C8:G8"/>
    <mergeCell ref="C9:G9"/>
    <mergeCell ref="C10:G10"/>
    <mergeCell ref="C25:I25"/>
    <mergeCell ref="B20:D20"/>
    <mergeCell ref="C12:G12"/>
    <mergeCell ref="C13:G13"/>
    <mergeCell ref="C14:G14"/>
    <mergeCell ref="C15:G15"/>
    <mergeCell ref="C16:G16"/>
    <mergeCell ref="C17:G1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2" sqref="F12"/>
    </sheetView>
  </sheetViews>
  <sheetFormatPr baseColWidth="10" defaultRowHeight="12"/>
  <sheetData>
    <row r="1" spans="1:1" ht="15.75">
      <c r="A1" s="209" t="s">
        <v>8151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"/>
  <sheetViews>
    <sheetView workbookViewId="0">
      <selection activeCell="J28" sqref="J28"/>
    </sheetView>
  </sheetViews>
  <sheetFormatPr baseColWidth="10" defaultRowHeight="12"/>
  <sheetData>
    <row r="1" spans="1:25" ht="15.75">
      <c r="A1" s="217"/>
      <c r="B1" s="217"/>
      <c r="C1" s="218"/>
      <c r="D1" s="218"/>
      <c r="E1" s="218"/>
      <c r="F1" s="218"/>
      <c r="G1" s="218"/>
      <c r="H1" s="276" t="s">
        <v>8191</v>
      </c>
      <c r="I1" s="277"/>
      <c r="J1" s="278"/>
      <c r="K1" s="279" t="s">
        <v>8192</v>
      </c>
      <c r="L1" s="277"/>
      <c r="M1" s="277"/>
      <c r="N1" s="277"/>
      <c r="O1" s="277"/>
      <c r="P1" s="277"/>
      <c r="Q1" s="277"/>
      <c r="R1" s="278"/>
      <c r="S1" s="280" t="s">
        <v>8193</v>
      </c>
      <c r="T1" s="281"/>
      <c r="U1" s="282" t="s">
        <v>8194</v>
      </c>
      <c r="V1" s="282"/>
      <c r="W1" s="283"/>
      <c r="X1" s="219"/>
      <c r="Y1" s="216"/>
    </row>
    <row r="2" spans="1:25" ht="12.75">
      <c r="A2" s="220" t="s">
        <v>8195</v>
      </c>
      <c r="B2" s="220" t="s">
        <v>213</v>
      </c>
      <c r="C2" s="220" t="s">
        <v>22</v>
      </c>
      <c r="D2" s="220" t="s">
        <v>21</v>
      </c>
      <c r="E2" s="220" t="s">
        <v>8196</v>
      </c>
      <c r="F2" s="220" t="s">
        <v>8197</v>
      </c>
      <c r="G2" s="220" t="s">
        <v>8198</v>
      </c>
      <c r="H2" s="220" t="s">
        <v>8199</v>
      </c>
      <c r="I2" s="220" t="s">
        <v>8200</v>
      </c>
      <c r="J2" s="221" t="s">
        <v>8201</v>
      </c>
      <c r="K2" s="222" t="s">
        <v>8199</v>
      </c>
      <c r="L2" s="220" t="s">
        <v>8202</v>
      </c>
      <c r="M2" s="223" t="s">
        <v>8203</v>
      </c>
      <c r="N2" s="223" t="s">
        <v>8204</v>
      </c>
      <c r="O2" s="220" t="s">
        <v>8205</v>
      </c>
      <c r="P2" s="223" t="s">
        <v>8206</v>
      </c>
      <c r="Q2" s="223" t="s">
        <v>8207</v>
      </c>
      <c r="R2" s="224" t="s">
        <v>8208</v>
      </c>
      <c r="S2" s="225" t="s">
        <v>8209</v>
      </c>
      <c r="T2" s="223" t="s">
        <v>8210</v>
      </c>
      <c r="U2" s="226" t="s">
        <v>8211</v>
      </c>
      <c r="V2" s="226" t="s">
        <v>8212</v>
      </c>
      <c r="W2" s="227" t="s">
        <v>8213</v>
      </c>
      <c r="X2" s="228" t="s">
        <v>8214</v>
      </c>
      <c r="Y2" s="229" t="s">
        <v>8215</v>
      </c>
    </row>
    <row r="3" spans="1:25" ht="12.75">
      <c r="A3" s="230" t="s">
        <v>8216</v>
      </c>
      <c r="B3" s="231"/>
      <c r="C3" s="232"/>
      <c r="D3" s="232"/>
      <c r="E3" s="230"/>
      <c r="F3" s="233"/>
      <c r="G3" s="233"/>
      <c r="H3" s="233"/>
      <c r="I3" s="234"/>
      <c r="J3" s="235" t="e">
        <f>I3*L3</f>
        <v>#DIV/0!</v>
      </c>
      <c r="K3" s="236"/>
      <c r="L3" s="234" t="e">
        <f>R3/O3</f>
        <v>#DIV/0!</v>
      </c>
      <c r="M3" s="269"/>
      <c r="N3" s="284"/>
      <c r="O3" s="237">
        <f t="shared" ref="O3:O10" si="0">M3+N3</f>
        <v>0</v>
      </c>
      <c r="P3" s="269"/>
      <c r="Q3" s="270"/>
      <c r="R3" s="235">
        <f t="shared" ref="R3:R10" si="1">P3+Q3</f>
        <v>0</v>
      </c>
      <c r="S3" s="238" t="e">
        <f t="shared" ref="S3:S26" si="2">(R3+J3)/100</f>
        <v>#DIV/0!</v>
      </c>
      <c r="T3" s="239" t="e">
        <f>4.48*S3^(-0.25)</f>
        <v>#DIV/0!</v>
      </c>
      <c r="U3" s="271"/>
      <c r="V3" s="271"/>
      <c r="W3" s="240">
        <f>(U3*P3)</f>
        <v>0</v>
      </c>
      <c r="X3" s="240" t="e">
        <f>W3/R3</f>
        <v>#DIV/0!</v>
      </c>
      <c r="Y3" s="240" t="e">
        <f>W3/T3</f>
        <v>#DIV/0!</v>
      </c>
    </row>
    <row r="4" spans="1:25" ht="12.75">
      <c r="A4" s="230" t="s">
        <v>8216</v>
      </c>
      <c r="B4" s="231"/>
      <c r="C4" s="232"/>
      <c r="D4" s="232"/>
      <c r="E4" s="230"/>
      <c r="F4" s="233"/>
      <c r="G4" s="233"/>
      <c r="H4" s="233"/>
      <c r="I4" s="234"/>
      <c r="J4" s="235" t="e">
        <f t="shared" ref="J4:J26" si="3">I4*L4</f>
        <v>#DIV/0!</v>
      </c>
      <c r="K4" s="236"/>
      <c r="L4" s="234" t="e">
        <f t="shared" ref="L4:L26" si="4">R4/O4</f>
        <v>#DIV/0!</v>
      </c>
      <c r="M4" s="274"/>
      <c r="N4" s="275"/>
      <c r="O4" s="237">
        <f t="shared" si="0"/>
        <v>0</v>
      </c>
      <c r="P4" s="269"/>
      <c r="Q4" s="270"/>
      <c r="R4" s="235">
        <f t="shared" si="1"/>
        <v>0</v>
      </c>
      <c r="S4" s="238" t="e">
        <f t="shared" si="2"/>
        <v>#DIV/0!</v>
      </c>
      <c r="T4" s="239" t="e">
        <f t="shared" ref="T4:T26" si="5">4.48*S4^(-0.25)</f>
        <v>#DIV/0!</v>
      </c>
      <c r="U4" s="271"/>
      <c r="V4" s="271"/>
      <c r="W4" s="240">
        <f t="shared" ref="W4:W10" si="6">(U4*P4)</f>
        <v>0</v>
      </c>
      <c r="X4" s="240" t="e">
        <f t="shared" ref="X4:X26" si="7">W4/R4</f>
        <v>#DIV/0!</v>
      </c>
      <c r="Y4" s="240" t="e">
        <f t="shared" ref="Y4:Y10" si="8">W4/T4</f>
        <v>#DIV/0!</v>
      </c>
    </row>
    <row r="5" spans="1:25" ht="12.75">
      <c r="A5" s="230" t="s">
        <v>8216</v>
      </c>
      <c r="B5" s="231"/>
      <c r="C5" s="232"/>
      <c r="D5" s="232"/>
      <c r="E5" s="230"/>
      <c r="F5" s="233"/>
      <c r="G5" s="233"/>
      <c r="H5" s="233"/>
      <c r="I5" s="234"/>
      <c r="J5" s="235" t="e">
        <f t="shared" si="3"/>
        <v>#DIV/0!</v>
      </c>
      <c r="K5" s="236"/>
      <c r="L5" s="234" t="e">
        <f t="shared" si="4"/>
        <v>#DIV/0!</v>
      </c>
      <c r="M5" s="272"/>
      <c r="N5" s="273"/>
      <c r="O5" s="237">
        <f t="shared" si="0"/>
        <v>0</v>
      </c>
      <c r="P5" s="269"/>
      <c r="Q5" s="270"/>
      <c r="R5" s="235">
        <f t="shared" si="1"/>
        <v>0</v>
      </c>
      <c r="S5" s="238" t="e">
        <f t="shared" si="2"/>
        <v>#DIV/0!</v>
      </c>
      <c r="T5" s="239" t="e">
        <f t="shared" si="5"/>
        <v>#DIV/0!</v>
      </c>
      <c r="U5" s="271"/>
      <c r="V5" s="271"/>
      <c r="W5" s="240">
        <f t="shared" si="6"/>
        <v>0</v>
      </c>
      <c r="X5" s="240" t="e">
        <f t="shared" si="7"/>
        <v>#DIV/0!</v>
      </c>
      <c r="Y5" s="240" t="e">
        <f t="shared" si="8"/>
        <v>#DIV/0!</v>
      </c>
    </row>
    <row r="6" spans="1:25" ht="12.75">
      <c r="A6" s="230" t="s">
        <v>8216</v>
      </c>
      <c r="B6" s="231"/>
      <c r="C6" s="232"/>
      <c r="D6" s="232"/>
      <c r="E6" s="230"/>
      <c r="F6" s="233"/>
      <c r="G6" s="233"/>
      <c r="H6" s="233"/>
      <c r="I6" s="234"/>
      <c r="J6" s="235" t="e">
        <f t="shared" si="3"/>
        <v>#DIV/0!</v>
      </c>
      <c r="K6" s="236"/>
      <c r="L6" s="234" t="e">
        <f t="shared" si="4"/>
        <v>#DIV/0!</v>
      </c>
      <c r="M6" s="272"/>
      <c r="N6" s="273"/>
      <c r="O6" s="237">
        <f t="shared" si="0"/>
        <v>0</v>
      </c>
      <c r="P6" s="269"/>
      <c r="Q6" s="270"/>
      <c r="R6" s="235">
        <f t="shared" si="1"/>
        <v>0</v>
      </c>
      <c r="S6" s="238" t="e">
        <f t="shared" si="2"/>
        <v>#DIV/0!</v>
      </c>
      <c r="T6" s="239" t="e">
        <f t="shared" si="5"/>
        <v>#DIV/0!</v>
      </c>
      <c r="U6" s="271"/>
      <c r="V6" s="271"/>
      <c r="W6" s="240">
        <f t="shared" si="6"/>
        <v>0</v>
      </c>
      <c r="X6" s="240" t="e">
        <f t="shared" si="7"/>
        <v>#DIV/0!</v>
      </c>
      <c r="Y6" s="240" t="e">
        <f t="shared" si="8"/>
        <v>#DIV/0!</v>
      </c>
    </row>
    <row r="7" spans="1:25" ht="12.75">
      <c r="A7" s="230" t="s">
        <v>8217</v>
      </c>
      <c r="B7" s="231"/>
      <c r="C7" s="232"/>
      <c r="D7" s="232"/>
      <c r="E7" s="230"/>
      <c r="F7" s="233"/>
      <c r="G7" s="233"/>
      <c r="H7" s="233"/>
      <c r="I7" s="234"/>
      <c r="J7" s="235" t="e">
        <f t="shared" si="3"/>
        <v>#DIV/0!</v>
      </c>
      <c r="K7" s="236"/>
      <c r="L7" s="234" t="e">
        <f t="shared" si="4"/>
        <v>#DIV/0!</v>
      </c>
      <c r="M7" s="272"/>
      <c r="N7" s="273"/>
      <c r="O7" s="237">
        <f t="shared" si="0"/>
        <v>0</v>
      </c>
      <c r="P7" s="269"/>
      <c r="Q7" s="270"/>
      <c r="R7" s="235">
        <f t="shared" si="1"/>
        <v>0</v>
      </c>
      <c r="S7" s="238" t="e">
        <f t="shared" si="2"/>
        <v>#DIV/0!</v>
      </c>
      <c r="T7" s="239" t="e">
        <f t="shared" si="5"/>
        <v>#DIV/0!</v>
      </c>
      <c r="U7" s="271"/>
      <c r="V7" s="271"/>
      <c r="W7" s="240">
        <f t="shared" si="6"/>
        <v>0</v>
      </c>
      <c r="X7" s="240" t="e">
        <f t="shared" si="7"/>
        <v>#DIV/0!</v>
      </c>
      <c r="Y7" s="240" t="e">
        <f t="shared" si="8"/>
        <v>#DIV/0!</v>
      </c>
    </row>
    <row r="8" spans="1:25" ht="12.75">
      <c r="A8" s="230" t="s">
        <v>8217</v>
      </c>
      <c r="B8" s="231"/>
      <c r="C8" s="232"/>
      <c r="D8" s="232"/>
      <c r="E8" s="230"/>
      <c r="F8" s="233"/>
      <c r="G8" s="233"/>
      <c r="H8" s="233"/>
      <c r="I8" s="234"/>
      <c r="J8" s="235" t="e">
        <f t="shared" si="3"/>
        <v>#DIV/0!</v>
      </c>
      <c r="K8" s="236"/>
      <c r="L8" s="234" t="e">
        <f t="shared" si="4"/>
        <v>#DIV/0!</v>
      </c>
      <c r="M8" s="272"/>
      <c r="N8" s="273"/>
      <c r="O8" s="237">
        <f t="shared" si="0"/>
        <v>0</v>
      </c>
      <c r="P8" s="269"/>
      <c r="Q8" s="270"/>
      <c r="R8" s="235">
        <f t="shared" si="1"/>
        <v>0</v>
      </c>
      <c r="S8" s="238" t="e">
        <f t="shared" si="2"/>
        <v>#DIV/0!</v>
      </c>
      <c r="T8" s="239" t="e">
        <f t="shared" si="5"/>
        <v>#DIV/0!</v>
      </c>
      <c r="U8" s="271"/>
      <c r="V8" s="271"/>
      <c r="W8" s="240">
        <f t="shared" si="6"/>
        <v>0</v>
      </c>
      <c r="X8" s="240" t="e">
        <f t="shared" si="7"/>
        <v>#DIV/0!</v>
      </c>
      <c r="Y8" s="240" t="e">
        <f t="shared" si="8"/>
        <v>#DIV/0!</v>
      </c>
    </row>
    <row r="9" spans="1:25" ht="12.75">
      <c r="A9" s="230" t="s">
        <v>8217</v>
      </c>
      <c r="B9" s="231"/>
      <c r="C9" s="232"/>
      <c r="D9" s="232"/>
      <c r="E9" s="230"/>
      <c r="F9" s="233"/>
      <c r="G9" s="233"/>
      <c r="H9" s="233"/>
      <c r="I9" s="234"/>
      <c r="J9" s="235" t="e">
        <f t="shared" si="3"/>
        <v>#DIV/0!</v>
      </c>
      <c r="K9" s="236"/>
      <c r="L9" s="234" t="e">
        <f t="shared" si="4"/>
        <v>#DIV/0!</v>
      </c>
      <c r="M9" s="272"/>
      <c r="N9" s="273"/>
      <c r="O9" s="237">
        <f t="shared" si="0"/>
        <v>0</v>
      </c>
      <c r="P9" s="269"/>
      <c r="Q9" s="270"/>
      <c r="R9" s="235">
        <f t="shared" si="1"/>
        <v>0</v>
      </c>
      <c r="S9" s="238" t="e">
        <f t="shared" si="2"/>
        <v>#DIV/0!</v>
      </c>
      <c r="T9" s="239" t="e">
        <f t="shared" si="5"/>
        <v>#DIV/0!</v>
      </c>
      <c r="U9" s="271"/>
      <c r="V9" s="271"/>
      <c r="W9" s="240">
        <f t="shared" si="6"/>
        <v>0</v>
      </c>
      <c r="X9" s="240" t="e">
        <f t="shared" si="7"/>
        <v>#DIV/0!</v>
      </c>
      <c r="Y9" s="240" t="e">
        <f t="shared" si="8"/>
        <v>#DIV/0!</v>
      </c>
    </row>
    <row r="10" spans="1:25" ht="12.75">
      <c r="A10" s="230" t="s">
        <v>8217</v>
      </c>
      <c r="B10" s="231"/>
      <c r="C10" s="232"/>
      <c r="D10" s="232"/>
      <c r="E10" s="230"/>
      <c r="F10" s="233"/>
      <c r="G10" s="233"/>
      <c r="H10" s="233"/>
      <c r="I10" s="234"/>
      <c r="J10" s="235" t="e">
        <f t="shared" si="3"/>
        <v>#DIV/0!</v>
      </c>
      <c r="K10" s="236"/>
      <c r="L10" s="234" t="e">
        <f t="shared" si="4"/>
        <v>#DIV/0!</v>
      </c>
      <c r="M10" s="267"/>
      <c r="N10" s="268"/>
      <c r="O10" s="237">
        <f t="shared" si="0"/>
        <v>0</v>
      </c>
      <c r="P10" s="269"/>
      <c r="Q10" s="270"/>
      <c r="R10" s="235">
        <f t="shared" si="1"/>
        <v>0</v>
      </c>
      <c r="S10" s="238" t="e">
        <f t="shared" si="2"/>
        <v>#DIV/0!</v>
      </c>
      <c r="T10" s="239" t="e">
        <f t="shared" si="5"/>
        <v>#DIV/0!</v>
      </c>
      <c r="U10" s="271"/>
      <c r="V10" s="271"/>
      <c r="W10" s="240">
        <f t="shared" si="6"/>
        <v>0</v>
      </c>
      <c r="X10" s="240" t="e">
        <f t="shared" si="7"/>
        <v>#DIV/0!</v>
      </c>
      <c r="Y10" s="240" t="e">
        <f t="shared" si="8"/>
        <v>#DIV/0!</v>
      </c>
    </row>
    <row r="11" spans="1:25" ht="12.75">
      <c r="A11" s="230" t="s">
        <v>8218</v>
      </c>
      <c r="B11" s="231"/>
      <c r="C11" s="232"/>
      <c r="D11" s="232"/>
      <c r="E11" s="230"/>
      <c r="F11" s="233"/>
      <c r="G11" s="233"/>
      <c r="H11" s="233"/>
      <c r="I11" s="234"/>
      <c r="J11" s="235" t="e">
        <f t="shared" si="3"/>
        <v>#DIV/0!</v>
      </c>
      <c r="K11" s="236"/>
      <c r="L11" s="234" t="e">
        <f t="shared" si="4"/>
        <v>#DIV/0!</v>
      </c>
      <c r="M11" s="234"/>
      <c r="N11" s="237"/>
      <c r="O11" s="237">
        <f>M11+N11</f>
        <v>0</v>
      </c>
      <c r="P11" s="241"/>
      <c r="Q11" s="241"/>
      <c r="R11" s="235">
        <f>P11+Q11</f>
        <v>0</v>
      </c>
      <c r="S11" s="238" t="e">
        <f t="shared" si="2"/>
        <v>#DIV/0!</v>
      </c>
      <c r="T11" s="239" t="e">
        <f t="shared" si="5"/>
        <v>#DIV/0!</v>
      </c>
      <c r="U11" s="240"/>
      <c r="V11" s="240"/>
      <c r="W11" s="240">
        <f>(U11*P11)+(V11*Q11)</f>
        <v>0</v>
      </c>
      <c r="X11" s="240" t="e">
        <f t="shared" si="7"/>
        <v>#DIV/0!</v>
      </c>
      <c r="Y11" s="240" t="e">
        <f>X11/T11</f>
        <v>#DIV/0!</v>
      </c>
    </row>
    <row r="12" spans="1:25" ht="12.75">
      <c r="A12" s="230" t="s">
        <v>8218</v>
      </c>
      <c r="B12" s="231"/>
      <c r="C12" s="232"/>
      <c r="D12" s="232"/>
      <c r="E12" s="230"/>
      <c r="F12" s="233"/>
      <c r="G12" s="233"/>
      <c r="H12" s="233"/>
      <c r="I12" s="234"/>
      <c r="J12" s="235" t="e">
        <f t="shared" si="3"/>
        <v>#DIV/0!</v>
      </c>
      <c r="K12" s="236"/>
      <c r="L12" s="234" t="e">
        <f t="shared" si="4"/>
        <v>#DIV/0!</v>
      </c>
      <c r="M12" s="233"/>
      <c r="N12" s="241"/>
      <c r="O12" s="237">
        <f t="shared" ref="O12:O26" si="9">M12+N12</f>
        <v>0</v>
      </c>
      <c r="P12" s="233"/>
      <c r="Q12" s="233"/>
      <c r="R12" s="235">
        <f t="shared" ref="R12:R26" si="10">P12+Q12</f>
        <v>0</v>
      </c>
      <c r="S12" s="238" t="e">
        <f t="shared" si="2"/>
        <v>#DIV/0!</v>
      </c>
      <c r="T12" s="239" t="e">
        <f t="shared" si="5"/>
        <v>#DIV/0!</v>
      </c>
      <c r="U12" s="240"/>
      <c r="V12" s="240"/>
      <c r="W12" s="240">
        <f t="shared" ref="W12:W26" si="11">(U12*P12)+(V12*Q12)</f>
        <v>0</v>
      </c>
      <c r="X12" s="240" t="e">
        <f t="shared" si="7"/>
        <v>#DIV/0!</v>
      </c>
      <c r="Y12" s="240" t="e">
        <f t="shared" ref="Y12:Y26" si="12">X12/T12</f>
        <v>#DIV/0!</v>
      </c>
    </row>
    <row r="13" spans="1:25" ht="12.75">
      <c r="A13" s="230" t="s">
        <v>8218</v>
      </c>
      <c r="B13" s="231"/>
      <c r="C13" s="232"/>
      <c r="D13" s="232"/>
      <c r="E13" s="230"/>
      <c r="F13" s="233"/>
      <c r="G13" s="233"/>
      <c r="H13" s="233"/>
      <c r="I13" s="234"/>
      <c r="J13" s="235" t="e">
        <f t="shared" si="3"/>
        <v>#DIV/0!</v>
      </c>
      <c r="K13" s="236"/>
      <c r="L13" s="234" t="e">
        <f t="shared" si="4"/>
        <v>#DIV/0!</v>
      </c>
      <c r="M13" s="233"/>
      <c r="N13" s="233"/>
      <c r="O13" s="237">
        <f t="shared" si="9"/>
        <v>0</v>
      </c>
      <c r="P13" s="233"/>
      <c r="Q13" s="233"/>
      <c r="R13" s="235">
        <f t="shared" si="10"/>
        <v>0</v>
      </c>
      <c r="S13" s="238" t="e">
        <f t="shared" si="2"/>
        <v>#DIV/0!</v>
      </c>
      <c r="T13" s="239" t="e">
        <f t="shared" si="5"/>
        <v>#DIV/0!</v>
      </c>
      <c r="U13" s="240"/>
      <c r="V13" s="240"/>
      <c r="W13" s="240">
        <f t="shared" si="11"/>
        <v>0</v>
      </c>
      <c r="X13" s="240" t="e">
        <f t="shared" si="7"/>
        <v>#DIV/0!</v>
      </c>
      <c r="Y13" s="240" t="e">
        <f t="shared" si="12"/>
        <v>#DIV/0!</v>
      </c>
    </row>
    <row r="14" spans="1:25" ht="12.75">
      <c r="A14" s="230" t="s">
        <v>8218</v>
      </c>
      <c r="B14" s="231"/>
      <c r="C14" s="232"/>
      <c r="D14" s="232"/>
      <c r="E14" s="230"/>
      <c r="F14" s="233"/>
      <c r="G14" s="233"/>
      <c r="H14" s="233"/>
      <c r="I14" s="234"/>
      <c r="J14" s="235" t="e">
        <f t="shared" si="3"/>
        <v>#DIV/0!</v>
      </c>
      <c r="K14" s="236"/>
      <c r="L14" s="234" t="e">
        <f t="shared" si="4"/>
        <v>#DIV/0!</v>
      </c>
      <c r="M14" s="233"/>
      <c r="N14" s="233"/>
      <c r="O14" s="237">
        <f t="shared" si="9"/>
        <v>0</v>
      </c>
      <c r="P14" s="233"/>
      <c r="Q14" s="233"/>
      <c r="R14" s="235">
        <f t="shared" si="10"/>
        <v>0</v>
      </c>
      <c r="S14" s="238" t="e">
        <f t="shared" si="2"/>
        <v>#DIV/0!</v>
      </c>
      <c r="T14" s="239" t="e">
        <f t="shared" si="5"/>
        <v>#DIV/0!</v>
      </c>
      <c r="U14" s="240"/>
      <c r="V14" s="240"/>
      <c r="W14" s="240">
        <f t="shared" si="11"/>
        <v>0</v>
      </c>
      <c r="X14" s="240" t="e">
        <f t="shared" si="7"/>
        <v>#DIV/0!</v>
      </c>
      <c r="Y14" s="240" t="e">
        <f t="shared" si="12"/>
        <v>#DIV/0!</v>
      </c>
    </row>
    <row r="15" spans="1:25" ht="12.75">
      <c r="A15" s="230" t="s">
        <v>8218</v>
      </c>
      <c r="B15" s="231"/>
      <c r="C15" s="232"/>
      <c r="D15" s="232"/>
      <c r="E15" s="230"/>
      <c r="F15" s="233"/>
      <c r="G15" s="233"/>
      <c r="H15" s="233"/>
      <c r="I15" s="234"/>
      <c r="J15" s="235" t="e">
        <f t="shared" si="3"/>
        <v>#DIV/0!</v>
      </c>
      <c r="K15" s="236"/>
      <c r="L15" s="234" t="e">
        <f t="shared" si="4"/>
        <v>#DIV/0!</v>
      </c>
      <c r="M15" s="233"/>
      <c r="N15" s="233"/>
      <c r="O15" s="237">
        <f t="shared" si="9"/>
        <v>0</v>
      </c>
      <c r="P15" s="233"/>
      <c r="Q15" s="233"/>
      <c r="R15" s="235">
        <f t="shared" si="10"/>
        <v>0</v>
      </c>
      <c r="S15" s="238" t="e">
        <f t="shared" si="2"/>
        <v>#DIV/0!</v>
      </c>
      <c r="T15" s="239" t="e">
        <f t="shared" si="5"/>
        <v>#DIV/0!</v>
      </c>
      <c r="U15" s="240"/>
      <c r="V15" s="240"/>
      <c r="W15" s="240">
        <f t="shared" si="11"/>
        <v>0</v>
      </c>
      <c r="X15" s="240" t="e">
        <f t="shared" si="7"/>
        <v>#DIV/0!</v>
      </c>
      <c r="Y15" s="240" t="e">
        <f t="shared" si="12"/>
        <v>#DIV/0!</v>
      </c>
    </row>
    <row r="16" spans="1:25" ht="12.75">
      <c r="A16" s="230" t="s">
        <v>8218</v>
      </c>
      <c r="B16" s="231"/>
      <c r="C16" s="232"/>
      <c r="D16" s="232"/>
      <c r="E16" s="230"/>
      <c r="F16" s="233"/>
      <c r="G16" s="233"/>
      <c r="H16" s="233"/>
      <c r="I16" s="234"/>
      <c r="J16" s="235" t="e">
        <f t="shared" si="3"/>
        <v>#DIV/0!</v>
      </c>
      <c r="K16" s="236"/>
      <c r="L16" s="234" t="e">
        <f t="shared" si="4"/>
        <v>#DIV/0!</v>
      </c>
      <c r="M16" s="233"/>
      <c r="N16" s="233"/>
      <c r="O16" s="237">
        <f t="shared" si="9"/>
        <v>0</v>
      </c>
      <c r="P16" s="233"/>
      <c r="Q16" s="233"/>
      <c r="R16" s="235">
        <f t="shared" si="10"/>
        <v>0</v>
      </c>
      <c r="S16" s="238" t="e">
        <f t="shared" si="2"/>
        <v>#DIV/0!</v>
      </c>
      <c r="T16" s="239" t="e">
        <f t="shared" si="5"/>
        <v>#DIV/0!</v>
      </c>
      <c r="U16" s="240"/>
      <c r="V16" s="240"/>
      <c r="W16" s="240">
        <f t="shared" si="11"/>
        <v>0</v>
      </c>
      <c r="X16" s="240" t="e">
        <f t="shared" si="7"/>
        <v>#DIV/0!</v>
      </c>
      <c r="Y16" s="240" t="e">
        <f t="shared" si="12"/>
        <v>#DIV/0!</v>
      </c>
    </row>
    <row r="17" spans="1:25" ht="12.75">
      <c r="A17" s="230" t="s">
        <v>8218</v>
      </c>
      <c r="B17" s="231"/>
      <c r="C17" s="232"/>
      <c r="D17" s="232"/>
      <c r="E17" s="230"/>
      <c r="F17" s="233"/>
      <c r="G17" s="233"/>
      <c r="H17" s="233"/>
      <c r="I17" s="234"/>
      <c r="J17" s="235" t="e">
        <f t="shared" si="3"/>
        <v>#DIV/0!</v>
      </c>
      <c r="K17" s="236"/>
      <c r="L17" s="234" t="e">
        <f t="shared" si="4"/>
        <v>#DIV/0!</v>
      </c>
      <c r="M17" s="233"/>
      <c r="N17" s="233"/>
      <c r="O17" s="237">
        <f t="shared" si="9"/>
        <v>0</v>
      </c>
      <c r="P17" s="233"/>
      <c r="Q17" s="233"/>
      <c r="R17" s="235">
        <f t="shared" si="10"/>
        <v>0</v>
      </c>
      <c r="S17" s="238" t="e">
        <f t="shared" si="2"/>
        <v>#DIV/0!</v>
      </c>
      <c r="T17" s="239" t="e">
        <f t="shared" si="5"/>
        <v>#DIV/0!</v>
      </c>
      <c r="U17" s="242"/>
      <c r="V17" s="242"/>
      <c r="W17" s="240">
        <f t="shared" si="11"/>
        <v>0</v>
      </c>
      <c r="X17" s="240" t="e">
        <f t="shared" si="7"/>
        <v>#DIV/0!</v>
      </c>
      <c r="Y17" s="240" t="e">
        <f t="shared" si="12"/>
        <v>#DIV/0!</v>
      </c>
    </row>
    <row r="18" spans="1:25" ht="12.75">
      <c r="A18" s="230" t="s">
        <v>8218</v>
      </c>
      <c r="B18" s="231"/>
      <c r="C18" s="232"/>
      <c r="D18" s="232"/>
      <c r="E18" s="230"/>
      <c r="F18" s="233"/>
      <c r="G18" s="233"/>
      <c r="H18" s="233"/>
      <c r="I18" s="234"/>
      <c r="J18" s="235" t="e">
        <f t="shared" si="3"/>
        <v>#DIV/0!</v>
      </c>
      <c r="K18" s="236"/>
      <c r="L18" s="234" t="e">
        <f t="shared" si="4"/>
        <v>#DIV/0!</v>
      </c>
      <c r="M18" s="233"/>
      <c r="N18" s="233"/>
      <c r="O18" s="237">
        <f t="shared" si="9"/>
        <v>0</v>
      </c>
      <c r="P18" s="233"/>
      <c r="Q18" s="233"/>
      <c r="R18" s="235">
        <f t="shared" si="10"/>
        <v>0</v>
      </c>
      <c r="S18" s="238" t="e">
        <f t="shared" si="2"/>
        <v>#DIV/0!</v>
      </c>
      <c r="T18" s="239" t="e">
        <f t="shared" si="5"/>
        <v>#DIV/0!</v>
      </c>
      <c r="U18" s="240"/>
      <c r="V18" s="240"/>
      <c r="W18" s="240">
        <f t="shared" si="11"/>
        <v>0</v>
      </c>
      <c r="X18" s="240" t="e">
        <f t="shared" si="7"/>
        <v>#DIV/0!</v>
      </c>
      <c r="Y18" s="240" t="e">
        <f t="shared" si="12"/>
        <v>#DIV/0!</v>
      </c>
    </row>
    <row r="19" spans="1:25" ht="12.75">
      <c r="A19" s="230" t="s">
        <v>8219</v>
      </c>
      <c r="B19" s="231"/>
      <c r="C19" s="232"/>
      <c r="D19" s="232"/>
      <c r="E19" s="230"/>
      <c r="F19" s="233"/>
      <c r="G19" s="233"/>
      <c r="H19" s="233"/>
      <c r="I19" s="234"/>
      <c r="J19" s="235" t="e">
        <f t="shared" si="3"/>
        <v>#DIV/0!</v>
      </c>
      <c r="K19" s="236"/>
      <c r="L19" s="234" t="e">
        <f t="shared" si="4"/>
        <v>#DIV/0!</v>
      </c>
      <c r="M19" s="233"/>
      <c r="N19" s="233"/>
      <c r="O19" s="237">
        <f t="shared" si="9"/>
        <v>0</v>
      </c>
      <c r="P19" s="233"/>
      <c r="Q19" s="233"/>
      <c r="R19" s="235">
        <f t="shared" si="10"/>
        <v>0</v>
      </c>
      <c r="S19" s="238" t="e">
        <f t="shared" si="2"/>
        <v>#DIV/0!</v>
      </c>
      <c r="T19" s="239" t="e">
        <f t="shared" si="5"/>
        <v>#DIV/0!</v>
      </c>
      <c r="U19" s="240"/>
      <c r="V19" s="240"/>
      <c r="W19" s="240">
        <f t="shared" si="11"/>
        <v>0</v>
      </c>
      <c r="X19" s="240" t="e">
        <f t="shared" si="7"/>
        <v>#DIV/0!</v>
      </c>
      <c r="Y19" s="240" t="e">
        <f t="shared" si="12"/>
        <v>#DIV/0!</v>
      </c>
    </row>
    <row r="20" spans="1:25" ht="12.75">
      <c r="A20" s="230" t="s">
        <v>8219</v>
      </c>
      <c r="B20" s="231"/>
      <c r="C20" s="232"/>
      <c r="D20" s="232"/>
      <c r="E20" s="230"/>
      <c r="F20" s="233"/>
      <c r="G20" s="233"/>
      <c r="H20" s="233"/>
      <c r="I20" s="234"/>
      <c r="J20" s="235" t="e">
        <f t="shared" si="3"/>
        <v>#DIV/0!</v>
      </c>
      <c r="K20" s="236"/>
      <c r="L20" s="234" t="e">
        <f t="shared" si="4"/>
        <v>#DIV/0!</v>
      </c>
      <c r="M20" s="233"/>
      <c r="N20" s="233"/>
      <c r="O20" s="237">
        <f t="shared" si="9"/>
        <v>0</v>
      </c>
      <c r="P20" s="233"/>
      <c r="Q20" s="233"/>
      <c r="R20" s="235">
        <f t="shared" si="10"/>
        <v>0</v>
      </c>
      <c r="S20" s="238" t="e">
        <f t="shared" si="2"/>
        <v>#DIV/0!</v>
      </c>
      <c r="T20" s="239" t="e">
        <f t="shared" si="5"/>
        <v>#DIV/0!</v>
      </c>
      <c r="U20" s="240"/>
      <c r="V20" s="240"/>
      <c r="W20" s="240">
        <f t="shared" si="11"/>
        <v>0</v>
      </c>
      <c r="X20" s="240" t="e">
        <f t="shared" si="7"/>
        <v>#DIV/0!</v>
      </c>
      <c r="Y20" s="240" t="e">
        <f t="shared" si="12"/>
        <v>#DIV/0!</v>
      </c>
    </row>
    <row r="21" spans="1:25" ht="12.75">
      <c r="A21" s="230" t="s">
        <v>8219</v>
      </c>
      <c r="B21" s="231"/>
      <c r="C21" s="232"/>
      <c r="D21" s="232"/>
      <c r="E21" s="230"/>
      <c r="F21" s="233"/>
      <c r="G21" s="233"/>
      <c r="H21" s="233"/>
      <c r="I21" s="234"/>
      <c r="J21" s="235" t="e">
        <f t="shared" si="3"/>
        <v>#DIV/0!</v>
      </c>
      <c r="K21" s="236"/>
      <c r="L21" s="234" t="e">
        <f t="shared" si="4"/>
        <v>#DIV/0!</v>
      </c>
      <c r="M21" s="233"/>
      <c r="N21" s="233"/>
      <c r="O21" s="237">
        <f t="shared" si="9"/>
        <v>0</v>
      </c>
      <c r="P21" s="233"/>
      <c r="Q21" s="233"/>
      <c r="R21" s="235">
        <f t="shared" si="10"/>
        <v>0</v>
      </c>
      <c r="S21" s="238" t="e">
        <f t="shared" si="2"/>
        <v>#DIV/0!</v>
      </c>
      <c r="T21" s="239" t="e">
        <f t="shared" si="5"/>
        <v>#DIV/0!</v>
      </c>
      <c r="U21" s="240"/>
      <c r="V21" s="240"/>
      <c r="W21" s="240">
        <f t="shared" si="11"/>
        <v>0</v>
      </c>
      <c r="X21" s="240" t="e">
        <f t="shared" si="7"/>
        <v>#DIV/0!</v>
      </c>
      <c r="Y21" s="240" t="e">
        <f t="shared" si="12"/>
        <v>#DIV/0!</v>
      </c>
    </row>
    <row r="22" spans="1:25" ht="12.75">
      <c r="A22" s="230" t="s">
        <v>8219</v>
      </c>
      <c r="B22" s="231"/>
      <c r="C22" s="232"/>
      <c r="D22" s="232"/>
      <c r="E22" s="230"/>
      <c r="F22" s="233"/>
      <c r="G22" s="233"/>
      <c r="H22" s="233"/>
      <c r="I22" s="234"/>
      <c r="J22" s="235" t="e">
        <f t="shared" si="3"/>
        <v>#DIV/0!</v>
      </c>
      <c r="K22" s="236"/>
      <c r="L22" s="234" t="e">
        <f t="shared" si="4"/>
        <v>#DIV/0!</v>
      </c>
      <c r="M22" s="233"/>
      <c r="N22" s="233"/>
      <c r="O22" s="237">
        <f t="shared" si="9"/>
        <v>0</v>
      </c>
      <c r="P22" s="233"/>
      <c r="Q22" s="233"/>
      <c r="R22" s="235">
        <f t="shared" si="10"/>
        <v>0</v>
      </c>
      <c r="S22" s="238" t="e">
        <f t="shared" si="2"/>
        <v>#DIV/0!</v>
      </c>
      <c r="T22" s="239" t="e">
        <f t="shared" si="5"/>
        <v>#DIV/0!</v>
      </c>
      <c r="U22" s="240"/>
      <c r="V22" s="240"/>
      <c r="W22" s="240">
        <f t="shared" si="11"/>
        <v>0</v>
      </c>
      <c r="X22" s="240" t="e">
        <f t="shared" si="7"/>
        <v>#DIV/0!</v>
      </c>
      <c r="Y22" s="240" t="e">
        <f t="shared" si="12"/>
        <v>#DIV/0!</v>
      </c>
    </row>
    <row r="23" spans="1:25" ht="12.75">
      <c r="A23" s="230" t="s">
        <v>8219</v>
      </c>
      <c r="B23" s="231"/>
      <c r="C23" s="232"/>
      <c r="D23" s="232"/>
      <c r="E23" s="230"/>
      <c r="F23" s="233"/>
      <c r="G23" s="233"/>
      <c r="H23" s="233"/>
      <c r="I23" s="234"/>
      <c r="J23" s="235" t="e">
        <f t="shared" si="3"/>
        <v>#DIV/0!</v>
      </c>
      <c r="K23" s="236"/>
      <c r="L23" s="234" t="e">
        <f t="shared" si="4"/>
        <v>#DIV/0!</v>
      </c>
      <c r="M23" s="233"/>
      <c r="N23" s="233"/>
      <c r="O23" s="237">
        <f t="shared" si="9"/>
        <v>0</v>
      </c>
      <c r="P23" s="233"/>
      <c r="Q23" s="233"/>
      <c r="R23" s="235">
        <f t="shared" si="10"/>
        <v>0</v>
      </c>
      <c r="S23" s="238" t="e">
        <f t="shared" si="2"/>
        <v>#DIV/0!</v>
      </c>
      <c r="T23" s="239" t="e">
        <f t="shared" si="5"/>
        <v>#DIV/0!</v>
      </c>
      <c r="U23" s="240"/>
      <c r="V23" s="240"/>
      <c r="W23" s="240">
        <f t="shared" si="11"/>
        <v>0</v>
      </c>
      <c r="X23" s="240" t="e">
        <f t="shared" si="7"/>
        <v>#DIV/0!</v>
      </c>
      <c r="Y23" s="240" t="e">
        <f t="shared" si="12"/>
        <v>#DIV/0!</v>
      </c>
    </row>
    <row r="24" spans="1:25" ht="12.75">
      <c r="A24" s="230" t="s">
        <v>8219</v>
      </c>
      <c r="B24" s="231"/>
      <c r="C24" s="232"/>
      <c r="D24" s="232"/>
      <c r="E24" s="230"/>
      <c r="F24" s="233"/>
      <c r="G24" s="233"/>
      <c r="H24" s="233"/>
      <c r="I24" s="234"/>
      <c r="J24" s="235" t="e">
        <f t="shared" si="3"/>
        <v>#DIV/0!</v>
      </c>
      <c r="K24" s="236"/>
      <c r="L24" s="234" t="e">
        <f t="shared" si="4"/>
        <v>#DIV/0!</v>
      </c>
      <c r="M24" s="233"/>
      <c r="N24" s="233"/>
      <c r="O24" s="237">
        <f t="shared" si="9"/>
        <v>0</v>
      </c>
      <c r="P24" s="233"/>
      <c r="Q24" s="233"/>
      <c r="R24" s="235">
        <f t="shared" si="10"/>
        <v>0</v>
      </c>
      <c r="S24" s="238" t="e">
        <f t="shared" si="2"/>
        <v>#DIV/0!</v>
      </c>
      <c r="T24" s="239" t="e">
        <f t="shared" si="5"/>
        <v>#DIV/0!</v>
      </c>
      <c r="U24" s="240"/>
      <c r="V24" s="240"/>
      <c r="W24" s="240">
        <f t="shared" si="11"/>
        <v>0</v>
      </c>
      <c r="X24" s="240" t="e">
        <f t="shared" si="7"/>
        <v>#DIV/0!</v>
      </c>
      <c r="Y24" s="240" t="e">
        <f t="shared" si="12"/>
        <v>#DIV/0!</v>
      </c>
    </row>
    <row r="25" spans="1:25" ht="12.75">
      <c r="A25" s="230" t="s">
        <v>8219</v>
      </c>
      <c r="B25" s="231"/>
      <c r="C25" s="232"/>
      <c r="D25" s="232"/>
      <c r="E25" s="230"/>
      <c r="F25" s="233"/>
      <c r="G25" s="233"/>
      <c r="H25" s="233"/>
      <c r="I25" s="234"/>
      <c r="J25" s="235" t="e">
        <f t="shared" si="3"/>
        <v>#DIV/0!</v>
      </c>
      <c r="K25" s="236"/>
      <c r="L25" s="234" t="e">
        <f t="shared" si="4"/>
        <v>#DIV/0!</v>
      </c>
      <c r="M25" s="233"/>
      <c r="N25" s="233"/>
      <c r="O25" s="237">
        <f t="shared" si="9"/>
        <v>0</v>
      </c>
      <c r="P25" s="233"/>
      <c r="Q25" s="233"/>
      <c r="R25" s="235">
        <f t="shared" si="10"/>
        <v>0</v>
      </c>
      <c r="S25" s="238" t="e">
        <f t="shared" si="2"/>
        <v>#DIV/0!</v>
      </c>
      <c r="T25" s="239" t="e">
        <f t="shared" si="5"/>
        <v>#DIV/0!</v>
      </c>
      <c r="U25" s="242"/>
      <c r="V25" s="242"/>
      <c r="W25" s="240">
        <f t="shared" si="11"/>
        <v>0</v>
      </c>
      <c r="X25" s="240" t="e">
        <f t="shared" si="7"/>
        <v>#DIV/0!</v>
      </c>
      <c r="Y25" s="240" t="e">
        <f t="shared" si="12"/>
        <v>#DIV/0!</v>
      </c>
    </row>
    <row r="26" spans="1:25" ht="12.75">
      <c r="A26" s="230" t="s">
        <v>8219</v>
      </c>
      <c r="B26" s="231"/>
      <c r="C26" s="232"/>
      <c r="D26" s="232"/>
      <c r="E26" s="230"/>
      <c r="F26" s="233"/>
      <c r="G26" s="233"/>
      <c r="H26" s="233"/>
      <c r="I26" s="234"/>
      <c r="J26" s="235" t="e">
        <f t="shared" si="3"/>
        <v>#DIV/0!</v>
      </c>
      <c r="K26" s="236"/>
      <c r="L26" s="234" t="e">
        <f t="shared" si="4"/>
        <v>#DIV/0!</v>
      </c>
      <c r="M26" s="233"/>
      <c r="N26" s="233"/>
      <c r="O26" s="237">
        <f t="shared" si="9"/>
        <v>0</v>
      </c>
      <c r="P26" s="233"/>
      <c r="Q26" s="233"/>
      <c r="R26" s="235">
        <f t="shared" si="10"/>
        <v>0</v>
      </c>
      <c r="S26" s="238" t="e">
        <f t="shared" si="2"/>
        <v>#DIV/0!</v>
      </c>
      <c r="T26" s="239" t="e">
        <f t="shared" si="5"/>
        <v>#DIV/0!</v>
      </c>
      <c r="U26" s="240"/>
      <c r="V26" s="240"/>
      <c r="W26" s="240">
        <f t="shared" si="11"/>
        <v>0</v>
      </c>
      <c r="X26" s="240" t="e">
        <f t="shared" si="7"/>
        <v>#DIV/0!</v>
      </c>
      <c r="Y26" s="240" t="e">
        <f t="shared" si="12"/>
        <v>#DIV/0!</v>
      </c>
    </row>
    <row r="28" spans="1:25" ht="23.25">
      <c r="A28" s="266" t="s">
        <v>8245</v>
      </c>
      <c r="B28" s="266"/>
      <c r="C28" s="266"/>
      <c r="D28" s="266"/>
      <c r="E28" s="266"/>
      <c r="F28" s="266"/>
    </row>
    <row r="31" spans="1:25" ht="12.75">
      <c r="A31" s="243" t="s">
        <v>8220</v>
      </c>
      <c r="B31" s="217"/>
      <c r="C31" s="217"/>
      <c r="D31" s="217"/>
      <c r="E31" s="217"/>
      <c r="F31" s="217"/>
      <c r="G31" s="217"/>
      <c r="H31" s="217"/>
      <c r="I31" s="217"/>
      <c r="J31" s="217"/>
    </row>
    <row r="32" spans="1:25" ht="12.75">
      <c r="A32" s="244" t="s">
        <v>8221</v>
      </c>
      <c r="B32" s="217"/>
      <c r="C32" s="217"/>
      <c r="D32" s="217"/>
      <c r="E32" s="217"/>
      <c r="F32" s="217"/>
      <c r="G32" s="217"/>
      <c r="H32" s="217"/>
      <c r="I32" s="217"/>
      <c r="J32" s="217"/>
    </row>
    <row r="33" spans="1:10" ht="12.75">
      <c r="A33" s="244" t="s">
        <v>8222</v>
      </c>
      <c r="B33" s="217"/>
      <c r="C33" s="217"/>
      <c r="D33" s="217"/>
      <c r="E33" s="217"/>
      <c r="F33" s="217"/>
      <c r="G33" s="217"/>
      <c r="H33" s="217"/>
      <c r="I33" s="217"/>
      <c r="J33" s="217"/>
    </row>
    <row r="34" spans="1:10" ht="12.75">
      <c r="A34" s="244" t="s">
        <v>8223</v>
      </c>
      <c r="B34" s="217"/>
      <c r="C34" s="217"/>
      <c r="D34" s="217"/>
      <c r="E34" s="217"/>
      <c r="F34" s="217"/>
      <c r="G34" s="217"/>
      <c r="H34" s="217"/>
      <c r="I34" s="217"/>
      <c r="J34" s="217"/>
    </row>
    <row r="35" spans="1:10" ht="12.75">
      <c r="A35" s="243" t="s">
        <v>8224</v>
      </c>
      <c r="B35" s="217"/>
      <c r="C35" s="217"/>
      <c r="D35" s="217"/>
      <c r="E35" s="217"/>
      <c r="F35" s="217"/>
      <c r="G35" s="217"/>
      <c r="H35" s="217"/>
      <c r="I35" s="217"/>
      <c r="J35" s="217"/>
    </row>
    <row r="36" spans="1:10" ht="12.75">
      <c r="A36" s="243" t="s">
        <v>8225</v>
      </c>
      <c r="B36" s="217"/>
      <c r="C36" s="217"/>
      <c r="D36" s="217"/>
      <c r="E36" s="217"/>
      <c r="F36" s="217"/>
      <c r="G36" s="217"/>
      <c r="H36" s="217"/>
      <c r="I36" s="217"/>
      <c r="J36" s="217"/>
    </row>
    <row r="37" spans="1:10" ht="12.75">
      <c r="A37" s="243" t="s">
        <v>8226</v>
      </c>
      <c r="B37" s="217"/>
      <c r="C37" s="217"/>
      <c r="D37" s="217"/>
      <c r="E37" s="217"/>
      <c r="F37" s="217"/>
      <c r="G37" s="217"/>
      <c r="H37" s="217"/>
      <c r="I37" s="217"/>
      <c r="J37" s="217"/>
    </row>
    <row r="38" spans="1:10" ht="12.75">
      <c r="A38" s="244" t="s">
        <v>8227</v>
      </c>
      <c r="B38" s="217"/>
      <c r="C38" s="217"/>
      <c r="D38" s="217"/>
      <c r="E38" s="217"/>
      <c r="F38" s="217"/>
      <c r="G38" s="217"/>
      <c r="H38" s="217"/>
      <c r="I38" s="217"/>
      <c r="J38" s="217"/>
    </row>
    <row r="39" spans="1:10" ht="12.75">
      <c r="A39" s="244" t="s">
        <v>8228</v>
      </c>
      <c r="B39" s="217"/>
      <c r="C39" s="217"/>
      <c r="D39" s="217"/>
      <c r="E39" s="217"/>
      <c r="F39" s="217"/>
      <c r="G39" s="217"/>
      <c r="H39" s="217"/>
      <c r="I39" s="217"/>
      <c r="J39" s="217"/>
    </row>
    <row r="40" spans="1:10" ht="12.75">
      <c r="A40" s="244" t="s">
        <v>8229</v>
      </c>
      <c r="B40" s="217"/>
      <c r="C40" s="217"/>
      <c r="D40" s="217"/>
      <c r="E40" s="217"/>
      <c r="F40" s="217"/>
      <c r="G40" s="217"/>
      <c r="H40" s="217"/>
      <c r="I40" s="217"/>
      <c r="J40" s="217"/>
    </row>
    <row r="41" spans="1:10" ht="12.75">
      <c r="A41" s="244" t="s">
        <v>8230</v>
      </c>
      <c r="B41" s="217"/>
      <c r="C41" s="217"/>
      <c r="D41" s="217"/>
      <c r="E41" s="217"/>
      <c r="F41" s="217"/>
      <c r="G41" s="217"/>
      <c r="H41" s="217"/>
      <c r="I41" s="217"/>
      <c r="J41" s="217"/>
    </row>
    <row r="42" spans="1:10" ht="12.75">
      <c r="A42" s="217"/>
      <c r="B42" s="217"/>
      <c r="C42" s="217"/>
      <c r="D42" s="217"/>
      <c r="E42" s="217"/>
      <c r="F42" s="217"/>
      <c r="G42" s="217"/>
      <c r="H42" s="217"/>
      <c r="I42" s="217"/>
      <c r="J42" s="217"/>
    </row>
    <row r="43" spans="1:10" ht="12.75">
      <c r="A43" s="217" t="s">
        <v>8231</v>
      </c>
      <c r="B43" s="217"/>
      <c r="C43" s="217"/>
      <c r="D43" s="217"/>
      <c r="E43" s="217"/>
      <c r="F43" s="217"/>
      <c r="G43" s="217"/>
      <c r="H43" s="217"/>
      <c r="I43" s="217"/>
      <c r="J43" s="217"/>
    </row>
  </sheetData>
  <mergeCells count="29">
    <mergeCell ref="H1:J1"/>
    <mergeCell ref="K1:R1"/>
    <mergeCell ref="S1:T1"/>
    <mergeCell ref="U1:W1"/>
    <mergeCell ref="M3:N3"/>
    <mergeCell ref="P3:Q3"/>
    <mergeCell ref="U3:V3"/>
    <mergeCell ref="M4:N4"/>
    <mergeCell ref="P4:Q4"/>
    <mergeCell ref="U4:V4"/>
    <mergeCell ref="M5:N5"/>
    <mergeCell ref="P5:Q5"/>
    <mergeCell ref="U5:V5"/>
    <mergeCell ref="M6:N6"/>
    <mergeCell ref="P6:Q6"/>
    <mergeCell ref="U6:V6"/>
    <mergeCell ref="M7:N7"/>
    <mergeCell ref="P7:Q7"/>
    <mergeCell ref="U7:V7"/>
    <mergeCell ref="A28:F28"/>
    <mergeCell ref="M10:N10"/>
    <mergeCell ref="P10:Q10"/>
    <mergeCell ref="U10:V10"/>
    <mergeCell ref="M8:N8"/>
    <mergeCell ref="P8:Q8"/>
    <mergeCell ref="U8:V8"/>
    <mergeCell ref="M9:N9"/>
    <mergeCell ref="P9:Q9"/>
    <mergeCell ref="U9:V9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38"/>
  <sheetViews>
    <sheetView workbookViewId="0">
      <selection activeCell="AA16" sqref="AA16"/>
    </sheetView>
  </sheetViews>
  <sheetFormatPr baseColWidth="10" defaultRowHeight="12"/>
  <cols>
    <col min="1" max="1" width="7.85546875" bestFit="1" customWidth="1"/>
    <col min="2" max="37" width="4" bestFit="1" customWidth="1"/>
    <col min="38" max="38" width="6.42578125" customWidth="1"/>
    <col min="39" max="39" width="7.85546875" bestFit="1" customWidth="1"/>
    <col min="40" max="75" width="4" bestFit="1" customWidth="1"/>
  </cols>
  <sheetData>
    <row r="1" spans="1:75" ht="15">
      <c r="A1" s="245" t="s">
        <v>8232</v>
      </c>
      <c r="B1" s="246" t="s">
        <v>8233</v>
      </c>
      <c r="C1" s="246" t="s">
        <v>8233</v>
      </c>
      <c r="D1" s="246" t="s">
        <v>8233</v>
      </c>
      <c r="E1" s="246" t="s">
        <v>8233</v>
      </c>
      <c r="F1" s="246" t="s">
        <v>8233</v>
      </c>
      <c r="G1" s="246" t="s">
        <v>8233</v>
      </c>
      <c r="H1" s="246" t="s">
        <v>8233</v>
      </c>
      <c r="I1" s="246" t="s">
        <v>8233</v>
      </c>
      <c r="J1" s="246" t="s">
        <v>8233</v>
      </c>
      <c r="K1" s="246" t="s">
        <v>8233</v>
      </c>
      <c r="L1" s="246" t="s">
        <v>8233</v>
      </c>
      <c r="M1" s="246" t="s">
        <v>8233</v>
      </c>
      <c r="N1" s="246" t="s">
        <v>8233</v>
      </c>
      <c r="O1" s="246" t="s">
        <v>8233</v>
      </c>
      <c r="P1" s="246" t="s">
        <v>8233</v>
      </c>
      <c r="Q1" s="246" t="s">
        <v>8233</v>
      </c>
      <c r="R1" s="246" t="s">
        <v>8233</v>
      </c>
      <c r="S1" s="246" t="s">
        <v>8233</v>
      </c>
      <c r="T1" s="246" t="s">
        <v>8233</v>
      </c>
      <c r="U1" s="246" t="s">
        <v>8233</v>
      </c>
      <c r="V1" s="246" t="s">
        <v>8233</v>
      </c>
      <c r="W1" s="246" t="s">
        <v>8233</v>
      </c>
      <c r="X1" s="246" t="s">
        <v>8233</v>
      </c>
      <c r="Y1" s="246" t="s">
        <v>8233</v>
      </c>
      <c r="Z1" s="246" t="s">
        <v>8233</v>
      </c>
      <c r="AA1" s="246" t="s">
        <v>8233</v>
      </c>
      <c r="AB1" s="246" t="s">
        <v>8234</v>
      </c>
      <c r="AC1" s="246" t="s">
        <v>8235</v>
      </c>
      <c r="AD1" s="246" t="s">
        <v>8233</v>
      </c>
      <c r="AE1" s="246" t="s">
        <v>8233</v>
      </c>
      <c r="AF1" s="246" t="s">
        <v>8233</v>
      </c>
      <c r="AG1" s="246" t="s">
        <v>8233</v>
      </c>
      <c r="AH1" s="246" t="s">
        <v>8233</v>
      </c>
      <c r="AI1" s="246" t="s">
        <v>8233</v>
      </c>
      <c r="AJ1" s="246" t="s">
        <v>8233</v>
      </c>
      <c r="AK1" s="246" t="s">
        <v>8234</v>
      </c>
      <c r="AL1" s="246"/>
    </row>
    <row r="2" spans="1:75" ht="15">
      <c r="A2" s="245" t="s">
        <v>8239</v>
      </c>
      <c r="B2" s="246">
        <v>1</v>
      </c>
      <c r="C2" s="246">
        <v>2</v>
      </c>
      <c r="D2" s="246">
        <v>3</v>
      </c>
      <c r="E2" s="246">
        <v>4</v>
      </c>
      <c r="F2" s="246">
        <v>5</v>
      </c>
      <c r="G2" s="246">
        <v>6</v>
      </c>
      <c r="H2" s="246">
        <v>7</v>
      </c>
      <c r="I2" s="246">
        <v>8</v>
      </c>
      <c r="J2" s="246">
        <v>9</v>
      </c>
      <c r="K2" s="246">
        <v>10</v>
      </c>
      <c r="L2" s="246">
        <v>11</v>
      </c>
      <c r="M2" s="246">
        <v>12</v>
      </c>
      <c r="N2" s="246">
        <v>13</v>
      </c>
      <c r="O2" s="246">
        <v>14</v>
      </c>
      <c r="P2" s="246">
        <v>15</v>
      </c>
      <c r="Q2" s="246">
        <v>16</v>
      </c>
      <c r="R2" s="246">
        <v>17</v>
      </c>
      <c r="S2" s="246">
        <v>18</v>
      </c>
      <c r="T2" s="246">
        <v>19</v>
      </c>
      <c r="U2" s="246">
        <v>20</v>
      </c>
      <c r="V2" s="246">
        <v>21</v>
      </c>
      <c r="W2" s="246">
        <v>22</v>
      </c>
      <c r="X2" s="246">
        <v>23</v>
      </c>
      <c r="Y2" s="246">
        <v>24</v>
      </c>
      <c r="Z2" s="246">
        <v>25</v>
      </c>
      <c r="AA2" s="246">
        <v>26</v>
      </c>
      <c r="AB2" s="246">
        <v>27</v>
      </c>
      <c r="AC2" s="246">
        <v>28</v>
      </c>
      <c r="AD2" s="246">
        <v>29</v>
      </c>
      <c r="AE2" s="246">
        <v>30</v>
      </c>
      <c r="AF2" s="246">
        <v>31</v>
      </c>
      <c r="AG2" s="246">
        <v>32</v>
      </c>
      <c r="AH2" s="246">
        <v>33</v>
      </c>
      <c r="AI2" s="246">
        <v>34</v>
      </c>
      <c r="AJ2" s="246">
        <v>35</v>
      </c>
      <c r="AK2" s="246">
        <v>36</v>
      </c>
      <c r="AL2" s="246"/>
    </row>
    <row r="3" spans="1:75" ht="15">
      <c r="A3" s="245" t="s">
        <v>274</v>
      </c>
      <c r="B3" s="246" t="s">
        <v>8233</v>
      </c>
      <c r="C3" s="246" t="s">
        <v>8233</v>
      </c>
      <c r="D3" s="246" t="s">
        <v>8233</v>
      </c>
      <c r="E3" s="246" t="s">
        <v>8233</v>
      </c>
      <c r="F3" s="246" t="s">
        <v>8233</v>
      </c>
      <c r="G3" s="246" t="s">
        <v>8233</v>
      </c>
      <c r="H3" s="246" t="s">
        <v>8233</v>
      </c>
      <c r="I3" s="246" t="s">
        <v>8233</v>
      </c>
      <c r="J3" s="246" t="s">
        <v>8233</v>
      </c>
      <c r="K3" s="246" t="s">
        <v>8233</v>
      </c>
      <c r="L3" s="246" t="s">
        <v>8233</v>
      </c>
      <c r="M3" s="246" t="s">
        <v>8233</v>
      </c>
      <c r="N3" s="246" t="s">
        <v>8233</v>
      </c>
      <c r="O3" s="246" t="s">
        <v>8233</v>
      </c>
      <c r="P3" s="246" t="s">
        <v>8233</v>
      </c>
      <c r="Q3" s="246" t="s">
        <v>8233</v>
      </c>
      <c r="R3" s="246" t="s">
        <v>8233</v>
      </c>
      <c r="S3" s="246" t="s">
        <v>8233</v>
      </c>
      <c r="T3" s="246" t="s">
        <v>8233</v>
      </c>
      <c r="U3" s="246" t="s">
        <v>8233</v>
      </c>
      <c r="V3" s="246" t="s">
        <v>8233</v>
      </c>
      <c r="W3" s="246" t="s">
        <v>8233</v>
      </c>
      <c r="X3" s="246" t="s">
        <v>8233</v>
      </c>
      <c r="Y3" s="246" t="s">
        <v>8233</v>
      </c>
      <c r="Z3" s="246" t="s">
        <v>8233</v>
      </c>
      <c r="AA3" s="246" t="s">
        <v>8233</v>
      </c>
      <c r="AB3" s="246" t="s">
        <v>8234</v>
      </c>
      <c r="AC3" s="246" t="s">
        <v>8235</v>
      </c>
      <c r="AD3" s="246" t="s">
        <v>8233</v>
      </c>
      <c r="AE3" s="246" t="s">
        <v>8233</v>
      </c>
      <c r="AF3" s="246" t="s">
        <v>8233</v>
      </c>
      <c r="AG3" s="246" t="s">
        <v>8233</v>
      </c>
      <c r="AH3" s="246" t="s">
        <v>8233</v>
      </c>
      <c r="AI3" s="246" t="s">
        <v>8233</v>
      </c>
      <c r="AJ3" s="246" t="s">
        <v>8233</v>
      </c>
      <c r="AK3" s="246" t="s">
        <v>8234</v>
      </c>
      <c r="AL3" s="246"/>
    </row>
    <row r="4" spans="1:75" ht="15">
      <c r="A4" s="245">
        <v>19</v>
      </c>
      <c r="B4" s="247">
        <v>180</v>
      </c>
      <c r="C4" s="247">
        <v>158</v>
      </c>
      <c r="D4" s="247">
        <v>9</v>
      </c>
      <c r="E4" s="247">
        <v>133</v>
      </c>
      <c r="F4" s="247">
        <v>191</v>
      </c>
      <c r="G4" s="247">
        <v>179</v>
      </c>
      <c r="H4" s="247">
        <v>125</v>
      </c>
      <c r="I4" s="247">
        <v>207</v>
      </c>
      <c r="J4" s="247">
        <v>119</v>
      </c>
      <c r="K4" s="247">
        <v>153</v>
      </c>
      <c r="L4" s="247">
        <v>3</v>
      </c>
      <c r="M4" s="247">
        <v>44</v>
      </c>
      <c r="N4" s="247">
        <v>205</v>
      </c>
      <c r="O4" s="247">
        <v>131</v>
      </c>
      <c r="P4" s="247">
        <v>140</v>
      </c>
      <c r="Q4" s="247">
        <v>123</v>
      </c>
      <c r="R4" s="247">
        <v>106</v>
      </c>
      <c r="S4" s="247">
        <v>105</v>
      </c>
      <c r="T4" s="247">
        <v>35</v>
      </c>
      <c r="U4" s="247">
        <v>32</v>
      </c>
      <c r="V4" s="247">
        <v>189</v>
      </c>
      <c r="W4" s="247">
        <v>157</v>
      </c>
      <c r="X4" s="247">
        <v>195</v>
      </c>
      <c r="Y4" s="247">
        <v>137</v>
      </c>
      <c r="Z4" s="247">
        <v>24</v>
      </c>
      <c r="AA4" s="247">
        <v>14</v>
      </c>
      <c r="AB4" s="247">
        <v>120</v>
      </c>
      <c r="AC4" s="247">
        <v>94</v>
      </c>
      <c r="AD4" s="247">
        <v>187</v>
      </c>
      <c r="AE4" s="247">
        <v>77</v>
      </c>
      <c r="AF4" s="247">
        <v>200</v>
      </c>
      <c r="AG4" s="247">
        <v>175</v>
      </c>
      <c r="AH4" s="247">
        <v>63</v>
      </c>
      <c r="AI4" s="247">
        <v>70</v>
      </c>
      <c r="AJ4" s="247">
        <v>8</v>
      </c>
      <c r="AK4" s="247">
        <v>80</v>
      </c>
      <c r="AL4" s="246"/>
    </row>
    <row r="5" spans="1:75" ht="15">
      <c r="A5" s="245">
        <v>20</v>
      </c>
      <c r="B5" s="247">
        <v>113</v>
      </c>
      <c r="C5" s="247">
        <v>93</v>
      </c>
      <c r="D5" s="247">
        <v>88</v>
      </c>
      <c r="E5" s="247">
        <v>210</v>
      </c>
      <c r="F5" s="247">
        <v>163</v>
      </c>
      <c r="G5" s="247">
        <v>206</v>
      </c>
      <c r="H5" s="247">
        <v>108</v>
      </c>
      <c r="I5" s="247">
        <v>52</v>
      </c>
      <c r="J5" s="247">
        <v>213</v>
      </c>
      <c r="K5" s="247">
        <v>56</v>
      </c>
      <c r="L5" s="247">
        <v>182</v>
      </c>
      <c r="M5" s="247">
        <v>215</v>
      </c>
      <c r="N5" s="247">
        <v>18</v>
      </c>
      <c r="O5" s="247">
        <v>46</v>
      </c>
      <c r="P5" s="247">
        <v>40</v>
      </c>
      <c r="Q5" s="247">
        <v>7</v>
      </c>
      <c r="R5" s="247">
        <v>98</v>
      </c>
      <c r="S5" s="247">
        <v>149</v>
      </c>
      <c r="T5" s="247">
        <v>19</v>
      </c>
      <c r="U5" s="247">
        <v>188</v>
      </c>
      <c r="V5" s="247">
        <v>11</v>
      </c>
      <c r="W5" s="247">
        <v>186</v>
      </c>
      <c r="X5" s="247">
        <v>109</v>
      </c>
      <c r="Y5" s="247">
        <v>50</v>
      </c>
      <c r="Z5" s="247">
        <v>83</v>
      </c>
      <c r="AA5" s="247">
        <v>203</v>
      </c>
      <c r="AB5" s="247">
        <v>99</v>
      </c>
      <c r="AC5" s="247">
        <v>95</v>
      </c>
      <c r="AD5" s="247">
        <v>152</v>
      </c>
      <c r="AE5" s="247">
        <v>2</v>
      </c>
      <c r="AF5" s="247">
        <v>124</v>
      </c>
      <c r="AG5" s="247">
        <v>159</v>
      </c>
      <c r="AH5" s="247">
        <v>13</v>
      </c>
      <c r="AI5" s="247">
        <v>161</v>
      </c>
      <c r="AJ5" s="247">
        <v>173</v>
      </c>
      <c r="AK5" s="247">
        <v>16</v>
      </c>
      <c r="AL5" s="246"/>
    </row>
    <row r="6" spans="1:75" ht="15">
      <c r="A6" s="245">
        <v>21</v>
      </c>
      <c r="B6" s="247">
        <v>51</v>
      </c>
      <c r="C6" s="248">
        <v>217</v>
      </c>
      <c r="D6" s="247">
        <v>36</v>
      </c>
      <c r="E6" s="247">
        <v>15</v>
      </c>
      <c r="F6" s="247">
        <v>81</v>
      </c>
      <c r="G6" s="247">
        <v>4</v>
      </c>
      <c r="H6" s="247">
        <v>87</v>
      </c>
      <c r="I6" s="247">
        <v>89</v>
      </c>
      <c r="J6" s="247">
        <v>58</v>
      </c>
      <c r="K6" s="247">
        <v>130</v>
      </c>
      <c r="L6" s="247">
        <v>27</v>
      </c>
      <c r="M6" s="247">
        <v>62</v>
      </c>
      <c r="N6" s="247">
        <v>12</v>
      </c>
      <c r="O6" s="247">
        <v>135</v>
      </c>
      <c r="P6" s="247">
        <v>61</v>
      </c>
      <c r="Q6" s="247">
        <v>100</v>
      </c>
      <c r="R6" s="247">
        <v>216</v>
      </c>
      <c r="S6" s="247">
        <v>171</v>
      </c>
      <c r="T6" s="247">
        <v>156</v>
      </c>
      <c r="U6" s="247">
        <v>47</v>
      </c>
      <c r="V6" s="247">
        <v>43</v>
      </c>
      <c r="W6" s="247">
        <v>26</v>
      </c>
      <c r="X6" s="247">
        <v>17</v>
      </c>
      <c r="Y6" s="247">
        <v>64</v>
      </c>
      <c r="Z6" s="247">
        <v>68</v>
      </c>
      <c r="AA6" s="247">
        <v>132</v>
      </c>
      <c r="AB6" s="247">
        <v>31</v>
      </c>
      <c r="AC6" s="247">
        <v>117</v>
      </c>
      <c r="AD6" s="247">
        <v>122</v>
      </c>
      <c r="AE6" s="247">
        <v>75</v>
      </c>
      <c r="AF6" s="247">
        <v>103</v>
      </c>
      <c r="AG6" s="247">
        <v>45</v>
      </c>
      <c r="AH6" s="247">
        <v>170</v>
      </c>
      <c r="AI6" s="247">
        <v>211</v>
      </c>
      <c r="AJ6" s="247">
        <v>150</v>
      </c>
      <c r="AK6" s="247">
        <v>155</v>
      </c>
      <c r="AL6" s="246"/>
    </row>
    <row r="7" spans="1:75" ht="15">
      <c r="A7" s="245">
        <v>22</v>
      </c>
      <c r="B7" s="247">
        <v>71</v>
      </c>
      <c r="C7" s="247">
        <v>102</v>
      </c>
      <c r="D7" s="247">
        <v>192</v>
      </c>
      <c r="E7" s="247">
        <v>178</v>
      </c>
      <c r="F7" s="247">
        <v>177</v>
      </c>
      <c r="G7" s="247">
        <v>174</v>
      </c>
      <c r="H7" s="247">
        <v>146</v>
      </c>
      <c r="I7" s="247">
        <v>184</v>
      </c>
      <c r="J7" s="247">
        <v>181</v>
      </c>
      <c r="K7" s="247">
        <v>42</v>
      </c>
      <c r="L7" s="247">
        <v>141</v>
      </c>
      <c r="M7" s="247">
        <v>136</v>
      </c>
      <c r="N7" s="247">
        <v>183</v>
      </c>
      <c r="O7" s="247">
        <v>10</v>
      </c>
      <c r="P7" s="247">
        <v>154</v>
      </c>
      <c r="Q7" s="247">
        <v>196</v>
      </c>
      <c r="R7" s="247">
        <v>104</v>
      </c>
      <c r="S7" s="247">
        <v>53</v>
      </c>
      <c r="T7" s="247">
        <v>25</v>
      </c>
      <c r="U7" s="247">
        <v>92</v>
      </c>
      <c r="V7" s="247">
        <v>121</v>
      </c>
      <c r="W7" s="247">
        <v>54</v>
      </c>
      <c r="X7" s="247">
        <v>111</v>
      </c>
      <c r="Y7" s="247">
        <v>147</v>
      </c>
      <c r="Z7" s="247">
        <v>197</v>
      </c>
      <c r="AA7" s="247">
        <v>148</v>
      </c>
      <c r="AB7" s="247">
        <v>22</v>
      </c>
      <c r="AC7" s="247">
        <v>96</v>
      </c>
      <c r="AD7" s="247">
        <v>168</v>
      </c>
      <c r="AE7" s="247">
        <v>151</v>
      </c>
      <c r="AF7" s="247">
        <v>66</v>
      </c>
      <c r="AG7" s="247">
        <v>90</v>
      </c>
      <c r="AH7" s="247">
        <v>114</v>
      </c>
      <c r="AI7" s="247">
        <v>69</v>
      </c>
      <c r="AJ7" s="247">
        <v>34</v>
      </c>
      <c r="AK7" s="247">
        <v>60</v>
      </c>
      <c r="AL7" s="246"/>
    </row>
    <row r="8" spans="1:75" ht="15">
      <c r="A8" s="245">
        <v>23</v>
      </c>
      <c r="B8" s="247">
        <v>76</v>
      </c>
      <c r="C8" s="247">
        <v>134</v>
      </c>
      <c r="D8" s="247">
        <v>20</v>
      </c>
      <c r="E8" s="247">
        <v>84</v>
      </c>
      <c r="F8" s="247">
        <v>145</v>
      </c>
      <c r="G8" s="247">
        <v>142</v>
      </c>
      <c r="H8" s="247">
        <v>212</v>
      </c>
      <c r="I8" s="247">
        <v>115</v>
      </c>
      <c r="J8" s="247">
        <v>143</v>
      </c>
      <c r="K8" s="247">
        <v>208</v>
      </c>
      <c r="L8" s="247">
        <v>97</v>
      </c>
      <c r="M8" s="247">
        <v>164</v>
      </c>
      <c r="N8" s="247">
        <v>39</v>
      </c>
      <c r="O8" s="247">
        <v>167</v>
      </c>
      <c r="P8" s="247">
        <v>209</v>
      </c>
      <c r="Q8" s="247">
        <v>172</v>
      </c>
      <c r="R8" s="247">
        <v>65</v>
      </c>
      <c r="S8" s="247">
        <v>144</v>
      </c>
      <c r="T8" s="247">
        <v>57</v>
      </c>
      <c r="U8" s="247">
        <v>48</v>
      </c>
      <c r="V8" s="247">
        <v>166</v>
      </c>
      <c r="W8" s="247">
        <v>138</v>
      </c>
      <c r="X8" s="247">
        <v>28</v>
      </c>
      <c r="Y8" s="247">
        <v>74</v>
      </c>
      <c r="Z8" s="247">
        <v>21</v>
      </c>
      <c r="AA8" s="247">
        <v>55</v>
      </c>
      <c r="AB8" s="247">
        <v>107</v>
      </c>
      <c r="AC8" s="247">
        <v>118</v>
      </c>
      <c r="AD8" s="247">
        <v>127</v>
      </c>
      <c r="AE8" s="247">
        <v>37</v>
      </c>
      <c r="AF8" s="247">
        <v>49</v>
      </c>
      <c r="AG8" s="247">
        <v>198</v>
      </c>
      <c r="AH8" s="247">
        <v>33</v>
      </c>
      <c r="AI8" s="247">
        <v>112</v>
      </c>
      <c r="AJ8" s="247">
        <v>101</v>
      </c>
      <c r="AK8" s="247">
        <v>194</v>
      </c>
      <c r="AL8" s="246"/>
    </row>
    <row r="9" spans="1:75" ht="15">
      <c r="A9" s="245">
        <v>24</v>
      </c>
      <c r="B9" s="247">
        <v>110</v>
      </c>
      <c r="C9" s="247">
        <v>202</v>
      </c>
      <c r="D9" s="247">
        <v>82</v>
      </c>
      <c r="E9" s="247">
        <v>190</v>
      </c>
      <c r="F9" s="247">
        <v>59</v>
      </c>
      <c r="G9" s="247">
        <v>41</v>
      </c>
      <c r="H9" s="247">
        <v>201</v>
      </c>
      <c r="I9" s="247">
        <v>193</v>
      </c>
      <c r="J9" s="247">
        <v>5</v>
      </c>
      <c r="K9" s="247">
        <v>85</v>
      </c>
      <c r="L9" s="247">
        <v>116</v>
      </c>
      <c r="M9" s="247">
        <v>38</v>
      </c>
      <c r="N9" s="247">
        <v>91</v>
      </c>
      <c r="O9" s="247">
        <v>79</v>
      </c>
      <c r="P9" s="247">
        <v>126</v>
      </c>
      <c r="Q9" s="247">
        <v>86</v>
      </c>
      <c r="R9" s="247">
        <v>176</v>
      </c>
      <c r="S9" s="251">
        <v>1</v>
      </c>
      <c r="T9" s="247">
        <v>29</v>
      </c>
      <c r="U9" s="247">
        <v>67</v>
      </c>
      <c r="V9" s="247">
        <v>73</v>
      </c>
      <c r="W9" s="247">
        <v>23</v>
      </c>
      <c r="X9" s="247">
        <v>128</v>
      </c>
      <c r="Y9" s="247">
        <v>185</v>
      </c>
      <c r="Z9" s="247">
        <v>162</v>
      </c>
      <c r="AA9" s="247">
        <v>169</v>
      </c>
      <c r="AB9" s="247">
        <v>199</v>
      </c>
      <c r="AC9" s="247">
        <v>6</v>
      </c>
      <c r="AD9" s="247">
        <v>160</v>
      </c>
      <c r="AE9" s="247">
        <v>30</v>
      </c>
      <c r="AF9" s="247">
        <v>78</v>
      </c>
      <c r="AG9" s="247">
        <v>165</v>
      </c>
      <c r="AH9" s="247">
        <v>129</v>
      </c>
      <c r="AI9" s="247">
        <v>204</v>
      </c>
      <c r="AJ9" s="247">
        <v>139</v>
      </c>
      <c r="AK9" s="247">
        <v>72</v>
      </c>
      <c r="AL9" s="246"/>
    </row>
    <row r="10" spans="1:75" ht="15">
      <c r="A10" s="246"/>
      <c r="B10" s="246"/>
      <c r="C10" s="246"/>
      <c r="D10" s="246"/>
      <c r="E10" s="246"/>
      <c r="F10" s="246"/>
      <c r="G10" s="246"/>
      <c r="H10" s="246"/>
      <c r="I10" s="246"/>
      <c r="J10" s="246"/>
      <c r="K10" s="246"/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  <c r="AA10" s="246"/>
      <c r="AB10" s="246"/>
      <c r="AC10" s="246"/>
      <c r="AD10" s="246"/>
      <c r="AE10" s="246"/>
      <c r="AF10" s="246"/>
      <c r="AG10" s="246"/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46"/>
      <c r="BG10" s="246"/>
      <c r="BH10" s="246"/>
      <c r="BI10" s="246"/>
      <c r="BJ10" s="246"/>
      <c r="BK10" s="246"/>
      <c r="BL10" s="246"/>
      <c r="BM10" s="246"/>
      <c r="BN10" s="246"/>
      <c r="BO10" s="246"/>
      <c r="BP10" s="246"/>
      <c r="BQ10" s="246"/>
      <c r="BR10" s="246"/>
      <c r="BS10" s="246"/>
      <c r="BT10" s="246"/>
      <c r="BU10" s="246"/>
      <c r="BV10" s="246"/>
      <c r="BW10" s="246"/>
    </row>
    <row r="11" spans="1:75" ht="15">
      <c r="A11" s="245" t="s">
        <v>8232</v>
      </c>
      <c r="B11" s="246" t="s">
        <v>8233</v>
      </c>
      <c r="C11" s="246" t="s">
        <v>8233</v>
      </c>
      <c r="D11" s="246" t="s">
        <v>8233</v>
      </c>
      <c r="E11" s="246" t="s">
        <v>8233</v>
      </c>
      <c r="F11" s="246" t="s">
        <v>8233</v>
      </c>
      <c r="G11" s="246" t="s">
        <v>8233</v>
      </c>
      <c r="H11" s="246" t="s">
        <v>8233</v>
      </c>
      <c r="I11" s="246" t="s">
        <v>8233</v>
      </c>
      <c r="J11" s="246" t="s">
        <v>8233</v>
      </c>
      <c r="K11" s="246" t="s">
        <v>8233</v>
      </c>
      <c r="L11" s="246" t="s">
        <v>8233</v>
      </c>
      <c r="M11" s="246" t="s">
        <v>8233</v>
      </c>
      <c r="N11" s="246" t="s">
        <v>8233</v>
      </c>
      <c r="O11" s="246" t="s">
        <v>8233</v>
      </c>
      <c r="P11" s="246" t="s">
        <v>8233</v>
      </c>
      <c r="Q11" s="246" t="s">
        <v>8233</v>
      </c>
      <c r="R11" s="246" t="s">
        <v>8233</v>
      </c>
      <c r="S11" s="246" t="s">
        <v>8233</v>
      </c>
      <c r="T11" s="246" t="s">
        <v>8233</v>
      </c>
      <c r="U11" s="246" t="s">
        <v>8233</v>
      </c>
      <c r="V11" s="246" t="s">
        <v>8233</v>
      </c>
      <c r="W11" s="246" t="s">
        <v>8233</v>
      </c>
      <c r="X11" s="246" t="s">
        <v>8233</v>
      </c>
      <c r="Y11" s="246" t="s">
        <v>8233</v>
      </c>
      <c r="Z11" s="246" t="s">
        <v>8233</v>
      </c>
      <c r="AA11" s="246" t="s">
        <v>8233</v>
      </c>
      <c r="AB11" s="246" t="s">
        <v>8234</v>
      </c>
      <c r="AC11" s="246" t="s">
        <v>8235</v>
      </c>
      <c r="AD11" s="246" t="s">
        <v>8233</v>
      </c>
      <c r="AE11" s="246" t="s">
        <v>8233</v>
      </c>
      <c r="AF11" s="246" t="s">
        <v>8233</v>
      </c>
      <c r="AG11" s="246" t="s">
        <v>8233</v>
      </c>
      <c r="AH11" s="246" t="s">
        <v>8233</v>
      </c>
      <c r="AI11" s="246" t="s">
        <v>8233</v>
      </c>
      <c r="AJ11" s="246" t="s">
        <v>8233</v>
      </c>
      <c r="AK11" s="246" t="s">
        <v>8234</v>
      </c>
      <c r="AL11" s="246"/>
    </row>
    <row r="12" spans="1:75" ht="15">
      <c r="A12" s="245" t="s">
        <v>8238</v>
      </c>
      <c r="B12" s="246">
        <v>1</v>
      </c>
      <c r="C12" s="246">
        <v>2</v>
      </c>
      <c r="D12" s="246">
        <v>3</v>
      </c>
      <c r="E12" s="246">
        <v>4</v>
      </c>
      <c r="F12" s="246">
        <v>5</v>
      </c>
      <c r="G12" s="246">
        <v>6</v>
      </c>
      <c r="H12" s="246">
        <v>7</v>
      </c>
      <c r="I12" s="246">
        <v>8</v>
      </c>
      <c r="J12" s="246">
        <v>9</v>
      </c>
      <c r="K12" s="246">
        <v>10</v>
      </c>
      <c r="L12" s="246">
        <v>11</v>
      </c>
      <c r="M12" s="246">
        <v>12</v>
      </c>
      <c r="N12" s="246">
        <v>13</v>
      </c>
      <c r="O12" s="246">
        <v>14</v>
      </c>
      <c r="P12" s="246">
        <v>15</v>
      </c>
      <c r="Q12" s="246">
        <v>16</v>
      </c>
      <c r="R12" s="246">
        <v>17</v>
      </c>
      <c r="S12" s="246">
        <v>18</v>
      </c>
      <c r="T12" s="246">
        <v>19</v>
      </c>
      <c r="U12" s="246">
        <v>20</v>
      </c>
      <c r="V12" s="246">
        <v>21</v>
      </c>
      <c r="W12" s="246">
        <v>22</v>
      </c>
      <c r="X12" s="246">
        <v>23</v>
      </c>
      <c r="Y12" s="246">
        <v>24</v>
      </c>
      <c r="Z12" s="246">
        <v>25</v>
      </c>
      <c r="AA12" s="246">
        <v>26</v>
      </c>
      <c r="AB12" s="246">
        <v>27</v>
      </c>
      <c r="AC12" s="246">
        <v>28</v>
      </c>
      <c r="AD12" s="246">
        <v>29</v>
      </c>
      <c r="AE12" s="246">
        <v>30</v>
      </c>
      <c r="AF12" s="246">
        <v>31</v>
      </c>
      <c r="AG12" s="246">
        <v>32</v>
      </c>
      <c r="AH12" s="246">
        <v>33</v>
      </c>
      <c r="AI12" s="246">
        <v>34</v>
      </c>
      <c r="AJ12" s="246">
        <v>35</v>
      </c>
      <c r="AK12" s="246">
        <v>36</v>
      </c>
      <c r="AL12" s="246"/>
    </row>
    <row r="13" spans="1:75" ht="15">
      <c r="A13" s="245" t="s">
        <v>274</v>
      </c>
      <c r="B13" s="246" t="s">
        <v>8233</v>
      </c>
      <c r="C13" s="246" t="s">
        <v>8233</v>
      </c>
      <c r="D13" s="246" t="s">
        <v>8233</v>
      </c>
      <c r="E13" s="246" t="s">
        <v>8233</v>
      </c>
      <c r="F13" s="246" t="s">
        <v>8233</v>
      </c>
      <c r="G13" s="246" t="s">
        <v>8233</v>
      </c>
      <c r="H13" s="246" t="s">
        <v>8233</v>
      </c>
      <c r="I13" s="246" t="s">
        <v>8233</v>
      </c>
      <c r="J13" s="246" t="s">
        <v>8233</v>
      </c>
      <c r="K13" s="246" t="s">
        <v>8233</v>
      </c>
      <c r="L13" s="246" t="s">
        <v>8233</v>
      </c>
      <c r="M13" s="246" t="s">
        <v>8233</v>
      </c>
      <c r="N13" s="246" t="s">
        <v>8233</v>
      </c>
      <c r="O13" s="246" t="s">
        <v>8233</v>
      </c>
      <c r="P13" s="246" t="s">
        <v>8233</v>
      </c>
      <c r="Q13" s="246" t="s">
        <v>8233</v>
      </c>
      <c r="R13" s="246" t="s">
        <v>8233</v>
      </c>
      <c r="S13" s="246" t="s">
        <v>8233</v>
      </c>
      <c r="T13" s="246" t="s">
        <v>8233</v>
      </c>
      <c r="U13" s="246" t="s">
        <v>8233</v>
      </c>
      <c r="V13" s="246" t="s">
        <v>8233</v>
      </c>
      <c r="W13" s="246" t="s">
        <v>8233</v>
      </c>
      <c r="X13" s="246" t="s">
        <v>8233</v>
      </c>
      <c r="Y13" s="246" t="s">
        <v>8233</v>
      </c>
      <c r="Z13" s="246" t="s">
        <v>8233</v>
      </c>
      <c r="AA13" s="246" t="s">
        <v>8233</v>
      </c>
      <c r="AB13" s="246" t="s">
        <v>8234</v>
      </c>
      <c r="AC13" s="246" t="s">
        <v>8235</v>
      </c>
      <c r="AD13" s="246" t="s">
        <v>8233</v>
      </c>
      <c r="AE13" s="246" t="s">
        <v>8233</v>
      </c>
      <c r="AF13" s="246" t="s">
        <v>8233</v>
      </c>
      <c r="AG13" s="246" t="s">
        <v>8233</v>
      </c>
      <c r="AH13" s="246" t="s">
        <v>8233</v>
      </c>
      <c r="AI13" s="246" t="s">
        <v>8233</v>
      </c>
      <c r="AJ13" s="246" t="s">
        <v>8233</v>
      </c>
      <c r="AK13" s="246" t="s">
        <v>8234</v>
      </c>
      <c r="AL13" s="246"/>
    </row>
    <row r="14" spans="1:75" ht="15">
      <c r="A14" s="245">
        <v>13</v>
      </c>
      <c r="B14" s="247">
        <v>161</v>
      </c>
      <c r="C14" s="247">
        <v>204</v>
      </c>
      <c r="D14" s="247">
        <v>160</v>
      </c>
      <c r="E14" s="247">
        <v>2</v>
      </c>
      <c r="F14" s="247">
        <v>60</v>
      </c>
      <c r="G14" s="247">
        <v>109</v>
      </c>
      <c r="H14" s="247">
        <v>38</v>
      </c>
      <c r="I14" s="247">
        <v>137</v>
      </c>
      <c r="J14" s="247">
        <v>46</v>
      </c>
      <c r="K14" s="247">
        <v>51</v>
      </c>
      <c r="L14" s="247">
        <v>52</v>
      </c>
      <c r="M14" s="247">
        <v>181</v>
      </c>
      <c r="N14" s="247">
        <v>211</v>
      </c>
      <c r="O14" s="247">
        <v>168</v>
      </c>
      <c r="P14" s="247">
        <v>82</v>
      </c>
      <c r="Q14" s="247">
        <v>41</v>
      </c>
      <c r="R14" s="247">
        <v>179</v>
      </c>
      <c r="S14" s="247">
        <v>192</v>
      </c>
      <c r="T14" s="247">
        <v>164</v>
      </c>
      <c r="U14" s="247">
        <v>98</v>
      </c>
      <c r="V14" s="247">
        <v>12</v>
      </c>
      <c r="W14" s="247">
        <v>65</v>
      </c>
      <c r="X14" s="247">
        <v>135</v>
      </c>
      <c r="Y14" s="247">
        <v>130</v>
      </c>
      <c r="Z14" s="247">
        <v>116</v>
      </c>
      <c r="AA14" s="247">
        <v>190</v>
      </c>
      <c r="AB14" s="247">
        <v>182</v>
      </c>
      <c r="AC14" s="247">
        <v>35</v>
      </c>
      <c r="AD14" s="247">
        <v>142</v>
      </c>
      <c r="AE14" s="247">
        <v>54</v>
      </c>
      <c r="AF14" s="247">
        <v>149</v>
      </c>
      <c r="AG14" s="247">
        <v>62</v>
      </c>
      <c r="AH14" s="247">
        <v>27</v>
      </c>
      <c r="AI14" s="247">
        <v>141</v>
      </c>
      <c r="AJ14" s="247">
        <v>140</v>
      </c>
      <c r="AK14" s="247">
        <v>146</v>
      </c>
      <c r="AL14" s="246"/>
    </row>
    <row r="15" spans="1:75" ht="15">
      <c r="A15" s="245">
        <v>14</v>
      </c>
      <c r="B15" s="247">
        <v>55</v>
      </c>
      <c r="C15" s="247">
        <v>126</v>
      </c>
      <c r="D15" s="247">
        <v>216</v>
      </c>
      <c r="E15" s="247">
        <v>129</v>
      </c>
      <c r="F15" s="247">
        <v>90</v>
      </c>
      <c r="G15" s="247">
        <v>3</v>
      </c>
      <c r="H15" s="247">
        <v>77</v>
      </c>
      <c r="I15" s="247">
        <v>124</v>
      </c>
      <c r="J15" s="247">
        <v>49</v>
      </c>
      <c r="K15" s="247">
        <v>72</v>
      </c>
      <c r="L15" s="247">
        <v>139</v>
      </c>
      <c r="M15" s="247">
        <v>15</v>
      </c>
      <c r="N15" s="247">
        <v>170</v>
      </c>
      <c r="O15" s="247">
        <v>45</v>
      </c>
      <c r="P15" s="247">
        <v>147</v>
      </c>
      <c r="Q15" s="247">
        <v>21</v>
      </c>
      <c r="R15" s="247">
        <v>71</v>
      </c>
      <c r="S15" s="247">
        <v>66</v>
      </c>
      <c r="T15" s="247">
        <v>59</v>
      </c>
      <c r="U15" s="247">
        <v>191</v>
      </c>
      <c r="V15" s="247">
        <v>123</v>
      </c>
      <c r="W15" s="247">
        <v>205</v>
      </c>
      <c r="X15" s="247">
        <v>202</v>
      </c>
      <c r="Y15" s="247">
        <v>207</v>
      </c>
      <c r="Z15" s="247">
        <v>5</v>
      </c>
      <c r="AA15" s="247">
        <v>131</v>
      </c>
      <c r="AB15" s="247">
        <v>193</v>
      </c>
      <c r="AC15" s="247">
        <v>40</v>
      </c>
      <c r="AD15" s="247">
        <v>79</v>
      </c>
      <c r="AE15" s="247">
        <v>58</v>
      </c>
      <c r="AF15" s="247">
        <v>196</v>
      </c>
      <c r="AG15" s="247">
        <v>121</v>
      </c>
      <c r="AH15" s="247">
        <v>106</v>
      </c>
      <c r="AI15" s="247">
        <v>138</v>
      </c>
      <c r="AJ15" s="247">
        <v>210</v>
      </c>
      <c r="AK15" s="247">
        <v>42</v>
      </c>
      <c r="AL15" s="246"/>
    </row>
    <row r="16" spans="1:75" ht="15">
      <c r="A16" s="245">
        <v>15</v>
      </c>
      <c r="B16" s="247">
        <v>172</v>
      </c>
      <c r="C16" s="247">
        <v>159</v>
      </c>
      <c r="D16" s="247">
        <v>16</v>
      </c>
      <c r="E16" s="247">
        <v>31</v>
      </c>
      <c r="F16" s="247">
        <v>19</v>
      </c>
      <c r="G16" s="247">
        <v>117</v>
      </c>
      <c r="H16" s="247">
        <v>187</v>
      </c>
      <c r="I16" s="247">
        <v>194</v>
      </c>
      <c r="J16" s="247">
        <v>96</v>
      </c>
      <c r="K16" s="247">
        <v>143</v>
      </c>
      <c r="L16" s="247">
        <v>148</v>
      </c>
      <c r="M16" s="247">
        <v>4</v>
      </c>
      <c r="N16" s="248">
        <v>217</v>
      </c>
      <c r="O16" s="247">
        <v>11</v>
      </c>
      <c r="P16" s="247">
        <v>178</v>
      </c>
      <c r="Q16" s="247">
        <v>151</v>
      </c>
      <c r="R16" s="247">
        <v>150</v>
      </c>
      <c r="S16" s="247">
        <v>115</v>
      </c>
      <c r="T16" s="247">
        <v>103</v>
      </c>
      <c r="U16" s="247">
        <v>100</v>
      </c>
      <c r="V16" s="247">
        <v>61</v>
      </c>
      <c r="W16" s="247">
        <v>119</v>
      </c>
      <c r="X16" s="247">
        <v>97</v>
      </c>
      <c r="Y16" s="247">
        <v>144</v>
      </c>
      <c r="Z16" s="247">
        <v>127</v>
      </c>
      <c r="AA16" s="247">
        <v>113</v>
      </c>
      <c r="AB16" s="247">
        <v>84</v>
      </c>
      <c r="AC16" s="247">
        <v>128</v>
      </c>
      <c r="AD16" s="247">
        <v>157</v>
      </c>
      <c r="AE16" s="247">
        <v>156</v>
      </c>
      <c r="AF16" s="247">
        <v>32</v>
      </c>
      <c r="AG16" s="247">
        <v>162</v>
      </c>
      <c r="AH16" s="247">
        <v>180</v>
      </c>
      <c r="AI16" s="247">
        <v>99</v>
      </c>
      <c r="AJ16" s="247">
        <v>176</v>
      </c>
      <c r="AK16" s="247">
        <v>91</v>
      </c>
      <c r="AL16" s="246"/>
    </row>
    <row r="17" spans="1:38" ht="15">
      <c r="A17" s="245">
        <v>16</v>
      </c>
      <c r="B17" s="247">
        <v>78</v>
      </c>
      <c r="C17" s="247">
        <v>101</v>
      </c>
      <c r="D17" s="247">
        <v>63</v>
      </c>
      <c r="E17" s="247">
        <v>64</v>
      </c>
      <c r="F17" s="251">
        <v>1</v>
      </c>
      <c r="G17" s="247">
        <v>75</v>
      </c>
      <c r="H17" s="247">
        <v>47</v>
      </c>
      <c r="I17" s="247">
        <v>189</v>
      </c>
      <c r="J17" s="247">
        <v>83</v>
      </c>
      <c r="K17" s="247">
        <v>70</v>
      </c>
      <c r="L17" s="247">
        <v>145</v>
      </c>
      <c r="M17" s="247">
        <v>198</v>
      </c>
      <c r="N17" s="247">
        <v>57</v>
      </c>
      <c r="O17" s="247">
        <v>76</v>
      </c>
      <c r="P17" s="247">
        <v>163</v>
      </c>
      <c r="Q17" s="247">
        <v>177</v>
      </c>
      <c r="R17" s="247">
        <v>118</v>
      </c>
      <c r="S17" s="247">
        <v>108</v>
      </c>
      <c r="T17" s="247">
        <v>110</v>
      </c>
      <c r="U17" s="247">
        <v>167</v>
      </c>
      <c r="V17" s="247">
        <v>33</v>
      </c>
      <c r="W17" s="247">
        <v>94</v>
      </c>
      <c r="X17" s="247">
        <v>36</v>
      </c>
      <c r="Y17" s="247">
        <v>112</v>
      </c>
      <c r="Z17" s="247">
        <v>105</v>
      </c>
      <c r="AA17" s="247">
        <v>53</v>
      </c>
      <c r="AB17" s="247">
        <v>215</v>
      </c>
      <c r="AC17" s="247">
        <v>10</v>
      </c>
      <c r="AD17" s="247">
        <v>44</v>
      </c>
      <c r="AE17" s="247">
        <v>7</v>
      </c>
      <c r="AF17" s="247">
        <v>17</v>
      </c>
      <c r="AG17" s="247">
        <v>171</v>
      </c>
      <c r="AH17" s="247">
        <v>50</v>
      </c>
      <c r="AI17" s="247">
        <v>67</v>
      </c>
      <c r="AJ17" s="247">
        <v>92</v>
      </c>
      <c r="AK17" s="247">
        <v>132</v>
      </c>
      <c r="AL17" s="246"/>
    </row>
    <row r="18" spans="1:38" ht="15">
      <c r="A18" s="245">
        <v>17</v>
      </c>
      <c r="B18" s="247">
        <v>107</v>
      </c>
      <c r="C18" s="247">
        <v>26</v>
      </c>
      <c r="D18" s="247">
        <v>195</v>
      </c>
      <c r="E18" s="247">
        <v>165</v>
      </c>
      <c r="F18" s="247">
        <v>169</v>
      </c>
      <c r="G18" s="247">
        <v>69</v>
      </c>
      <c r="H18" s="247">
        <v>29</v>
      </c>
      <c r="I18" s="247">
        <v>18</v>
      </c>
      <c r="J18" s="247">
        <v>188</v>
      </c>
      <c r="K18" s="247">
        <v>88</v>
      </c>
      <c r="L18" s="247">
        <v>213</v>
      </c>
      <c r="M18" s="247">
        <v>200</v>
      </c>
      <c r="N18" s="247">
        <v>212</v>
      </c>
      <c r="O18" s="247">
        <v>134</v>
      </c>
      <c r="P18" s="247">
        <v>6</v>
      </c>
      <c r="Q18" s="247">
        <v>80</v>
      </c>
      <c r="R18" s="247">
        <v>87</v>
      </c>
      <c r="S18" s="247">
        <v>37</v>
      </c>
      <c r="T18" s="247">
        <v>209</v>
      </c>
      <c r="U18" s="247">
        <v>201</v>
      </c>
      <c r="V18" s="247">
        <v>174</v>
      </c>
      <c r="W18" s="247">
        <v>158</v>
      </c>
      <c r="X18" s="247">
        <v>208</v>
      </c>
      <c r="Y18" s="247">
        <v>104</v>
      </c>
      <c r="Z18" s="247">
        <v>154</v>
      </c>
      <c r="AA18" s="247">
        <v>183</v>
      </c>
      <c r="AB18" s="247">
        <v>86</v>
      </c>
      <c r="AC18" s="247">
        <v>89</v>
      </c>
      <c r="AD18" s="247">
        <v>203</v>
      </c>
      <c r="AE18" s="247">
        <v>73</v>
      </c>
      <c r="AF18" s="247">
        <v>93</v>
      </c>
      <c r="AG18" s="247">
        <v>199</v>
      </c>
      <c r="AH18" s="247">
        <v>197</v>
      </c>
      <c r="AI18" s="247">
        <v>39</v>
      </c>
      <c r="AJ18" s="247">
        <v>43</v>
      </c>
      <c r="AK18" s="247">
        <v>24</v>
      </c>
      <c r="AL18" s="246"/>
    </row>
    <row r="19" spans="1:38" ht="15">
      <c r="A19" s="245">
        <v>18</v>
      </c>
      <c r="B19" s="247">
        <v>152</v>
      </c>
      <c r="C19" s="247">
        <v>68</v>
      </c>
      <c r="D19" s="247">
        <v>186</v>
      </c>
      <c r="E19" s="247">
        <v>56</v>
      </c>
      <c r="F19" s="247">
        <v>95</v>
      </c>
      <c r="G19" s="247">
        <v>166</v>
      </c>
      <c r="H19" s="247">
        <v>8</v>
      </c>
      <c r="I19" s="247">
        <v>34</v>
      </c>
      <c r="J19" s="247">
        <v>114</v>
      </c>
      <c r="K19" s="247">
        <v>48</v>
      </c>
      <c r="L19" s="247">
        <v>13</v>
      </c>
      <c r="M19" s="247">
        <v>28</v>
      </c>
      <c r="N19" s="247">
        <v>133</v>
      </c>
      <c r="O19" s="247">
        <v>184</v>
      </c>
      <c r="P19" s="247">
        <v>122</v>
      </c>
      <c r="Q19" s="247">
        <v>102</v>
      </c>
      <c r="R19" s="247">
        <v>22</v>
      </c>
      <c r="S19" s="247">
        <v>23</v>
      </c>
      <c r="T19" s="247">
        <v>85</v>
      </c>
      <c r="U19" s="247">
        <v>175</v>
      </c>
      <c r="V19" s="247">
        <v>9</v>
      </c>
      <c r="W19" s="247">
        <v>136</v>
      </c>
      <c r="X19" s="247">
        <v>173</v>
      </c>
      <c r="Y19" s="247">
        <v>206</v>
      </c>
      <c r="Z19" s="247">
        <v>125</v>
      </c>
      <c r="AA19" s="247">
        <v>30</v>
      </c>
      <c r="AB19" s="247">
        <v>155</v>
      </c>
      <c r="AC19" s="247">
        <v>120</v>
      </c>
      <c r="AD19" s="247">
        <v>185</v>
      </c>
      <c r="AE19" s="247">
        <v>153</v>
      </c>
      <c r="AF19" s="247">
        <v>74</v>
      </c>
      <c r="AG19" s="247">
        <v>20</v>
      </c>
      <c r="AH19" s="247">
        <v>25</v>
      </c>
      <c r="AI19" s="247">
        <v>81</v>
      </c>
      <c r="AJ19" s="247">
        <v>14</v>
      </c>
      <c r="AK19" s="247">
        <v>111</v>
      </c>
    </row>
    <row r="21" spans="1:38" ht="15">
      <c r="A21" s="245" t="s">
        <v>8232</v>
      </c>
      <c r="B21" s="246" t="s">
        <v>8233</v>
      </c>
      <c r="C21" s="246" t="s">
        <v>8233</v>
      </c>
      <c r="D21" s="246" t="s">
        <v>8233</v>
      </c>
      <c r="E21" s="246" t="s">
        <v>8233</v>
      </c>
      <c r="F21" s="246" t="s">
        <v>8233</v>
      </c>
      <c r="G21" s="246" t="s">
        <v>8233</v>
      </c>
      <c r="H21" s="246" t="s">
        <v>8233</v>
      </c>
      <c r="I21" s="246" t="s">
        <v>8233</v>
      </c>
      <c r="J21" s="246" t="s">
        <v>8233</v>
      </c>
      <c r="K21" s="246"/>
      <c r="L21" s="246" t="s">
        <v>8233</v>
      </c>
      <c r="M21" s="246" t="s">
        <v>8233</v>
      </c>
      <c r="N21" s="246" t="s">
        <v>8233</v>
      </c>
      <c r="O21" s="246" t="s">
        <v>8233</v>
      </c>
      <c r="P21" s="246" t="s">
        <v>8233</v>
      </c>
      <c r="Q21" s="246" t="s">
        <v>8233</v>
      </c>
      <c r="R21" s="246" t="s">
        <v>8233</v>
      </c>
      <c r="S21" s="246" t="s">
        <v>8233</v>
      </c>
      <c r="T21" s="246" t="s">
        <v>8233</v>
      </c>
      <c r="U21" s="246" t="s">
        <v>8233</v>
      </c>
      <c r="V21" s="246" t="s">
        <v>8233</v>
      </c>
      <c r="W21" s="246" t="s">
        <v>8233</v>
      </c>
      <c r="X21" s="246" t="s">
        <v>8233</v>
      </c>
      <c r="Y21" s="246" t="s">
        <v>8233</v>
      </c>
      <c r="Z21" s="246" t="s">
        <v>8233</v>
      </c>
      <c r="AA21" s="246" t="s">
        <v>8233</v>
      </c>
      <c r="AB21" s="246" t="s">
        <v>8234</v>
      </c>
      <c r="AC21" s="246" t="s">
        <v>8235</v>
      </c>
      <c r="AD21" s="246" t="s">
        <v>8233</v>
      </c>
      <c r="AE21" s="246" t="s">
        <v>8233</v>
      </c>
      <c r="AF21" s="246" t="s">
        <v>8233</v>
      </c>
      <c r="AG21" s="246" t="s">
        <v>8233</v>
      </c>
      <c r="AH21" s="246" t="s">
        <v>8233</v>
      </c>
      <c r="AI21" s="246" t="s">
        <v>8233</v>
      </c>
      <c r="AJ21" s="246" t="s">
        <v>8233</v>
      </c>
      <c r="AK21" s="246" t="s">
        <v>8234</v>
      </c>
    </row>
    <row r="22" spans="1:38" ht="15">
      <c r="A22" s="245" t="s">
        <v>8237</v>
      </c>
      <c r="B22" s="246">
        <v>1</v>
      </c>
      <c r="C22" s="246">
        <v>2</v>
      </c>
      <c r="D22" s="246">
        <v>3</v>
      </c>
      <c r="E22" s="246">
        <v>4</v>
      </c>
      <c r="F22" s="246">
        <v>5</v>
      </c>
      <c r="G22" s="246">
        <v>6</v>
      </c>
      <c r="H22" s="246">
        <v>7</v>
      </c>
      <c r="I22" s="246">
        <v>8</v>
      </c>
      <c r="J22" s="246">
        <v>9</v>
      </c>
      <c r="K22" s="246">
        <v>10</v>
      </c>
      <c r="L22" s="246">
        <v>11</v>
      </c>
      <c r="M22" s="246">
        <v>12</v>
      </c>
      <c r="N22" s="246">
        <v>13</v>
      </c>
      <c r="O22" s="246">
        <v>14</v>
      </c>
      <c r="P22" s="246">
        <v>15</v>
      </c>
      <c r="Q22" s="246">
        <v>16</v>
      </c>
      <c r="R22" s="246">
        <v>17</v>
      </c>
      <c r="S22" s="246">
        <v>18</v>
      </c>
      <c r="T22" s="246">
        <v>19</v>
      </c>
      <c r="U22" s="246">
        <v>20</v>
      </c>
      <c r="V22" s="246">
        <v>21</v>
      </c>
      <c r="W22" s="246">
        <v>22</v>
      </c>
      <c r="X22" s="246">
        <v>23</v>
      </c>
      <c r="Y22" s="246">
        <v>24</v>
      </c>
      <c r="Z22" s="246">
        <v>25</v>
      </c>
      <c r="AA22" s="246">
        <v>26</v>
      </c>
      <c r="AB22" s="246">
        <v>27</v>
      </c>
      <c r="AC22" s="246">
        <v>28</v>
      </c>
      <c r="AD22" s="246">
        <v>29</v>
      </c>
      <c r="AE22" s="246">
        <v>30</v>
      </c>
      <c r="AF22" s="246">
        <v>31</v>
      </c>
      <c r="AG22" s="246">
        <v>32</v>
      </c>
      <c r="AH22" s="246">
        <v>33</v>
      </c>
      <c r="AI22" s="246">
        <v>34</v>
      </c>
      <c r="AJ22" s="246">
        <v>35</v>
      </c>
      <c r="AK22" s="246">
        <v>36</v>
      </c>
    </row>
    <row r="23" spans="1:38" ht="15">
      <c r="A23" s="245" t="s">
        <v>274</v>
      </c>
      <c r="B23" s="246" t="s">
        <v>8233</v>
      </c>
      <c r="C23" s="246" t="s">
        <v>8233</v>
      </c>
      <c r="D23" s="246" t="s">
        <v>8233</v>
      </c>
      <c r="E23" s="246" t="s">
        <v>8233</v>
      </c>
      <c r="F23" s="246" t="s">
        <v>8233</v>
      </c>
      <c r="G23" s="246" t="s">
        <v>8233</v>
      </c>
      <c r="H23" s="246" t="s">
        <v>8233</v>
      </c>
      <c r="I23" s="246" t="s">
        <v>8233</v>
      </c>
      <c r="J23" s="246" t="s">
        <v>8233</v>
      </c>
      <c r="K23" s="246" t="s">
        <v>8233</v>
      </c>
      <c r="L23" s="246" t="s">
        <v>8233</v>
      </c>
      <c r="M23" s="246" t="s">
        <v>8233</v>
      </c>
      <c r="N23" s="246" t="s">
        <v>8233</v>
      </c>
      <c r="O23" s="246" t="s">
        <v>8233</v>
      </c>
      <c r="P23" s="246" t="s">
        <v>8233</v>
      </c>
      <c r="Q23" s="246" t="s">
        <v>8233</v>
      </c>
      <c r="R23" s="246" t="s">
        <v>8233</v>
      </c>
      <c r="S23" s="246" t="s">
        <v>8233</v>
      </c>
      <c r="T23" s="246" t="s">
        <v>8233</v>
      </c>
      <c r="U23" s="246" t="s">
        <v>8233</v>
      </c>
      <c r="V23" s="246" t="s">
        <v>8233</v>
      </c>
      <c r="W23" s="246" t="s">
        <v>8233</v>
      </c>
      <c r="X23" s="246" t="s">
        <v>8233</v>
      </c>
      <c r="Y23" s="246" t="s">
        <v>8233</v>
      </c>
      <c r="Z23" s="246" t="s">
        <v>8233</v>
      </c>
      <c r="AA23" s="246" t="s">
        <v>8233</v>
      </c>
      <c r="AB23" s="246" t="s">
        <v>8234</v>
      </c>
      <c r="AC23" s="246" t="s">
        <v>8235</v>
      </c>
      <c r="AD23" s="246" t="s">
        <v>8233</v>
      </c>
      <c r="AE23" s="246" t="s">
        <v>8233</v>
      </c>
      <c r="AF23" s="246" t="s">
        <v>8233</v>
      </c>
      <c r="AG23" s="246" t="s">
        <v>8233</v>
      </c>
      <c r="AH23" s="246" t="s">
        <v>8233</v>
      </c>
      <c r="AI23" s="246" t="s">
        <v>8233</v>
      </c>
      <c r="AJ23" s="246" t="s">
        <v>8233</v>
      </c>
      <c r="AK23" s="246" t="s">
        <v>8234</v>
      </c>
    </row>
    <row r="24" spans="1:38" ht="15">
      <c r="A24" s="245">
        <v>7</v>
      </c>
      <c r="B24" s="247">
        <v>104</v>
      </c>
      <c r="C24" s="247">
        <v>55</v>
      </c>
      <c r="D24" s="247">
        <v>131</v>
      </c>
      <c r="E24" s="247">
        <v>44</v>
      </c>
      <c r="F24" s="247">
        <v>99</v>
      </c>
      <c r="G24" s="247">
        <v>77</v>
      </c>
      <c r="H24" s="247">
        <v>12</v>
      </c>
      <c r="I24" s="247">
        <v>169</v>
      </c>
      <c r="J24" s="247">
        <v>112</v>
      </c>
      <c r="K24" s="247">
        <v>63</v>
      </c>
      <c r="L24" s="247">
        <v>106</v>
      </c>
      <c r="M24" s="247">
        <v>103</v>
      </c>
      <c r="N24" s="247">
        <v>72</v>
      </c>
      <c r="O24" s="247">
        <v>203</v>
      </c>
      <c r="P24" s="247">
        <v>139</v>
      </c>
      <c r="Q24" s="247">
        <v>194</v>
      </c>
      <c r="R24" s="247">
        <v>116</v>
      </c>
      <c r="S24" s="247">
        <v>185</v>
      </c>
      <c r="T24" s="247">
        <v>156</v>
      </c>
      <c r="U24" s="247">
        <v>69</v>
      </c>
      <c r="V24" s="247">
        <v>202</v>
      </c>
      <c r="W24" s="247">
        <v>88</v>
      </c>
      <c r="X24" s="247">
        <v>43</v>
      </c>
      <c r="Y24" s="247">
        <v>213</v>
      </c>
      <c r="Z24" s="247">
        <v>31</v>
      </c>
      <c r="AA24" s="247">
        <v>5</v>
      </c>
      <c r="AB24" s="247">
        <v>61</v>
      </c>
      <c r="AC24" s="247">
        <v>114</v>
      </c>
      <c r="AD24" s="247">
        <v>209</v>
      </c>
      <c r="AE24" s="247">
        <v>145</v>
      </c>
      <c r="AF24" s="247">
        <v>22</v>
      </c>
      <c r="AG24" s="247">
        <v>18</v>
      </c>
      <c r="AH24" s="247">
        <v>197</v>
      </c>
      <c r="AI24" s="247">
        <v>19</v>
      </c>
      <c r="AJ24" s="247">
        <v>160</v>
      </c>
      <c r="AK24" s="247">
        <v>124</v>
      </c>
    </row>
    <row r="25" spans="1:38" ht="15">
      <c r="A25" s="245">
        <v>8</v>
      </c>
      <c r="B25" s="247">
        <v>111</v>
      </c>
      <c r="C25" s="247">
        <v>73</v>
      </c>
      <c r="D25" s="248">
        <v>217</v>
      </c>
      <c r="E25" s="247">
        <v>35</v>
      </c>
      <c r="F25" s="247">
        <v>101</v>
      </c>
      <c r="G25" s="247">
        <v>67</v>
      </c>
      <c r="H25" s="247">
        <v>195</v>
      </c>
      <c r="I25" s="247">
        <v>177</v>
      </c>
      <c r="J25" s="247">
        <v>20</v>
      </c>
      <c r="K25" s="247">
        <v>204</v>
      </c>
      <c r="L25" s="247">
        <v>57</v>
      </c>
      <c r="M25" s="247">
        <v>180</v>
      </c>
      <c r="N25" s="247">
        <v>179</v>
      </c>
      <c r="O25" s="247">
        <v>205</v>
      </c>
      <c r="P25" s="247">
        <v>137</v>
      </c>
      <c r="Q25" s="247">
        <v>60</v>
      </c>
      <c r="R25" s="247">
        <v>140</v>
      </c>
      <c r="S25" s="247">
        <v>190</v>
      </c>
      <c r="T25" s="247">
        <v>198</v>
      </c>
      <c r="U25" s="247">
        <v>27</v>
      </c>
      <c r="V25" s="247">
        <v>206</v>
      </c>
      <c r="W25" s="247">
        <v>10</v>
      </c>
      <c r="X25" s="247">
        <v>123</v>
      </c>
      <c r="Y25" s="247">
        <v>29</v>
      </c>
      <c r="Z25" s="247">
        <v>6</v>
      </c>
      <c r="AA25" s="247">
        <v>172</v>
      </c>
      <c r="AB25" s="247">
        <v>149</v>
      </c>
      <c r="AC25" s="247">
        <v>181</v>
      </c>
      <c r="AD25" s="247">
        <v>45</v>
      </c>
      <c r="AE25" s="247">
        <v>16</v>
      </c>
      <c r="AF25" s="247">
        <v>47</v>
      </c>
      <c r="AG25" s="247">
        <v>83</v>
      </c>
      <c r="AH25" s="247">
        <v>54</v>
      </c>
      <c r="AI25" s="247">
        <v>39</v>
      </c>
      <c r="AJ25" s="247">
        <v>187</v>
      </c>
      <c r="AK25" s="247">
        <v>134</v>
      </c>
    </row>
    <row r="26" spans="1:38" ht="15">
      <c r="A26" s="245">
        <v>9</v>
      </c>
      <c r="B26" s="247">
        <v>33</v>
      </c>
      <c r="C26" s="247">
        <v>96</v>
      </c>
      <c r="D26" s="247">
        <v>173</v>
      </c>
      <c r="E26" s="247">
        <v>76</v>
      </c>
      <c r="F26" s="247">
        <v>93</v>
      </c>
      <c r="G26" s="247">
        <v>151</v>
      </c>
      <c r="H26" s="247">
        <v>59</v>
      </c>
      <c r="I26" s="247">
        <v>176</v>
      </c>
      <c r="J26" s="247">
        <v>2</v>
      </c>
      <c r="K26" s="247">
        <v>79</v>
      </c>
      <c r="L26" s="247">
        <v>64</v>
      </c>
      <c r="M26" s="247">
        <v>40</v>
      </c>
      <c r="N26" s="247">
        <v>135</v>
      </c>
      <c r="O26" s="247">
        <v>207</v>
      </c>
      <c r="P26" s="247">
        <v>105</v>
      </c>
      <c r="Q26" s="247">
        <v>146</v>
      </c>
      <c r="R26" s="247">
        <v>62</v>
      </c>
      <c r="S26" s="247">
        <v>84</v>
      </c>
      <c r="T26" s="247">
        <v>136</v>
      </c>
      <c r="U26" s="247">
        <v>129</v>
      </c>
      <c r="V26" s="247">
        <v>46</v>
      </c>
      <c r="W26" s="247">
        <v>174</v>
      </c>
      <c r="X26" s="247">
        <v>28</v>
      </c>
      <c r="Y26" s="251">
        <v>1</v>
      </c>
      <c r="Z26" s="247">
        <v>125</v>
      </c>
      <c r="AA26" s="247">
        <v>48</v>
      </c>
      <c r="AB26" s="247">
        <v>154</v>
      </c>
      <c r="AC26" s="247">
        <v>122</v>
      </c>
      <c r="AD26" s="247">
        <v>188</v>
      </c>
      <c r="AE26" s="247">
        <v>148</v>
      </c>
      <c r="AF26" s="247">
        <v>175</v>
      </c>
      <c r="AG26" s="247">
        <v>199</v>
      </c>
      <c r="AH26" s="247">
        <v>15</v>
      </c>
      <c r="AI26" s="247">
        <v>216</v>
      </c>
      <c r="AJ26" s="247">
        <v>107</v>
      </c>
      <c r="AK26" s="247">
        <v>78</v>
      </c>
    </row>
    <row r="27" spans="1:38" ht="15">
      <c r="A27" s="245">
        <v>10</v>
      </c>
      <c r="B27" s="247">
        <v>94</v>
      </c>
      <c r="C27" s="247">
        <v>130</v>
      </c>
      <c r="D27" s="247">
        <v>100</v>
      </c>
      <c r="E27" s="247">
        <v>191</v>
      </c>
      <c r="F27" s="247">
        <v>97</v>
      </c>
      <c r="G27" s="247">
        <v>89</v>
      </c>
      <c r="H27" s="247">
        <v>212</v>
      </c>
      <c r="I27" s="247">
        <v>215</v>
      </c>
      <c r="J27" s="247">
        <v>155</v>
      </c>
      <c r="K27" s="247">
        <v>165</v>
      </c>
      <c r="L27" s="247">
        <v>85</v>
      </c>
      <c r="M27" s="247">
        <v>81</v>
      </c>
      <c r="N27" s="247">
        <v>37</v>
      </c>
      <c r="O27" s="247">
        <v>7</v>
      </c>
      <c r="P27" s="247">
        <v>90</v>
      </c>
      <c r="Q27" s="247">
        <v>32</v>
      </c>
      <c r="R27" s="247">
        <v>157</v>
      </c>
      <c r="S27" s="247">
        <v>42</v>
      </c>
      <c r="T27" s="247">
        <v>201</v>
      </c>
      <c r="U27" s="247">
        <v>68</v>
      </c>
      <c r="V27" s="247">
        <v>51</v>
      </c>
      <c r="W27" s="247">
        <v>24</v>
      </c>
      <c r="X27" s="247">
        <v>36</v>
      </c>
      <c r="Y27" s="247">
        <v>142</v>
      </c>
      <c r="Z27" s="247">
        <v>182</v>
      </c>
      <c r="AA27" s="247">
        <v>21</v>
      </c>
      <c r="AB27" s="247">
        <v>49</v>
      </c>
      <c r="AC27" s="247">
        <v>91</v>
      </c>
      <c r="AD27" s="247">
        <v>150</v>
      </c>
      <c r="AE27" s="247">
        <v>9</v>
      </c>
      <c r="AF27" s="247">
        <v>159</v>
      </c>
      <c r="AG27" s="247">
        <v>118</v>
      </c>
      <c r="AH27" s="247">
        <v>75</v>
      </c>
      <c r="AI27" s="247">
        <v>23</v>
      </c>
      <c r="AJ27" s="247">
        <v>4</v>
      </c>
      <c r="AK27" s="247">
        <v>8</v>
      </c>
    </row>
    <row r="28" spans="1:38" ht="15">
      <c r="A28" s="245">
        <v>11</v>
      </c>
      <c r="B28" s="247">
        <v>178</v>
      </c>
      <c r="C28" s="247">
        <v>26</v>
      </c>
      <c r="D28" s="247">
        <v>200</v>
      </c>
      <c r="E28" s="247">
        <v>184</v>
      </c>
      <c r="F28" s="247">
        <v>208</v>
      </c>
      <c r="G28" s="247">
        <v>210</v>
      </c>
      <c r="H28" s="247">
        <v>128</v>
      </c>
      <c r="I28" s="247">
        <v>95</v>
      </c>
      <c r="J28" s="247">
        <v>109</v>
      </c>
      <c r="K28" s="247">
        <v>171</v>
      </c>
      <c r="L28" s="247">
        <v>98</v>
      </c>
      <c r="M28" s="247">
        <v>143</v>
      </c>
      <c r="N28" s="247">
        <v>126</v>
      </c>
      <c r="O28" s="247">
        <v>211</v>
      </c>
      <c r="P28" s="247">
        <v>183</v>
      </c>
      <c r="Q28" s="247">
        <v>147</v>
      </c>
      <c r="R28" s="247">
        <v>192</v>
      </c>
      <c r="S28" s="247">
        <v>66</v>
      </c>
      <c r="T28" s="247">
        <v>50</v>
      </c>
      <c r="U28" s="247">
        <v>115</v>
      </c>
      <c r="V28" s="247">
        <v>14</v>
      </c>
      <c r="W28" s="247">
        <v>30</v>
      </c>
      <c r="X28" s="247">
        <v>164</v>
      </c>
      <c r="Y28" s="247">
        <v>144</v>
      </c>
      <c r="Z28" s="247">
        <v>132</v>
      </c>
      <c r="AA28" s="247">
        <v>52</v>
      </c>
      <c r="AB28" s="247">
        <v>113</v>
      </c>
      <c r="AC28" s="247">
        <v>189</v>
      </c>
      <c r="AD28" s="247">
        <v>41</v>
      </c>
      <c r="AE28" s="247">
        <v>193</v>
      </c>
      <c r="AF28" s="247">
        <v>80</v>
      </c>
      <c r="AG28" s="247">
        <v>17</v>
      </c>
      <c r="AH28" s="247">
        <v>86</v>
      </c>
      <c r="AI28" s="247">
        <v>58</v>
      </c>
      <c r="AJ28" s="247">
        <v>110</v>
      </c>
      <c r="AK28" s="247">
        <v>38</v>
      </c>
    </row>
    <row r="29" spans="1:38" ht="15">
      <c r="A29" s="245">
        <v>12</v>
      </c>
      <c r="B29" s="247">
        <v>120</v>
      </c>
      <c r="C29" s="247">
        <v>82</v>
      </c>
      <c r="D29" s="247">
        <v>11</v>
      </c>
      <c r="E29" s="247">
        <v>13</v>
      </c>
      <c r="F29" s="247">
        <v>3</v>
      </c>
      <c r="G29" s="247">
        <v>56</v>
      </c>
      <c r="H29" s="247">
        <v>162</v>
      </c>
      <c r="I29" s="247">
        <v>138</v>
      </c>
      <c r="J29" s="247">
        <v>74</v>
      </c>
      <c r="K29" s="247">
        <v>25</v>
      </c>
      <c r="L29" s="247">
        <v>87</v>
      </c>
      <c r="M29" s="247">
        <v>166</v>
      </c>
      <c r="N29" s="247">
        <v>141</v>
      </c>
      <c r="O29" s="247">
        <v>92</v>
      </c>
      <c r="P29" s="247">
        <v>168</v>
      </c>
      <c r="Q29" s="247">
        <v>119</v>
      </c>
      <c r="R29" s="247">
        <v>163</v>
      </c>
      <c r="S29" s="247">
        <v>153</v>
      </c>
      <c r="T29" s="247">
        <v>152</v>
      </c>
      <c r="U29" s="247">
        <v>161</v>
      </c>
      <c r="V29" s="247">
        <v>170</v>
      </c>
      <c r="W29" s="247">
        <v>53</v>
      </c>
      <c r="X29" s="247">
        <v>158</v>
      </c>
      <c r="Y29" s="247">
        <v>127</v>
      </c>
      <c r="Z29" s="247">
        <v>117</v>
      </c>
      <c r="AA29" s="247">
        <v>70</v>
      </c>
      <c r="AB29" s="247">
        <v>196</v>
      </c>
      <c r="AC29" s="247">
        <v>34</v>
      </c>
      <c r="AD29" s="247">
        <v>102</v>
      </c>
      <c r="AE29" s="247">
        <v>71</v>
      </c>
      <c r="AF29" s="247">
        <v>133</v>
      </c>
      <c r="AG29" s="247">
        <v>65</v>
      </c>
      <c r="AH29" s="247">
        <v>108</v>
      </c>
      <c r="AI29" s="247">
        <v>186</v>
      </c>
      <c r="AJ29" s="247">
        <v>167</v>
      </c>
      <c r="AK29" s="247">
        <v>121</v>
      </c>
    </row>
    <row r="30" spans="1:38" ht="15">
      <c r="A30" s="245" t="s">
        <v>8232</v>
      </c>
      <c r="B30" s="246" t="s">
        <v>8233</v>
      </c>
      <c r="C30" s="246" t="s">
        <v>8233</v>
      </c>
      <c r="D30" s="246" t="s">
        <v>8233</v>
      </c>
      <c r="E30" s="246" t="s">
        <v>8233</v>
      </c>
      <c r="F30" s="246" t="s">
        <v>8233</v>
      </c>
      <c r="G30" s="246" t="s">
        <v>8233</v>
      </c>
      <c r="H30" s="246" t="s">
        <v>8233</v>
      </c>
      <c r="I30" s="246" t="s">
        <v>8233</v>
      </c>
      <c r="J30" s="246" t="s">
        <v>8233</v>
      </c>
      <c r="K30" s="246" t="s">
        <v>8233</v>
      </c>
      <c r="L30" s="246" t="s">
        <v>8233</v>
      </c>
      <c r="M30" s="246" t="s">
        <v>8233</v>
      </c>
      <c r="N30" s="246" t="s">
        <v>8233</v>
      </c>
      <c r="O30" s="246" t="s">
        <v>8233</v>
      </c>
      <c r="P30" s="246" t="s">
        <v>8233</v>
      </c>
      <c r="Q30" s="246" t="s">
        <v>8233</v>
      </c>
      <c r="R30" s="246" t="s">
        <v>8233</v>
      </c>
      <c r="S30" s="246" t="s">
        <v>8233</v>
      </c>
      <c r="T30" s="246" t="s">
        <v>8233</v>
      </c>
      <c r="U30" s="246" t="s">
        <v>8233</v>
      </c>
      <c r="V30" s="246" t="s">
        <v>8233</v>
      </c>
      <c r="W30" s="246" t="s">
        <v>8233</v>
      </c>
      <c r="X30" s="246" t="s">
        <v>8233</v>
      </c>
      <c r="Y30" s="246" t="s">
        <v>8233</v>
      </c>
      <c r="Z30" s="246" t="s">
        <v>8233</v>
      </c>
      <c r="AA30" s="246" t="s">
        <v>8233</v>
      </c>
      <c r="AB30" s="246" t="s">
        <v>8234</v>
      </c>
      <c r="AC30" s="246" t="s">
        <v>8235</v>
      </c>
      <c r="AD30" s="246" t="s">
        <v>8233</v>
      </c>
      <c r="AE30" s="246" t="s">
        <v>8233</v>
      </c>
      <c r="AF30" s="246" t="s">
        <v>8233</v>
      </c>
      <c r="AG30" s="246" t="s">
        <v>8233</v>
      </c>
      <c r="AH30" s="246" t="s">
        <v>8233</v>
      </c>
      <c r="AI30" s="246" t="s">
        <v>8233</v>
      </c>
      <c r="AJ30" s="246" t="s">
        <v>8233</v>
      </c>
      <c r="AK30" s="246" t="s">
        <v>8234</v>
      </c>
    </row>
    <row r="31" spans="1:38" ht="15">
      <c r="A31" s="245" t="s">
        <v>8236</v>
      </c>
      <c r="B31" s="246">
        <v>1</v>
      </c>
      <c r="C31" s="246">
        <v>2</v>
      </c>
      <c r="D31" s="246">
        <v>3</v>
      </c>
      <c r="E31" s="246">
        <v>4</v>
      </c>
      <c r="F31" s="246">
        <v>5</v>
      </c>
      <c r="G31" s="246">
        <v>6</v>
      </c>
      <c r="H31" s="246">
        <v>7</v>
      </c>
      <c r="I31" s="246">
        <v>8</v>
      </c>
      <c r="J31" s="246">
        <v>9</v>
      </c>
      <c r="K31" s="246">
        <v>10</v>
      </c>
      <c r="L31" s="246">
        <v>11</v>
      </c>
      <c r="M31" s="246">
        <v>12</v>
      </c>
      <c r="N31" s="246">
        <v>13</v>
      </c>
      <c r="O31" s="246">
        <v>14</v>
      </c>
      <c r="P31" s="246">
        <v>15</v>
      </c>
      <c r="Q31" s="246">
        <v>16</v>
      </c>
      <c r="R31" s="246">
        <v>17</v>
      </c>
      <c r="S31" s="246">
        <v>18</v>
      </c>
      <c r="T31" s="246">
        <v>19</v>
      </c>
      <c r="U31" s="246">
        <v>20</v>
      </c>
      <c r="V31" s="246">
        <v>21</v>
      </c>
      <c r="W31" s="246">
        <v>22</v>
      </c>
      <c r="X31" s="246">
        <v>23</v>
      </c>
      <c r="Y31" s="246">
        <v>24</v>
      </c>
      <c r="Z31" s="246">
        <v>25</v>
      </c>
      <c r="AA31" s="246">
        <v>26</v>
      </c>
      <c r="AB31" s="246">
        <v>27</v>
      </c>
      <c r="AC31" s="246">
        <v>28</v>
      </c>
      <c r="AD31" s="246">
        <v>29</v>
      </c>
      <c r="AE31" s="246">
        <v>30</v>
      </c>
      <c r="AF31" s="246">
        <v>31</v>
      </c>
      <c r="AG31" s="246">
        <v>32</v>
      </c>
      <c r="AH31" s="246">
        <v>33</v>
      </c>
      <c r="AI31" s="246">
        <v>34</v>
      </c>
      <c r="AJ31" s="246">
        <v>35</v>
      </c>
      <c r="AK31" s="246">
        <v>36</v>
      </c>
    </row>
    <row r="32" spans="1:38" ht="15">
      <c r="A32" s="245" t="s">
        <v>274</v>
      </c>
      <c r="B32" s="246" t="s">
        <v>8233</v>
      </c>
      <c r="C32" s="246" t="s">
        <v>8233</v>
      </c>
      <c r="D32" s="246" t="s">
        <v>8233</v>
      </c>
      <c r="E32" s="246" t="s">
        <v>8233</v>
      </c>
      <c r="F32" s="246" t="s">
        <v>8233</v>
      </c>
      <c r="G32" s="246" t="s">
        <v>8233</v>
      </c>
      <c r="H32" s="246" t="s">
        <v>8233</v>
      </c>
      <c r="I32" s="246" t="s">
        <v>8233</v>
      </c>
      <c r="J32" s="246" t="s">
        <v>8233</v>
      </c>
      <c r="K32" s="246" t="s">
        <v>8233</v>
      </c>
      <c r="L32" s="246" t="s">
        <v>8233</v>
      </c>
      <c r="M32" s="246" t="s">
        <v>8233</v>
      </c>
      <c r="N32" s="246" t="s">
        <v>8233</v>
      </c>
      <c r="O32" s="246" t="s">
        <v>8233</v>
      </c>
      <c r="P32" s="246" t="s">
        <v>8233</v>
      </c>
      <c r="Q32" s="246" t="s">
        <v>8233</v>
      </c>
      <c r="R32" s="246" t="s">
        <v>8233</v>
      </c>
      <c r="S32" s="246" t="s">
        <v>8233</v>
      </c>
      <c r="T32" s="246" t="s">
        <v>8233</v>
      </c>
      <c r="U32" s="246" t="s">
        <v>8233</v>
      </c>
      <c r="V32" s="246" t="s">
        <v>8233</v>
      </c>
      <c r="W32" s="246" t="s">
        <v>8233</v>
      </c>
      <c r="X32" s="246" t="s">
        <v>8233</v>
      </c>
      <c r="Y32" s="246" t="s">
        <v>8233</v>
      </c>
      <c r="Z32" s="246" t="s">
        <v>8233</v>
      </c>
      <c r="AA32" s="246" t="s">
        <v>8233</v>
      </c>
      <c r="AB32" s="246" t="s">
        <v>8234</v>
      </c>
      <c r="AC32" s="246" t="s">
        <v>8235</v>
      </c>
      <c r="AD32" s="246" t="s">
        <v>8233</v>
      </c>
      <c r="AE32" s="246" t="s">
        <v>8233</v>
      </c>
      <c r="AF32" s="246" t="s">
        <v>8233</v>
      </c>
      <c r="AG32" s="246" t="s">
        <v>8233</v>
      </c>
      <c r="AH32" s="246" t="s">
        <v>8233</v>
      </c>
      <c r="AI32" s="246" t="s">
        <v>8233</v>
      </c>
      <c r="AJ32" s="246" t="s">
        <v>8233</v>
      </c>
      <c r="AK32" s="246" t="s">
        <v>8234</v>
      </c>
    </row>
    <row r="33" spans="1:37" ht="15">
      <c r="A33" s="245">
        <v>1</v>
      </c>
      <c r="B33" s="247">
        <v>174</v>
      </c>
      <c r="C33" s="247">
        <v>47</v>
      </c>
      <c r="D33" s="247">
        <v>16</v>
      </c>
      <c r="E33" s="247">
        <v>206</v>
      </c>
      <c r="F33" s="247">
        <v>4</v>
      </c>
      <c r="G33" s="247">
        <v>103</v>
      </c>
      <c r="H33" s="247">
        <v>65</v>
      </c>
      <c r="I33" s="247">
        <v>122</v>
      </c>
      <c r="J33" s="247">
        <v>150</v>
      </c>
      <c r="K33" s="247">
        <v>127</v>
      </c>
      <c r="L33" s="247">
        <v>120</v>
      </c>
      <c r="M33" s="247">
        <v>3</v>
      </c>
      <c r="N33" s="247">
        <v>136</v>
      </c>
      <c r="O33" s="247">
        <v>26</v>
      </c>
      <c r="P33" s="247">
        <v>100</v>
      </c>
      <c r="Q33" s="247">
        <v>35</v>
      </c>
      <c r="R33" s="247">
        <v>210</v>
      </c>
      <c r="S33" s="247">
        <v>200</v>
      </c>
      <c r="T33" s="247">
        <v>64</v>
      </c>
      <c r="U33" s="247">
        <v>205</v>
      </c>
      <c r="V33" s="247">
        <v>76</v>
      </c>
      <c r="W33" s="247">
        <v>155</v>
      </c>
      <c r="X33" s="247">
        <v>112</v>
      </c>
      <c r="Y33" s="247">
        <v>139</v>
      </c>
      <c r="Z33" s="247">
        <v>203</v>
      </c>
      <c r="AA33" s="247">
        <v>107</v>
      </c>
      <c r="AB33" s="247">
        <v>108</v>
      </c>
      <c r="AC33" s="247">
        <v>105</v>
      </c>
      <c r="AD33" s="247">
        <v>98</v>
      </c>
      <c r="AE33" s="247">
        <v>53</v>
      </c>
      <c r="AF33" s="247">
        <v>90</v>
      </c>
      <c r="AG33" s="247">
        <v>157</v>
      </c>
      <c r="AH33" s="247">
        <v>178</v>
      </c>
      <c r="AI33" s="247">
        <v>27</v>
      </c>
      <c r="AJ33" s="247">
        <v>196</v>
      </c>
      <c r="AK33" s="247">
        <v>60</v>
      </c>
    </row>
    <row r="34" spans="1:37" ht="15">
      <c r="A34" s="245">
        <v>2</v>
      </c>
      <c r="B34" s="247">
        <v>165</v>
      </c>
      <c r="C34" s="247">
        <v>216</v>
      </c>
      <c r="D34" s="247">
        <v>159</v>
      </c>
      <c r="E34" s="247">
        <v>161</v>
      </c>
      <c r="F34" s="247">
        <v>129</v>
      </c>
      <c r="G34" s="251">
        <v>1</v>
      </c>
      <c r="H34" s="247">
        <v>163</v>
      </c>
      <c r="I34" s="247">
        <v>38</v>
      </c>
      <c r="J34" s="247">
        <v>160</v>
      </c>
      <c r="K34" s="248">
        <v>217</v>
      </c>
      <c r="L34" s="247">
        <v>58</v>
      </c>
      <c r="M34" s="247">
        <v>104</v>
      </c>
      <c r="N34" s="247">
        <v>162</v>
      </c>
      <c r="O34" s="247">
        <v>175</v>
      </c>
      <c r="P34" s="247">
        <v>182</v>
      </c>
      <c r="Q34" s="247">
        <v>212</v>
      </c>
      <c r="R34" s="247">
        <v>110</v>
      </c>
      <c r="S34" s="247">
        <v>54</v>
      </c>
      <c r="T34" s="247">
        <v>134</v>
      </c>
      <c r="U34" s="247">
        <v>62</v>
      </c>
      <c r="V34" s="247">
        <v>97</v>
      </c>
      <c r="W34" s="247">
        <v>32</v>
      </c>
      <c r="X34" s="247">
        <v>185</v>
      </c>
      <c r="Y34" s="247">
        <v>56</v>
      </c>
      <c r="Z34" s="247">
        <v>119</v>
      </c>
      <c r="AA34" s="247">
        <v>63</v>
      </c>
      <c r="AB34" s="247">
        <v>25</v>
      </c>
      <c r="AC34" s="247">
        <v>172</v>
      </c>
      <c r="AD34" s="247">
        <v>113</v>
      </c>
      <c r="AE34" s="247">
        <v>85</v>
      </c>
      <c r="AF34" s="247">
        <v>143</v>
      </c>
      <c r="AG34" s="247">
        <v>6</v>
      </c>
      <c r="AH34" s="247">
        <v>84</v>
      </c>
      <c r="AI34" s="247">
        <v>28</v>
      </c>
      <c r="AJ34" s="247">
        <v>29</v>
      </c>
      <c r="AK34" s="247">
        <v>132</v>
      </c>
    </row>
    <row r="35" spans="1:37" ht="15">
      <c r="A35" s="245">
        <v>3</v>
      </c>
      <c r="B35" s="247">
        <v>158</v>
      </c>
      <c r="C35" s="247">
        <v>46</v>
      </c>
      <c r="D35" s="247">
        <v>146</v>
      </c>
      <c r="E35" s="247">
        <v>193</v>
      </c>
      <c r="F35" s="247">
        <v>142</v>
      </c>
      <c r="G35" s="247">
        <v>5</v>
      </c>
      <c r="H35" s="247">
        <v>45</v>
      </c>
      <c r="I35" s="247">
        <v>145</v>
      </c>
      <c r="J35" s="247">
        <v>15</v>
      </c>
      <c r="K35" s="247">
        <v>99</v>
      </c>
      <c r="L35" s="247">
        <v>148</v>
      </c>
      <c r="M35" s="247">
        <v>61</v>
      </c>
      <c r="N35" s="247">
        <v>20</v>
      </c>
      <c r="O35" s="247">
        <v>111</v>
      </c>
      <c r="P35" s="247">
        <v>44</v>
      </c>
      <c r="Q35" s="247">
        <v>68</v>
      </c>
      <c r="R35" s="247">
        <v>82</v>
      </c>
      <c r="S35" s="247">
        <v>30</v>
      </c>
      <c r="T35" s="247">
        <v>140</v>
      </c>
      <c r="U35" s="247">
        <v>93</v>
      </c>
      <c r="V35" s="247">
        <v>181</v>
      </c>
      <c r="W35" s="247">
        <v>180</v>
      </c>
      <c r="X35" s="247">
        <v>79</v>
      </c>
      <c r="Y35" s="247">
        <v>17</v>
      </c>
      <c r="Z35" s="247">
        <v>39</v>
      </c>
      <c r="AA35" s="247">
        <v>59</v>
      </c>
      <c r="AB35" s="247">
        <v>137</v>
      </c>
      <c r="AC35" s="247">
        <v>74</v>
      </c>
      <c r="AD35" s="247">
        <v>50</v>
      </c>
      <c r="AE35" s="247">
        <v>202</v>
      </c>
      <c r="AF35" s="247">
        <v>198</v>
      </c>
      <c r="AG35" s="247">
        <v>69</v>
      </c>
      <c r="AH35" s="247">
        <v>92</v>
      </c>
      <c r="AI35" s="247">
        <v>179</v>
      </c>
      <c r="AJ35" s="247">
        <v>13</v>
      </c>
      <c r="AK35" s="247">
        <v>171</v>
      </c>
    </row>
    <row r="36" spans="1:37" ht="15">
      <c r="A36" s="245">
        <v>4</v>
      </c>
      <c r="B36" s="247">
        <v>118</v>
      </c>
      <c r="C36" s="247">
        <v>102</v>
      </c>
      <c r="D36" s="247">
        <v>187</v>
      </c>
      <c r="E36" s="247">
        <v>211</v>
      </c>
      <c r="F36" s="247">
        <v>168</v>
      </c>
      <c r="G36" s="247">
        <v>86</v>
      </c>
      <c r="H36" s="247">
        <v>70</v>
      </c>
      <c r="I36" s="247">
        <v>125</v>
      </c>
      <c r="J36" s="247">
        <v>164</v>
      </c>
      <c r="K36" s="247">
        <v>9</v>
      </c>
      <c r="L36" s="247">
        <v>21</v>
      </c>
      <c r="M36" s="247">
        <v>138</v>
      </c>
      <c r="N36" s="247">
        <v>23</v>
      </c>
      <c r="O36" s="247">
        <v>189</v>
      </c>
      <c r="P36" s="247">
        <v>2</v>
      </c>
      <c r="Q36" s="247">
        <v>8</v>
      </c>
      <c r="R36" s="247">
        <v>78</v>
      </c>
      <c r="S36" s="247">
        <v>89</v>
      </c>
      <c r="T36" s="247">
        <v>11</v>
      </c>
      <c r="U36" s="247">
        <v>22</v>
      </c>
      <c r="V36" s="247">
        <v>57</v>
      </c>
      <c r="W36" s="247">
        <v>209</v>
      </c>
      <c r="X36" s="247">
        <v>176</v>
      </c>
      <c r="Y36" s="247">
        <v>128</v>
      </c>
      <c r="Z36" s="247">
        <v>106</v>
      </c>
      <c r="AA36" s="247">
        <v>81</v>
      </c>
      <c r="AB36" s="247">
        <v>37</v>
      </c>
      <c r="AC36" s="247">
        <v>49</v>
      </c>
      <c r="AD36" s="247">
        <v>67</v>
      </c>
      <c r="AE36" s="247">
        <v>72</v>
      </c>
      <c r="AF36" s="247">
        <v>169</v>
      </c>
      <c r="AG36" s="247">
        <v>73</v>
      </c>
      <c r="AH36" s="247">
        <v>144</v>
      </c>
      <c r="AI36" s="247">
        <v>173</v>
      </c>
      <c r="AJ36" s="247">
        <v>116</v>
      </c>
      <c r="AK36" s="247">
        <v>48</v>
      </c>
    </row>
    <row r="37" spans="1:37" ht="15">
      <c r="A37" s="245">
        <v>5</v>
      </c>
      <c r="B37" s="247">
        <v>19</v>
      </c>
      <c r="C37" s="247">
        <v>149</v>
      </c>
      <c r="D37" s="247">
        <v>201</v>
      </c>
      <c r="E37" s="247">
        <v>18</v>
      </c>
      <c r="F37" s="247">
        <v>114</v>
      </c>
      <c r="G37" s="247">
        <v>121</v>
      </c>
      <c r="H37" s="247">
        <v>156</v>
      </c>
      <c r="I37" s="247">
        <v>154</v>
      </c>
      <c r="J37" s="247">
        <v>117</v>
      </c>
      <c r="K37" s="247">
        <v>41</v>
      </c>
      <c r="L37" s="247">
        <v>151</v>
      </c>
      <c r="M37" s="247">
        <v>167</v>
      </c>
      <c r="N37" s="247">
        <v>197</v>
      </c>
      <c r="O37" s="247">
        <v>123</v>
      </c>
      <c r="P37" s="247">
        <v>199</v>
      </c>
      <c r="Q37" s="247">
        <v>188</v>
      </c>
      <c r="R37" s="247">
        <v>109</v>
      </c>
      <c r="S37" s="247">
        <v>34</v>
      </c>
      <c r="T37" s="247">
        <v>94</v>
      </c>
      <c r="U37" s="247">
        <v>77</v>
      </c>
      <c r="V37" s="247">
        <v>40</v>
      </c>
      <c r="W37" s="247">
        <v>141</v>
      </c>
      <c r="X37" s="247">
        <v>192</v>
      </c>
      <c r="Y37" s="247">
        <v>42</v>
      </c>
      <c r="Z37" s="247">
        <v>177</v>
      </c>
      <c r="AA37" s="247">
        <v>131</v>
      </c>
      <c r="AB37" s="247">
        <v>55</v>
      </c>
      <c r="AC37" s="247">
        <v>207</v>
      </c>
      <c r="AD37" s="247">
        <v>115</v>
      </c>
      <c r="AE37" s="247">
        <v>195</v>
      </c>
      <c r="AF37" s="247">
        <v>36</v>
      </c>
      <c r="AG37" s="247">
        <v>166</v>
      </c>
      <c r="AH37" s="247">
        <v>31</v>
      </c>
      <c r="AI37" s="247">
        <v>190</v>
      </c>
      <c r="AJ37" s="247">
        <v>147</v>
      </c>
      <c r="AK37" s="247">
        <v>170</v>
      </c>
    </row>
    <row r="38" spans="1:37" ht="15">
      <c r="A38" s="245">
        <v>6</v>
      </c>
      <c r="B38" s="247">
        <v>124</v>
      </c>
      <c r="C38" s="247">
        <v>66</v>
      </c>
      <c r="D38" s="247">
        <v>24</v>
      </c>
      <c r="E38" s="247">
        <v>75</v>
      </c>
      <c r="F38" s="247">
        <v>186</v>
      </c>
      <c r="G38" s="247">
        <v>80</v>
      </c>
      <c r="H38" s="247">
        <v>91</v>
      </c>
      <c r="I38" s="247">
        <v>126</v>
      </c>
      <c r="J38" s="247">
        <v>87</v>
      </c>
      <c r="K38" s="247">
        <v>96</v>
      </c>
      <c r="L38" s="247">
        <v>184</v>
      </c>
      <c r="M38" s="247">
        <v>83</v>
      </c>
      <c r="N38" s="247">
        <v>101</v>
      </c>
      <c r="O38" s="247">
        <v>12</v>
      </c>
      <c r="P38" s="247">
        <v>133</v>
      </c>
      <c r="Q38" s="247">
        <v>95</v>
      </c>
      <c r="R38" s="247">
        <v>14</v>
      </c>
      <c r="S38" s="247">
        <v>215</v>
      </c>
      <c r="T38" s="247">
        <v>183</v>
      </c>
      <c r="U38" s="247">
        <v>135</v>
      </c>
      <c r="V38" s="247">
        <v>153</v>
      </c>
      <c r="W38" s="247">
        <v>33</v>
      </c>
      <c r="X38" s="247">
        <v>71</v>
      </c>
      <c r="Y38" s="247">
        <v>194</v>
      </c>
      <c r="Z38" s="247">
        <v>130</v>
      </c>
      <c r="AA38" s="247">
        <v>7</v>
      </c>
      <c r="AB38" s="247">
        <v>191</v>
      </c>
      <c r="AC38" s="247">
        <v>88</v>
      </c>
      <c r="AD38" s="247">
        <v>204</v>
      </c>
      <c r="AE38" s="247">
        <v>213</v>
      </c>
      <c r="AF38" s="247">
        <v>51</v>
      </c>
      <c r="AG38" s="247">
        <v>10</v>
      </c>
      <c r="AH38" s="247">
        <v>152</v>
      </c>
      <c r="AI38" s="247">
        <v>52</v>
      </c>
      <c r="AJ38" s="247">
        <v>43</v>
      </c>
      <c r="AK38" s="247">
        <v>208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>
      <selection activeCell="A19" sqref="A19"/>
    </sheetView>
  </sheetViews>
  <sheetFormatPr baseColWidth="10" defaultRowHeight="12"/>
  <cols>
    <col min="1" max="1" width="36.42578125" bestFit="1" customWidth="1"/>
    <col min="2" max="2" width="11.85546875" bestFit="1" customWidth="1"/>
    <col min="3" max="3" width="29.28515625" bestFit="1" customWidth="1"/>
  </cols>
  <sheetData>
    <row r="1" spans="1:5" ht="15.75">
      <c r="A1" s="205" t="s">
        <v>8135</v>
      </c>
      <c r="B1" s="205" t="s">
        <v>213</v>
      </c>
      <c r="C1" s="205" t="s">
        <v>8136</v>
      </c>
      <c r="D1" s="205" t="s">
        <v>8137</v>
      </c>
      <c r="E1" s="205" t="s">
        <v>8138</v>
      </c>
    </row>
    <row r="2" spans="1:5" ht="15.75">
      <c r="A2" s="206" t="s">
        <v>8139</v>
      </c>
      <c r="B2" s="207"/>
      <c r="C2" s="208" t="s">
        <v>8146</v>
      </c>
      <c r="D2" s="208"/>
      <c r="E2" s="208"/>
    </row>
    <row r="3" spans="1:5" ht="15.75">
      <c r="A3" s="206" t="s">
        <v>8140</v>
      </c>
      <c r="B3" s="207">
        <v>41521</v>
      </c>
      <c r="C3" s="208"/>
      <c r="D3" s="208"/>
      <c r="E3" s="208"/>
    </row>
    <row r="4" spans="1:5" ht="15.75">
      <c r="A4" s="206" t="s">
        <v>8139</v>
      </c>
      <c r="B4" s="207"/>
      <c r="C4" s="208" t="s">
        <v>8146</v>
      </c>
      <c r="D4" s="208"/>
      <c r="E4" s="208"/>
    </row>
    <row r="5" spans="1:5" ht="15.75">
      <c r="A5" s="206" t="s">
        <v>8141</v>
      </c>
      <c r="B5" s="207"/>
      <c r="C5" s="208" t="s">
        <v>8147</v>
      </c>
      <c r="D5" s="208"/>
      <c r="E5" s="208"/>
    </row>
    <row r="6" spans="1:5" ht="15.75">
      <c r="A6" s="206" t="s">
        <v>8148</v>
      </c>
      <c r="B6" s="207" t="s">
        <v>8149</v>
      </c>
      <c r="C6" s="208"/>
      <c r="D6" s="208"/>
      <c r="E6" s="208"/>
    </row>
    <row r="7" spans="1:5" ht="15.75">
      <c r="A7" s="206" t="s">
        <v>8142</v>
      </c>
      <c r="B7" s="207"/>
      <c r="C7" s="208" t="s">
        <v>8150</v>
      </c>
      <c r="D7" s="208"/>
      <c r="E7" s="208"/>
    </row>
    <row r="8" spans="1:5" ht="15.75">
      <c r="A8" s="206" t="s">
        <v>8143</v>
      </c>
      <c r="B8" s="207"/>
      <c r="C8" s="208" t="s">
        <v>8145</v>
      </c>
      <c r="D8" s="208"/>
      <c r="E8" s="208"/>
    </row>
    <row r="9" spans="1:5" ht="15.75">
      <c r="A9" s="206" t="s">
        <v>8141</v>
      </c>
      <c r="B9" s="207"/>
      <c r="C9" s="208" t="s">
        <v>8147</v>
      </c>
      <c r="D9" s="208"/>
      <c r="E9" s="208"/>
    </row>
    <row r="10" spans="1:5" ht="15.75">
      <c r="A10" s="206" t="s">
        <v>8144</v>
      </c>
      <c r="B10" s="207">
        <v>41837</v>
      </c>
      <c r="C10" s="208"/>
      <c r="D10" s="208"/>
      <c r="E10" s="208"/>
    </row>
    <row r="21" spans="8:8">
      <c r="H21" s="204"/>
    </row>
    <row r="22" spans="8:8">
      <c r="H22" s="204"/>
    </row>
    <row r="23" spans="8:8">
      <c r="H23" s="204"/>
    </row>
    <row r="24" spans="8:8">
      <c r="H24" s="204"/>
    </row>
    <row r="25" spans="8:8">
      <c r="H25" s="204"/>
    </row>
    <row r="26" spans="8:8">
      <c r="H26" s="204"/>
    </row>
    <row r="27" spans="8:8">
      <c r="H27" s="20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154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5</vt:i4>
      </vt:variant>
    </vt:vector>
  </HeadingPairs>
  <TitlesOfParts>
    <vt:vector size="22" baseType="lpstr">
      <vt:lpstr>README</vt:lpstr>
      <vt:lpstr>Trial</vt:lpstr>
      <vt:lpstr>Site</vt:lpstr>
      <vt:lpstr>Contact</vt:lpstr>
      <vt:lpstr>Variable</vt:lpstr>
      <vt:lpstr>PlantMaterial</vt:lpstr>
      <vt:lpstr>Treatment</vt:lpstr>
      <vt:lpstr>Level</vt:lpstr>
      <vt:lpstr>Data</vt:lpstr>
      <vt:lpstr>Files</vt:lpstr>
      <vt:lpstr>ForestComplementaryInfo</vt:lpstr>
      <vt:lpstr>StaticData</vt:lpstr>
      <vt:lpstr>Meteo_data</vt:lpstr>
      <vt:lpstr>Soil_data</vt:lpstr>
      <vt:lpstr>INN_data</vt:lpstr>
      <vt:lpstr>Parcellaire_data</vt:lpstr>
      <vt:lpstr>ITK_data</vt:lpstr>
      <vt:lpstr>HoldingInstitution</vt:lpstr>
      <vt:lpstr>InstitutionName</vt:lpstr>
      <vt:lpstr>ProjectAcronym</vt:lpstr>
      <vt:lpstr>SiteName</vt:lpstr>
      <vt:lpstr>TaxonScientificName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cmichotey</dc:creator>
  <cp:lastModifiedBy>Tyfanie Bourlet</cp:lastModifiedBy>
  <cp:revision>11</cp:revision>
  <cp:lastPrinted>1601-01-01T00:00:00Z</cp:lastPrinted>
  <dcterms:created xsi:type="dcterms:W3CDTF">2013-10-04T13:51:10Z</dcterms:created>
  <dcterms:modified xsi:type="dcterms:W3CDTF">2015-01-19T16:00:40Z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