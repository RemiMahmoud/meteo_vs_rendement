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120" windowWidth="19200" windowHeight="8070" tabRatio="903" firstSheet="1" activeTab="14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Data!$A$1:$CM$841</definedName>
    <definedName name="_xlnm._FilterDatabase" localSheetId="5" hidden="1">PlantMaterial!$A$1:$E$209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L7" i="15" l="1"/>
  <c r="J28" i="15"/>
  <c r="Y3" i="15"/>
  <c r="S3" i="15" l="1"/>
  <c r="S9" i="15"/>
  <c r="T3" i="15"/>
  <c r="W3" i="15"/>
  <c r="X3" i="15"/>
  <c r="AB50" i="14" l="1"/>
  <c r="AA50" i="14"/>
  <c r="Z50" i="14"/>
  <c r="AC48" i="14"/>
  <c r="AC46" i="14"/>
  <c r="AB39" i="14"/>
  <c r="AA39" i="14"/>
  <c r="Z39" i="14"/>
  <c r="AC37" i="14"/>
  <c r="AC35" i="14"/>
  <c r="AB28" i="14"/>
  <c r="AA28" i="14"/>
  <c r="Z28" i="14"/>
  <c r="AC26" i="14"/>
  <c r="AC24" i="14"/>
  <c r="AC28" i="14" s="1"/>
  <c r="E46" i="14"/>
  <c r="V39" i="14"/>
  <c r="U39" i="14"/>
  <c r="T39" i="14"/>
  <c r="W37" i="14"/>
  <c r="W35" i="14"/>
  <c r="P39" i="14"/>
  <c r="O39" i="14"/>
  <c r="N39" i="14"/>
  <c r="Q37" i="14"/>
  <c r="Q35" i="14"/>
  <c r="J39" i="14"/>
  <c r="I39" i="14"/>
  <c r="H39" i="14"/>
  <c r="K37" i="14"/>
  <c r="K35" i="14"/>
  <c r="V50" i="14"/>
  <c r="U50" i="14"/>
  <c r="T50" i="14"/>
  <c r="W48" i="14"/>
  <c r="W46" i="14"/>
  <c r="P50" i="14"/>
  <c r="O50" i="14"/>
  <c r="N50" i="14"/>
  <c r="Q48" i="14"/>
  <c r="Q46" i="14"/>
  <c r="J50" i="14"/>
  <c r="I50" i="14"/>
  <c r="H50" i="14"/>
  <c r="K48" i="14"/>
  <c r="K46" i="14"/>
  <c r="E48" i="14"/>
  <c r="D50" i="14"/>
  <c r="C50" i="14"/>
  <c r="B50" i="14"/>
  <c r="C39" i="14"/>
  <c r="D39" i="14"/>
  <c r="E39" i="14"/>
  <c r="B39" i="14"/>
  <c r="E37" i="14"/>
  <c r="E35" i="14"/>
  <c r="AC39" i="14" l="1"/>
  <c r="AC50" i="14"/>
  <c r="W50" i="14"/>
  <c r="Q50" i="14"/>
  <c r="K50" i="14"/>
  <c r="E50" i="14"/>
  <c r="W39" i="14"/>
  <c r="Q39" i="14"/>
  <c r="K39" i="14"/>
  <c r="L3" i="15" l="1"/>
  <c r="O25" i="16"/>
  <c r="O24" i="16"/>
  <c r="O23" i="16"/>
  <c r="W27" i="15" l="1"/>
  <c r="W28" i="15"/>
  <c r="W29" i="15"/>
  <c r="W30" i="15"/>
  <c r="W31" i="15"/>
  <c r="W32" i="15"/>
  <c r="W33" i="15"/>
  <c r="W34" i="15"/>
  <c r="W35" i="15"/>
  <c r="W36" i="15"/>
  <c r="W37" i="15"/>
  <c r="W38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L36" i="15" l="1"/>
  <c r="J36" i="15" s="1"/>
  <c r="S36" i="15" s="1"/>
  <c r="T36" i="15" s="1"/>
  <c r="Y36" i="15" s="1"/>
  <c r="L35" i="15"/>
  <c r="J35" i="15" s="1"/>
  <c r="S35" i="15" s="1"/>
  <c r="T35" i="15" s="1"/>
  <c r="Y35" i="15" s="1"/>
  <c r="L27" i="15"/>
  <c r="J27" i="15" s="1"/>
  <c r="S27" i="15" s="1"/>
  <c r="T27" i="15" s="1"/>
  <c r="Y27" i="15" s="1"/>
  <c r="L34" i="15"/>
  <c r="J34" i="15" s="1"/>
  <c r="S34" i="15" s="1"/>
  <c r="T34" i="15" s="1"/>
  <c r="Y34" i="15" s="1"/>
  <c r="L33" i="15"/>
  <c r="J33" i="15" s="1"/>
  <c r="S33" i="15" s="1"/>
  <c r="T33" i="15" s="1"/>
  <c r="Y33" i="15" s="1"/>
  <c r="L28" i="15"/>
  <c r="S28" i="15" s="1"/>
  <c r="T28" i="15" s="1"/>
  <c r="Y28" i="15" s="1"/>
  <c r="L32" i="15"/>
  <c r="J32" i="15" s="1"/>
  <c r="S32" i="15" s="1"/>
  <c r="T32" i="15" s="1"/>
  <c r="Y32" i="15" s="1"/>
  <c r="L31" i="15"/>
  <c r="J31" i="15" s="1"/>
  <c r="S31" i="15" s="1"/>
  <c r="T31" i="15" s="1"/>
  <c r="Y31" i="15" s="1"/>
  <c r="L38" i="15"/>
  <c r="J38" i="15" s="1"/>
  <c r="S38" i="15" s="1"/>
  <c r="T38" i="15" s="1"/>
  <c r="Y38" i="15" s="1"/>
  <c r="L30" i="15"/>
  <c r="J30" i="15" s="1"/>
  <c r="S30" i="15" s="1"/>
  <c r="T30" i="15" s="1"/>
  <c r="Y30" i="15" s="1"/>
  <c r="L37" i="15"/>
  <c r="J37" i="15" s="1"/>
  <c r="S37" i="15" s="1"/>
  <c r="T37" i="15" s="1"/>
  <c r="Y37" i="15" s="1"/>
  <c r="L29" i="15"/>
  <c r="J29" i="15" s="1"/>
  <c r="S29" i="15" s="1"/>
  <c r="T29" i="15" s="1"/>
  <c r="Y29" i="15" s="1"/>
  <c r="W12" i="15" l="1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11" i="15"/>
  <c r="W4" i="15"/>
  <c r="W5" i="15"/>
  <c r="W6" i="15"/>
  <c r="W7" i="15"/>
  <c r="W8" i="15"/>
  <c r="W9" i="15"/>
  <c r="W10" i="15"/>
  <c r="O3" i="15"/>
  <c r="O4" i="15"/>
  <c r="O5" i="15"/>
  <c r="O6" i="15"/>
  <c r="O7" i="15"/>
  <c r="O8" i="15"/>
  <c r="O9" i="15"/>
  <c r="O10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11" i="15"/>
  <c r="R3" i="15"/>
  <c r="R4" i="15"/>
  <c r="R5" i="15"/>
  <c r="R6" i="15"/>
  <c r="R7" i="15"/>
  <c r="R8" i="15"/>
  <c r="R9" i="15"/>
  <c r="L9" i="15" s="1"/>
  <c r="J9" i="15" s="1"/>
  <c r="T9" i="15" s="1"/>
  <c r="Y9" i="15" s="1"/>
  <c r="R10" i="15"/>
  <c r="R12" i="15"/>
  <c r="R13" i="15"/>
  <c r="R14" i="15"/>
  <c r="L14" i="15" s="1"/>
  <c r="J14" i="15" s="1"/>
  <c r="R15" i="15"/>
  <c r="R16" i="15"/>
  <c r="R17" i="15"/>
  <c r="L17" i="15" s="1"/>
  <c r="R18" i="15"/>
  <c r="R19" i="15"/>
  <c r="L19" i="15" s="1"/>
  <c r="R20" i="15"/>
  <c r="R21" i="15"/>
  <c r="R22" i="15"/>
  <c r="R23" i="15"/>
  <c r="R24" i="15"/>
  <c r="L24" i="15" s="1"/>
  <c r="J24" i="15" s="1"/>
  <c r="R25" i="15"/>
  <c r="L25" i="15" s="1"/>
  <c r="R26" i="15"/>
  <c r="R11" i="15"/>
  <c r="L11" i="15" s="1"/>
  <c r="J11" i="15" s="1"/>
  <c r="S11" i="15" s="1"/>
  <c r="T11" i="15" s="1"/>
  <c r="J25" i="15" l="1"/>
  <c r="S25" i="15" s="1"/>
  <c r="T25" i="15" s="1"/>
  <c r="J17" i="15"/>
  <c r="S17" i="15" s="1"/>
  <c r="T17" i="15" s="1"/>
  <c r="J19" i="15"/>
  <c r="S19" i="15" s="1"/>
  <c r="T19" i="15" s="1"/>
  <c r="J3" i="15"/>
  <c r="X8" i="15"/>
  <c r="X6" i="15"/>
  <c r="X7" i="15"/>
  <c r="X5" i="15"/>
  <c r="X4" i="15"/>
  <c r="Y11" i="15"/>
  <c r="L8" i="15"/>
  <c r="J8" i="15" s="1"/>
  <c r="S8" i="15" s="1"/>
  <c r="T8" i="15" s="1"/>
  <c r="Y8" i="15" s="1"/>
  <c r="L10" i="15"/>
  <c r="J10" i="15" s="1"/>
  <c r="S10" i="15" s="1"/>
  <c r="L15" i="15"/>
  <c r="S24" i="15"/>
  <c r="L22" i="15"/>
  <c r="L26" i="15"/>
  <c r="L18" i="15"/>
  <c r="L16" i="15"/>
  <c r="L23" i="15"/>
  <c r="L6" i="15"/>
  <c r="J6" i="15" s="1"/>
  <c r="S6" i="15" s="1"/>
  <c r="T6" i="15" s="1"/>
  <c r="Y6" i="15" s="1"/>
  <c r="L21" i="15"/>
  <c r="L13" i="15"/>
  <c r="J13" i="15" s="1"/>
  <c r="S13" i="15" s="1"/>
  <c r="L5" i="15"/>
  <c r="J5" i="15" s="1"/>
  <c r="S5" i="15" s="1"/>
  <c r="T5" i="15" s="1"/>
  <c r="Y5" i="15" s="1"/>
  <c r="S14" i="15"/>
  <c r="L12" i="15"/>
  <c r="J12" i="15" s="1"/>
  <c r="S12" i="15" s="1"/>
  <c r="L4" i="15"/>
  <c r="J4" i="15" s="1"/>
  <c r="S4" i="15" s="1"/>
  <c r="T4" i="15" s="1"/>
  <c r="Y4" i="15" s="1"/>
  <c r="J7" i="15"/>
  <c r="S7" i="15" s="1"/>
  <c r="T7" i="15" s="1"/>
  <c r="Y7" i="15" s="1"/>
  <c r="L20" i="15"/>
  <c r="J18" i="15" l="1"/>
  <c r="S18" i="15" s="1"/>
  <c r="T18" i="15" s="1"/>
  <c r="Y18" i="15" s="1"/>
  <c r="J26" i="15"/>
  <c r="S26" i="15" s="1"/>
  <c r="T26" i="15" s="1"/>
  <c r="Y26" i="15" s="1"/>
  <c r="J22" i="15"/>
  <c r="S22" i="15" s="1"/>
  <c r="T22" i="15" s="1"/>
  <c r="Y22" i="15" s="1"/>
  <c r="Y17" i="15"/>
  <c r="Y19" i="15"/>
  <c r="J21" i="15"/>
  <c r="S21" i="15" s="1"/>
  <c r="T21" i="15" s="1"/>
  <c r="Y21" i="15" s="1"/>
  <c r="J15" i="15"/>
  <c r="S15" i="15" s="1"/>
  <c r="T15" i="15" s="1"/>
  <c r="Y15" i="15" s="1"/>
  <c r="Y25" i="15"/>
  <c r="J20" i="15"/>
  <c r="S20" i="15" s="1"/>
  <c r="T20" i="15" s="1"/>
  <c r="Y20" i="15" s="1"/>
  <c r="J23" i="15"/>
  <c r="S23" i="15" s="1"/>
  <c r="T23" i="15" s="1"/>
  <c r="Y23" i="15" s="1"/>
  <c r="J16" i="15"/>
  <c r="S16" i="15" s="1"/>
  <c r="T16" i="15" s="1"/>
  <c r="Y16" i="15" s="1"/>
  <c r="T24" i="15"/>
  <c r="Y24" i="15" s="1"/>
  <c r="T13" i="15"/>
  <c r="Y13" i="15" s="1"/>
  <c r="T12" i="15"/>
  <c r="Y12" i="15" s="1"/>
  <c r="T10" i="15"/>
  <c r="Y10" i="15" s="1"/>
  <c r="T14" i="15"/>
  <c r="Y14" i="15" s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comments6.xml><?xml version="1.0" encoding="utf-8"?>
<comments xmlns="http://schemas.openxmlformats.org/spreadsheetml/2006/main">
  <authors>
    <author>Tyfanie Bourlet</author>
  </authors>
  <commentList>
    <comment ref="Y9" authorId="0">
      <text>
        <r>
          <rPr>
            <b/>
            <sz val="9"/>
            <color indexed="81"/>
            <rFont val="Tahoma"/>
            <charset val="1"/>
          </rPr>
          <t>Tyfanie Bourlet:</t>
        </r>
        <r>
          <rPr>
            <sz val="9"/>
            <color indexed="81"/>
            <rFont val="Tahoma"/>
            <charset val="1"/>
          </rPr>
          <t xml:space="preserve">
Attention pour l’interprétation des données des INN car les apport d’azote ont été assez tardif a cause de mauvaises condition d’entrée dans la parcelle :
-          INN = entrée hiver
-          INN2 = sortie hiver
-          INN3 = stade D2-E 24-27j après premeir apport N et juste avant le 2ème apport
-          INN4 = Stade G2-G3 environ 10j après le second apport d’azote
-          INN5 = stade G4 tardif mais il n’apparait pas dans ephisis correspond a peu près au NHI, </t>
        </r>
      </text>
    </comment>
  </commentList>
</comments>
</file>

<file path=xl/sharedStrings.xml><?xml version="1.0" encoding="utf-8"?>
<sst xmlns="http://schemas.openxmlformats.org/spreadsheetml/2006/main" count="13950" uniqueCount="8821">
  <si>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</si>
  <si>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</si>
  <si>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</si>
  <si>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</si>
  <si>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</si>
  <si>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</si>
  <si>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</si>
  <si>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</si>
  <si>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</si>
  <si>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</si>
  <si>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</si>
  <si>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</si>
  <si>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</si>
  <si>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</si>
  <si>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</si>
  <si>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</si>
  <si>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</si>
  <si>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</si>
  <si>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</si>
  <si>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</si>
  <si>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</si>
  <si>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</si>
  <si>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</si>
  <si>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</si>
  <si>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</si>
  <si>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</si>
  <si>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</si>
  <si>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</si>
  <si>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</si>
  <si>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</si>
  <si>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</si>
  <si>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</si>
  <si>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</si>
  <si>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</si>
  <si>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</si>
  <si>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</si>
  <si>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</si>
  <si>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</si>
  <si>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</si>
  <si>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</si>
  <si>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</si>
  <si>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</si>
  <si>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</si>
  <si>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</si>
  <si>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</si>
  <si>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</si>
  <si>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</si>
  <si>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</si>
  <si>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</si>
  <si>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</si>
  <si>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</si>
  <si>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</si>
  <si>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</si>
  <si>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</si>
  <si>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</si>
  <si>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</si>
  <si>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</si>
  <si>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</si>
  <si>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</si>
  <si>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</si>
  <si>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</si>
  <si>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</si>
  <si>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</si>
  <si>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</si>
  <si>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</si>
  <si>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</si>
  <si>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</si>
  <si>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</si>
  <si>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</si>
  <si>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</si>
  <si>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</si>
  <si>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</si>
  <si>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</si>
  <si>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</si>
  <si>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</si>
  <si>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</si>
  <si>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</si>
  <si>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</si>
  <si>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</si>
  <si>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</si>
  <si>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</si>
  <si>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</si>
  <si>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</si>
  <si>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</si>
  <si>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</si>
  <si>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</si>
  <si>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</si>
  <si>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</si>
  <si>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</si>
  <si>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</si>
  <si>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</si>
  <si>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</si>
  <si>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</si>
  <si>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</si>
  <si>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</si>
  <si>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</si>
  <si>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</si>
  <si>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</si>
  <si>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</si>
  <si>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</si>
  <si>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</si>
  <si>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</si>
  <si>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</si>
  <si>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</si>
  <si>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</si>
  <si>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</si>
  <si>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</si>
  <si>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</si>
  <si>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</si>
  <si>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</si>
  <si>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</si>
  <si>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</si>
  <si>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</si>
  <si>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</si>
  <si>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</si>
  <si>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</si>
  <si>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</si>
  <si>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</si>
  <si>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</si>
  <si>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</si>
  <si>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</si>
  <si>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</si>
  <si>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</si>
  <si>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</si>
  <si>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</si>
  <si>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</si>
  <si>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</si>
  <si>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</si>
  <si>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</si>
  <si>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</si>
  <si>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</si>
  <si>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</si>
  <si>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</si>
  <si>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</si>
  <si>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</si>
  <si>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</si>
  <si>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</si>
  <si>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</si>
  <si>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</si>
  <si>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</si>
  <si>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</si>
  <si>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</si>
  <si>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</si>
  <si>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</si>
  <si>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</si>
  <si>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</si>
  <si>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</si>
  <si>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</si>
  <si>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</si>
  <si>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</si>
  <si>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</si>
  <si>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</si>
  <si>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</si>
  <si>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</si>
  <si>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</si>
  <si>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</si>
  <si>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</si>
  <si>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</si>
  <si>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</si>
  <si>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</si>
  <si>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</si>
  <si>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</si>
  <si>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</si>
  <si>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</si>
  <si>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</si>
  <si>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</si>
  <si>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</si>
  <si>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</si>
  <si>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</si>
  <si>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</si>
  <si>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</si>
  <si>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</si>
  <si>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</si>
  <si>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</si>
  <si>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</si>
  <si>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</si>
  <si>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</si>
  <si>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</si>
  <si>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</si>
  <si>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</si>
  <si>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</si>
  <si>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</si>
  <si>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</si>
  <si>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</si>
  <si>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</si>
  <si>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</si>
  <si>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</si>
  <si>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</si>
  <si>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</si>
  <si>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</si>
  <si>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</si>
  <si>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</si>
  <si>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</si>
  <si>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</si>
  <si>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</si>
  <si>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</si>
  <si>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</si>
  <si>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</si>
  <si>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</si>
  <si>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</si>
  <si>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</si>
  <si>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</si>
  <si>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</si>
  <si>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</si>
  <si>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</si>
  <si>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</si>
  <si>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</si>
  <si>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</si>
  <si>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</si>
  <si>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</si>
  <si>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</si>
  <si>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</si>
  <si>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</si>
  <si>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</si>
  <si>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</si>
  <si>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</si>
  <si>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</si>
  <si>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</si>
  <si>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</si>
  <si>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</si>
  <si>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</si>
  <si>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</si>
  <si>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</si>
  <si>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</si>
  <si>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</si>
  <si>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</si>
  <si>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</si>
  <si>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</si>
  <si>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</si>
  <si>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</si>
  <si>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</si>
  <si>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</si>
  <si>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</si>
  <si>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</si>
  <si>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</si>
  <si>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</si>
  <si>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</si>
  <si>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</si>
  <si>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</si>
  <si>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</si>
  <si>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</si>
  <si>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</si>
  <si>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</si>
  <si>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</si>
  <si>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</si>
  <si>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</si>
  <si>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</si>
  <si>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</si>
  <si>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</si>
  <si>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</si>
  <si>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</si>
  <si>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</si>
  <si>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</si>
  <si>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</si>
  <si>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</si>
  <si>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</si>
  <si>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</si>
  <si>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</si>
  <si>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</si>
  <si>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</si>
  <si>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</si>
  <si>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</si>
  <si>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</si>
  <si>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</si>
  <si>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</si>
  <si>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</si>
  <si>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</si>
  <si>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</si>
  <si>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</si>
  <si>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</si>
  <si>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</si>
  <si>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</si>
  <si>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</si>
  <si>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</si>
  <si>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</si>
  <si>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</si>
  <si>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</si>
  <si>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</si>
  <si>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</si>
  <si>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</si>
  <si>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</si>
  <si>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</si>
  <si>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</si>
  <si>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</si>
  <si>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</si>
  <si>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</si>
  <si>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</si>
  <si>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</si>
  <si>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</si>
  <si>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</si>
  <si>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</si>
  <si>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</si>
  <si>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</si>
  <si>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</si>
  <si>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</si>
  <si>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</si>
  <si>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</si>
  <si>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</si>
  <si>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</si>
  <si>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</si>
  <si>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</si>
  <si>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</si>
  <si>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</si>
  <si>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</si>
  <si>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</si>
  <si>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</si>
  <si>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</si>
  <si>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</si>
  <si>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</si>
  <si>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</si>
  <si>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</si>
  <si>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</si>
  <si>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</si>
  <si>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</si>
  <si>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</si>
  <si>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</si>
  <si>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</si>
  <si>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</si>
  <si>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</si>
  <si>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</si>
  <si>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</si>
  <si>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</si>
  <si>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</si>
  <si>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</si>
  <si>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</si>
  <si>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</si>
  <si>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</si>
  <si>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</si>
  <si>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</si>
  <si>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</si>
  <si>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</si>
  <si>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</si>
  <si>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</si>
  <si>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</si>
  <si>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</si>
  <si>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</si>
  <si>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</si>
  <si>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</si>
  <si>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</si>
  <si>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</si>
  <si>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</si>
  <si>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</si>
  <si>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</si>
  <si>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</si>
  <si>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</si>
  <si>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</si>
  <si>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</si>
  <si>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</si>
  <si>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</si>
  <si>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</si>
  <si>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</si>
  <si>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</si>
  <si>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</si>
  <si>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</si>
  <si>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</si>
  <si>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</si>
  <si>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</si>
  <si>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</si>
  <si>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</si>
  <si>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</si>
  <si>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</si>
  <si>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</si>
  <si>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</si>
  <si>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</si>
  <si>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</si>
  <si>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</si>
  <si>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</si>
  <si>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</si>
  <si>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</si>
  <si>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</si>
  <si>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</si>
  <si>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</si>
  <si>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</si>
  <si>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</si>
  <si>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</si>
  <si>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</si>
  <si>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</si>
  <si>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</si>
  <si>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</si>
  <si>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</si>
  <si>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</si>
  <si>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</si>
  <si>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</si>
  <si>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</si>
  <si>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</si>
  <si>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</si>
  <si>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</si>
  <si>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</si>
  <si>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</si>
  <si>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</si>
  <si>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</si>
  <si>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</si>
  <si>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</si>
  <si>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</si>
  <si>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</si>
  <si>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</si>
  <si>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</si>
  <si>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</si>
  <si>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</si>
  <si>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</si>
  <si>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</si>
  <si>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</si>
  <si>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</si>
  <si>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</si>
  <si>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</si>
  <si>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</si>
  <si>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</si>
  <si>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</si>
  <si>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</si>
  <si>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</si>
  <si>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</si>
  <si>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</si>
  <si>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</si>
  <si>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</si>
  <si>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</si>
  <si>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</si>
  <si>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</si>
  <si>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</si>
  <si>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</si>
  <si>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</si>
  <si>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</si>
  <si>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</si>
  <si>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</si>
  <si>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</si>
  <si>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</si>
  <si>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</si>
  <si>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</si>
  <si>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</si>
  <si>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</si>
  <si>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</si>
  <si>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</si>
  <si>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</si>
  <si>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</si>
  <si>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</si>
  <si>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</si>
  <si>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</si>
  <si>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</si>
  <si>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</si>
  <si>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</si>
  <si>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</si>
  <si>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</si>
  <si>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</si>
  <si>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</si>
  <si>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</si>
  <si>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</si>
  <si>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</si>
  <si>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</si>
  <si>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</si>
  <si>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</si>
  <si>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</si>
  <si>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</si>
  <si>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</si>
  <si>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</si>
  <si>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</si>
  <si>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</si>
  <si>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</si>
  <si>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</si>
  <si>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</si>
  <si>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</si>
  <si>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</si>
  <si>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</si>
  <si>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</si>
  <si>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</si>
  <si>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</si>
  <si>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</si>
  <si>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</si>
  <si>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</si>
  <si>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</si>
  <si>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</si>
  <si>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</si>
  <si>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</si>
  <si>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</si>
  <si>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</si>
  <si>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</si>
  <si>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</si>
  <si>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</si>
  <si>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</si>
  <si>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</si>
  <si>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</si>
  <si>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</si>
  <si>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</si>
  <si>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</si>
  <si>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</si>
  <si>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</si>
  <si>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</si>
  <si>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</si>
  <si>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</si>
  <si>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</si>
  <si>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</si>
  <si>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</si>
  <si>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</si>
  <si>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</si>
  <si>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</si>
  <si>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</si>
  <si>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</si>
  <si>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</si>
  <si>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</si>
  <si>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</si>
  <si>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</si>
  <si>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</si>
  <si>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</si>
  <si>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</si>
  <si>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</si>
  <si>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</si>
  <si>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</si>
  <si>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</si>
  <si>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</si>
  <si>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</si>
  <si>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</si>
  <si>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</si>
  <si>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</si>
  <si>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</si>
  <si>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</si>
  <si>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</si>
  <si>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</si>
  <si>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</si>
  <si>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</si>
  <si>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</si>
  <si>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</si>
  <si>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</si>
  <si>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</si>
  <si>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</si>
  <si>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</si>
  <si>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</si>
  <si>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</si>
  <si>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</si>
  <si>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</si>
  <si>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</si>
  <si>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</si>
  <si>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</si>
  <si>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</si>
  <si>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</si>
  <si>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</si>
  <si>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</si>
  <si>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</si>
  <si>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</si>
  <si>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</si>
  <si>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</si>
  <si>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</si>
  <si>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</si>
  <si>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</si>
  <si>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</si>
  <si>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</si>
  <si>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</si>
  <si>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</si>
  <si>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</si>
  <si>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</si>
  <si>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</si>
  <si>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</si>
  <si>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</si>
  <si>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</si>
  <si>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</si>
  <si>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</si>
  <si>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</si>
  <si>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</si>
  <si>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</si>
  <si>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</si>
  <si>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</si>
  <si>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</si>
  <si>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</si>
  <si>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</si>
  <si>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</si>
  <si>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</si>
  <si>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</si>
  <si>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</si>
  <si>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</si>
  <si>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</si>
  <si>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</si>
  <si>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</si>
  <si>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</si>
  <si>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</si>
  <si>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</si>
  <si>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</si>
  <si>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</si>
  <si>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</si>
  <si>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</si>
  <si>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</si>
  <si>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</si>
  <si>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</si>
  <si>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</si>
  <si>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</si>
  <si>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</si>
  <si>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</si>
  <si>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</si>
  <si>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</si>
  <si>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</si>
  <si>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</si>
  <si>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</si>
  <si>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</si>
  <si>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</si>
  <si>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</si>
  <si>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</si>
  <si>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</si>
  <si>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</si>
  <si>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</si>
  <si>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</si>
  <si>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</si>
  <si>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</si>
  <si>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</si>
  <si>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</si>
  <si>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</si>
  <si>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</si>
  <si>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</si>
  <si>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</si>
  <si>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</si>
  <si>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</si>
  <si>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</si>
  <si>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</si>
  <si>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</si>
  <si>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</si>
  <si>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</si>
  <si>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</si>
  <si>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</si>
  <si>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</si>
  <si>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</si>
  <si>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</si>
  <si>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</si>
  <si>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</si>
  <si>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</si>
  <si>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</si>
  <si>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</si>
  <si>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</si>
  <si>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</si>
  <si>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</si>
  <si>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</si>
  <si>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</si>
  <si>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</si>
  <si>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</si>
  <si>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</si>
  <si>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</si>
  <si>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</si>
  <si>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</si>
  <si>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</si>
  <si>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</si>
  <si>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</si>
  <si>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</si>
  <si>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</si>
  <si>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</si>
  <si>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</si>
  <si>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</si>
  <si>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</si>
  <si>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</si>
  <si>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</si>
  <si>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</si>
  <si>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</si>
  <si>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</si>
  <si>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</si>
  <si>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</si>
  <si>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</si>
  <si>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</si>
  <si>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</si>
  <si>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</si>
  <si>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</si>
  <si>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</si>
  <si>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</si>
  <si>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</si>
  <si>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</si>
  <si>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</si>
  <si>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</si>
  <si>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</si>
  <si>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</si>
  <si>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</si>
  <si>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</si>
  <si>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</si>
  <si>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</si>
  <si>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</si>
  <si>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</si>
  <si>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</si>
  <si>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</si>
  <si>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</si>
  <si>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</si>
  <si>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</si>
  <si>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</si>
  <si>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</si>
  <si>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</si>
  <si>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</si>
  <si>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</si>
  <si>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</si>
  <si>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</si>
  <si>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</si>
  <si>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</si>
  <si>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</si>
  <si>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</si>
  <si>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</si>
  <si>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</si>
  <si>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</si>
  <si>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</si>
  <si>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</si>
  <si>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</si>
  <si>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</si>
  <si>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</si>
  <si>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</si>
  <si>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</si>
  <si>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</si>
  <si>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</si>
  <si>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</si>
  <si>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</si>
  <si>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</si>
  <si>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</si>
  <si>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</si>
  <si>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</si>
  <si>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</si>
  <si>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</si>
  <si>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</si>
  <si>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</si>
  <si>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</si>
  <si>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</si>
  <si>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</si>
  <si>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</si>
  <si>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</si>
  <si>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</si>
  <si>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</si>
  <si>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</si>
  <si>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</si>
  <si>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</si>
  <si>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</si>
  <si>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</si>
  <si>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</si>
  <si>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</si>
  <si>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</si>
  <si>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</si>
  <si>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</si>
  <si>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</si>
  <si>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</si>
  <si>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</si>
  <si>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</si>
  <si>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</si>
  <si>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</si>
  <si>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</si>
  <si>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</si>
  <si>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</si>
  <si>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</si>
  <si>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</si>
  <si>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</si>
  <si>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</si>
  <si>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</si>
  <si>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</si>
  <si>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</si>
  <si>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</si>
  <si>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</si>
  <si>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</si>
  <si>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</si>
  <si>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</si>
  <si>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</si>
  <si>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</si>
  <si>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</si>
  <si>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</si>
  <si>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</si>
  <si>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</si>
  <si>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</si>
  <si>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</si>
  <si>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</si>
  <si>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</si>
  <si>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</si>
  <si>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</si>
  <si>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</si>
  <si>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</si>
  <si>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</si>
  <si>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</si>
  <si>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</si>
  <si>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</si>
  <si>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</si>
  <si>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</si>
  <si>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</si>
  <si>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</si>
  <si>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</si>
  <si>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</si>
  <si>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</si>
  <si>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</si>
  <si>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</si>
  <si>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</si>
  <si>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</si>
  <si>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</si>
  <si>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</si>
  <si>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</si>
  <si>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</si>
  <si>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</si>
  <si>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</si>
  <si>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</si>
  <si>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</si>
  <si>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</si>
  <si>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</si>
  <si>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</si>
  <si>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</si>
  <si>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</si>
  <si>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</si>
  <si>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</si>
  <si>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</si>
  <si>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</si>
  <si>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</si>
  <si>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</si>
  <si>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</si>
  <si>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</si>
  <si>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</si>
  <si>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</si>
  <si>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</si>
  <si>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</si>
  <si>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</si>
  <si>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</si>
  <si>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</si>
  <si>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</si>
  <si>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</si>
  <si>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</si>
  <si>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</si>
  <si>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</si>
  <si>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</si>
  <si>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</si>
  <si>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</si>
  <si>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</si>
  <si>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</si>
  <si>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</si>
  <si>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</si>
  <si>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</si>
  <si>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</si>
  <si>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</si>
  <si>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</si>
  <si>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</si>
  <si>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</si>
  <si>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</si>
  <si>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</si>
  <si>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</si>
  <si>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</si>
  <si>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</si>
  <si>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</si>
  <si>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</si>
  <si>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</si>
  <si>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</si>
  <si>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</si>
  <si>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</si>
  <si>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</si>
  <si>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</si>
  <si>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</si>
  <si>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</si>
  <si>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</si>
  <si>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</si>
  <si>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</si>
  <si>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</si>
  <si>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</si>
  <si>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</si>
  <si>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</si>
  <si>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</si>
  <si>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</si>
  <si>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</si>
  <si>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</si>
  <si>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</si>
  <si>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</si>
  <si>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</si>
  <si>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</si>
  <si>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</si>
  <si>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</si>
  <si>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</si>
  <si>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</si>
  <si>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</si>
  <si>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</si>
  <si>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</si>
  <si>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</si>
  <si>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</si>
  <si>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</si>
  <si>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</si>
  <si>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</si>
  <si>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</si>
  <si>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</si>
  <si>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</si>
  <si>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</si>
  <si>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</si>
  <si>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</si>
  <si>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</si>
  <si>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</si>
  <si>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</si>
  <si>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</si>
  <si>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</si>
  <si>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</si>
  <si>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</si>
  <si>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</si>
  <si>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</si>
  <si>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</si>
  <si>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</si>
  <si>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</si>
  <si>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</si>
  <si>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</si>
  <si>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</si>
  <si>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</si>
  <si>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</si>
  <si>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</si>
  <si>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</si>
  <si>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</si>
  <si>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</si>
  <si>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</si>
  <si>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</si>
  <si>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</si>
  <si>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</si>
  <si>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</si>
  <si>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</si>
  <si>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</si>
  <si>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</si>
  <si>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</si>
  <si>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</si>
  <si>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</si>
  <si>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</si>
  <si>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</si>
  <si>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</si>
  <si>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</si>
  <si>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</si>
  <si>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</si>
  <si>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</si>
  <si>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</si>
  <si>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</si>
  <si>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</si>
  <si>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</si>
  <si>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</si>
  <si>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</si>
  <si>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</si>
  <si>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</si>
  <si>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</si>
  <si>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</si>
  <si>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</si>
  <si>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</si>
  <si>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</si>
  <si>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</si>
  <si>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</si>
  <si>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</si>
  <si>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</si>
  <si>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</si>
  <si>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</si>
  <si>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</si>
  <si>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</si>
  <si>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</si>
  <si>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</si>
  <si>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</si>
  <si>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</si>
  <si>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</si>
  <si>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</si>
  <si>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</si>
  <si>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</si>
  <si>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</si>
  <si>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</si>
  <si>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</si>
  <si>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</si>
  <si>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</si>
  <si>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</si>
  <si>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</si>
  <si>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</si>
  <si>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</si>
  <si>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</si>
  <si>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</si>
  <si>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</si>
  <si>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</si>
  <si>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</si>
  <si>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</si>
  <si>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</si>
  <si>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</si>
  <si>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</si>
  <si>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</si>
  <si>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</si>
  <si>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</si>
  <si>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</si>
  <si>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</si>
  <si>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</si>
  <si>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</si>
  <si>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</si>
  <si>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</si>
  <si>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</si>
  <si>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</si>
  <si>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</si>
  <si>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</si>
  <si>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</si>
  <si>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</si>
  <si>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</si>
  <si>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</si>
  <si>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</si>
  <si>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</si>
  <si>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</si>
  <si>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</si>
  <si>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</si>
  <si>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</si>
  <si>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</si>
  <si>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</si>
  <si>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</si>
  <si>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</si>
  <si>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</si>
  <si>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</si>
  <si>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</si>
  <si>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</si>
  <si>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</si>
  <si>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</si>
  <si>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</si>
  <si>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</si>
  <si>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</si>
  <si>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</si>
  <si>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</si>
  <si>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</si>
  <si>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</si>
  <si>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</si>
  <si>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</si>
  <si>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</si>
  <si>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</si>
  <si>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</si>
  <si>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</si>
  <si>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</si>
  <si>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</si>
  <si>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</si>
  <si>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</si>
  <si>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</si>
  <si>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</si>
  <si>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</si>
  <si>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</si>
  <si>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</si>
  <si>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</si>
  <si>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</si>
  <si>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</si>
  <si>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</si>
  <si>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</si>
  <si>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</si>
  <si>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</si>
  <si>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</si>
  <si>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</si>
  <si>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</si>
  <si>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</si>
  <si>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</si>
  <si>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</si>
  <si>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</si>
  <si>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</si>
  <si>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</si>
  <si>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</si>
  <si>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</si>
  <si>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</si>
  <si>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</si>
  <si>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</si>
  <si>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</si>
  <si>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</si>
  <si>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</si>
  <si>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</si>
  <si>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</si>
  <si>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</si>
  <si>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</si>
  <si>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</si>
  <si>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</si>
  <si>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</si>
  <si>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</si>
  <si>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</si>
  <si>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</si>
  <si>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</si>
  <si>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</si>
  <si>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</si>
  <si>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</si>
  <si>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</si>
  <si>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</si>
  <si>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</si>
  <si>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</si>
  <si>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</si>
  <si>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</si>
  <si>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</si>
  <si>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</si>
  <si>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</si>
  <si>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</si>
  <si>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</si>
  <si>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</si>
  <si>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</si>
  <si>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</si>
  <si>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</si>
  <si>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</si>
  <si>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</si>
  <si>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</si>
  <si>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</si>
  <si>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</si>
  <si>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</si>
  <si>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</si>
  <si>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</si>
  <si>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</si>
  <si>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</si>
  <si>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</si>
  <si>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</si>
  <si>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</si>
  <si>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</si>
  <si>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</si>
  <si>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</si>
  <si>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</si>
  <si>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</si>
  <si>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</si>
  <si>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</si>
  <si>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</si>
  <si>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</si>
  <si>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</si>
  <si>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</si>
  <si>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</si>
  <si>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</si>
  <si>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</si>
  <si>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</si>
  <si>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</si>
  <si>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</si>
  <si>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</si>
  <si>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</si>
  <si>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</si>
  <si>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</si>
  <si>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</si>
  <si>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</si>
  <si>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</si>
  <si>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</si>
  <si>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</si>
  <si>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</si>
  <si>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</si>
  <si>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</si>
  <si>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</si>
  <si>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</si>
  <si>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</si>
  <si>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</si>
  <si>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</si>
  <si>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</si>
  <si>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</si>
  <si>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</si>
  <si>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</si>
  <si>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</si>
  <si>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</si>
  <si>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</si>
  <si>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</si>
  <si>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</si>
  <si>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</si>
  <si>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</si>
  <si>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</si>
  <si>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</si>
  <si>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</si>
  <si>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</si>
  <si>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</si>
  <si>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</si>
  <si>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</si>
  <si>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</si>
  <si>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</si>
  <si>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</si>
  <si>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</si>
  <si>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</si>
  <si>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</si>
  <si>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</si>
  <si>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</si>
  <si>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</si>
  <si>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</si>
  <si>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</si>
  <si>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</si>
  <si>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</si>
  <si>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</si>
  <si>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</si>
  <si>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</si>
  <si>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</si>
  <si>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</si>
  <si>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</si>
  <si>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</si>
  <si>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</si>
  <si>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</si>
  <si>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</si>
  <si>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</si>
  <si>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</si>
  <si>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</si>
  <si>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</si>
  <si>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</si>
  <si>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</si>
  <si>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</si>
  <si>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</si>
  <si>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</si>
  <si>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</si>
  <si>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</si>
  <si>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</si>
  <si>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</si>
  <si>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</si>
  <si>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</si>
  <si>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</si>
  <si>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</si>
  <si>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</si>
  <si>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</si>
  <si>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</si>
  <si>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</si>
  <si>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</si>
  <si>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</si>
  <si>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</si>
  <si>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</si>
  <si>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</si>
  <si>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</si>
  <si>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</si>
  <si>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</si>
  <si>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</si>
  <si>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</si>
  <si>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</si>
  <si>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</si>
  <si>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</si>
  <si>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</si>
  <si>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</si>
  <si>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</si>
  <si>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</si>
  <si>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</si>
  <si>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</si>
  <si>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</si>
  <si>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</si>
  <si>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</si>
  <si>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</si>
  <si>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</si>
  <si>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</si>
  <si>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</si>
  <si>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</si>
  <si>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</si>
  <si>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</si>
  <si>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</si>
  <si>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</si>
  <si>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</si>
  <si>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</si>
  <si>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</si>
  <si>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</si>
  <si>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</si>
  <si>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</si>
  <si>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</si>
  <si>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</si>
  <si>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</si>
  <si>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</si>
  <si>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</si>
  <si>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</si>
  <si>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</si>
  <si>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</si>
  <si>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</si>
  <si>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</si>
  <si>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</si>
  <si>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</si>
  <si>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</si>
  <si>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</si>
  <si>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</si>
  <si>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</si>
  <si>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</si>
  <si>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</si>
  <si>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</si>
  <si>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</si>
  <si>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</si>
  <si>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</si>
  <si>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</si>
  <si>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</si>
  <si>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</si>
  <si>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</si>
  <si>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</si>
  <si>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</si>
  <si>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</si>
  <si>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</si>
  <si>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</si>
  <si>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</si>
  <si>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</si>
  <si>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</si>
  <si>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</si>
  <si>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</si>
  <si>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</si>
  <si>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</si>
  <si>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</si>
  <si>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</si>
  <si>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</si>
  <si>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</si>
  <si>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</si>
  <si>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</si>
  <si>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</si>
  <si>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</si>
  <si>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</si>
  <si>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</si>
  <si>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</si>
  <si>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</si>
  <si>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</si>
  <si>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</si>
  <si>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</si>
  <si>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</si>
  <si>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</si>
  <si>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</si>
  <si>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</si>
  <si>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</si>
  <si>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</si>
  <si>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</si>
  <si>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</si>
  <si>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</si>
  <si>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</si>
  <si>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</si>
  <si>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</si>
  <si>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</si>
  <si>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</si>
  <si>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</si>
  <si>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</si>
  <si>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</si>
  <si>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</si>
  <si>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</si>
  <si>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</si>
  <si>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</si>
  <si>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</si>
  <si>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</si>
  <si>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</si>
  <si>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</si>
  <si>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</si>
  <si>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</si>
  <si>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</si>
  <si>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</si>
  <si>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</si>
  <si>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</si>
  <si>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</si>
  <si>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</si>
  <si>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</si>
  <si>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</si>
  <si>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</si>
  <si>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</si>
  <si>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</si>
  <si>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</si>
  <si>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</si>
  <si>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</si>
  <si>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</si>
  <si>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</si>
  <si>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</si>
  <si>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</si>
  <si>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</si>
  <si>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</si>
  <si>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</si>
  <si>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</si>
  <si>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</si>
  <si>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</si>
  <si>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</si>
  <si>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</si>
  <si>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</si>
  <si>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</si>
  <si>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</si>
  <si>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</si>
  <si>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</si>
  <si>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</si>
  <si>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</si>
  <si>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</si>
  <si>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</si>
  <si>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</si>
  <si>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</si>
  <si>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</si>
  <si>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</si>
  <si>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</si>
  <si>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</si>
  <si>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</si>
  <si>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</si>
  <si>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</si>
  <si>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</si>
  <si>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</si>
  <si>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</si>
  <si>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</si>
  <si>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</si>
  <si>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</si>
  <si>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</si>
  <si>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</si>
  <si>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</si>
  <si>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</si>
  <si>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</si>
  <si>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</si>
  <si>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</si>
  <si>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</si>
  <si>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</si>
  <si>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</si>
  <si>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</si>
  <si>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</si>
  <si>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</si>
  <si>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</si>
  <si>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</si>
  <si>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</si>
  <si>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</si>
  <si>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</si>
  <si>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</si>
  <si>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</si>
  <si>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</si>
  <si>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</si>
  <si>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</si>
  <si>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</si>
  <si>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</si>
  <si>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</si>
  <si>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</si>
  <si>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</si>
  <si>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</si>
  <si>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</si>
  <si>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</si>
  <si>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</si>
  <si>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</si>
  <si>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</si>
  <si>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</si>
  <si>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</si>
  <si>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</si>
  <si>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</si>
  <si>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</si>
  <si>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</si>
  <si>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</si>
  <si>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</si>
  <si>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</si>
  <si>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</si>
  <si>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</si>
  <si>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</si>
  <si>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</si>
  <si>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</si>
  <si>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</si>
  <si>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</si>
  <si>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</si>
  <si>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</si>
  <si>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</si>
  <si>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</si>
  <si>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</si>
  <si>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</si>
  <si>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</si>
  <si>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</si>
  <si>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</si>
  <si>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</si>
  <si>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</si>
  <si>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</si>
  <si>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</si>
  <si>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</si>
  <si>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</si>
  <si>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</si>
  <si>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</si>
  <si>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</si>
  <si>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</si>
  <si>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</si>
  <si>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</si>
  <si>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</si>
  <si>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</si>
  <si>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</si>
  <si>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</si>
  <si>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</si>
  <si>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</si>
  <si>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</si>
  <si>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</si>
  <si>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</si>
  <si>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</si>
  <si>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</si>
  <si>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</si>
  <si>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</si>
  <si>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</si>
  <si>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</si>
  <si>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</si>
  <si>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</si>
  <si>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</si>
  <si>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</si>
  <si>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</si>
  <si>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</si>
  <si>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</si>
  <si>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</si>
  <si>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</si>
  <si>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</si>
  <si>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</si>
  <si>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</si>
  <si>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</si>
  <si>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</si>
  <si>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</si>
  <si>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</si>
  <si>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</si>
  <si>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</si>
  <si>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</si>
  <si>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</si>
  <si>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</si>
  <si>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</si>
  <si>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</si>
  <si>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</si>
  <si>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</si>
  <si>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</si>
  <si>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</si>
  <si>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</si>
  <si>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</si>
  <si>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</si>
  <si>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</si>
  <si>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</si>
  <si>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</si>
  <si>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</si>
  <si>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</si>
  <si>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</si>
  <si>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</si>
  <si>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</si>
  <si>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</si>
  <si>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</si>
  <si>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</si>
  <si>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</si>
  <si>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</si>
  <si>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</si>
  <si>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</si>
  <si>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</si>
  <si>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</si>
  <si>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</si>
  <si>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</si>
  <si>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</si>
  <si>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</si>
  <si>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</si>
  <si>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</si>
  <si>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</si>
  <si>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</si>
  <si>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</si>
  <si>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</si>
  <si>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</si>
  <si>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</si>
  <si>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</si>
  <si>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</si>
  <si>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</si>
  <si>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</si>
  <si>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</si>
  <si>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</si>
  <si>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</si>
  <si>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</si>
  <si>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</si>
  <si>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</si>
  <si>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</si>
  <si>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</si>
  <si>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</si>
  <si>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</si>
  <si>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</si>
  <si>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</si>
  <si>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</si>
  <si>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</si>
  <si>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</si>
  <si>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</si>
  <si>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</si>
  <si>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</si>
  <si>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</si>
  <si>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</si>
  <si>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</si>
  <si>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</si>
  <si>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</si>
  <si>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</si>
  <si>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</si>
  <si>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</si>
  <si>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</si>
  <si>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</si>
  <si>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</si>
  <si>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</si>
  <si>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</si>
  <si>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</si>
  <si>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</si>
  <si>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</si>
  <si>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</si>
  <si>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</si>
  <si>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</si>
  <si>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</si>
  <si>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</si>
  <si>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</si>
  <si>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</si>
  <si>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</si>
  <si>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</si>
  <si>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</si>
  <si>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</si>
  <si>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</si>
  <si>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</si>
  <si>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</si>
  <si>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</si>
  <si>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</si>
  <si>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</si>
  <si>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</si>
  <si>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</si>
  <si>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</si>
  <si>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</si>
  <si>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</si>
  <si>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</si>
  <si>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</si>
  <si>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</si>
  <si>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</si>
  <si>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</si>
  <si>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</si>
  <si>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</si>
  <si>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</si>
  <si>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</si>
  <si>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</si>
  <si>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</si>
  <si>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</si>
  <si>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</si>
  <si>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</si>
  <si>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</si>
  <si>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</si>
  <si>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</si>
  <si>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</si>
  <si>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</si>
  <si>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</si>
  <si>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</si>
  <si>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</si>
  <si>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</si>
  <si>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</si>
  <si>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</si>
  <si>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</si>
  <si>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</si>
  <si>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</si>
  <si>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</si>
  <si>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</si>
  <si>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</si>
  <si>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</si>
  <si>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</si>
  <si>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</si>
  <si>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</si>
  <si>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</si>
  <si>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</si>
  <si>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</si>
  <si>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</si>
  <si>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</si>
  <si>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</si>
  <si>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</si>
  <si>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</si>
  <si>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</si>
  <si>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</si>
  <si>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</si>
  <si>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</si>
  <si>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</si>
  <si>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</si>
  <si>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</si>
  <si>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</si>
  <si>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</si>
  <si>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</si>
  <si>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</si>
  <si>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</si>
  <si>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</si>
  <si>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</si>
  <si>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</si>
  <si>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</si>
  <si>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</si>
  <si>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</si>
  <si>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</si>
  <si>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</si>
  <si>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</si>
  <si>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</si>
  <si>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</si>
  <si>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</si>
  <si>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</si>
  <si>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</si>
  <si>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</si>
  <si>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</si>
  <si>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</si>
  <si>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</si>
  <si>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</si>
  <si>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</si>
  <si>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</si>
  <si>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</si>
  <si>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</si>
  <si>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</si>
  <si>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</si>
  <si>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</si>
  <si>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</si>
  <si>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</si>
  <si>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</si>
  <si>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</si>
  <si>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</si>
  <si>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</si>
  <si>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</si>
  <si>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</si>
  <si>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</si>
  <si>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</si>
  <si>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</si>
  <si>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</si>
  <si>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</si>
  <si>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</si>
  <si>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</si>
  <si>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</si>
  <si>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</si>
  <si>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</si>
  <si>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</si>
  <si>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</si>
  <si>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</si>
  <si>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</si>
  <si>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</si>
  <si>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</si>
  <si>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</si>
  <si>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</si>
  <si>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</si>
  <si>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</si>
  <si>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</si>
  <si>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</si>
  <si>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</si>
  <si>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</si>
  <si>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</si>
  <si>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</si>
  <si>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</si>
  <si>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</si>
  <si>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</si>
  <si>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</si>
  <si>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</si>
  <si>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</si>
  <si>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</si>
  <si>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</si>
  <si>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</si>
  <si>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</si>
  <si>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</si>
  <si>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</si>
  <si>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</si>
  <si>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</si>
  <si>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</si>
  <si>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</si>
  <si>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</si>
  <si>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</si>
  <si>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</si>
  <si>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</si>
  <si>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</si>
  <si>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</si>
  <si>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</si>
  <si>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</si>
  <si>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</si>
  <si>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</si>
  <si>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</si>
  <si>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</si>
  <si>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</si>
  <si>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</si>
  <si>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</si>
  <si>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</si>
  <si>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</si>
  <si>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</si>
  <si>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</si>
  <si>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</si>
  <si>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</si>
  <si>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</si>
  <si>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</si>
  <si>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</si>
  <si>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</si>
  <si>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</si>
  <si>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</si>
  <si>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</si>
  <si>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</si>
  <si>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</si>
  <si>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</si>
  <si>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</si>
  <si>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</si>
  <si>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</si>
  <si>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</si>
  <si>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</si>
  <si>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</si>
  <si>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</si>
  <si>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</si>
  <si>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</si>
  <si>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</si>
  <si>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</si>
  <si>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</si>
  <si>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</si>
  <si>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</si>
  <si>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</si>
  <si>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</si>
  <si>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</si>
  <si>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</si>
  <si>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</si>
  <si>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</si>
  <si>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</si>
  <si>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</si>
  <si>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</si>
  <si>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</si>
  <si>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</si>
  <si>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</si>
  <si>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</si>
  <si>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</si>
  <si>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</si>
  <si>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</si>
  <si>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</si>
  <si>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</si>
  <si>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</si>
  <si>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</si>
  <si>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</si>
  <si>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</si>
  <si>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</si>
  <si>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</si>
  <si>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</si>
  <si>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</si>
  <si>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</si>
  <si>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</si>
  <si>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</si>
  <si>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</si>
  <si>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</si>
  <si>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</si>
  <si>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</si>
  <si>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</si>
  <si>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</si>
  <si>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</si>
  <si>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</si>
  <si>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</si>
  <si>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</si>
  <si>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</si>
  <si>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</si>
  <si>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</si>
  <si>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</si>
  <si>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</si>
  <si>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</si>
  <si>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</si>
  <si>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</si>
  <si>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</si>
  <si>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</si>
  <si>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</si>
  <si>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</si>
  <si>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</si>
  <si>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</si>
  <si>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</si>
  <si>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</si>
  <si>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</si>
  <si>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</si>
  <si>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</si>
  <si>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</si>
  <si>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</si>
  <si>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</si>
  <si>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</si>
  <si>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</si>
  <si>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</si>
  <si>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</si>
  <si>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</si>
  <si>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</si>
  <si>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</si>
  <si>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</si>
  <si>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</si>
  <si>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</si>
  <si>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</si>
  <si>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</si>
  <si>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</si>
  <si>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</si>
  <si>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</si>
  <si>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</si>
  <si>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</si>
  <si>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</si>
  <si>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</si>
  <si>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</si>
  <si>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</si>
  <si>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</si>
  <si>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</si>
  <si>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</si>
  <si>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</si>
  <si>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</si>
  <si>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</si>
  <si>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</si>
  <si>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</si>
  <si>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</si>
  <si>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</si>
  <si>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</si>
  <si>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</si>
  <si>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</si>
  <si>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</si>
  <si>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</si>
  <si>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</si>
  <si>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</si>
  <si>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</si>
  <si>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</si>
  <si>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</si>
  <si>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</si>
  <si>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</si>
  <si>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</si>
  <si>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</si>
  <si>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</si>
  <si>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</si>
  <si>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</si>
  <si>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</si>
  <si>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</si>
  <si>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</si>
  <si>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</si>
  <si>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</si>
  <si>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</si>
  <si>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</si>
  <si>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</si>
  <si>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</si>
  <si>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</si>
  <si>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</si>
  <si>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</si>
  <si>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</si>
  <si>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</si>
  <si>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</si>
  <si>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</si>
  <si>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</si>
  <si>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</si>
  <si>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</si>
  <si>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</si>
  <si>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</si>
  <si>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</si>
  <si>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</si>
  <si>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</si>
  <si>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</si>
  <si>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</si>
  <si>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</si>
  <si>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</si>
  <si>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</si>
  <si>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</si>
  <si>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</si>
  <si>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</si>
  <si>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</si>
  <si>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</si>
  <si>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</si>
  <si>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</si>
  <si>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</si>
  <si>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</si>
  <si>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</si>
  <si>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</si>
  <si>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</si>
  <si>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</si>
  <si>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</si>
  <si>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</si>
  <si>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</si>
  <si>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</si>
  <si>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</si>
  <si>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</si>
  <si>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</si>
  <si>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</si>
  <si>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</si>
  <si>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</si>
  <si>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</si>
  <si>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</si>
  <si>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</si>
  <si>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</si>
  <si>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</si>
  <si>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</si>
  <si>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</si>
  <si>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</si>
  <si>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</si>
  <si>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</si>
  <si>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</si>
  <si>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</si>
  <si>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</si>
  <si>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</si>
  <si>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</si>
  <si>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</si>
  <si>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</si>
  <si>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</si>
  <si>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</si>
  <si>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</si>
  <si>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</si>
  <si>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</si>
  <si>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</si>
  <si>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</si>
  <si>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</si>
  <si>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</si>
  <si>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</si>
  <si>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</si>
  <si>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</si>
  <si>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</si>
  <si>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</si>
  <si>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</si>
  <si>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</si>
  <si>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</si>
  <si>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</si>
  <si>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</si>
  <si>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</si>
  <si>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</si>
  <si>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</si>
  <si>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</si>
  <si>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</si>
  <si>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</si>
  <si>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</si>
  <si>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</si>
  <si>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</si>
  <si>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</si>
  <si>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</si>
  <si>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</si>
  <si>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</si>
  <si>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</si>
  <si>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</si>
  <si>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</si>
  <si>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</si>
  <si>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</si>
  <si>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</si>
  <si>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</si>
  <si>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</si>
  <si>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</si>
  <si>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</si>
  <si>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</si>
  <si>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</si>
  <si>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</si>
  <si>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</si>
  <si>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</si>
  <si>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</si>
  <si>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</si>
  <si>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</si>
  <si>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</si>
  <si>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</si>
  <si>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</si>
  <si>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</si>
  <si>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</si>
  <si>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</si>
  <si>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</si>
  <si>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</si>
  <si>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</si>
  <si>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</si>
  <si>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</si>
  <si>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</si>
  <si>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</si>
  <si>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</si>
  <si>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</si>
  <si>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</si>
  <si>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</si>
  <si>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</si>
  <si>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</si>
  <si>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</si>
  <si>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</si>
  <si>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</si>
  <si>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</si>
  <si>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</si>
  <si>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</si>
  <si>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</si>
  <si>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</si>
  <si>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</si>
  <si>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</si>
  <si>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</si>
  <si>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</si>
  <si>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</si>
  <si>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</si>
  <si>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</si>
  <si>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</si>
  <si>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</si>
  <si>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</si>
  <si>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</si>
  <si>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</si>
  <si>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</si>
  <si>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</si>
  <si>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</si>
  <si>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</si>
  <si>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</si>
  <si>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</si>
  <si>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</si>
  <si>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</si>
  <si>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</si>
  <si>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</si>
  <si>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</si>
  <si>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</si>
  <si>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</si>
  <si>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</si>
  <si>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</si>
  <si>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</si>
  <si>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</si>
  <si>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</si>
  <si>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</si>
  <si>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</si>
  <si>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</si>
  <si>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</si>
  <si>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</si>
  <si>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</si>
  <si>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</si>
  <si>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</si>
  <si>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</si>
  <si>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</si>
  <si>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</si>
  <si>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</si>
  <si>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</si>
  <si>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</si>
  <si>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</si>
  <si>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</si>
  <si>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</si>
  <si>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</si>
  <si>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</si>
  <si>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</si>
  <si>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</si>
  <si>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</si>
  <si>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</si>
  <si>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</si>
  <si>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</si>
  <si>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</si>
  <si>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</si>
  <si>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</si>
  <si>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</si>
  <si>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</si>
  <si>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</si>
  <si>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</si>
  <si>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</si>
  <si>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</si>
  <si>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</si>
  <si>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</si>
  <si>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</si>
  <si>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</si>
  <si>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</si>
  <si>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</si>
  <si>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</si>
  <si>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</si>
  <si>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</si>
  <si>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</si>
  <si>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</si>
  <si>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</si>
  <si>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</si>
  <si>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</si>
  <si>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</si>
  <si>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</si>
  <si>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</si>
  <si>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</si>
  <si>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</si>
  <si>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</si>
  <si>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</si>
  <si>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</si>
  <si>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</si>
  <si>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</si>
  <si>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</si>
  <si>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</si>
  <si>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</si>
  <si>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</si>
  <si>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</si>
  <si>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</si>
  <si>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</si>
  <si>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</si>
  <si>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</si>
  <si>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</si>
  <si>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</si>
  <si>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</si>
  <si>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</si>
  <si>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</si>
  <si>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</si>
  <si>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</si>
  <si>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</si>
  <si>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</si>
  <si>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</si>
  <si>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</si>
  <si>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</si>
  <si>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</si>
  <si>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</si>
  <si>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</si>
  <si>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</si>
  <si>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</si>
  <si>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</si>
  <si>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</si>
  <si>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</si>
  <si>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</si>
  <si>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</si>
  <si>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</si>
  <si>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</si>
  <si>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</si>
  <si>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</si>
  <si>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</si>
  <si>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</si>
  <si>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</si>
  <si>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</si>
  <si>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</si>
  <si>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</si>
  <si>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</si>
  <si>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</si>
  <si>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</si>
  <si>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</si>
  <si>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</si>
  <si>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</si>
  <si>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</si>
  <si>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</si>
  <si>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</si>
  <si>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</si>
  <si>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</si>
  <si>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</si>
  <si>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</si>
  <si>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</si>
  <si>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</si>
  <si>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</si>
  <si>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</si>
  <si>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</si>
  <si>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</si>
  <si>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</si>
  <si>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</si>
  <si>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</si>
  <si>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</si>
  <si>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</si>
  <si>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</si>
  <si>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</si>
  <si>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</si>
  <si>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</si>
  <si>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</si>
  <si>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</si>
  <si>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</si>
  <si>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</si>
  <si>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</si>
  <si>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</si>
  <si>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</si>
  <si>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</si>
  <si>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</si>
  <si>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</si>
  <si>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</si>
  <si>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</si>
  <si>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</si>
  <si>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</si>
  <si>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</si>
  <si>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</si>
  <si>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</si>
  <si>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</si>
  <si>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</si>
  <si>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</si>
  <si>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</si>
  <si>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</si>
  <si>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</si>
  <si>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</si>
  <si>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</si>
  <si>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</si>
  <si>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</si>
  <si>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</si>
  <si>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</si>
  <si>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</si>
  <si>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</si>
  <si>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</si>
  <si>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</si>
  <si>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</si>
  <si>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</si>
  <si>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</si>
  <si>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</si>
  <si>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</si>
  <si>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</si>
  <si>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</si>
  <si>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</si>
  <si>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</si>
  <si>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</si>
  <si>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</si>
  <si>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</si>
  <si>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</si>
  <si>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</si>
  <si>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</si>
  <si>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</si>
  <si>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</si>
  <si>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</si>
  <si>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</si>
  <si>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</si>
  <si>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</si>
  <si>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</si>
  <si>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</si>
  <si>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</si>
  <si>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</si>
  <si>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</si>
  <si>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</si>
  <si>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</si>
  <si>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</si>
  <si>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</si>
  <si>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</si>
  <si>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</si>
  <si>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</si>
  <si>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</si>
  <si>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</si>
  <si>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</si>
  <si>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</si>
  <si>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</si>
  <si>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</si>
  <si>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</si>
  <si>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</si>
  <si>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</si>
  <si>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</si>
  <si>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</si>
  <si>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</si>
  <si>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</si>
  <si>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</si>
  <si>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</si>
  <si>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</si>
  <si>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</si>
  <si>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</si>
  <si>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</si>
  <si>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</si>
  <si>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</si>
  <si>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</si>
  <si>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</si>
  <si>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</si>
  <si>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</si>
  <si>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</si>
  <si>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</si>
  <si>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</si>
  <si>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</si>
  <si>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</si>
  <si>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</si>
  <si>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</si>
  <si>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</si>
  <si>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</si>
  <si>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</si>
  <si>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</si>
  <si>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</si>
  <si>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</si>
  <si>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</si>
  <si>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</si>
  <si>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</si>
  <si>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</si>
  <si>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</si>
  <si>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</si>
  <si>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</si>
  <si>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</si>
  <si>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</si>
  <si>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</si>
  <si>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</si>
  <si>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</si>
  <si>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</si>
  <si>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</si>
  <si>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</si>
  <si>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</si>
  <si>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</si>
  <si>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</si>
  <si>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</si>
  <si>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</si>
  <si>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</si>
  <si>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</si>
  <si>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</si>
  <si>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</si>
  <si>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</si>
  <si>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</si>
  <si>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</si>
  <si>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</si>
  <si>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</si>
  <si>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</si>
  <si>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</si>
  <si>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</si>
  <si>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</si>
  <si>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</si>
  <si>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</si>
  <si>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</si>
  <si>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</si>
  <si>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</si>
  <si>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</si>
  <si>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</si>
  <si>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</si>
  <si>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</si>
  <si>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</si>
  <si>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</si>
  <si>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</si>
  <si>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</si>
  <si>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</si>
  <si>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</si>
  <si>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</si>
  <si>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</si>
  <si>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</si>
  <si>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</si>
  <si>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</si>
  <si>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</si>
  <si>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</si>
  <si>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</si>
  <si>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</si>
  <si>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</si>
  <si>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</si>
  <si>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</si>
  <si>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</si>
  <si>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</si>
  <si>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</si>
  <si>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</si>
  <si>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</si>
  <si>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</si>
  <si>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</si>
  <si>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</si>
  <si>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</si>
  <si>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</si>
  <si>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</si>
  <si>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</si>
  <si>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</si>
  <si>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</si>
  <si>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</si>
  <si>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</si>
  <si>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</si>
  <si>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</si>
  <si>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</si>
  <si>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</si>
  <si>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</si>
  <si>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</si>
  <si>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</si>
  <si>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</si>
  <si>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</si>
  <si>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</si>
  <si>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</si>
  <si>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</si>
  <si>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</si>
  <si>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</si>
  <si>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</si>
  <si>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</si>
  <si>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</si>
  <si>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</si>
  <si>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</si>
  <si>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</si>
  <si>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</si>
  <si>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</si>
  <si>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</si>
  <si>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</si>
  <si>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</si>
  <si>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</si>
  <si>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</si>
  <si>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</si>
  <si>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</si>
  <si>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</si>
  <si>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</si>
  <si>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</si>
  <si>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</si>
  <si>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</si>
  <si>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</si>
  <si>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</si>
  <si>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</si>
  <si>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</si>
  <si>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</si>
  <si>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</si>
  <si>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</si>
  <si>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</si>
  <si>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</si>
  <si>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</si>
  <si>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</si>
  <si>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</si>
  <si>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</si>
  <si>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</si>
  <si>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</si>
  <si>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</si>
  <si>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</si>
  <si>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</si>
  <si>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</si>
  <si>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</si>
  <si>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</si>
  <si>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</si>
  <si>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</si>
  <si>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</si>
  <si>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</si>
  <si>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</si>
  <si>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</si>
  <si>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</si>
  <si>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</si>
  <si>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</si>
  <si>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</si>
  <si>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</si>
  <si>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</si>
  <si>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</si>
  <si>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</si>
  <si>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</si>
  <si>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</si>
  <si>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</si>
  <si>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</si>
  <si>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</si>
  <si>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</si>
  <si>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</si>
  <si>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</si>
  <si>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</si>
  <si>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</si>
  <si>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</si>
  <si>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</si>
  <si>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</si>
  <si>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</si>
  <si>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</si>
  <si>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</si>
  <si>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</si>
  <si>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</si>
  <si>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</si>
  <si>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</si>
  <si>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</si>
  <si>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</si>
  <si>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</si>
  <si>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</si>
  <si>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</si>
  <si>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</si>
  <si>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</si>
  <si>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</si>
  <si>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</si>
  <si>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</si>
  <si>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</si>
  <si>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</si>
  <si>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</si>
  <si>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</si>
  <si>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</si>
  <si>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</si>
  <si>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</si>
  <si>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</si>
  <si>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</si>
  <si>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</si>
  <si>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</si>
  <si>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</si>
  <si>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</si>
  <si>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</si>
  <si>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</si>
  <si>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</si>
  <si>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</si>
  <si>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</si>
  <si>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</si>
  <si>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</si>
  <si>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</si>
  <si>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</si>
  <si>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</si>
  <si>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</si>
  <si>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</si>
  <si>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</si>
  <si>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</si>
  <si>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</si>
  <si>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</si>
  <si>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</si>
  <si>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</si>
  <si>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</si>
  <si>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</si>
  <si>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</si>
  <si>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</si>
  <si>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</si>
  <si>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</si>
  <si>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</si>
  <si>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</si>
  <si>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</si>
  <si>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</si>
  <si>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</si>
  <si>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</si>
  <si>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</si>
  <si>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</si>
  <si>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</si>
  <si>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</si>
  <si>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</si>
  <si>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</si>
  <si>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</si>
  <si>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</si>
  <si>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</si>
  <si>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</si>
  <si>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</si>
  <si>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</si>
  <si>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</si>
  <si>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</si>
  <si>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</si>
  <si>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</si>
  <si>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</si>
  <si>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</si>
  <si>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</si>
  <si>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</si>
  <si>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</si>
  <si>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</si>
  <si>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</si>
  <si>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</si>
  <si>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</si>
  <si>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</si>
  <si>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</si>
  <si>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</si>
  <si>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</si>
  <si>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</si>
  <si>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</si>
  <si>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</si>
  <si>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</si>
  <si>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</si>
  <si>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</si>
  <si>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</si>
  <si>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</si>
  <si>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</si>
  <si>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</si>
  <si>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</si>
  <si>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</si>
  <si>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</si>
  <si>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</si>
  <si>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</si>
  <si>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</si>
  <si>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</si>
  <si>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</si>
  <si>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</si>
  <si>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</si>
  <si>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</si>
  <si>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</si>
  <si>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</si>
  <si>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</si>
  <si>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</si>
  <si>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</si>
  <si>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</si>
  <si>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</si>
  <si>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</si>
  <si>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</si>
  <si>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</si>
  <si>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</si>
  <si>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</si>
  <si>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</si>
  <si>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</si>
  <si>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</si>
  <si>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</si>
  <si>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</si>
  <si>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</si>
  <si>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</si>
  <si>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</si>
  <si>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</si>
  <si>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</si>
  <si>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</si>
  <si>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</si>
  <si>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</si>
  <si>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</si>
  <si>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</si>
  <si>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</si>
  <si>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</si>
  <si>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</si>
  <si>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</si>
  <si>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</si>
  <si>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</si>
  <si>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</si>
  <si>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</si>
  <si>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</si>
  <si>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</si>
  <si>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</si>
  <si>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</si>
  <si>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</si>
  <si>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</si>
  <si>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</si>
  <si>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</si>
  <si>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</si>
  <si>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</si>
  <si>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</si>
  <si>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</si>
  <si>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</si>
  <si>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</si>
  <si>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</si>
  <si>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</si>
  <si>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</si>
  <si>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</si>
  <si>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</si>
  <si>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</si>
  <si>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</si>
  <si>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</si>
  <si>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</si>
  <si>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</si>
  <si>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</si>
  <si>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</si>
  <si>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</si>
  <si>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</si>
  <si>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</si>
  <si>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</si>
  <si>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</si>
  <si>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</si>
  <si>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</si>
  <si>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</si>
  <si>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</si>
  <si>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</si>
  <si>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</si>
  <si>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</si>
  <si>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</si>
  <si>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</si>
  <si>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</si>
  <si>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</si>
  <si>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</si>
  <si>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</si>
  <si>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</si>
  <si>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</si>
  <si>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</si>
  <si>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</si>
  <si>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</si>
  <si>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</si>
  <si>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</si>
  <si>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</si>
  <si>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</si>
  <si>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</si>
  <si>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</si>
  <si>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</si>
  <si>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</si>
  <si>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</si>
  <si>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</si>
  <si>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</si>
  <si>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</si>
  <si>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</si>
  <si>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</si>
  <si>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</si>
  <si>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</si>
  <si>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</si>
  <si>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</si>
  <si>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</si>
  <si>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</si>
  <si>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</si>
  <si>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</si>
  <si>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</si>
  <si>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</si>
  <si>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</si>
  <si>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</si>
  <si>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</si>
  <si>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</si>
  <si>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</si>
  <si>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</si>
  <si>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</si>
  <si>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</si>
  <si>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</si>
  <si>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</si>
  <si>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</si>
  <si>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</si>
  <si>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</si>
  <si>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</si>
  <si>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</si>
  <si>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</si>
  <si>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</si>
  <si>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</si>
  <si>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</si>
  <si>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</si>
  <si>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</si>
  <si>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</si>
  <si>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</si>
  <si>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</si>
  <si>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</si>
  <si>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</si>
  <si>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</si>
  <si>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</si>
  <si>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</si>
  <si>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</si>
  <si>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</si>
  <si>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</si>
  <si>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</si>
  <si>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</si>
  <si>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</si>
  <si>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</si>
  <si>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</si>
  <si>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</si>
  <si>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</si>
  <si>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</si>
  <si>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</si>
  <si>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</si>
  <si>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</si>
  <si>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</si>
  <si>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</si>
  <si>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</si>
  <si>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</si>
  <si>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</si>
  <si>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</si>
  <si>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</si>
  <si>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</si>
  <si>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</si>
  <si>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</si>
  <si>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</si>
  <si>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</si>
  <si>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</si>
  <si>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</si>
  <si>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</si>
  <si>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</si>
  <si>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</si>
  <si>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</si>
  <si>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</si>
  <si>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</si>
  <si>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</si>
  <si>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</si>
  <si>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</si>
  <si>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</si>
  <si>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</si>
  <si>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</si>
  <si>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</si>
  <si>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</si>
  <si>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</si>
  <si>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</si>
  <si>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</si>
  <si>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</si>
  <si>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</si>
  <si>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</si>
  <si>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</si>
  <si>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</si>
  <si>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</si>
  <si>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</si>
  <si>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</si>
  <si>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</si>
  <si>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</si>
  <si>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</si>
  <si>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</si>
  <si>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</si>
  <si>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</si>
  <si>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</si>
  <si>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</si>
  <si>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</si>
  <si>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</si>
  <si>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</si>
  <si>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</si>
  <si>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</si>
  <si>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</si>
  <si>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</si>
  <si>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</si>
  <si>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</si>
  <si>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</si>
  <si>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</si>
  <si>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</si>
  <si>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</si>
  <si>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</si>
  <si>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</si>
  <si>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</si>
  <si>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</si>
  <si>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</si>
  <si>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</si>
  <si>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</si>
  <si>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</si>
  <si>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</si>
  <si>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</si>
  <si>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</si>
  <si>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</si>
  <si>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</si>
  <si>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</si>
  <si>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</si>
  <si>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</si>
  <si>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</si>
  <si>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</si>
  <si>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</si>
  <si>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</si>
  <si>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</si>
  <si>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</si>
  <si>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</si>
  <si>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</si>
  <si>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</si>
  <si>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</si>
  <si>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</si>
  <si>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</si>
  <si>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</si>
  <si>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</si>
  <si>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</si>
  <si>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</si>
  <si>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</si>
  <si>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</si>
  <si>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</si>
  <si>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</si>
  <si>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</si>
  <si>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</si>
  <si>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</si>
  <si>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</si>
  <si>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</si>
  <si>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</si>
  <si>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</si>
  <si>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</si>
  <si>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</si>
  <si>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</si>
  <si>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</si>
  <si>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</si>
  <si>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</si>
  <si>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</si>
  <si>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</si>
  <si>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</si>
  <si>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</si>
  <si>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</si>
  <si>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</si>
  <si>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</si>
  <si>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</si>
  <si>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</si>
  <si>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</si>
  <si>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</si>
  <si>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</si>
  <si>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</si>
  <si>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</si>
  <si>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</si>
  <si>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</si>
  <si>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</si>
  <si>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</si>
  <si>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</si>
  <si>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</si>
  <si>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</si>
  <si>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</si>
  <si>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</si>
  <si>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</si>
  <si>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</si>
  <si>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</si>
  <si>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</si>
  <si>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</si>
  <si>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</si>
  <si>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</si>
  <si>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</si>
  <si>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</si>
  <si>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</si>
  <si>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</si>
  <si>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</si>
  <si>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</si>
  <si>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</si>
  <si>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</si>
  <si>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</si>
  <si>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</si>
  <si>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</si>
  <si>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</si>
  <si>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</si>
  <si>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</si>
  <si>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</si>
  <si>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</si>
  <si>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</si>
  <si>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</si>
  <si>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</si>
  <si>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</si>
  <si>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</si>
  <si>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</si>
  <si>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</si>
  <si>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</si>
  <si>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</si>
  <si>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</si>
  <si>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</si>
  <si>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</si>
  <si>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</si>
  <si>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</si>
  <si>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</si>
  <si>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</si>
  <si>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</si>
  <si>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</si>
  <si>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</si>
  <si>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</si>
  <si>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</si>
  <si>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</si>
  <si>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</si>
  <si>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</si>
  <si>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</si>
  <si>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</si>
  <si>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</si>
  <si>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</si>
  <si>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</si>
  <si>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</si>
  <si>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</si>
  <si>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</si>
  <si>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</si>
  <si>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</si>
  <si>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</si>
  <si>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</si>
  <si>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</si>
  <si>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</si>
  <si>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</si>
  <si>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</si>
  <si>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</si>
  <si>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</si>
  <si>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</si>
  <si>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</si>
  <si>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</si>
  <si>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</si>
  <si>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</si>
  <si>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</si>
  <si>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</si>
  <si>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</si>
  <si>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</si>
  <si>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</si>
  <si>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</si>
  <si>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</si>
  <si>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</si>
  <si>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</si>
  <si>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</si>
  <si>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</si>
  <si>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</si>
  <si>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</si>
  <si>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</si>
  <si>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</si>
  <si>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</si>
  <si>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</si>
  <si>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</si>
  <si>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</si>
  <si>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</si>
  <si>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</si>
  <si>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</si>
  <si>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</si>
  <si>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</si>
  <si>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</si>
  <si>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</si>
  <si>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</si>
  <si>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</si>
  <si>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</si>
  <si>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</si>
  <si>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</si>
  <si>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</si>
  <si>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</si>
  <si>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</si>
  <si>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</si>
  <si>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</si>
  <si>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</si>
  <si>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</si>
  <si>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</si>
  <si>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</si>
  <si>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</si>
  <si>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</si>
  <si>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</si>
  <si>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</si>
  <si>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</si>
  <si>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</si>
  <si>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</si>
  <si>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</si>
  <si>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</si>
  <si>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</si>
  <si>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</si>
  <si>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</si>
  <si>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</si>
  <si>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</si>
  <si>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</si>
  <si>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</si>
  <si>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</si>
  <si>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</si>
  <si>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</si>
  <si>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</si>
  <si>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</si>
  <si>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</si>
  <si>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</si>
  <si>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</si>
  <si>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</si>
  <si>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</si>
  <si>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</si>
  <si>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</si>
  <si>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</si>
  <si>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</si>
  <si>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</si>
  <si>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</si>
  <si>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</si>
  <si>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</si>
  <si>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</si>
  <si>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</si>
  <si>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</si>
  <si>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</si>
  <si>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</si>
  <si>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</si>
  <si>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</si>
  <si>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</si>
  <si>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</si>
  <si>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</si>
  <si>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</si>
  <si>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</si>
  <si>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</si>
  <si>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</si>
  <si>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</si>
  <si>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</si>
  <si>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</si>
  <si>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</si>
  <si>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</si>
  <si>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</si>
  <si>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</si>
  <si>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</si>
  <si>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</si>
  <si>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</si>
  <si>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</si>
  <si>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</si>
  <si>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</si>
  <si>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</si>
  <si>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</si>
  <si>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</si>
  <si>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</si>
  <si>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</si>
  <si>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</si>
  <si>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</si>
  <si>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</si>
  <si>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</si>
  <si>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</si>
  <si>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</si>
  <si>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</si>
  <si>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</si>
  <si>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</si>
  <si>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</si>
  <si>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</si>
  <si>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</si>
  <si>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</si>
  <si>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</si>
  <si>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</si>
  <si>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</si>
  <si>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</si>
  <si>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</si>
  <si>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</si>
  <si>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</si>
  <si>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</si>
  <si>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</si>
  <si>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</si>
  <si>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</si>
  <si>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</si>
  <si>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</si>
  <si>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</si>
  <si>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</si>
  <si>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</si>
  <si>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</si>
  <si>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</si>
  <si>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</si>
  <si>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</si>
  <si>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</si>
  <si>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</si>
  <si>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</si>
  <si>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</si>
  <si>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</si>
  <si>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</si>
  <si>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</si>
  <si>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</si>
  <si>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</si>
  <si>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</si>
  <si>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</si>
  <si>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</si>
  <si>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</si>
  <si>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</si>
  <si>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</si>
  <si>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</si>
  <si>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</si>
  <si>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</si>
  <si>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</si>
  <si>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</si>
  <si>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</si>
  <si>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</si>
  <si>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</si>
  <si>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</si>
  <si>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</si>
  <si>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</si>
  <si>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</si>
  <si>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</si>
  <si>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</si>
  <si>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</si>
  <si>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</si>
  <si>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</si>
  <si>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</si>
  <si>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</si>
  <si>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</si>
  <si>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</si>
  <si>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</si>
  <si>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</si>
  <si>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</si>
  <si>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</si>
  <si>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</si>
  <si>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</si>
  <si>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</si>
  <si>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</si>
  <si>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</si>
  <si>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</si>
  <si>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</si>
  <si>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</si>
  <si>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</si>
  <si>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</si>
  <si>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</si>
  <si>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</si>
  <si>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</si>
  <si>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</si>
  <si>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</si>
  <si>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</si>
  <si>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</si>
  <si>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</si>
  <si>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</si>
  <si>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</si>
  <si>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</si>
  <si>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</si>
  <si>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</si>
  <si>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</si>
  <si>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</si>
  <si>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</si>
  <si>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</si>
  <si>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</si>
  <si>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</si>
  <si>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</si>
  <si>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</si>
  <si>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</si>
  <si>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</si>
  <si>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</si>
  <si>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</si>
  <si>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</si>
  <si>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</si>
  <si>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</si>
  <si>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</si>
  <si>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</si>
  <si>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</si>
  <si>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</si>
  <si>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</si>
  <si>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</si>
  <si>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</si>
  <si>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</si>
  <si>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</si>
  <si>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</si>
  <si>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</si>
  <si>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</si>
  <si>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</si>
  <si>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</si>
  <si>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</si>
  <si>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</si>
  <si>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</si>
  <si>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</si>
  <si>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</si>
  <si>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</si>
  <si>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</si>
  <si>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</si>
  <si>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</si>
  <si>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</si>
  <si>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</si>
  <si>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</si>
  <si>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</si>
  <si>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</si>
  <si>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</si>
  <si>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</si>
  <si>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</si>
  <si>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</si>
  <si>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</si>
  <si>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</si>
  <si>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</si>
  <si>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</si>
  <si>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</si>
  <si>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</si>
  <si>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</si>
  <si>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</si>
  <si>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</si>
  <si>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</si>
  <si>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</si>
  <si>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</si>
  <si>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</si>
  <si>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</si>
  <si>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</si>
  <si>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</si>
  <si>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</si>
  <si>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</si>
  <si>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</si>
  <si>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</si>
  <si>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</si>
  <si>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</si>
  <si>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</si>
  <si>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</si>
  <si>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</si>
  <si>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</si>
  <si>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</si>
  <si>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</si>
  <si>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</si>
  <si>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</si>
  <si>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</si>
  <si>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</si>
  <si>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</si>
  <si>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</si>
  <si>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</si>
  <si>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</si>
  <si>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</si>
  <si>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</si>
  <si>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</si>
  <si>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</si>
  <si>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</si>
  <si>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</si>
  <si>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</si>
  <si>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</si>
  <si>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</si>
  <si>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</si>
  <si>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</si>
  <si>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</si>
  <si>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</si>
  <si>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</si>
  <si>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</si>
  <si>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</si>
  <si>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</si>
  <si>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</si>
  <si>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</si>
  <si>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</si>
  <si>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</si>
  <si>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</si>
  <si>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</si>
  <si>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</si>
  <si>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</si>
  <si>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</si>
  <si>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</si>
  <si>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</si>
  <si>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</si>
  <si>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</si>
  <si>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</si>
  <si>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</si>
  <si>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</si>
  <si>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</si>
  <si>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</si>
  <si>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</si>
  <si>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</si>
  <si>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</si>
  <si>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</si>
  <si>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</si>
  <si>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</si>
  <si>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</si>
  <si>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</si>
  <si>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</si>
  <si>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</si>
  <si>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</si>
  <si>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</si>
  <si>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</si>
  <si>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</si>
  <si>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</si>
  <si>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</si>
  <si>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</si>
  <si>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</si>
  <si>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</si>
  <si>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</si>
  <si>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</si>
  <si>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</si>
  <si>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</si>
  <si>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</si>
  <si>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</si>
  <si>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</si>
  <si>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</si>
  <si>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</si>
  <si>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</si>
  <si>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</si>
  <si>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</si>
  <si>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</si>
  <si>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</si>
  <si>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</si>
  <si>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</si>
  <si>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</si>
  <si>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</si>
  <si>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</si>
  <si>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</si>
  <si>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</si>
  <si>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</si>
  <si>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</si>
  <si>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</si>
  <si>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</si>
  <si>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</si>
  <si>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</si>
  <si>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</si>
  <si>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</si>
  <si>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</si>
  <si>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</si>
  <si>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</si>
  <si>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</si>
  <si>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</si>
  <si>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</si>
  <si>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</si>
  <si>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</si>
  <si>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</si>
  <si>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</si>
  <si>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</si>
  <si>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</si>
  <si>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</si>
  <si>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</si>
  <si>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</si>
  <si>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</si>
  <si>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</si>
  <si>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</si>
  <si>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</si>
  <si>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</si>
  <si>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</si>
  <si>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</si>
  <si>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</si>
  <si>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</si>
  <si>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</si>
  <si>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</si>
  <si>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</si>
  <si>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</si>
  <si>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</si>
  <si>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</si>
  <si>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</si>
  <si>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</si>
  <si>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</si>
  <si>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</si>
  <si>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</si>
  <si>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</si>
  <si>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</si>
  <si>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</si>
  <si>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</si>
  <si>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</si>
  <si>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</si>
  <si>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</si>
  <si>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</si>
  <si>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</si>
  <si>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</si>
  <si>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</si>
  <si>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</si>
  <si>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</si>
  <si>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</si>
  <si>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</si>
  <si>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</si>
  <si>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</si>
  <si>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</si>
  <si>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</si>
  <si>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</si>
  <si>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</si>
  <si>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</si>
  <si>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</si>
  <si>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</si>
  <si>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</si>
  <si>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</si>
  <si>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</si>
  <si>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</si>
  <si>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</si>
  <si>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</si>
  <si>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</si>
  <si>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</si>
  <si>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</si>
  <si>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</si>
  <si>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</si>
  <si>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</si>
  <si>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</si>
  <si>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</si>
  <si>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</si>
  <si>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</si>
  <si>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</si>
  <si>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</si>
  <si>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</si>
  <si>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</si>
  <si>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</si>
  <si>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</si>
  <si>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</si>
  <si>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</si>
  <si>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</si>
  <si>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</si>
  <si>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</si>
  <si>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</si>
  <si>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</si>
  <si>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</si>
  <si>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</si>
  <si>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</si>
  <si>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</si>
  <si>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</si>
  <si>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</si>
  <si>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</si>
  <si>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</si>
  <si>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</si>
  <si>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</si>
  <si>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</si>
  <si>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</si>
  <si>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</si>
  <si>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</si>
  <si>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</si>
  <si>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</si>
  <si>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</si>
  <si>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</si>
  <si>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</si>
  <si>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</si>
  <si>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</si>
  <si>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</si>
  <si>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</si>
  <si>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</si>
  <si>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</si>
  <si>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</si>
  <si>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</si>
  <si>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</si>
  <si>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</si>
  <si>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</si>
  <si>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</si>
  <si>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</si>
  <si>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</si>
  <si>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</si>
  <si>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</si>
  <si>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</si>
  <si>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</si>
  <si>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</si>
  <si>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</si>
  <si>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</si>
  <si>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</si>
  <si>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</si>
  <si>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</si>
  <si>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</si>
  <si>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</si>
  <si>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</si>
  <si>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</si>
  <si>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</si>
  <si>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</si>
  <si>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</si>
  <si>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</si>
  <si>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</si>
  <si>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</si>
  <si>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</si>
  <si>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</si>
  <si>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</si>
  <si>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</si>
  <si>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</si>
  <si>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</si>
  <si>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</si>
  <si>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</si>
  <si>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</si>
  <si>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</si>
  <si>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</si>
  <si>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</si>
  <si>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</si>
  <si>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</si>
  <si>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</si>
  <si>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</si>
  <si>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</si>
  <si>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</si>
  <si>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</si>
  <si>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</si>
  <si>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</si>
  <si>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</si>
  <si>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</si>
  <si>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</si>
  <si>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</si>
  <si>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</si>
  <si>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</si>
  <si>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</si>
  <si>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</si>
  <si>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</si>
  <si>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</si>
  <si>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</si>
  <si>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</si>
  <si>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</si>
  <si>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</si>
  <si>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</si>
  <si>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</si>
  <si>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</si>
  <si>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</si>
  <si>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</si>
  <si>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</si>
  <si>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</si>
  <si>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</si>
  <si>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</si>
  <si>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</si>
  <si>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</si>
  <si>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</si>
  <si>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</si>
  <si>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</si>
  <si>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</si>
  <si>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</si>
  <si>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</si>
  <si>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</si>
  <si>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</si>
  <si>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</si>
  <si>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</si>
  <si>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</si>
  <si>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</si>
  <si>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</si>
  <si>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</si>
  <si>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</si>
  <si>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</si>
  <si>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</si>
  <si>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</si>
  <si>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</si>
  <si>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</si>
  <si>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</si>
  <si>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</si>
  <si>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</si>
  <si>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</si>
  <si>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</si>
  <si>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</si>
  <si>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</si>
  <si>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</si>
  <si>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</si>
  <si>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</si>
  <si>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</si>
  <si>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</si>
  <si>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</si>
  <si>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</si>
  <si>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</si>
  <si>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</si>
  <si>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</si>
  <si>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</si>
  <si>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</si>
  <si>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</si>
  <si>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</si>
  <si>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</si>
  <si>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</si>
  <si>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</si>
  <si>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</si>
  <si>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</si>
  <si>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</si>
  <si>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</si>
  <si>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</si>
  <si>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</si>
  <si>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</si>
  <si>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</si>
  <si>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</si>
  <si>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</si>
  <si>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</si>
  <si>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</si>
  <si>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</si>
  <si>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</si>
  <si>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</si>
  <si>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</si>
  <si>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</si>
  <si>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</si>
  <si>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</si>
  <si>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</si>
  <si>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</si>
  <si>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</si>
  <si>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</si>
  <si>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</si>
  <si>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</si>
  <si>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</si>
  <si>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</si>
  <si>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</si>
  <si>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</si>
  <si>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</si>
  <si>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</si>
  <si>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</si>
  <si>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</si>
  <si>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</si>
  <si>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</si>
  <si>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</si>
  <si>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</si>
  <si>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</si>
  <si>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</si>
  <si>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</si>
  <si>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</si>
  <si>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</si>
  <si>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</si>
  <si>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</si>
  <si>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</si>
  <si>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</si>
  <si>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</si>
  <si>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</si>
  <si>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</si>
  <si>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</si>
  <si>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</si>
  <si>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</si>
  <si>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</si>
  <si>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</si>
  <si>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</si>
  <si>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</si>
  <si>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</si>
  <si>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</si>
  <si>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</si>
  <si>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</si>
  <si>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</si>
  <si>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</si>
  <si>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</si>
  <si>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</si>
  <si>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</si>
  <si>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</si>
  <si>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</si>
  <si>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</si>
  <si>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</si>
  <si>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</si>
  <si>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</si>
  <si>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</si>
  <si>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</si>
  <si>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</si>
  <si>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</si>
  <si>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</si>
  <si>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</si>
  <si>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</si>
  <si>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</si>
  <si>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</si>
  <si>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</si>
  <si>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</si>
  <si>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</si>
  <si>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</si>
  <si>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</si>
  <si>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</si>
  <si>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</si>
  <si>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</si>
  <si>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</si>
  <si>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</si>
  <si>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</si>
  <si>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</si>
  <si>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</si>
  <si>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</si>
  <si>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</si>
  <si>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</si>
  <si>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</si>
  <si>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</si>
  <si>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</si>
  <si>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</si>
  <si>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</si>
  <si>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</si>
  <si>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</si>
  <si>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</si>
  <si>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</si>
  <si>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</si>
  <si>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</si>
  <si>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</si>
  <si>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</si>
  <si>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</si>
  <si>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</si>
  <si>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</si>
  <si>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</si>
  <si>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</si>
  <si>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</si>
  <si>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</si>
  <si>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</si>
  <si>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</si>
  <si>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</si>
  <si>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</si>
  <si>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</si>
  <si>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</si>
  <si>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</si>
  <si>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</si>
  <si>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</si>
  <si>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</si>
  <si>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</si>
  <si>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</si>
  <si>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</si>
  <si>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</si>
  <si>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</si>
  <si>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</si>
  <si>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</si>
  <si>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</si>
  <si>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</si>
  <si>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</si>
  <si>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</si>
  <si>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</si>
  <si>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</si>
  <si>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</si>
  <si>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</si>
  <si>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</si>
  <si>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</si>
  <si>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</si>
  <si>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</si>
  <si>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</si>
  <si>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</si>
  <si>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</si>
  <si>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</si>
  <si>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</si>
  <si>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</si>
  <si>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</si>
  <si>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</si>
  <si>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</si>
  <si>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</si>
  <si>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</si>
  <si>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</si>
  <si>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</si>
  <si>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</si>
  <si>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</si>
  <si>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</si>
  <si>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</si>
  <si>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</si>
  <si>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</si>
  <si>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</si>
  <si>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</si>
  <si>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</si>
  <si>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</si>
  <si>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</si>
  <si>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</si>
  <si>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</si>
  <si>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</si>
  <si>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</si>
  <si>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</si>
  <si>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</si>
  <si>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</si>
  <si>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</si>
  <si>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</si>
  <si>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</si>
  <si>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</si>
  <si>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</si>
  <si>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</si>
  <si>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</si>
  <si>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</si>
  <si>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</si>
  <si>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</si>
  <si>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</si>
  <si>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</si>
  <si>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</si>
  <si>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</si>
  <si>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</si>
  <si>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</si>
  <si>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</si>
  <si>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</si>
  <si>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</si>
  <si>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</si>
  <si>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</si>
  <si>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</si>
  <si>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</si>
  <si>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</si>
  <si>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</si>
  <si>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</si>
  <si>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</si>
  <si>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</si>
  <si>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</si>
  <si>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</si>
  <si>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</si>
  <si>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</si>
  <si>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</si>
  <si>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</si>
  <si>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</si>
  <si>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</si>
  <si>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</si>
  <si>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</si>
  <si>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</si>
  <si>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</si>
  <si>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</si>
  <si>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</si>
  <si>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</si>
  <si>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</si>
  <si>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</si>
  <si>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</si>
  <si>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</si>
  <si>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</si>
  <si>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</si>
  <si>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</si>
  <si>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</si>
  <si>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</si>
  <si>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</si>
  <si>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</si>
  <si>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</si>
  <si>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</si>
  <si>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</si>
  <si>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</si>
  <si>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</si>
  <si>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</si>
  <si>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</si>
  <si>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</si>
  <si>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</si>
  <si>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</si>
  <si>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</si>
  <si>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</si>
  <si>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</si>
  <si>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</si>
  <si>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</si>
  <si>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</si>
  <si>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</si>
  <si>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</si>
  <si>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</si>
  <si>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</si>
  <si>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</si>
  <si>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</si>
  <si>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</si>
  <si>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</si>
  <si>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</si>
  <si>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</si>
  <si>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</si>
  <si>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</si>
  <si>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</si>
  <si>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</si>
  <si>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</si>
  <si>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</si>
  <si>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</si>
  <si>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</si>
  <si>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</si>
  <si>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</si>
  <si>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</si>
  <si>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</si>
  <si>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</si>
  <si>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</si>
  <si>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</si>
  <si>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</si>
  <si>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</si>
  <si>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</si>
  <si>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</si>
  <si>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</si>
  <si>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</si>
  <si>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</si>
  <si>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</si>
  <si>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</si>
  <si>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</si>
  <si>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</si>
  <si>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</si>
  <si>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</si>
  <si>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</si>
  <si>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</si>
  <si>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</si>
  <si>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</si>
  <si>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</si>
  <si>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</si>
  <si>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</si>
  <si>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</si>
  <si>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</si>
  <si>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</si>
  <si>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</si>
  <si>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</si>
  <si>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</si>
  <si>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</si>
  <si>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</si>
  <si>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</si>
  <si>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</si>
  <si>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</si>
  <si>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</si>
  <si>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</si>
  <si>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</si>
  <si>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</si>
  <si>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</si>
  <si>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</si>
  <si>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</si>
  <si>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</si>
  <si>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</si>
  <si>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</si>
  <si>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</si>
  <si>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</si>
  <si>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</si>
  <si>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</si>
  <si>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</si>
  <si>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</si>
  <si>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</si>
  <si>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</si>
  <si>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</si>
  <si>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</si>
  <si>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</si>
  <si>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</si>
  <si>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</si>
  <si>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</si>
  <si>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</si>
  <si>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</si>
  <si>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</si>
  <si>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</si>
  <si>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</si>
  <si>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</si>
  <si>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</si>
  <si>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</si>
  <si>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</si>
  <si>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</si>
  <si>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</si>
  <si>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</si>
  <si>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</si>
  <si>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</si>
  <si>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</si>
  <si>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</si>
  <si>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</si>
  <si>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</si>
  <si>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</si>
  <si>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</si>
  <si>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</si>
  <si>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</si>
  <si>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</si>
  <si>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</si>
  <si>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</si>
  <si>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</si>
  <si>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</si>
  <si>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</si>
  <si>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</si>
  <si>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</si>
  <si>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</si>
  <si>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</si>
  <si>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</si>
  <si>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</si>
  <si>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</si>
  <si>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</si>
  <si>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</si>
  <si>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</si>
  <si>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</si>
  <si>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</si>
  <si>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</si>
  <si>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</si>
  <si>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</si>
  <si>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</si>
  <si>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</si>
  <si>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</si>
  <si>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</si>
  <si>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</si>
  <si>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</si>
  <si>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</si>
  <si>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</si>
  <si>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</si>
  <si>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</si>
  <si>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</si>
  <si>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</si>
  <si>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</si>
  <si>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</si>
  <si>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</si>
  <si>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</si>
  <si>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</si>
  <si>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</si>
  <si>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</si>
  <si>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</si>
  <si>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</si>
  <si>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</si>
  <si>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</si>
  <si>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</si>
  <si>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</si>
  <si>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</si>
  <si>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</si>
  <si>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</si>
  <si>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</si>
  <si>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</si>
  <si>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</si>
  <si>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</si>
  <si>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</si>
  <si>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</si>
  <si>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</si>
  <si>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</si>
  <si>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</si>
  <si>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</si>
  <si>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</si>
  <si>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</si>
  <si>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</si>
  <si>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</si>
  <si>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</si>
  <si>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</si>
  <si>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</si>
  <si>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</si>
  <si>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</si>
  <si>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</si>
  <si>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</si>
  <si>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</si>
  <si>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</si>
  <si>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</si>
  <si>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</si>
  <si>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</si>
  <si>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</si>
  <si>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</si>
  <si>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</si>
  <si>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</si>
  <si>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</si>
  <si>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</si>
  <si>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</si>
  <si>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</si>
  <si>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</si>
  <si>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</si>
  <si>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</si>
  <si>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</si>
  <si>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</si>
  <si>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</si>
  <si>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</si>
  <si>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</si>
  <si>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</si>
  <si>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</si>
  <si>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</si>
  <si>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</si>
  <si>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</si>
  <si>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</si>
  <si>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</si>
  <si>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</si>
  <si>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</si>
  <si>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</si>
  <si>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</si>
  <si>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</si>
  <si>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</si>
  <si>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</si>
  <si>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</si>
  <si>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</si>
  <si>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</si>
  <si>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</si>
  <si>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</si>
  <si>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</si>
  <si>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</si>
  <si>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</si>
  <si>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</si>
  <si>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</si>
  <si>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</si>
  <si>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</si>
  <si>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</si>
  <si>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</si>
  <si>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</si>
  <si>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</si>
  <si>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</si>
  <si>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</si>
  <si>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</si>
  <si>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</si>
  <si>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</si>
  <si>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</si>
  <si>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</si>
  <si>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</si>
  <si>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</si>
  <si>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</si>
  <si>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</si>
  <si>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</si>
  <si>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</si>
  <si>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</si>
  <si>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</si>
  <si>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</si>
  <si>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</si>
  <si>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</si>
  <si>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</si>
  <si>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</si>
  <si>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</si>
  <si>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</si>
  <si>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</si>
  <si>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</si>
  <si>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</si>
  <si>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</si>
  <si>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</si>
  <si>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</si>
  <si>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</si>
  <si>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</si>
  <si>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</si>
  <si>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</si>
  <si>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</si>
  <si>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</si>
  <si>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</si>
  <si>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</si>
  <si>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</si>
  <si>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</si>
  <si>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</si>
  <si>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</si>
  <si>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</si>
  <si>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</si>
  <si>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</si>
  <si>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</si>
  <si>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</si>
  <si>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</si>
  <si>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</si>
  <si>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</si>
  <si>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</si>
  <si>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</si>
  <si>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</si>
  <si>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</si>
  <si>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</si>
  <si>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</si>
  <si>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</si>
  <si>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</si>
  <si>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</si>
  <si>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</si>
  <si>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</si>
  <si>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</si>
  <si>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</si>
  <si>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</si>
  <si>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</si>
  <si>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</si>
  <si>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</si>
  <si>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</si>
  <si>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</si>
  <si>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</si>
  <si>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</si>
  <si>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</si>
  <si>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</si>
  <si>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</si>
  <si>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</si>
  <si>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</si>
  <si>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</si>
  <si>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</si>
  <si>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</si>
  <si>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</si>
  <si>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</si>
  <si>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</si>
  <si>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</si>
  <si>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</si>
  <si>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</si>
  <si>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</si>
  <si>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</si>
  <si>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</si>
  <si>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</si>
  <si>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</si>
  <si>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</si>
  <si>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</si>
  <si>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</si>
  <si>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</si>
  <si>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</si>
  <si>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</si>
  <si>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</si>
  <si>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</si>
  <si>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</si>
  <si>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</si>
  <si>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</si>
  <si>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</si>
  <si>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</si>
  <si>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</si>
  <si>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</si>
  <si>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</si>
  <si>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</si>
  <si>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</si>
  <si>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</si>
  <si>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</si>
  <si>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</si>
  <si>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</si>
  <si>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</si>
  <si>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</si>
  <si>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</si>
  <si>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</si>
  <si>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</si>
  <si>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</si>
  <si>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</si>
  <si>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</si>
  <si>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</si>
  <si>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</si>
  <si>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</si>
  <si>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</si>
  <si>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</si>
  <si>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</si>
  <si>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</si>
  <si>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</si>
  <si>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</si>
  <si>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</si>
  <si>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</si>
  <si>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</si>
  <si>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</si>
  <si>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</si>
  <si>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</si>
  <si>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</si>
  <si>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</si>
  <si>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</si>
  <si>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</si>
  <si>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</si>
  <si>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</si>
  <si>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</si>
  <si>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</si>
  <si>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</si>
  <si>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</si>
  <si>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</si>
  <si>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</si>
  <si>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</si>
  <si>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</si>
  <si>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</si>
  <si>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</si>
  <si>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</si>
  <si>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</si>
  <si>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</si>
  <si>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</si>
  <si>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</si>
  <si>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</si>
  <si>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</si>
  <si>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</si>
  <si>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</si>
  <si>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</si>
  <si>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</si>
  <si>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</si>
  <si>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</si>
  <si>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</si>
  <si>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</si>
  <si>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</si>
  <si>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</si>
  <si>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</si>
  <si>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</si>
  <si>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</si>
  <si>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</si>
  <si>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</si>
  <si>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</si>
  <si>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</si>
  <si>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</si>
  <si>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</si>
  <si>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</si>
  <si>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</si>
  <si>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</si>
  <si>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</si>
  <si>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</si>
  <si>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</si>
  <si>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</si>
  <si>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</si>
  <si>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</si>
  <si>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</si>
  <si>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</si>
  <si>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</si>
  <si>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</si>
  <si>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</si>
  <si>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</si>
  <si>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</si>
  <si>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</si>
  <si>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</si>
  <si>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</si>
  <si>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</si>
  <si>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</si>
  <si>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</si>
  <si>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</si>
  <si>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</si>
  <si>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</si>
  <si>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</si>
  <si>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</si>
  <si>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</si>
  <si>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</si>
  <si>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</si>
  <si>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</si>
  <si>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</si>
  <si>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</si>
  <si>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</si>
  <si>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</si>
  <si>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</si>
  <si>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</si>
  <si>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</si>
  <si>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</si>
  <si>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</si>
  <si>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</si>
  <si>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</si>
  <si>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</si>
  <si>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</si>
  <si>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</si>
  <si>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</si>
  <si>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</si>
  <si>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</si>
  <si>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</si>
  <si>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</si>
  <si>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</si>
  <si>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</si>
  <si>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</si>
  <si>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</si>
  <si>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</si>
  <si>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</si>
  <si>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</si>
  <si>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</si>
  <si>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</si>
  <si>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</si>
  <si>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</si>
  <si>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</si>
  <si>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</si>
  <si>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</si>
  <si>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</si>
  <si>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</si>
  <si>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</si>
  <si>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</si>
  <si>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</si>
  <si>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</si>
  <si>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</si>
  <si>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</si>
  <si>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</si>
  <si>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</si>
  <si>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</si>
  <si>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</si>
  <si>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</si>
  <si>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</si>
  <si>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</si>
  <si>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</si>
  <si>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</si>
  <si>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</si>
  <si>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</si>
  <si>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</si>
  <si>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</si>
  <si>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</si>
  <si>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</si>
  <si>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</si>
  <si>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</si>
  <si>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</si>
  <si>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</si>
  <si>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</si>
  <si>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</si>
  <si>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</si>
  <si>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</si>
  <si>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</si>
  <si>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</si>
  <si>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</si>
  <si>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</si>
  <si>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</si>
  <si>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</si>
  <si>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</si>
  <si>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</si>
  <si>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</si>
  <si>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</si>
  <si>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</si>
  <si>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</si>
  <si>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</si>
  <si>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</si>
  <si>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</si>
  <si>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</si>
  <si>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</si>
  <si>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</si>
  <si>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</si>
  <si>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</si>
  <si>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</si>
  <si>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</si>
  <si>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</si>
  <si>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</si>
  <si>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</si>
  <si>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</si>
  <si>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</si>
  <si>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</si>
  <si>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</si>
  <si>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</si>
  <si>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</si>
  <si>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</si>
  <si>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</si>
  <si>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</si>
  <si>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</si>
  <si>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</si>
  <si>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</si>
  <si>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</si>
  <si>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</si>
  <si>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</si>
  <si>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</si>
  <si>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</si>
  <si>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</si>
  <si>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</si>
  <si>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</si>
  <si>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</si>
  <si>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</si>
  <si>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</si>
  <si>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</si>
  <si>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</si>
  <si>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</si>
  <si>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</si>
  <si>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</si>
  <si>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</si>
  <si>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</si>
  <si>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</si>
  <si>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</si>
  <si>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</si>
  <si>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</si>
  <si>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</si>
  <si>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</si>
  <si>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</si>
  <si>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</si>
  <si>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</si>
  <si>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</si>
  <si>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</si>
  <si>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</si>
  <si>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</si>
  <si>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</si>
  <si>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</si>
  <si>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</si>
  <si>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</si>
  <si>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</si>
  <si>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</si>
  <si>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</si>
  <si>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</si>
  <si>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</si>
  <si>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</si>
  <si>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</si>
  <si>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</si>
  <si>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</si>
  <si>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</si>
  <si>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</si>
  <si>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</si>
  <si>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</si>
  <si>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</si>
  <si>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</si>
  <si>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</si>
  <si>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</si>
  <si>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</si>
  <si>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</si>
  <si>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</si>
  <si>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</si>
  <si>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</si>
  <si>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</si>
  <si>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</si>
  <si>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</si>
  <si>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</si>
  <si>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</si>
  <si>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</si>
  <si>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</si>
  <si>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</si>
  <si>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</si>
  <si>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</si>
  <si>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</si>
  <si>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</si>
  <si>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</si>
  <si>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</si>
  <si>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</si>
  <si>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</si>
  <si>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</si>
  <si>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</si>
  <si>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</si>
  <si>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</si>
  <si>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</si>
  <si>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</si>
  <si>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</si>
  <si>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</si>
  <si>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</si>
  <si>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</si>
  <si>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</si>
  <si>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</si>
  <si>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</si>
  <si>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</si>
  <si>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</si>
  <si>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</si>
  <si>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</si>
  <si>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</si>
  <si>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</si>
  <si>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</si>
  <si>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</si>
  <si>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</si>
  <si>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</si>
  <si>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</si>
  <si>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</si>
  <si>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</si>
  <si>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</si>
  <si>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</si>
  <si>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</si>
  <si>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</si>
  <si>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</si>
  <si>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</si>
  <si>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</si>
  <si>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</si>
  <si>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</si>
  <si>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</si>
  <si>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</si>
  <si>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</si>
  <si>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</si>
  <si>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</si>
  <si>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</si>
  <si>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</si>
  <si>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</si>
  <si>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</si>
  <si>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</si>
  <si>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</si>
  <si>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</si>
  <si>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</si>
  <si>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</si>
  <si>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</si>
  <si>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</si>
  <si>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</si>
  <si>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</si>
  <si>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</si>
  <si>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</si>
  <si>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</si>
  <si>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</si>
  <si>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</si>
  <si>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</si>
  <si>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</si>
  <si>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</si>
  <si>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</si>
  <si>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</si>
  <si>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</si>
  <si>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</si>
  <si>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</si>
  <si>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</si>
  <si>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</si>
  <si>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</si>
  <si>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</si>
  <si>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</si>
  <si>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</si>
  <si>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</si>
  <si>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</si>
  <si>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</si>
  <si>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</si>
  <si>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</si>
  <si>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</si>
  <si>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</si>
  <si>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</si>
  <si>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</si>
  <si>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</si>
  <si>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</si>
  <si>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</si>
  <si>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</si>
  <si>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</si>
  <si>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</si>
  <si>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</si>
  <si>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</si>
  <si>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</si>
  <si>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</si>
  <si>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</si>
  <si>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</si>
  <si>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</si>
  <si>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</si>
  <si>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</si>
  <si>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</si>
  <si>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</si>
  <si>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</si>
  <si>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</si>
  <si>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</si>
  <si>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</si>
  <si>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</si>
  <si>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</si>
  <si>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</si>
  <si>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</si>
  <si>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</si>
  <si>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</si>
  <si>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</si>
  <si>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</si>
  <si>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</si>
  <si>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</si>
  <si>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</si>
  <si>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</si>
  <si>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</si>
  <si>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</si>
  <si>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</si>
  <si>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</si>
  <si>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</si>
  <si>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</si>
  <si>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</si>
  <si>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</si>
  <si>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</si>
  <si>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</si>
  <si>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</si>
  <si>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</si>
  <si>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</si>
  <si>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</si>
  <si>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</si>
  <si>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</si>
  <si>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</si>
  <si>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</si>
  <si>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</si>
  <si>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</si>
  <si>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</si>
  <si>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</si>
  <si>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</si>
  <si>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</si>
  <si>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</si>
  <si>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</si>
  <si>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</si>
  <si>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</si>
  <si>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</si>
  <si>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</si>
  <si>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</si>
  <si>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</si>
  <si>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</si>
  <si>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</si>
  <si>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</si>
  <si>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</si>
  <si>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</si>
  <si>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</si>
  <si>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</si>
  <si>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</si>
  <si>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</si>
  <si>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</si>
  <si>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</si>
  <si>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</si>
  <si>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</si>
  <si>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</si>
  <si>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</si>
  <si>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</si>
  <si>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</si>
  <si>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</si>
  <si>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</si>
  <si>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</si>
  <si>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</si>
  <si>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</si>
  <si>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</si>
  <si>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</si>
  <si>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</si>
  <si>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</si>
  <si>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</si>
  <si>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</si>
  <si>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</si>
  <si>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</si>
  <si>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</si>
  <si>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</si>
  <si>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</si>
  <si>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</si>
  <si>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</si>
  <si>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</si>
  <si>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</si>
  <si>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</si>
  <si>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</si>
  <si>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</si>
  <si>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</si>
  <si>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</si>
  <si>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</si>
  <si>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</si>
  <si>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</si>
  <si>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</si>
  <si>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</si>
  <si>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</si>
  <si>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</si>
  <si>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</si>
  <si>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</si>
  <si>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</si>
  <si>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</si>
  <si>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</si>
  <si>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</si>
  <si>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</si>
  <si>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</si>
  <si>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</si>
  <si>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</si>
  <si>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</si>
  <si>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</si>
  <si>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</si>
  <si>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</si>
  <si>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</si>
  <si>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</si>
  <si>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</si>
  <si>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</si>
  <si>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</si>
  <si>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</si>
  <si>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</si>
  <si>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</si>
  <si>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</si>
  <si>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</si>
  <si>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</si>
  <si>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</si>
  <si>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</si>
  <si>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</si>
  <si>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</si>
  <si>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</si>
  <si>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</si>
  <si>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</si>
  <si>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</si>
  <si>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</si>
  <si>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</si>
  <si>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</si>
  <si>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</si>
  <si>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</si>
  <si>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</si>
  <si>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</si>
  <si>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</si>
  <si>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</si>
  <si>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</si>
  <si>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</si>
  <si>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</si>
  <si>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</si>
  <si>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</si>
  <si>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</si>
  <si>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</si>
  <si>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</si>
  <si>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</si>
  <si>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</si>
  <si>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</si>
  <si>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</si>
  <si>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</si>
  <si>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</si>
  <si>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</si>
  <si>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</si>
  <si>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</si>
  <si>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</si>
  <si>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</si>
  <si>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</si>
  <si>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</si>
  <si>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</si>
  <si>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</si>
  <si>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</si>
  <si>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</si>
  <si>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</si>
  <si>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</si>
  <si>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</si>
  <si>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</si>
  <si>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</si>
  <si>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</si>
  <si>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</si>
  <si>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</si>
  <si>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</si>
  <si>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</si>
  <si>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</si>
  <si>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</si>
  <si>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</si>
  <si>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</si>
  <si>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</si>
  <si>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</si>
  <si>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</si>
  <si>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</si>
  <si>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</si>
  <si>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</si>
  <si>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</si>
  <si>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</si>
  <si>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</si>
  <si>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</si>
  <si>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</si>
  <si>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</si>
  <si>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</si>
  <si>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</si>
  <si>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</si>
  <si>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</si>
  <si>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</si>
  <si>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</si>
  <si>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</si>
  <si>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</si>
  <si>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</si>
  <si>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</si>
  <si>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</si>
  <si>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</si>
  <si>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</si>
  <si>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</si>
  <si>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</si>
  <si>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</si>
  <si>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</si>
  <si>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</si>
  <si>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</si>
  <si>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</si>
  <si>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</si>
  <si>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</si>
  <si>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</si>
  <si>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</si>
  <si>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</si>
  <si>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</si>
  <si>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</si>
  <si>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</si>
  <si>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</si>
  <si>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</si>
  <si>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</si>
  <si>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</si>
  <si>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</si>
  <si>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</si>
  <si>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</si>
  <si>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</si>
  <si>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</si>
  <si>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</si>
  <si>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</si>
  <si>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</si>
  <si>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</si>
  <si>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</si>
  <si>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</si>
  <si>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</si>
  <si>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</si>
  <si>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</si>
  <si>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</si>
  <si>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</si>
  <si>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</si>
  <si>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</si>
  <si>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</si>
  <si>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</si>
  <si>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</si>
  <si>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</si>
  <si>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</si>
  <si>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</si>
  <si>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</si>
  <si>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</si>
  <si>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</si>
  <si>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</si>
  <si>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</si>
  <si>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</si>
  <si>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</si>
  <si>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</si>
  <si>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</si>
  <si>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</si>
  <si>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</si>
  <si>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</si>
  <si>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</si>
  <si>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</si>
  <si>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</si>
  <si>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</si>
  <si>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</si>
  <si>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</si>
  <si>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</si>
  <si>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</si>
  <si>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</si>
  <si>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</si>
  <si>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</si>
  <si>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</si>
  <si>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</si>
  <si>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</si>
  <si>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</si>
  <si>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</si>
  <si>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</si>
  <si>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</si>
  <si>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</si>
  <si>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</si>
  <si>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</si>
  <si>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</si>
  <si>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</si>
  <si>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</si>
  <si>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</si>
  <si>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</si>
  <si>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</si>
  <si>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</si>
  <si>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</si>
  <si>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</si>
  <si>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</si>
  <si>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</si>
  <si>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</si>
  <si>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</si>
  <si>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</si>
  <si>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</si>
  <si>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</si>
  <si>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</si>
  <si>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</si>
  <si>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</si>
  <si>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</si>
  <si>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</si>
  <si>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</si>
  <si>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</si>
  <si>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</si>
  <si>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</si>
  <si>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</si>
  <si>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</si>
  <si>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</si>
  <si>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</si>
  <si>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</si>
  <si>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</si>
  <si>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</si>
  <si>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</si>
  <si>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</si>
  <si>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</si>
  <si>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</si>
  <si>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</si>
  <si>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</si>
  <si>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</si>
  <si>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</si>
  <si>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</si>
  <si>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</si>
  <si>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</si>
  <si>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</si>
  <si>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</si>
  <si>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</si>
  <si>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</si>
  <si>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</si>
  <si>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</si>
  <si>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</si>
  <si>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</si>
  <si>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</si>
  <si>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</si>
  <si>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</si>
  <si>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</si>
  <si>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</si>
  <si>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</si>
  <si>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</si>
  <si>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</si>
  <si>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</si>
  <si>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</si>
  <si>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</si>
  <si>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</si>
  <si>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</si>
  <si>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</si>
  <si>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</si>
  <si>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</si>
  <si>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</si>
  <si>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</si>
  <si>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</si>
  <si>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</si>
  <si>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</si>
  <si>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</si>
  <si>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</si>
  <si>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</si>
  <si>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</si>
  <si>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</si>
  <si>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</si>
  <si>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</si>
  <si>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</si>
  <si>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</si>
  <si>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</si>
  <si>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</si>
  <si>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</si>
  <si>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</si>
  <si>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</si>
  <si>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</si>
  <si>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</si>
  <si>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</si>
  <si>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</si>
  <si>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</si>
  <si>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</si>
  <si>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</si>
  <si>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</si>
  <si>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</si>
  <si>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</si>
  <si>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</si>
  <si>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</si>
  <si>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</si>
  <si>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</si>
  <si>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</si>
  <si>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</si>
  <si>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</si>
  <si>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</si>
  <si>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</si>
  <si>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</si>
  <si>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</si>
  <si>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</si>
  <si>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</si>
  <si>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</si>
  <si>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</si>
  <si>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</si>
  <si>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</si>
  <si>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</si>
  <si>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</si>
  <si>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</si>
  <si>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</si>
  <si>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</si>
  <si>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</si>
  <si>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</si>
  <si>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</si>
  <si>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</si>
  <si>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</si>
  <si>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</si>
  <si>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</si>
  <si>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</si>
  <si>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</si>
  <si>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</si>
  <si>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</si>
  <si>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</si>
  <si>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</si>
  <si>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</si>
  <si>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</si>
  <si>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</si>
  <si>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</si>
  <si>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</si>
  <si>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</si>
  <si>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</si>
  <si>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</si>
  <si>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</si>
  <si>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</si>
  <si>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</si>
  <si>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</si>
  <si>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</si>
  <si>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</si>
  <si>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</si>
  <si>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</si>
  <si>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</si>
  <si>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</si>
  <si>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</si>
  <si>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</si>
  <si>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</si>
  <si>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</si>
  <si>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</si>
  <si>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</si>
  <si>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</si>
  <si>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</si>
  <si>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</si>
  <si>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</si>
  <si>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</si>
  <si>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</si>
  <si>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</si>
  <si>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</si>
  <si>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</si>
  <si>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</si>
  <si>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</si>
  <si>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</si>
  <si>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</si>
  <si>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</si>
  <si>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</si>
  <si>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</si>
  <si>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</si>
  <si>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</si>
  <si>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</si>
  <si>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</si>
  <si>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</si>
  <si>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</si>
  <si>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</si>
  <si>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</si>
  <si>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</si>
  <si>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</si>
  <si>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</si>
  <si>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</si>
  <si>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</si>
  <si>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</si>
  <si>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</si>
  <si>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</si>
  <si>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</si>
  <si>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</si>
  <si>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</si>
  <si>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</si>
  <si>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</si>
  <si>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</si>
  <si>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</si>
  <si>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</si>
  <si>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</si>
  <si>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</si>
  <si>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</si>
  <si>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</si>
  <si>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</si>
  <si>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</si>
  <si>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</si>
  <si>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</si>
  <si>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</si>
  <si>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</si>
  <si>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</si>
  <si>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</si>
  <si>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</si>
  <si>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</si>
  <si>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</si>
  <si>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</si>
  <si>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</si>
  <si>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</si>
  <si>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</si>
  <si>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</si>
  <si>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</si>
  <si>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</si>
  <si>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</si>
  <si>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</si>
  <si>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</si>
  <si>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</si>
  <si>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</si>
  <si>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</si>
  <si>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</si>
  <si>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</si>
  <si>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</si>
  <si>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</si>
  <si>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</si>
  <si>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</si>
  <si>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</si>
  <si>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</si>
  <si>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</si>
  <si>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</si>
  <si>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</si>
  <si>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</si>
  <si>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</si>
  <si>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</si>
  <si>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</si>
  <si>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</si>
  <si>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</si>
  <si>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</si>
  <si>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</si>
  <si>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</si>
  <si>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</si>
  <si>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</si>
  <si>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</si>
  <si>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</si>
  <si>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</si>
  <si>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</si>
  <si>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</si>
  <si>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</si>
  <si>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</si>
  <si>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</si>
  <si>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</si>
  <si>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</si>
  <si>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</si>
  <si>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</si>
  <si>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</si>
  <si>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</si>
  <si>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</si>
  <si>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</si>
  <si>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</si>
  <si>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</si>
  <si>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</si>
  <si>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</si>
  <si>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</si>
  <si>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</si>
  <si>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</si>
  <si>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</si>
  <si>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</si>
  <si>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</si>
  <si>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</si>
  <si>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</si>
  <si>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</si>
  <si>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</si>
  <si>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</si>
  <si>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</si>
  <si>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</si>
  <si>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</si>
  <si>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</si>
  <si>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</si>
  <si>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</si>
  <si>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</si>
  <si>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</si>
  <si>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</si>
  <si>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</si>
  <si>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</si>
  <si>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</si>
  <si>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</si>
  <si>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</si>
  <si>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</si>
  <si>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</si>
  <si>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</si>
  <si>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</si>
  <si>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</si>
  <si>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</si>
  <si>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</si>
  <si>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</si>
  <si>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</si>
  <si>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</si>
  <si>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</si>
  <si>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</si>
  <si>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</si>
  <si>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</si>
  <si>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</si>
  <si>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</si>
  <si>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</si>
  <si>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</si>
  <si>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</si>
  <si>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</si>
  <si>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</si>
  <si>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</si>
  <si>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</si>
  <si>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</si>
  <si>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</si>
  <si>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</si>
  <si>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</si>
  <si>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</si>
  <si>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</si>
  <si>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</si>
  <si>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</si>
  <si>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</si>
  <si>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</si>
  <si>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</si>
  <si>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</si>
  <si>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</si>
  <si>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</si>
  <si>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</si>
  <si>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</si>
  <si>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</si>
  <si>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</si>
  <si>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</si>
  <si>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</si>
  <si>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</si>
  <si>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</si>
  <si>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</si>
  <si>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</si>
  <si>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</si>
  <si>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</si>
  <si>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</si>
  <si>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</si>
  <si>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</si>
  <si>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</si>
  <si>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</si>
  <si>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</si>
  <si>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</si>
  <si>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</si>
  <si>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</si>
  <si>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</si>
  <si>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</si>
  <si>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</si>
  <si>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</si>
  <si>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</si>
  <si>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</si>
  <si>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</si>
  <si>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</si>
  <si>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</si>
  <si>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</si>
  <si>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</si>
  <si>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</si>
  <si>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</si>
  <si>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</si>
  <si>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</si>
  <si>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</si>
  <si>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</si>
  <si>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</si>
  <si>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</si>
  <si>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</si>
  <si>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</si>
  <si>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</si>
  <si>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</si>
  <si>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</si>
  <si>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</si>
  <si>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</si>
  <si>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</si>
  <si>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</si>
  <si>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</si>
  <si>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</si>
  <si>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</si>
  <si>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</si>
  <si>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</si>
  <si>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</si>
  <si>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</si>
  <si>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</si>
  <si>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</si>
  <si>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</si>
  <si>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</si>
  <si>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</si>
  <si>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</si>
  <si>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</si>
  <si>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</si>
  <si>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</si>
  <si>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</si>
  <si>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</si>
  <si>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</si>
  <si>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</si>
  <si>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</si>
  <si>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</si>
  <si>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</si>
  <si>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</si>
  <si>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</si>
  <si>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</si>
  <si>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</si>
  <si>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</si>
  <si>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</si>
  <si>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</si>
  <si>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</si>
  <si>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</si>
  <si>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</si>
  <si>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</si>
  <si>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</si>
  <si>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</si>
  <si>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</si>
  <si>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</si>
  <si>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</si>
  <si>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</si>
  <si>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</si>
  <si>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</si>
  <si>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</si>
  <si>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</si>
  <si>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</si>
  <si>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</si>
  <si>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</si>
  <si>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</si>
  <si>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</si>
  <si>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</si>
  <si>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</si>
  <si>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</si>
  <si>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</si>
  <si>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</si>
  <si>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</si>
  <si>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</si>
  <si>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</si>
  <si>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</si>
  <si>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</si>
  <si>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</si>
  <si>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</si>
  <si>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</si>
  <si>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</si>
  <si>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</si>
  <si>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</si>
  <si>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</si>
  <si>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</si>
  <si>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</si>
  <si>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</si>
  <si>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</si>
  <si>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</si>
  <si>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</si>
  <si>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</si>
  <si>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</si>
  <si>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</si>
  <si>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</si>
  <si>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</si>
  <si>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</si>
  <si>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</si>
  <si>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</si>
  <si>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</si>
  <si>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</si>
  <si>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</si>
  <si>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</si>
  <si>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</si>
  <si>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</si>
  <si>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</si>
  <si>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</si>
  <si>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</si>
  <si>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</si>
  <si>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</si>
  <si>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</si>
  <si>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</si>
  <si>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</si>
  <si>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</si>
  <si>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</si>
  <si>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</si>
  <si>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</si>
  <si>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</si>
  <si>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</si>
  <si>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</si>
  <si>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</si>
  <si>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</si>
  <si>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</si>
  <si>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</si>
  <si>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</si>
  <si>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</si>
  <si>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</si>
  <si>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</si>
  <si>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</si>
  <si>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</si>
  <si>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</si>
  <si>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</si>
  <si>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</si>
  <si>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</si>
  <si>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</si>
  <si>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</si>
  <si>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</si>
  <si>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</si>
  <si>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</si>
  <si>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</si>
  <si>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</si>
  <si>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</si>
  <si>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</si>
  <si>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</si>
  <si>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</si>
  <si>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</si>
  <si>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</si>
  <si>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</si>
  <si>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</si>
  <si>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</si>
  <si>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</si>
  <si>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</si>
  <si>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</si>
  <si>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</si>
  <si>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</si>
  <si>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</si>
  <si>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</si>
  <si>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</si>
  <si>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</si>
  <si>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</si>
  <si>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</si>
  <si>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</si>
  <si>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</si>
  <si>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</si>
  <si>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</si>
  <si>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</si>
  <si>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</si>
  <si>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</si>
  <si>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</si>
  <si>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</si>
  <si>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</si>
  <si>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</si>
  <si>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</si>
  <si>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</si>
  <si>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</si>
  <si>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</si>
  <si>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</si>
  <si>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</si>
  <si>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</si>
  <si>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</si>
  <si>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</si>
  <si>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</si>
  <si>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</si>
  <si>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</si>
  <si>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</si>
  <si>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</si>
  <si>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</si>
  <si>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</si>
  <si>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</si>
  <si>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</si>
  <si>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</si>
  <si>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</si>
  <si>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</si>
  <si>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</si>
  <si>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</si>
  <si>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</si>
  <si>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</si>
  <si>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</si>
  <si>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</si>
  <si>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</si>
  <si>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</si>
  <si>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</si>
  <si>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</si>
  <si>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</si>
  <si>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</si>
  <si>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</si>
  <si>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</si>
  <si>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</si>
  <si>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</si>
  <si>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</si>
  <si>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</si>
  <si>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</si>
  <si>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</si>
  <si>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</si>
  <si>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</si>
  <si>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</si>
  <si>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</si>
  <si>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</si>
  <si>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</si>
  <si>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</si>
  <si>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</si>
  <si>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</si>
  <si>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</si>
  <si>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</si>
  <si>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</si>
  <si>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</si>
  <si>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</si>
  <si>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</si>
  <si>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</si>
  <si>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</si>
  <si>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</si>
  <si>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</si>
  <si>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</si>
  <si>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</si>
  <si>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</si>
  <si>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</si>
  <si>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</si>
  <si>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</si>
  <si>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</si>
  <si>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</si>
  <si>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</si>
  <si>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</si>
  <si>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</si>
  <si>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</si>
  <si>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</si>
  <si>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</si>
  <si>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</si>
  <si>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</si>
  <si>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</si>
  <si>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</si>
  <si>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</si>
  <si>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</si>
  <si>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</si>
  <si>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</si>
  <si>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</si>
  <si>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</si>
  <si>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</si>
  <si>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</si>
  <si>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</si>
  <si>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</si>
  <si>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</si>
  <si>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</si>
  <si>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</si>
  <si>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</si>
  <si>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</si>
  <si>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</si>
  <si>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</si>
  <si>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</si>
  <si>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</si>
  <si>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</si>
  <si>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</si>
  <si>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</si>
  <si>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</si>
  <si>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</si>
  <si>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</si>
  <si>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</si>
  <si>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</si>
  <si>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</si>
  <si>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</si>
  <si>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</si>
  <si>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</si>
  <si>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</si>
  <si>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</si>
  <si>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</si>
  <si>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</si>
  <si>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</si>
  <si>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</si>
  <si>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</si>
  <si>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</si>
  <si>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</si>
  <si>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</si>
  <si>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</si>
  <si>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</si>
  <si>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</si>
  <si>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</si>
  <si>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</si>
  <si>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</si>
  <si>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</si>
  <si>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</si>
  <si>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</si>
  <si>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</si>
  <si>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</si>
  <si>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</si>
  <si>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</si>
  <si>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</si>
  <si>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</si>
  <si>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</si>
  <si>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</si>
  <si>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</si>
  <si>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</si>
  <si>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</si>
  <si>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</si>
  <si>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</si>
  <si>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</si>
  <si>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</si>
  <si>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</si>
  <si>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</si>
  <si>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</si>
  <si>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</si>
  <si>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</si>
  <si>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</si>
  <si>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</si>
  <si>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</si>
  <si>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</si>
  <si>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</si>
  <si>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</si>
  <si>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</si>
  <si>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</si>
  <si>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</si>
  <si>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</si>
  <si>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</si>
  <si>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</si>
  <si>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</si>
  <si>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</si>
  <si>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</si>
  <si>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</si>
  <si>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</si>
  <si>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</si>
  <si>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</si>
  <si>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</si>
  <si>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</si>
  <si>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</si>
  <si>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</si>
  <si>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</si>
  <si>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</si>
  <si>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</si>
  <si>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</si>
  <si>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</si>
  <si>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</si>
  <si>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</si>
  <si>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</si>
  <si>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</si>
  <si>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</si>
  <si>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</si>
  <si>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</si>
  <si>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</si>
  <si>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</si>
  <si>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</si>
  <si>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</si>
  <si>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</si>
  <si>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</si>
  <si>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</si>
  <si>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</si>
  <si>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</si>
  <si>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</si>
  <si>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</si>
  <si>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</si>
  <si>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</si>
  <si>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</si>
  <si>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</si>
  <si>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</si>
  <si>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</si>
  <si>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</si>
  <si>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</si>
  <si>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</si>
  <si>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</si>
  <si>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</si>
  <si>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</si>
  <si>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</si>
  <si>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</si>
  <si>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</si>
  <si>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</si>
  <si>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</si>
  <si>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</si>
  <si>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</si>
  <si>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</si>
  <si>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</si>
  <si>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</si>
  <si>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</si>
  <si>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</si>
  <si>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</si>
  <si>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</si>
  <si>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</si>
  <si>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</si>
  <si>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</si>
  <si>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</si>
  <si>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</si>
  <si>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</si>
  <si>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</si>
  <si>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</si>
  <si>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</si>
  <si>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</si>
  <si>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</si>
  <si>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</si>
  <si>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</si>
  <si>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</si>
  <si>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</si>
  <si>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</si>
  <si>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</si>
  <si>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</si>
  <si>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</si>
  <si>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</si>
  <si>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</si>
  <si>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</si>
  <si>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</si>
  <si>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</si>
  <si>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</si>
  <si>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</si>
  <si>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</si>
  <si>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</si>
  <si>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</si>
  <si>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</si>
  <si>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</si>
  <si>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</si>
  <si>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</si>
  <si>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</si>
  <si>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</si>
  <si>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</si>
  <si>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</si>
  <si>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</si>
  <si>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</si>
  <si>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</si>
  <si>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</si>
  <si>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</si>
  <si>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</si>
  <si>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</si>
  <si>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</si>
  <si>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</si>
  <si>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</si>
  <si>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</si>
  <si>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</si>
  <si>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</si>
  <si>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</si>
  <si>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</si>
  <si>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</si>
  <si>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</si>
  <si>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</si>
  <si>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</si>
  <si>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</si>
  <si>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</si>
  <si>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</si>
  <si>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</si>
  <si>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</si>
  <si>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</si>
  <si>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</si>
  <si>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</si>
  <si>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</si>
  <si>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</si>
  <si>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</si>
  <si>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</si>
  <si>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</si>
  <si>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</si>
  <si>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</si>
  <si>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</si>
  <si>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</si>
  <si>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</si>
  <si>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</si>
  <si>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</si>
  <si>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</si>
  <si>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</si>
  <si>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</si>
  <si>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</si>
  <si>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</si>
  <si>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</si>
  <si>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</si>
  <si>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</si>
  <si>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</si>
  <si>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</si>
  <si>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</si>
  <si>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</si>
  <si>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</si>
  <si>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</si>
  <si>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</si>
  <si>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</si>
  <si>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</si>
  <si>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</si>
  <si>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</si>
  <si>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</si>
  <si>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</si>
  <si>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</si>
  <si>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</si>
  <si>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</si>
  <si>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</si>
  <si>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</si>
  <si>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</si>
  <si>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</si>
  <si>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</si>
  <si>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</si>
  <si>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</si>
  <si>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</si>
  <si>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</si>
  <si>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</si>
  <si>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</si>
  <si>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</si>
  <si>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</si>
  <si>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</si>
  <si>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</si>
  <si>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</si>
  <si>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</si>
  <si>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</si>
  <si>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</si>
  <si>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</si>
  <si>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</si>
  <si>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</si>
  <si>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</si>
  <si>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</si>
  <si>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</si>
  <si>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</si>
  <si>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</si>
  <si>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</si>
  <si>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</si>
  <si>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</si>
  <si>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</si>
  <si>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</si>
  <si>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</si>
  <si>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</si>
  <si>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</si>
  <si>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</si>
  <si>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</si>
  <si>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</si>
  <si>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</si>
  <si>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</si>
  <si>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</si>
  <si>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</si>
  <si>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</si>
  <si>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</si>
  <si>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</si>
  <si>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</si>
  <si>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</si>
  <si>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</si>
  <si>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</si>
  <si>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</si>
  <si>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</si>
  <si>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</si>
  <si>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</si>
  <si>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</si>
  <si>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</si>
  <si>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</si>
  <si>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</si>
  <si>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</si>
  <si>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</si>
  <si>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</si>
  <si>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</si>
  <si>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</si>
  <si>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</si>
  <si>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</si>
  <si>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</si>
  <si>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</si>
  <si>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</si>
  <si>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</si>
  <si>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</si>
  <si>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</si>
  <si>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</si>
  <si>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</si>
  <si>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</si>
  <si>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</si>
  <si>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</si>
  <si>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</si>
  <si>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</si>
  <si>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</si>
  <si>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</si>
  <si>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</si>
  <si>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</si>
  <si>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</si>
  <si>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</si>
  <si>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</si>
  <si>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</si>
  <si>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</si>
  <si>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</si>
  <si>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</si>
  <si>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</si>
  <si>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</si>
  <si>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</si>
  <si>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</si>
  <si>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</si>
  <si>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</si>
  <si>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</si>
  <si>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</si>
  <si>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</si>
  <si>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</si>
  <si>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</si>
  <si>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</si>
  <si>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</si>
  <si>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</si>
  <si>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</si>
  <si>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</si>
  <si>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</si>
  <si>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</si>
  <si>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</si>
  <si>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</si>
  <si>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</si>
  <si>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</si>
  <si>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</si>
  <si>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</si>
  <si>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</si>
  <si>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</si>
  <si>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</si>
  <si>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</si>
  <si>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</si>
  <si>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</si>
  <si>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</si>
  <si>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</si>
  <si>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</si>
  <si>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</si>
  <si>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</si>
  <si>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</si>
  <si>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</si>
  <si>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</si>
  <si>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</si>
  <si>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</si>
  <si>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</si>
  <si>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</si>
  <si>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</si>
  <si>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</si>
  <si>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</si>
  <si>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</si>
  <si>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</si>
  <si>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</si>
  <si>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</si>
  <si>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</si>
  <si>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</si>
  <si>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</si>
  <si>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</si>
  <si>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</si>
  <si>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</si>
  <si>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</si>
  <si>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</si>
  <si>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</si>
  <si>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</si>
  <si>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</si>
  <si>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</si>
  <si>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</si>
  <si>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</si>
  <si>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</si>
  <si>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</si>
  <si>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</si>
  <si>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</si>
  <si>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</si>
  <si>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</si>
  <si>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</si>
  <si>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</si>
  <si>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</si>
  <si>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</si>
  <si>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</si>
  <si>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</si>
  <si>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</si>
  <si>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</si>
  <si>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</si>
  <si>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</si>
  <si>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</si>
  <si>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</si>
  <si>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</si>
  <si>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</si>
  <si>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</si>
  <si>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</si>
  <si>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</si>
  <si>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</si>
  <si>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</si>
  <si>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</si>
  <si>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</si>
  <si>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</si>
  <si>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</si>
  <si>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</si>
  <si>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</si>
  <si>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</si>
  <si>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</si>
  <si>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</si>
  <si>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</si>
  <si>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</si>
  <si>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</si>
  <si>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</si>
  <si>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</si>
  <si>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</si>
  <si>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</si>
  <si>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</si>
  <si>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</si>
  <si>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</si>
  <si>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</si>
  <si>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</si>
  <si>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</si>
  <si>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</si>
  <si>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</si>
  <si>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</si>
  <si>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</si>
  <si>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</si>
  <si>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</si>
  <si>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</si>
  <si>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</si>
  <si>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</si>
  <si>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</si>
  <si>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</si>
  <si>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</si>
  <si>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</si>
  <si>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</si>
  <si>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</si>
  <si>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</si>
  <si>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</si>
  <si>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</si>
  <si>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</si>
  <si>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</si>
  <si>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</si>
  <si>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</si>
  <si>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</si>
  <si>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</si>
  <si>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</si>
  <si>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</si>
  <si>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</si>
  <si>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</si>
  <si>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</si>
  <si>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</si>
  <si>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</si>
  <si>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</si>
  <si>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</si>
  <si>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</si>
  <si>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</si>
  <si>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</si>
  <si>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</si>
  <si>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</si>
  <si>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</si>
  <si>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</si>
  <si>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</si>
  <si>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</si>
  <si>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</si>
  <si>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</si>
  <si>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</si>
  <si>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</si>
  <si>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</si>
  <si>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</si>
  <si>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</si>
  <si>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</si>
  <si>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</si>
  <si>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</si>
  <si>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</si>
  <si>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</si>
  <si>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</si>
  <si>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</si>
  <si>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</si>
  <si>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</si>
  <si>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</si>
  <si>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</si>
  <si>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</si>
  <si>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</si>
  <si>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</si>
  <si>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</si>
  <si>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</si>
  <si>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</si>
  <si>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</si>
  <si>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</si>
  <si>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</si>
  <si>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</si>
  <si>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</si>
  <si>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</si>
  <si>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</si>
  <si>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</si>
  <si>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</si>
  <si>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</si>
  <si>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</si>
  <si>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</si>
  <si>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</si>
  <si>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</si>
  <si>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</si>
  <si>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</si>
  <si>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</si>
  <si>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</si>
  <si>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</si>
  <si>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</si>
  <si>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</si>
  <si>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</si>
  <si>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</si>
  <si>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</si>
  <si>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</si>
  <si>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</si>
  <si>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</si>
  <si>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</si>
  <si>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</si>
  <si>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</si>
  <si>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</si>
  <si>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</si>
  <si>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</si>
  <si>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</si>
  <si>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</si>
  <si>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</si>
  <si>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</si>
  <si>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</si>
  <si>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</si>
  <si>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</si>
  <si>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</si>
  <si>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</si>
  <si>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</si>
  <si>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</si>
  <si>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</si>
  <si>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</si>
  <si>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</si>
  <si>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</si>
  <si>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</si>
  <si>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</si>
  <si>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</si>
  <si>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</si>
  <si>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</si>
  <si>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</si>
  <si>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</si>
  <si>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</si>
  <si>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</si>
  <si>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</si>
  <si>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</si>
  <si>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</si>
  <si>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</si>
  <si>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</si>
  <si>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</si>
  <si>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</si>
  <si>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</si>
  <si>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</si>
  <si>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</si>
  <si>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</si>
  <si>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</si>
  <si>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</si>
  <si>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</si>
  <si>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</si>
  <si>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</si>
  <si>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</si>
  <si>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</si>
  <si>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</si>
  <si>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</si>
  <si>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</si>
  <si>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</si>
  <si>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</si>
  <si>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</si>
  <si>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</si>
  <si>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</si>
  <si>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</si>
  <si>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</si>
  <si>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</si>
  <si>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</si>
  <si>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</si>
  <si>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</si>
  <si>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</si>
  <si>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</si>
  <si>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</si>
  <si>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</si>
  <si>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</si>
  <si>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</si>
  <si>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</si>
  <si>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</si>
  <si>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</si>
  <si>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</si>
  <si>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</si>
  <si>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</si>
  <si>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</si>
  <si>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</si>
  <si>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</si>
  <si>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</si>
  <si>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</si>
  <si>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</si>
  <si>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</si>
  <si>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</si>
  <si>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</si>
  <si>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</si>
  <si>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</si>
  <si>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</si>
  <si>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</si>
  <si>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</si>
  <si>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</si>
  <si>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</si>
  <si>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</si>
  <si>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</si>
  <si>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</si>
  <si>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</si>
  <si>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</si>
  <si>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</si>
  <si>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</si>
  <si>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</si>
  <si>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</si>
  <si>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</si>
  <si>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</si>
  <si>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</si>
  <si>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</si>
  <si>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</si>
  <si>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</si>
  <si>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</si>
  <si>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</si>
  <si>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</si>
  <si>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</si>
  <si>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</si>
  <si>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</si>
  <si>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</si>
  <si>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</si>
  <si>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</si>
  <si>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</si>
  <si>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</si>
  <si>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</si>
  <si>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</si>
  <si>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</si>
  <si>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</si>
  <si>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</si>
  <si>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</si>
  <si>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</si>
  <si>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</si>
  <si>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</si>
  <si>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</si>
  <si>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</si>
  <si>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</si>
  <si>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</si>
  <si>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</si>
  <si>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</si>
  <si>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</si>
  <si>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</si>
  <si>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</si>
  <si>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</si>
  <si>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</si>
  <si>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</si>
  <si>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</si>
  <si>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</si>
  <si>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</si>
  <si>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</si>
  <si>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</si>
  <si>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</si>
  <si>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</si>
  <si>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</si>
  <si>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</si>
  <si>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</si>
  <si>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</si>
  <si>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</si>
  <si>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</si>
  <si>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</si>
  <si>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</si>
  <si>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</si>
  <si>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</si>
  <si>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</si>
  <si>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</si>
  <si>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</si>
  <si>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</si>
  <si>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</si>
  <si>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</si>
  <si>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</si>
  <si>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</si>
  <si>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</si>
  <si>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</si>
  <si>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</si>
  <si>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</si>
  <si>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</si>
  <si>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</si>
  <si>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</si>
  <si>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</si>
  <si>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</si>
  <si>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</si>
  <si>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</si>
  <si>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</si>
  <si>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</si>
  <si>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</si>
  <si>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</si>
  <si>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</si>
  <si>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</si>
  <si>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</si>
  <si>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</si>
  <si>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</si>
  <si>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</si>
  <si>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</si>
  <si>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</si>
  <si>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</si>
  <si>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</si>
  <si>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</si>
  <si>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</si>
  <si>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</si>
  <si>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</si>
  <si>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</si>
  <si>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</si>
  <si>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</si>
  <si>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</si>
  <si>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</si>
  <si>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</si>
  <si>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</si>
  <si>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</si>
  <si>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</si>
  <si>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</si>
  <si>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</si>
  <si>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</si>
  <si>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</si>
  <si>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</si>
  <si>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</si>
  <si>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</si>
  <si>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</si>
  <si>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</si>
  <si>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</si>
  <si>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</si>
  <si>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</si>
  <si>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</si>
  <si>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</si>
  <si>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</si>
  <si>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</si>
  <si>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</si>
  <si>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</si>
  <si>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</si>
  <si>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</si>
  <si>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</si>
  <si>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</si>
  <si>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</si>
  <si>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</si>
  <si>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</si>
  <si>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</si>
  <si>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</si>
  <si>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</si>
  <si>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</si>
  <si>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</si>
  <si>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</si>
  <si>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</si>
  <si>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</si>
  <si>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</si>
  <si>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</si>
  <si>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</si>
  <si>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</si>
  <si>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</si>
  <si>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</si>
  <si>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</si>
  <si>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</si>
  <si>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</si>
  <si>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</si>
  <si>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</si>
  <si>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</si>
  <si>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</si>
  <si>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</si>
  <si>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</si>
  <si>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</si>
  <si>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</si>
  <si>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</si>
  <si>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</si>
  <si>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</si>
  <si>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</si>
  <si>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</si>
  <si>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</si>
  <si>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</si>
  <si>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</si>
  <si>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</si>
  <si>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</si>
  <si>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</si>
  <si>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</si>
  <si>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</si>
  <si>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</si>
  <si>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</si>
  <si>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</si>
  <si>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</si>
  <si>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</si>
  <si>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</si>
  <si>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</si>
  <si>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</si>
  <si>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</si>
  <si>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</si>
  <si>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</si>
  <si>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</si>
  <si>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</si>
  <si>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</si>
  <si>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</si>
  <si>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</si>
  <si>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</si>
  <si>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</si>
  <si>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</si>
  <si>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</si>
  <si>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</si>
  <si>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</si>
  <si>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</si>
  <si>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</si>
  <si>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</si>
  <si>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</si>
  <si>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</si>
  <si>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</si>
  <si>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</si>
  <si>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</si>
  <si>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</si>
  <si>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</si>
  <si>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</si>
  <si>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</si>
  <si>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</si>
  <si>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</si>
  <si>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</si>
  <si>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</si>
  <si>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</si>
  <si>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</si>
  <si>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</si>
  <si>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</si>
  <si>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</si>
  <si>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</si>
  <si>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</si>
  <si>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</si>
  <si>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</si>
  <si>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</si>
  <si>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</si>
  <si>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</si>
  <si>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</si>
  <si>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</si>
  <si>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</si>
  <si>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</si>
  <si>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</si>
  <si>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</si>
  <si>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</si>
  <si>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</si>
  <si>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</si>
  <si>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</si>
  <si>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</si>
  <si>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</si>
  <si>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</si>
  <si>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</si>
  <si>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</si>
  <si>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</si>
  <si>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</si>
  <si>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</si>
  <si>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</si>
  <si>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</si>
  <si>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</si>
  <si>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</si>
  <si>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</si>
  <si>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</si>
  <si>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</si>
  <si>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</si>
  <si>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</si>
  <si>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</si>
  <si>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</si>
  <si>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</si>
  <si>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</si>
  <si>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</si>
  <si>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</si>
  <si>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</si>
  <si>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</si>
  <si>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</si>
  <si>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</si>
  <si>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</si>
  <si>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</si>
  <si>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</si>
  <si>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</si>
  <si>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</si>
  <si>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</si>
  <si>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</si>
  <si>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</si>
  <si>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</si>
  <si>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</si>
  <si>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</si>
  <si>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</si>
  <si>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</si>
  <si>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</si>
  <si>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</si>
  <si>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</si>
  <si>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</si>
  <si>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</si>
  <si>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</si>
  <si>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</si>
  <si>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</si>
  <si>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</si>
  <si>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</si>
  <si>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</si>
  <si>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</si>
  <si>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</si>
  <si>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</si>
  <si>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</si>
  <si>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</si>
  <si>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</si>
  <si>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</si>
  <si>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</si>
  <si>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</si>
  <si>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</si>
  <si>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</si>
  <si>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</si>
  <si>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</si>
  <si>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</si>
  <si>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</si>
  <si>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</si>
  <si>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</si>
  <si>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</si>
  <si>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</si>
  <si>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</si>
  <si>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</si>
  <si>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</si>
  <si>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</si>
  <si>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</si>
  <si>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</si>
  <si>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</si>
  <si>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</si>
  <si>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</si>
  <si>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</si>
  <si>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</si>
  <si>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</si>
  <si>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</si>
  <si>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</si>
  <si>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</si>
  <si>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</si>
  <si>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</si>
  <si>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</si>
  <si>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</si>
  <si>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</si>
  <si>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</si>
  <si>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</si>
  <si>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</si>
  <si>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</si>
  <si>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</si>
  <si>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</si>
  <si>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</si>
  <si>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</si>
  <si>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</si>
  <si>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</si>
  <si>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</si>
  <si>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</si>
  <si>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</si>
  <si>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</si>
  <si>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</si>
  <si>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</si>
  <si>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</si>
  <si>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</si>
  <si>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</si>
  <si>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</si>
  <si>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</si>
  <si>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</si>
  <si>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</si>
  <si>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</si>
  <si>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</si>
  <si>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</si>
  <si>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</si>
  <si>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</si>
  <si>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</si>
  <si>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</si>
  <si>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</si>
  <si>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</si>
  <si>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</si>
  <si>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</si>
  <si>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</si>
  <si>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</si>
  <si>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</si>
  <si>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</si>
  <si>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</si>
  <si>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</si>
  <si>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</si>
  <si>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</si>
  <si>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</si>
  <si>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</si>
  <si>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</si>
  <si>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</si>
  <si>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</si>
  <si>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</si>
  <si>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</si>
  <si>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</si>
  <si>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</si>
  <si>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</si>
  <si>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</si>
  <si>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</si>
  <si>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</si>
  <si>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</si>
  <si>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</si>
  <si>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</si>
  <si>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</si>
  <si>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</si>
  <si>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</si>
  <si>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</si>
  <si>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</si>
  <si>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</si>
  <si>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</si>
  <si>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</si>
  <si>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</si>
  <si>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</si>
  <si>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</si>
  <si>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</si>
  <si>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</si>
  <si>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</si>
  <si>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</si>
  <si>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</si>
  <si>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</si>
  <si>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</si>
  <si>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</si>
  <si>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</si>
  <si>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</si>
  <si>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</si>
  <si>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</si>
  <si>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</si>
  <si>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</si>
  <si>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</si>
  <si>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</si>
  <si>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</si>
  <si>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</si>
  <si>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</si>
  <si>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</si>
  <si>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</si>
  <si>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</si>
  <si>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</si>
  <si>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</si>
  <si>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</si>
  <si>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</si>
  <si>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</si>
  <si>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</si>
  <si>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</si>
  <si>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</si>
  <si>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</si>
  <si>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</si>
  <si>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</si>
  <si>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</si>
  <si>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</si>
  <si>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</si>
  <si>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</si>
  <si>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</si>
  <si>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</si>
  <si>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</si>
  <si>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</si>
  <si>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</si>
  <si>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</si>
  <si>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</si>
  <si>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</si>
  <si>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</si>
  <si>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</si>
  <si>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</si>
  <si>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</si>
  <si>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</si>
  <si>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</si>
  <si>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</si>
  <si>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</si>
  <si>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</si>
  <si>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</si>
  <si>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</si>
  <si>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</si>
  <si>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</si>
  <si>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</si>
  <si>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</si>
  <si>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</si>
  <si>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</si>
  <si>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</si>
  <si>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</si>
  <si>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</si>
  <si>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</si>
  <si>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</si>
  <si>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</si>
  <si>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</si>
  <si>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</si>
  <si>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</si>
  <si>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</si>
  <si>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</si>
  <si>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</si>
  <si>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</si>
  <si>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</si>
  <si>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</si>
  <si>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</si>
  <si>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</si>
  <si>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</si>
  <si>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</si>
  <si>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</si>
  <si>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</si>
  <si>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</si>
  <si>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</si>
  <si>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</si>
  <si>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</si>
  <si>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</si>
  <si>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</si>
  <si>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</si>
  <si>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</si>
  <si>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</si>
  <si>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</si>
  <si>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</si>
  <si>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</si>
  <si>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</si>
  <si>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</si>
  <si>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</si>
  <si>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</si>
  <si>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</si>
  <si>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</si>
  <si>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</si>
  <si>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</si>
  <si>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</si>
  <si>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</si>
  <si>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</si>
  <si>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</si>
  <si>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</si>
  <si>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</si>
  <si>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</si>
  <si>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</si>
  <si>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</si>
  <si>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</si>
  <si>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</si>
  <si>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</si>
  <si>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</si>
  <si>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</si>
  <si>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</si>
  <si>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</si>
  <si>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</si>
  <si>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</si>
  <si>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</si>
  <si>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</si>
  <si>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</si>
  <si>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</si>
  <si>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</si>
  <si>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</si>
  <si>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</si>
  <si>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</si>
  <si>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</si>
  <si>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</si>
  <si>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</si>
  <si>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</si>
  <si>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</si>
  <si>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</si>
  <si>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</si>
  <si>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</si>
  <si>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</si>
  <si>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</si>
  <si>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</si>
  <si>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</si>
  <si>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</si>
  <si>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</si>
  <si>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</si>
  <si>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</si>
  <si>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</si>
  <si>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</si>
  <si>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</si>
  <si>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</si>
  <si>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</si>
  <si>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</si>
  <si>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</si>
  <si>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</si>
  <si>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</si>
  <si>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</si>
  <si>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</si>
  <si>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</si>
  <si>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</si>
  <si>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</si>
  <si>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</si>
  <si>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</si>
  <si>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</si>
  <si>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</si>
  <si>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</si>
  <si>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</si>
  <si>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</si>
  <si>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</si>
  <si>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</si>
  <si>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</si>
  <si>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</si>
  <si>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</si>
  <si>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</si>
  <si>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</si>
  <si>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</si>
  <si>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</si>
  <si>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</si>
  <si>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</si>
  <si>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</si>
  <si>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</si>
  <si>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</si>
  <si>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</si>
  <si>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</si>
  <si>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</si>
  <si>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</si>
  <si>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</si>
  <si>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</si>
  <si>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</si>
  <si>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</si>
  <si>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</si>
  <si>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</si>
  <si>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</si>
  <si>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</si>
  <si>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</si>
  <si>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</si>
  <si>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</si>
  <si>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</si>
  <si>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</si>
  <si>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</si>
  <si>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</si>
  <si>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</si>
  <si>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</si>
  <si>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</si>
  <si>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</si>
  <si>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</si>
  <si>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</si>
  <si>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</si>
  <si>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</si>
  <si>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</si>
  <si>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</si>
  <si>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</si>
  <si>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</si>
  <si>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</si>
  <si>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</si>
  <si>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</si>
  <si>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</si>
  <si>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</si>
  <si>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</si>
  <si>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</si>
  <si>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</si>
  <si>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</si>
  <si>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</si>
  <si>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</si>
  <si>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</si>
  <si>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</si>
  <si>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</si>
  <si>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</si>
  <si>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</si>
  <si>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</si>
  <si>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</si>
  <si>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</si>
  <si>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</si>
  <si>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</si>
  <si>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</si>
  <si>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</si>
  <si>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</si>
  <si>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</si>
  <si>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</si>
  <si>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</si>
  <si>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</si>
  <si>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</si>
  <si>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</si>
  <si>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</si>
  <si>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</si>
  <si>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</si>
  <si>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</si>
  <si>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</si>
  <si>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</si>
  <si>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</si>
  <si>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</si>
  <si>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</si>
  <si>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</si>
  <si>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</si>
  <si>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</si>
  <si>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</si>
  <si>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</si>
  <si>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</si>
  <si>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</si>
  <si>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</si>
  <si>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</si>
  <si>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</si>
  <si>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</si>
  <si>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</si>
  <si>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</si>
  <si>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</si>
  <si>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</si>
  <si>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</si>
  <si>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</si>
  <si>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</si>
  <si>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</si>
  <si>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</si>
  <si>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</si>
  <si>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</si>
  <si>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</si>
  <si>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</si>
  <si>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</si>
  <si>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</si>
  <si>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</si>
  <si>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</si>
  <si>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</si>
  <si>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</si>
  <si>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</si>
  <si>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</si>
  <si>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</si>
  <si>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</si>
  <si>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</si>
  <si>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</si>
  <si>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</si>
  <si>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</si>
  <si>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</si>
  <si>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</si>
  <si>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</si>
  <si>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</si>
  <si>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</si>
  <si>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</si>
  <si>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</si>
  <si>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</si>
  <si>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</si>
  <si>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</si>
  <si>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</si>
  <si>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</si>
  <si>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</si>
  <si>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</si>
  <si>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</si>
  <si>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</si>
  <si>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</si>
  <si>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</si>
  <si>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</si>
  <si>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</si>
  <si>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</si>
  <si>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</si>
  <si>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</si>
  <si>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</si>
  <si>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</si>
  <si>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</si>
  <si>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</si>
  <si>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</si>
  <si>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</si>
  <si>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</si>
  <si>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</si>
  <si>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</si>
  <si>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</si>
  <si>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</si>
  <si>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</si>
  <si>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</si>
  <si>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</si>
  <si>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</si>
  <si>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</si>
  <si>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</si>
  <si>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</si>
  <si>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</si>
  <si>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</si>
  <si>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</si>
  <si>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</si>
  <si>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</si>
  <si>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</si>
  <si>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</si>
  <si>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</si>
  <si>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</si>
  <si>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</si>
  <si>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</si>
  <si>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</si>
  <si>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</si>
  <si>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</si>
  <si>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</si>
  <si>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</si>
  <si>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</si>
  <si>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</si>
  <si>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</si>
  <si>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</si>
  <si>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</si>
  <si>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</si>
  <si>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</si>
  <si>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</si>
  <si>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</si>
  <si>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</si>
  <si>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</si>
  <si>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</si>
  <si>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</si>
  <si>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</si>
  <si>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</si>
  <si>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</si>
  <si>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</si>
  <si>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</si>
  <si>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</si>
  <si>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</si>
  <si>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</si>
  <si>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</si>
  <si>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</si>
  <si>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</si>
  <si>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</si>
  <si>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</si>
  <si>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</si>
  <si>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</si>
  <si>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</si>
  <si>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</si>
  <si>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</si>
  <si>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</si>
  <si>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</si>
  <si>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</si>
  <si>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</si>
  <si>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</si>
  <si>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</si>
  <si>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</si>
  <si>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</si>
  <si>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</si>
  <si>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</si>
  <si>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</si>
  <si>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</si>
  <si>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</si>
  <si>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</si>
  <si>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</si>
  <si>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</si>
  <si>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</si>
  <si>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</si>
  <si>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</si>
  <si>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</si>
  <si>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</si>
  <si>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</si>
  <si>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</si>
  <si>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</si>
  <si>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</si>
  <si>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</si>
  <si>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</si>
  <si>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</si>
  <si>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</si>
  <si>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</si>
  <si>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</si>
  <si>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</si>
  <si>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</si>
  <si>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</si>
  <si>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</si>
  <si>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</si>
  <si>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</si>
  <si>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</si>
  <si>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</si>
  <si>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</si>
  <si>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</si>
  <si>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</si>
  <si>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</si>
  <si>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</si>
  <si>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</si>
  <si>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</si>
  <si>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</si>
  <si>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</si>
  <si>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</si>
  <si>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</si>
  <si>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</si>
  <si>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</si>
  <si>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</si>
  <si>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</si>
  <si>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</si>
  <si>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</si>
  <si>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</si>
  <si>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</si>
  <si>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</si>
  <si>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</si>
  <si>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</si>
  <si>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</si>
  <si>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</si>
  <si>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</si>
  <si>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</si>
  <si>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</si>
  <si>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</si>
  <si>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</si>
  <si>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</si>
  <si>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</si>
  <si>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</si>
  <si>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</si>
  <si>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</si>
  <si>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</si>
  <si>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</si>
  <si>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</si>
  <si>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</si>
  <si>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</si>
  <si>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</si>
  <si>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</si>
  <si>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</si>
  <si>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</si>
  <si>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</si>
  <si>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</si>
  <si>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</si>
  <si>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</si>
  <si>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</si>
  <si>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</si>
  <si>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</si>
  <si>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</si>
  <si>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</si>
  <si>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</si>
  <si>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</si>
  <si>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</si>
  <si>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</si>
  <si>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</si>
  <si>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</si>
  <si>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</si>
  <si>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</si>
  <si>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</si>
  <si>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</si>
  <si>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</si>
  <si>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</si>
  <si>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</si>
  <si>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</si>
  <si>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</si>
  <si>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</si>
  <si>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</si>
  <si>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</si>
  <si>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</si>
  <si>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</si>
  <si>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</si>
  <si>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</si>
  <si>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</si>
  <si>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</si>
  <si>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</si>
  <si>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</si>
  <si>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</si>
  <si>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</si>
  <si>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</si>
  <si>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</si>
  <si>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</si>
  <si>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</si>
  <si>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</si>
  <si>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</si>
  <si>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</si>
  <si>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</si>
  <si>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</si>
  <si>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</si>
  <si>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</si>
  <si>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</si>
  <si>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</si>
  <si>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</si>
  <si>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</si>
  <si>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</si>
  <si>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</si>
  <si>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</si>
  <si>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</si>
  <si>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</si>
  <si>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</si>
  <si>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</si>
  <si>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</si>
  <si>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</si>
  <si>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</si>
  <si>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</si>
  <si>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</si>
  <si>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</si>
  <si>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</si>
  <si>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</si>
  <si>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</si>
  <si>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</si>
  <si>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</si>
  <si>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</si>
  <si>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</si>
  <si>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</si>
  <si>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</si>
  <si>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</si>
  <si>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</si>
  <si>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</si>
  <si>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</si>
  <si>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</si>
  <si>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</si>
  <si>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</si>
  <si>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</si>
  <si>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</si>
  <si>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</si>
  <si>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</si>
  <si>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</si>
  <si>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</si>
  <si>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</si>
  <si>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</si>
  <si>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</si>
  <si>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</si>
  <si>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</si>
  <si>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</si>
  <si>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</si>
  <si>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</si>
  <si>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</si>
  <si>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</si>
  <si>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</si>
  <si>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</si>
  <si>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</si>
  <si>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</si>
  <si>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</si>
  <si>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</si>
  <si>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</si>
  <si>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</si>
  <si>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</si>
  <si>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</si>
  <si>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</si>
  <si>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</si>
  <si>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</si>
  <si>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</si>
  <si>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</si>
  <si>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</si>
  <si>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</si>
  <si>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</si>
  <si>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</si>
  <si>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</si>
  <si>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</si>
  <si>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</si>
  <si>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</si>
  <si>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</si>
  <si>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</si>
  <si>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</si>
  <si>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</si>
  <si>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</si>
  <si>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</si>
  <si>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</si>
  <si>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</si>
  <si>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</si>
  <si>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</si>
  <si>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</si>
  <si>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</si>
  <si>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</si>
  <si>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</si>
  <si>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</si>
  <si>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</si>
  <si>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</si>
  <si>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</si>
  <si>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</si>
  <si>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</si>
  <si>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</si>
  <si>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</si>
  <si>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</si>
  <si>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</si>
  <si>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</si>
  <si>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</si>
  <si>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</si>
  <si>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</si>
  <si>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</si>
  <si>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</si>
  <si>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</si>
  <si>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</si>
  <si>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</si>
  <si>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</si>
  <si>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</si>
  <si>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</si>
  <si>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</si>
  <si>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</si>
  <si>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</si>
  <si>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</si>
  <si>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</si>
  <si>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</si>
  <si>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</si>
  <si>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</si>
  <si>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</si>
  <si>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</si>
  <si>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</si>
  <si>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</si>
  <si>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</si>
  <si>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</si>
  <si>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</si>
  <si>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</si>
  <si>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</si>
  <si>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</si>
  <si>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</si>
  <si>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</si>
  <si>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</si>
  <si>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</si>
  <si>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</si>
  <si>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</si>
  <si>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</si>
  <si>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</si>
  <si>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</si>
  <si>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</si>
  <si>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</si>
  <si>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</si>
  <si>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</si>
  <si>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</si>
  <si>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</si>
  <si>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</si>
  <si>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</si>
  <si>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</si>
  <si>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</si>
  <si>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</si>
  <si>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</si>
  <si>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</si>
  <si>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</si>
  <si>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</si>
  <si>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</si>
  <si>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</si>
  <si>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</si>
  <si>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</si>
  <si>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</si>
  <si>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</si>
  <si>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</si>
  <si>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</si>
  <si>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</si>
  <si>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</si>
  <si>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</si>
  <si>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</si>
  <si>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</si>
  <si>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</si>
  <si>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</si>
  <si>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</si>
  <si>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</si>
  <si>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</si>
  <si>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</si>
  <si>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</si>
  <si>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</si>
  <si>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</si>
  <si>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</si>
  <si>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</si>
  <si>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</si>
  <si>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</si>
  <si>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</si>
  <si>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</si>
  <si>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</si>
  <si>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</si>
  <si>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</si>
  <si>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</si>
  <si>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</si>
  <si>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</si>
  <si>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</si>
  <si>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</si>
  <si>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</si>
  <si>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</si>
  <si>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</si>
  <si>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</si>
  <si>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</si>
  <si>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</si>
  <si>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</si>
  <si>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</si>
  <si>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</si>
  <si>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</si>
  <si>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</si>
  <si>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</si>
  <si>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</si>
  <si>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</si>
  <si>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</si>
  <si>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</si>
  <si>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</si>
  <si>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</si>
  <si>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</si>
  <si>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</si>
  <si>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</si>
  <si>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</si>
  <si>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</si>
  <si>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</si>
  <si>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</si>
  <si>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</si>
  <si>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</si>
  <si>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</si>
  <si>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</si>
  <si>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</si>
  <si>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</si>
  <si>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</si>
  <si>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</si>
  <si>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</si>
  <si>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</si>
  <si>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</si>
  <si>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</si>
  <si>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</si>
  <si>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</si>
  <si>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</si>
  <si>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</si>
  <si>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</si>
  <si>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</si>
  <si>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</si>
  <si>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</si>
  <si>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</si>
  <si>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</si>
  <si>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</si>
  <si>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</si>
  <si>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</si>
  <si>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</si>
  <si>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</si>
  <si>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</si>
  <si>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</si>
  <si>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</si>
  <si>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</si>
  <si>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</si>
  <si>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</si>
  <si>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</si>
  <si>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</si>
  <si>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</si>
  <si>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</si>
  <si>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</si>
  <si>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</si>
  <si>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</si>
  <si>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</si>
  <si>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</si>
  <si>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</si>
  <si>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</si>
  <si>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</si>
  <si>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</si>
  <si>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</si>
  <si>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</si>
  <si>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</si>
  <si>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</si>
  <si>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</si>
  <si>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</si>
  <si>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</si>
  <si>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</si>
  <si>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</si>
  <si>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</si>
  <si>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</si>
  <si>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</si>
  <si>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</si>
  <si>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</si>
  <si>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</si>
  <si>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</si>
  <si>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</si>
  <si>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</si>
  <si>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</si>
  <si>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</si>
  <si>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</si>
  <si>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</si>
  <si>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</si>
  <si>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</si>
  <si>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</si>
  <si>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</si>
  <si>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</si>
  <si>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</si>
  <si>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</si>
  <si>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</si>
  <si>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</si>
  <si>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</si>
  <si>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</si>
  <si>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</si>
  <si>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</si>
  <si>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</si>
  <si>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</si>
  <si>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</si>
  <si>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</si>
  <si>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</si>
  <si>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</si>
  <si>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</si>
  <si>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</si>
  <si>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</si>
  <si>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</si>
  <si>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</si>
  <si>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</si>
  <si>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</si>
  <si>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</si>
  <si>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</si>
  <si>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</si>
  <si>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</si>
  <si>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</si>
  <si>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</si>
  <si>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</si>
  <si>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</si>
  <si>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</si>
  <si>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</si>
  <si>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</si>
  <si>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</si>
  <si>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</si>
  <si>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</si>
  <si>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</si>
  <si>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</si>
  <si>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</si>
  <si>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</si>
  <si>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</si>
  <si>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</si>
  <si>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</si>
  <si>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</si>
  <si>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</si>
  <si>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</si>
  <si>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</si>
  <si>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</si>
  <si>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</si>
  <si>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</si>
  <si>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</si>
  <si>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</si>
  <si>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</si>
  <si>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</si>
  <si>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</si>
  <si>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</si>
  <si>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</si>
  <si>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</si>
  <si>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</si>
  <si>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</si>
  <si>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</si>
  <si>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</si>
  <si>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</si>
  <si>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</si>
  <si>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</si>
  <si>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</si>
  <si>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</si>
  <si>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</si>
  <si>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</si>
  <si>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</si>
  <si>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</si>
  <si>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</si>
  <si>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</si>
  <si>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</si>
  <si>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</si>
  <si>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</si>
  <si>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</si>
  <si>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</si>
  <si>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</si>
  <si>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</si>
  <si>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</si>
  <si>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</si>
  <si>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</si>
  <si>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</si>
  <si>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</si>
  <si>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</si>
  <si>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</si>
  <si>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</si>
  <si>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</si>
  <si>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</si>
  <si>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</si>
  <si>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</si>
  <si>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</si>
  <si>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</si>
  <si>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</si>
  <si>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</si>
  <si>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</si>
  <si>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</si>
  <si>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</si>
  <si>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</si>
  <si>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</si>
  <si>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</si>
  <si>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</si>
  <si>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</si>
  <si>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</si>
  <si>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</si>
  <si>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</si>
  <si>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</si>
  <si>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</si>
  <si>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</si>
  <si>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</si>
  <si>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</si>
  <si>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</si>
  <si>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</si>
  <si>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</si>
  <si>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</si>
  <si>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</si>
  <si>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</si>
  <si>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</si>
  <si>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</si>
  <si>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</si>
  <si>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</si>
  <si>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</si>
  <si>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</si>
  <si>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</si>
  <si>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</si>
  <si>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</si>
  <si>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</si>
  <si>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</si>
  <si>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</si>
  <si>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</si>
  <si>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</si>
  <si>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</si>
  <si>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</si>
  <si>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</si>
  <si>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</si>
  <si>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</si>
  <si>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</si>
  <si>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</si>
  <si>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</si>
  <si>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</si>
  <si>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</si>
  <si>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</si>
  <si>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</si>
  <si>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</si>
  <si>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</si>
  <si>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</si>
  <si>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</si>
  <si>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</si>
  <si>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</si>
  <si>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</si>
  <si>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</si>
  <si>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</si>
  <si>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</si>
  <si>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</si>
  <si>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</si>
  <si>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</si>
  <si>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</si>
  <si>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</si>
  <si>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</si>
  <si>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</si>
  <si>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</si>
  <si>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</si>
  <si>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</si>
  <si>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</si>
  <si>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</si>
  <si>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</si>
  <si>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</si>
  <si>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</si>
  <si>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</si>
  <si>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</si>
  <si>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</si>
  <si>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</si>
  <si>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</si>
  <si>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</si>
  <si>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</si>
  <si>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</si>
  <si>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</si>
  <si>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</si>
  <si>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</si>
  <si>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</si>
  <si>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</si>
  <si>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</si>
  <si>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</si>
  <si>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</si>
  <si>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</si>
  <si>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</si>
  <si>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</si>
  <si>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</si>
  <si>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</si>
  <si>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</si>
  <si>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</si>
  <si>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</si>
  <si>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</si>
  <si>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</si>
  <si>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</si>
  <si>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</si>
  <si>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</si>
  <si>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</si>
  <si>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</si>
  <si>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</si>
  <si>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</si>
  <si>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</si>
  <si>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</si>
  <si>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</si>
  <si>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</si>
  <si>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</si>
  <si>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</si>
  <si>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</si>
  <si>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</si>
  <si>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</si>
  <si>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</si>
  <si>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</si>
  <si>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</si>
  <si>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</si>
  <si>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</si>
  <si>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</si>
  <si>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</si>
  <si>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</si>
  <si>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</si>
  <si>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</si>
  <si>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</si>
  <si>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</si>
  <si>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</si>
  <si>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</si>
  <si>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</si>
  <si>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</si>
  <si>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</si>
  <si>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</si>
  <si>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</si>
  <si>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</si>
  <si>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</si>
  <si>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</si>
  <si>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</si>
  <si>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</si>
  <si>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</si>
  <si>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</si>
  <si>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</si>
  <si>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</si>
  <si>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</si>
  <si>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</si>
  <si>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</si>
  <si>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</si>
  <si>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</si>
  <si>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</si>
  <si>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</si>
  <si>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</si>
  <si>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</si>
  <si>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</si>
  <si>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</si>
  <si>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</si>
  <si>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</si>
  <si>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</si>
  <si>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</si>
  <si>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</si>
  <si>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</si>
  <si>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</si>
  <si>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</si>
  <si>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</si>
  <si>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</si>
  <si>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</si>
  <si>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</si>
  <si>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</si>
  <si>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</si>
  <si>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</si>
  <si>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</si>
  <si>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</si>
  <si>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</si>
  <si>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</si>
  <si>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</si>
  <si>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</si>
  <si>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</si>
  <si>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</si>
  <si>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</si>
  <si>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</si>
  <si>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</si>
  <si>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</si>
  <si>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</si>
  <si>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</si>
  <si>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</si>
  <si>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</si>
  <si>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</si>
  <si>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</si>
  <si>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</si>
  <si>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</si>
  <si>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</si>
  <si>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</si>
  <si>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</si>
  <si>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</si>
  <si>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</si>
  <si>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</si>
  <si>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</si>
  <si>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</si>
  <si>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</si>
  <si>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</si>
  <si>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</si>
  <si>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</si>
  <si>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</si>
  <si>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</si>
  <si>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</si>
  <si>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</si>
  <si>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</si>
  <si>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</si>
  <si>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</si>
  <si>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</si>
  <si>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</si>
  <si>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</si>
  <si>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</si>
  <si>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</si>
  <si>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</si>
  <si>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</si>
  <si>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</si>
  <si>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</si>
  <si>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</si>
  <si>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</si>
  <si>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</si>
  <si>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</si>
  <si>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</si>
  <si>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</si>
  <si>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</si>
  <si>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</si>
  <si>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</si>
  <si>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</si>
  <si>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</si>
  <si>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</si>
  <si>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</si>
  <si>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</si>
  <si>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</si>
  <si>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</si>
  <si>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</si>
  <si>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</si>
  <si>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</si>
  <si>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</si>
  <si>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</si>
  <si>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</si>
  <si>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</si>
  <si>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</si>
  <si>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</si>
  <si>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</si>
  <si>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</si>
  <si>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</si>
  <si>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</si>
  <si>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</si>
  <si>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</si>
  <si>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</si>
  <si>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</si>
  <si>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</si>
  <si>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</si>
  <si>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</si>
  <si>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</si>
  <si>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</si>
  <si>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</si>
  <si>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</si>
  <si>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</si>
  <si>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</si>
  <si>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</si>
  <si>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</si>
  <si>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2013-2014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</si>
  <si>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</si>
  <si>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</si>
  <si>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</si>
  <si>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</si>
  <si>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</si>
  <si>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</si>
  <si>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</si>
  <si>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</si>
  <si>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</si>
  <si>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</si>
  <si>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</si>
  <si>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</si>
  <si>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</si>
  <si>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</si>
  <si>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</si>
  <si>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</si>
  <si>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</si>
  <si>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</si>
  <si>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</si>
  <si>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</si>
  <si>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</si>
  <si>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</si>
  <si>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</si>
  <si>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</si>
  <si>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</si>
  <si>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</si>
  <si>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</si>
  <si>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</si>
  <si>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</si>
  <si>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</si>
  <si>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</si>
  <si>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</si>
  <si>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</si>
  <si>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</si>
  <si>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</si>
  <si>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</si>
  <si>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</si>
  <si>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</si>
  <si>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</si>
  <si>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</si>
  <si>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</si>
  <si>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</si>
  <si>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</si>
  <si>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</si>
  <si>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</si>
  <si>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</si>
  <si>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</si>
  <si>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</si>
  <si>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</si>
  <si>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</si>
  <si>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</si>
  <si>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</si>
  <si>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</si>
  <si>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</si>
  <si>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</si>
  <si>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</si>
  <si>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</si>
  <si>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</si>
  <si>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</si>
  <si>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</si>
  <si>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</si>
  <si>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</si>
  <si>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</si>
  <si>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</si>
  <si>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</si>
  <si>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</si>
  <si>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</si>
  <si>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</si>
  <si>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</si>
  <si>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</si>
  <si>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</si>
  <si>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</si>
  <si>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</si>
  <si>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</si>
  <si>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</si>
  <si>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</si>
  <si>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</si>
  <si>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</si>
  <si>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</si>
  <si>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</si>
  <si>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</si>
  <si>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</si>
  <si>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</si>
  <si>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</si>
  <si>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</si>
  <si>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</si>
  <si>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</si>
  <si>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</si>
  <si>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</si>
  <si>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</si>
  <si>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</si>
  <si>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</si>
  <si>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</si>
  <si>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</si>
  <si>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</si>
  <si>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</si>
  <si>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</si>
  <si>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</si>
  <si>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</si>
  <si>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</si>
  <si>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</si>
  <si>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</si>
  <si>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</si>
  <si>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</si>
  <si>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</si>
  <si>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</si>
  <si>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</si>
  <si>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</si>
  <si>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</si>
  <si>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</si>
  <si>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</si>
  <si>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</si>
  <si>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</si>
  <si>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</si>
  <si>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</si>
  <si>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</si>
  <si>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</si>
  <si>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</si>
  <si>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</si>
  <si>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</si>
  <si>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</si>
  <si>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</si>
  <si>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</si>
  <si>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</si>
  <si>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</si>
  <si>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</si>
  <si>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</si>
  <si>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</si>
  <si>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</si>
  <si>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</si>
  <si>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</si>
  <si>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</si>
  <si>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</si>
  <si>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</si>
  <si>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</si>
  <si>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</si>
  <si>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</si>
  <si>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</si>
  <si>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</si>
  <si>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</si>
  <si>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</si>
  <si>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</si>
  <si>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</si>
  <si>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</si>
  <si>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</si>
  <si>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</si>
  <si>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</si>
  <si>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</si>
  <si>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</si>
  <si>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</si>
  <si>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</si>
  <si>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</si>
  <si>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</si>
  <si>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</si>
  <si>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</si>
  <si>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</si>
  <si>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</si>
  <si>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</si>
  <si>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</si>
  <si>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</si>
  <si>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</si>
  <si>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</si>
  <si>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</si>
  <si>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</si>
  <si>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</si>
  <si>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</si>
  <si>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</si>
  <si>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</si>
  <si>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</si>
  <si>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</si>
  <si>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</si>
  <si>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</si>
  <si>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</si>
  <si>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</si>
  <si>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</si>
  <si>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</si>
  <si>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</si>
  <si>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</si>
  <si>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</si>
  <si>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</si>
  <si>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</si>
  <si>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</si>
  <si>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</si>
  <si>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</si>
  <si>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</si>
  <si>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</si>
  <si>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</si>
  <si>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</si>
  <si>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</si>
  <si>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</si>
  <si>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</si>
  <si>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</si>
  <si>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</si>
  <si>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</si>
  <si>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</si>
  <si>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</si>
  <si>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</si>
  <si>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</si>
  <si>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</si>
  <si>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</si>
  <si>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</si>
  <si>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</si>
  <si>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</si>
  <si>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</si>
  <si>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</si>
  <si>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</si>
  <si>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</si>
  <si>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</si>
  <si>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</si>
  <si>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</si>
  <si>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</si>
  <si>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</si>
  <si>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</si>
  <si>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</si>
  <si>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</si>
  <si>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</si>
  <si>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</si>
  <si>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</si>
  <si>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</si>
  <si>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</si>
  <si>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</si>
  <si>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</si>
  <si>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</si>
  <si>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</si>
  <si>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</si>
  <si>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</si>
  <si>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</si>
  <si>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</si>
  <si>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</si>
  <si>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</si>
  <si>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</si>
  <si>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</si>
  <si>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</si>
  <si>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</si>
  <si>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</si>
  <si>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</si>
  <si>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</si>
  <si>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</si>
  <si>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</si>
  <si>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</si>
  <si>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</si>
  <si>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</si>
  <si>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</si>
  <si>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</si>
  <si>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</si>
  <si>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</si>
  <si>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</si>
  <si>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</si>
  <si>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</si>
  <si>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</si>
  <si>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</si>
  <si>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</si>
  <si>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</si>
  <si>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</si>
  <si>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</si>
  <si>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</si>
  <si>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</si>
  <si>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</si>
  <si>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</si>
  <si>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</si>
  <si>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</si>
  <si>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</si>
  <si>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</si>
  <si>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</si>
  <si>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</si>
  <si>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</si>
  <si>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</si>
  <si>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</si>
  <si>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</si>
  <si>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</si>
  <si>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</si>
  <si>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</si>
  <si>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</si>
  <si>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</si>
  <si>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</si>
  <si>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</si>
  <si>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</si>
  <si>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</si>
  <si>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</si>
  <si>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</si>
  <si>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</si>
  <si>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</si>
  <si>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</si>
  <si>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</si>
  <si>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</si>
  <si>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</si>
  <si>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</si>
  <si>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</si>
  <si>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</si>
  <si>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</si>
  <si>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</si>
  <si>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</si>
  <si>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</si>
  <si>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</si>
  <si>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</si>
  <si>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</si>
  <si>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</si>
  <si>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</si>
  <si>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</si>
  <si>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</si>
  <si>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</si>
  <si>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</si>
  <si>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</si>
  <si>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</si>
  <si>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</si>
  <si>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</si>
  <si>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</si>
  <si>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</si>
  <si>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</si>
  <si>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</si>
  <si>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</si>
  <si>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</si>
  <si>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</si>
  <si>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</si>
  <si>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</si>
  <si>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</si>
  <si>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</si>
  <si>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</si>
  <si>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</si>
  <si>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</si>
  <si>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</si>
  <si>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</si>
  <si>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</si>
  <si>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</si>
  <si>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</si>
  <si>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</si>
  <si>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</si>
  <si>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</si>
  <si>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</si>
  <si>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</si>
  <si>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</si>
  <si>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</si>
  <si>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</si>
  <si>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</si>
  <si>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</si>
  <si>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</si>
  <si>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</si>
  <si>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</si>
  <si>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</si>
  <si>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</si>
  <si>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</si>
  <si>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</si>
  <si>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</si>
  <si>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</si>
  <si>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</si>
  <si>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</si>
  <si>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</si>
  <si>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</si>
  <si>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</si>
  <si>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</si>
  <si>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</si>
  <si>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</si>
  <si>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</si>
  <si>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</si>
  <si>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</si>
  <si>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</si>
  <si>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</si>
  <si>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</si>
  <si>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</si>
  <si>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</si>
  <si>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</si>
  <si>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</si>
  <si>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</si>
  <si>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</si>
  <si>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</si>
  <si>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</si>
  <si>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</si>
  <si>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</si>
  <si>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</si>
  <si>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</si>
  <si>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</si>
  <si>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</si>
  <si>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Wira-INRA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</si>
  <si>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</si>
  <si>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</si>
  <si>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</si>
  <si>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</si>
  <si>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</si>
  <si>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</si>
  <si>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</si>
  <si>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</si>
  <si>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</si>
  <si>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</si>
  <si>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</si>
  <si>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</si>
  <si>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</si>
  <si>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</si>
  <si>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</si>
  <si>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</si>
  <si>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</si>
  <si>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</si>
  <si>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</si>
  <si>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</si>
  <si>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</si>
  <si>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</si>
  <si>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</si>
  <si>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</si>
  <si>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</si>
  <si>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</si>
  <si>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</si>
  <si>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</si>
  <si>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</si>
  <si>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</si>
  <si>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</si>
  <si>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</si>
  <si>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Prot_Yield</t>
  </si>
  <si>
    <t>Oil_Yield</t>
  </si>
  <si>
    <t>CROP</t>
  </si>
  <si>
    <t>Crop</t>
  </si>
  <si>
    <t>Seed_Impurities</t>
  </si>
  <si>
    <t>Glucosinolates</t>
  </si>
  <si>
    <t>Alsace_1360</t>
  </si>
  <si>
    <t>Fertodi_elit</t>
  </si>
  <si>
    <t>Goldgelber_Zarter_Butter</t>
  </si>
  <si>
    <t>Gross_Luzewiter</t>
  </si>
  <si>
    <t>Nain_de_Hambourg</t>
  </si>
  <si>
    <t>Olquell_Gulzover</t>
  </si>
  <si>
    <t>QuedLinburger_Platzfester</t>
  </si>
  <si>
    <t>Bienvenu_-_R33</t>
  </si>
  <si>
    <t>Bolko_-_POH_285</t>
  </si>
  <si>
    <t>NSL_96-25</t>
  </si>
  <si>
    <t>SW_Gospel</t>
  </si>
  <si>
    <t>RAPSO_Compl_01_(euralis)</t>
  </si>
  <si>
    <t>RAPSO_Compl_02_(euralis)</t>
  </si>
  <si>
    <t>LE_1</t>
  </si>
  <si>
    <t>LE_2</t>
  </si>
  <si>
    <t>KRASNODARSKYI</t>
  </si>
  <si>
    <t>RANGI</t>
  </si>
  <si>
    <t>NOVOCHARTORYISKYI</t>
  </si>
  <si>
    <t>MYTNINSKYI-2</t>
  </si>
  <si>
    <t>LJUBLANA</t>
  </si>
  <si>
    <t>KORMOVOI_SKRIVERSKYI</t>
  </si>
  <si>
    <t>KOMBI</t>
  </si>
  <si>
    <t>HOCHZUCHT_REPOLE</t>
  </si>
  <si>
    <t>EZSTERHAZY_N.ST</t>
  </si>
  <si>
    <t>DEBRUDER_DIPPES</t>
  </si>
  <si>
    <t>CETMEKI</t>
  </si>
  <si>
    <t>BLAGODATNYI</t>
  </si>
  <si>
    <t>MANSHOLTS</t>
  </si>
  <si>
    <t>temoin_1</t>
  </si>
  <si>
    <t>temoin_2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</si>
  <si>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</si>
  <si>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</si>
  <si>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</si>
  <si>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</si>
  <si>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</si>
  <si>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</si>
  <si>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</si>
  <si>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</si>
  <si>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</si>
  <si>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</si>
  <si>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</si>
  <si>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</si>
  <si>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</si>
  <si>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</si>
  <si>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</si>
  <si>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</si>
  <si>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</si>
  <si>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</si>
  <si>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</si>
  <si>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</si>
  <si>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</si>
  <si>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</si>
  <si>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</si>
  <si>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</si>
  <si>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</si>
  <si>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</si>
  <si>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</si>
  <si>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</si>
  <si>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</si>
  <si>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</si>
  <si>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</si>
  <si>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</si>
  <si>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</si>
  <si>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</si>
  <si>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</si>
  <si>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</si>
  <si>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</si>
  <si>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</si>
  <si>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</si>
  <si>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</si>
  <si>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</si>
  <si>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</si>
  <si>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</si>
  <si>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</si>
  <si>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</si>
  <si>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</si>
  <si>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</si>
  <si>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</si>
  <si>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</si>
  <si>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</si>
  <si>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</si>
  <si>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</si>
  <si>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</si>
  <si>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</si>
  <si>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</si>
  <si>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</si>
  <si>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</si>
  <si>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</si>
  <si>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</si>
  <si>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</si>
  <si>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</si>
  <si>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</si>
  <si>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</si>
  <si>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</si>
  <si>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</si>
  <si>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</si>
  <si>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</si>
  <si>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</si>
  <si>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</si>
  <si>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</si>
  <si>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</si>
  <si>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</si>
  <si>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</si>
  <si>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</si>
  <si>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</si>
  <si>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</si>
  <si>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</si>
  <si>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</si>
  <si>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</si>
  <si>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</si>
  <si>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</si>
  <si>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</si>
  <si>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</si>
  <si>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</si>
  <si>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</si>
  <si>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</si>
  <si>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</si>
  <si>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</si>
  <si>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</si>
  <si>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</si>
  <si>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</si>
  <si>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</si>
  <si>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</si>
  <si>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</si>
  <si>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</si>
  <si>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</si>
  <si>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</si>
  <si>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</si>
  <si>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</si>
  <si>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</si>
  <si>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</si>
  <si>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</si>
  <si>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</si>
  <si>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</si>
  <si>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</si>
  <si>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</si>
  <si>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</si>
  <si>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</si>
  <si>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</si>
  <si>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</si>
  <si>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</si>
  <si>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</si>
  <si>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</si>
  <si>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</si>
  <si>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</si>
  <si>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</si>
  <si>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</si>
  <si>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</si>
  <si>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</si>
  <si>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</si>
  <si>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</si>
  <si>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</si>
  <si>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</si>
  <si>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</si>
  <si>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</si>
  <si>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</si>
  <si>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</si>
  <si>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</si>
  <si>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</si>
  <si>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</si>
  <si>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</si>
  <si>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</si>
  <si>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</si>
  <si>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</si>
  <si>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</si>
  <si>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</si>
  <si>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</si>
  <si>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</si>
  <si>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</si>
  <si>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</si>
  <si>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</si>
  <si>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</si>
  <si>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</si>
  <si>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</si>
  <si>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</si>
  <si>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</si>
  <si>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</si>
  <si>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</si>
  <si>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</si>
  <si>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</si>
  <si>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</si>
  <si>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</si>
  <si>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</si>
  <si>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</si>
  <si>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</si>
  <si>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</si>
  <si>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</si>
  <si>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</si>
  <si>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</si>
  <si>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</si>
  <si>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</si>
  <si>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</si>
  <si>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</si>
  <si>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</si>
  <si>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</si>
  <si>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</si>
  <si>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</si>
  <si>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</si>
  <si>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</si>
  <si>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</si>
  <si>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</si>
  <si>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</si>
  <si>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</si>
  <si>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</si>
  <si>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</si>
  <si>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</si>
  <si>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</si>
  <si>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</si>
  <si>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</si>
  <si>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</si>
  <si>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</si>
  <si>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</si>
  <si>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</si>
  <si>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</si>
  <si>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</si>
  <si>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</si>
  <si>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</si>
  <si>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</si>
  <si>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</si>
  <si>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</si>
  <si>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</si>
  <si>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</si>
  <si>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</si>
  <si>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</si>
  <si>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</si>
  <si>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</si>
  <si>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</si>
  <si>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</si>
  <si>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</si>
  <si>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</si>
  <si>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</si>
  <si>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</si>
  <si>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</si>
  <si>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</si>
  <si>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</si>
  <si>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</si>
  <si>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</si>
  <si>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</si>
  <si>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</si>
  <si>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</si>
  <si>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</si>
  <si>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</si>
  <si>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</si>
  <si>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</si>
  <si>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</si>
  <si>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</si>
  <si>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</si>
  <si>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</si>
  <si>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</si>
  <si>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</si>
  <si>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</si>
  <si>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</si>
  <si>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</si>
  <si>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</si>
  <si>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</si>
  <si>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rep</t>
  </si>
  <si>
    <t>répétition</t>
  </si>
  <si>
    <t>Nom de la demande</t>
  </si>
  <si>
    <t>Station Aucamvillr</t>
  </si>
  <si>
    <t>Pas de temps</t>
  </si>
  <si>
    <t>Journalier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</si>
  <si>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</si>
  <si>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</si>
  <si>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</si>
  <si>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</si>
  <si>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</si>
  <si>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</si>
  <si>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</si>
  <si>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</si>
  <si>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</si>
  <si>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</si>
  <si>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</si>
  <si>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</si>
  <si>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</si>
  <si>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</si>
  <si>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</si>
  <si>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</si>
  <si>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</si>
  <si>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</si>
  <si>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</si>
  <si>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</si>
  <si>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</si>
  <si>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</si>
  <si>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</si>
  <si>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</si>
  <si>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</si>
  <si>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</si>
  <si>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</si>
  <si>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</si>
  <si>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</si>
  <si>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</si>
  <si>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</si>
  <si>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</si>
  <si>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</si>
  <si>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</si>
  <si>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</si>
  <si>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</si>
  <si>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</si>
  <si>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</si>
  <si>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</si>
  <si>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</si>
  <si>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</si>
  <si>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t>Deux échantillons différents sont identifiés : 1/5 des plantes et 4/5 des plantes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</si>
  <si>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</si>
  <si>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</si>
  <si>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</si>
  <si>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</si>
  <si>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INN4</t>
  </si>
  <si>
    <t>INN3</t>
  </si>
  <si>
    <t>INN2</t>
  </si>
  <si>
    <t>INN1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</si>
  <si>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</si>
  <si>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</si>
  <si>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</si>
  <si>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</si>
  <si>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</si>
  <si>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</si>
  <si>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</si>
  <si>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</si>
  <si>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</si>
  <si>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</si>
  <si>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</si>
  <si>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</si>
  <si>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</si>
  <si>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</si>
  <si>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</si>
  <si>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Action</t>
  </si>
  <si>
    <t>Produits</t>
  </si>
  <si>
    <t>Cibles</t>
  </si>
  <si>
    <t>Détails</t>
  </si>
  <si>
    <t>Meteo_data</t>
  </si>
  <si>
    <t>Soil_data</t>
  </si>
  <si>
    <t>INN_data</t>
  </si>
  <si>
    <t>Parcellaire_data</t>
  </si>
  <si>
    <t>ITK_data</t>
  </si>
  <si>
    <t>Excel</t>
  </si>
  <si>
    <t>See tab</t>
  </si>
  <si>
    <t>DKEXSTORM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</si>
  <si>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</si>
  <si>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</si>
  <si>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</si>
  <si>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</si>
  <si>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</si>
  <si>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</si>
  <si>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</si>
  <si>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</si>
  <si>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</si>
  <si>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</si>
  <si>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</si>
  <si>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Epoisses</t>
  </si>
  <si>
    <t>FRA_21_EPOI</t>
  </si>
  <si>
    <t>CET</t>
  </si>
  <si>
    <t>panel_cetiom14</t>
  </si>
  <si>
    <t>P14CET</t>
  </si>
  <si>
    <t>B2</t>
  </si>
  <si>
    <t>(Alpaga) 208</t>
  </si>
  <si>
    <t>(DK EXQUISITE) 212</t>
  </si>
  <si>
    <t>(DK EXSTORM) 216</t>
  </si>
  <si>
    <t>N1 B1</t>
  </si>
  <si>
    <t>N2 B1</t>
  </si>
  <si>
    <t>N1 B2</t>
  </si>
  <si>
    <t>N2 B2</t>
  </si>
  <si>
    <t>jolly@cetiom.fr</t>
  </si>
  <si>
    <t>pinochet@cetiom.fr</t>
  </si>
  <si>
    <t>jolly</t>
  </si>
  <si>
    <t>guillaume</t>
  </si>
  <si>
    <t>pinochet</t>
  </si>
  <si>
    <t>xavier</t>
  </si>
  <si>
    <t>CETIOM</t>
  </si>
  <si>
    <t>80 U (40 U le 25/02/2014 + 40U le 09/04/2014)</t>
  </si>
  <si>
    <t>160 U (60 U le 25/02/2014 + 100U le 09/04/2014)</t>
  </si>
  <si>
    <t>COPALIM</t>
  </si>
  <si>
    <t>herbicide</t>
  </si>
  <si>
    <t>5kg/ha</t>
  </si>
  <si>
    <t>NAPROPAMID 450 + NOVALL</t>
  </si>
  <si>
    <t>2L + 1,2L</t>
  </si>
  <si>
    <t>molucicide</t>
  </si>
  <si>
    <t>insecticide</t>
  </si>
  <si>
    <t>CYTHRINE MAX</t>
  </si>
  <si>
    <t>Karate Zeon</t>
  </si>
  <si>
    <t>Pilot + Actirob</t>
  </si>
  <si>
    <t>1,2L + 1 L</t>
  </si>
  <si>
    <t>fongicide</t>
  </si>
  <si>
    <t>Pictor pro + Joao</t>
  </si>
  <si>
    <t>FURY 10 EW</t>
  </si>
  <si>
    <t>NURELLE D 550 + Calanque</t>
  </si>
  <si>
    <t>N33</t>
  </si>
  <si>
    <t>Bore</t>
  </si>
  <si>
    <t>fertilisation</t>
  </si>
  <si>
    <t>40 ou 60U</t>
  </si>
  <si>
    <t>3L/ha</t>
  </si>
  <si>
    <t xml:space="preserve">Sulfate de potasse </t>
  </si>
  <si>
    <t>40 ou 100U</t>
  </si>
  <si>
    <t>CHEMIN</t>
  </si>
  <si>
    <t xml:space="preserve"> B</t>
  </si>
  <si>
    <t>BI N1</t>
  </si>
  <si>
    <t>BI N2</t>
  </si>
  <si>
    <t>N</t>
  </si>
  <si>
    <t>B</t>
  </si>
  <si>
    <t>E</t>
  </si>
  <si>
    <t>G</t>
  </si>
  <si>
    <t>LUCOT</t>
  </si>
  <si>
    <t>BII N2</t>
  </si>
  <si>
    <t>BII N1</t>
  </si>
  <si>
    <t>semis sans enterrage</t>
  </si>
  <si>
    <t>resemé</t>
  </si>
  <si>
    <t>SNCF</t>
  </si>
  <si>
    <t>thenthrède</t>
  </si>
  <si>
    <t xml:space="preserve">0,05L </t>
  </si>
  <si>
    <t>0,075L</t>
  </si>
  <si>
    <t>CBT</t>
  </si>
  <si>
    <t>CT</t>
  </si>
  <si>
    <t>0,1L + 0,2L</t>
  </si>
  <si>
    <t>0,5L</t>
  </si>
  <si>
    <t>CT + méligèthe</t>
  </si>
  <si>
    <t>0,25L + 0,3L</t>
  </si>
  <si>
    <t>sclérotinia</t>
  </si>
  <si>
    <t>sol sec et motteux</t>
  </si>
  <si>
    <t>début récolte</t>
  </si>
  <si>
    <t>fin récolte</t>
  </si>
  <si>
    <t>début Semis</t>
  </si>
  <si>
    <t>fin semis</t>
  </si>
  <si>
    <t>wintersteiger plotseed 6rang écartement 20cm + 1 rang bordure de chaque coté à 50cm</t>
  </si>
  <si>
    <r>
      <rPr>
        <sz val="11"/>
        <color rgb="FFFF0000"/>
        <rFont val="Calibri"/>
        <family val="2"/>
        <scheme val="minor"/>
      </rPr>
      <t>G006</t>
    </r>
    <r>
      <rPr>
        <sz val="11"/>
        <rFont val="Calibri"/>
        <family val="2"/>
        <scheme val="minor"/>
      </rPr>
      <t xml:space="preserve"> : 274gr ressemés sur 6 rangs centraux</t>
    </r>
  </si>
  <si>
    <t>gr/m² semés</t>
  </si>
  <si>
    <r>
      <rPr>
        <sz val="11"/>
        <color rgb="FFFF0000"/>
        <rFont val="Calibri"/>
        <family val="2"/>
        <scheme val="minor"/>
      </rPr>
      <t>G120</t>
    </r>
    <r>
      <rPr>
        <sz val="11"/>
        <rFont val="Calibri"/>
        <family val="2"/>
        <scheme val="minor"/>
      </rPr>
      <t xml:space="preserve"> : 630gr ressemés sur 6 rangs centraux</t>
    </r>
  </si>
  <si>
    <r>
      <rPr>
        <sz val="11"/>
        <color rgb="FFFF0000"/>
        <rFont val="Calibri"/>
        <family val="2"/>
        <scheme val="minor"/>
      </rPr>
      <t>G160</t>
    </r>
    <r>
      <rPr>
        <sz val="11"/>
        <rFont val="Calibri"/>
        <family val="2"/>
        <scheme val="minor"/>
      </rPr>
      <t xml:space="preserve"> : 811 gr ressmés sur 6 rangs centraux</t>
    </r>
  </si>
  <si>
    <r>
      <rPr>
        <sz val="11"/>
        <color rgb="FFFF0000"/>
        <rFont val="Calibri"/>
        <family val="2"/>
        <scheme val="minor"/>
      </rPr>
      <t>G016</t>
    </r>
    <r>
      <rPr>
        <sz val="11"/>
        <rFont val="Calibri"/>
        <family val="2"/>
        <scheme val="minor"/>
      </rPr>
      <t xml:space="preserve"> :  manque semence, pas ressemé</t>
    </r>
  </si>
  <si>
    <t>G012 : resemé sur la même ligne pas récupérable</t>
  </si>
  <si>
    <t>variétés d'origine non dsiponible remplacé par d'autres variétés</t>
  </si>
  <si>
    <t>Témoin Alpaga</t>
  </si>
  <si>
    <t>Témoin DK Exquisite</t>
  </si>
  <si>
    <t>Témoin DK Extorm</t>
  </si>
  <si>
    <t>INRA Epoisses 21110 BRETENIERE</t>
  </si>
  <si>
    <t>5.10036</t>
  </si>
  <si>
    <t>47.230468</t>
  </si>
  <si>
    <t>1/8/2013</t>
  </si>
  <si>
    <t>2/8/2013</t>
  </si>
  <si>
    <t>3/8/2013</t>
  </si>
  <si>
    <t>4/8/2013</t>
  </si>
  <si>
    <t>5/8/2013</t>
  </si>
  <si>
    <t>6/8/2013</t>
  </si>
  <si>
    <t>7/8/2013</t>
  </si>
  <si>
    <t>8/8/2013</t>
  </si>
  <si>
    <t>9/8/2013</t>
  </si>
  <si>
    <t>10/8/2013</t>
  </si>
  <si>
    <t>11/8/2013</t>
  </si>
  <si>
    <t>12/8/2013</t>
  </si>
  <si>
    <t>13/8/2013</t>
  </si>
  <si>
    <t>14/8/2013</t>
  </si>
  <si>
    <t>15/8/2013</t>
  </si>
  <si>
    <t>16/8/2013</t>
  </si>
  <si>
    <t>17/8/2013</t>
  </si>
  <si>
    <t>18/8/2013</t>
  </si>
  <si>
    <t>19/8/2013</t>
  </si>
  <si>
    <t>20/8/2013</t>
  </si>
  <si>
    <t>21/8/2013</t>
  </si>
  <si>
    <t>22/8/2013</t>
  </si>
  <si>
    <t>23/8/2013</t>
  </si>
  <si>
    <t>24/8/2013</t>
  </si>
  <si>
    <t>25/8/2013</t>
  </si>
  <si>
    <t>26/8/2013</t>
  </si>
  <si>
    <t>27/8/2013</t>
  </si>
  <si>
    <t>28/8/2013</t>
  </si>
  <si>
    <t>29/8/2013</t>
  </si>
  <si>
    <t>30/8/2013</t>
  </si>
  <si>
    <t>31/8/2013</t>
  </si>
  <si>
    <t>1/9/2013</t>
  </si>
  <si>
    <t>2/9/2013</t>
  </si>
  <si>
    <t>3/9/2013</t>
  </si>
  <si>
    <t>4/9/2013</t>
  </si>
  <si>
    <t>5/9/2013</t>
  </si>
  <si>
    <t>6/9/2013</t>
  </si>
  <si>
    <t>7/9/2013</t>
  </si>
  <si>
    <t>8/9/2013</t>
  </si>
  <si>
    <t>9/9/2013</t>
  </si>
  <si>
    <t>10/9/2013</t>
  </si>
  <si>
    <t>11/9/2013</t>
  </si>
  <si>
    <t>12/9/2013</t>
  </si>
  <si>
    <t>13/9/2013</t>
  </si>
  <si>
    <t>14/9/2013</t>
  </si>
  <si>
    <t>15/9/2013</t>
  </si>
  <si>
    <t>16/9/2013</t>
  </si>
  <si>
    <t>17/9/2013</t>
  </si>
  <si>
    <t>18/9/2013</t>
  </si>
  <si>
    <t>19/9/2013</t>
  </si>
  <si>
    <t>20/9/2013</t>
  </si>
  <si>
    <t>21/9/2013</t>
  </si>
  <si>
    <t>22/9/2013</t>
  </si>
  <si>
    <t>23/9/2013</t>
  </si>
  <si>
    <t>24/9/2013</t>
  </si>
  <si>
    <t>25/9/2013</t>
  </si>
  <si>
    <t>26/9/2013</t>
  </si>
  <si>
    <t>27/9/2013</t>
  </si>
  <si>
    <t>28/9/2013</t>
  </si>
  <si>
    <t>29/9/2013</t>
  </si>
  <si>
    <t>30/9/2013</t>
  </si>
  <si>
    <t>1/10/2013</t>
  </si>
  <si>
    <t>2/10/2013</t>
  </si>
  <si>
    <t>3/10/2013</t>
  </si>
  <si>
    <t>4/10/2013</t>
  </si>
  <si>
    <t>5/10/2013</t>
  </si>
  <si>
    <t>6/10/2013</t>
  </si>
  <si>
    <t>7/10/2013</t>
  </si>
  <si>
    <t>8/10/2013</t>
  </si>
  <si>
    <t>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</si>
  <si>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</si>
  <si>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</si>
  <si>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</si>
  <si>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</si>
  <si>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</si>
  <si>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</si>
  <si>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</si>
  <si>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</si>
  <si>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</si>
  <si>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</si>
  <si>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</si>
  <si>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</si>
  <si>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</si>
  <si>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</si>
  <si>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</si>
  <si>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</si>
  <si>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</si>
  <si>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</si>
  <si>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</si>
  <si>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</si>
  <si>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</si>
  <si>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</si>
  <si>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1/11/2013</t>
  </si>
  <si>
    <t>2/11/2013</t>
  </si>
  <si>
    <t>3/11/2013</t>
  </si>
  <si>
    <t>4/11/2013</t>
  </si>
  <si>
    <t>5/11/2013</t>
  </si>
  <si>
    <t>6/11/2013</t>
  </si>
  <si>
    <t>7/11/2013</t>
  </si>
  <si>
    <t>8/11/2013</t>
  </si>
  <si>
    <t>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</si>
  <si>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</si>
  <si>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</si>
  <si>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</si>
  <si>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</si>
  <si>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</si>
  <si>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</si>
  <si>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</si>
  <si>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</si>
  <si>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</si>
  <si>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</si>
  <si>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</si>
  <si>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</si>
  <si>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</si>
  <si>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</si>
  <si>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</si>
  <si>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</si>
  <si>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</si>
  <si>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</si>
  <si>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</si>
  <si>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</si>
  <si>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</si>
  <si>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1/12/2013</t>
  </si>
  <si>
    <t>2/12/2013</t>
  </si>
  <si>
    <t>3/12/2013</t>
  </si>
  <si>
    <t>4/12/2013</t>
  </si>
  <si>
    <t>5/12/2013</t>
  </si>
  <si>
    <t>6/12/2013</t>
  </si>
  <si>
    <t>7/12/2013</t>
  </si>
  <si>
    <t>8/12/2013</t>
  </si>
  <si>
    <t>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</si>
  <si>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</si>
  <si>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</si>
  <si>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</si>
  <si>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</si>
  <si>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</si>
  <si>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</si>
  <si>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</si>
  <si>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</si>
  <si>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</si>
  <si>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</si>
  <si>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</si>
  <si>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</si>
  <si>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</si>
  <si>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</si>
  <si>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</si>
  <si>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</si>
  <si>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</si>
  <si>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</si>
  <si>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</si>
  <si>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</si>
  <si>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</si>
  <si>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</si>
  <si>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</si>
  <si>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</si>
  <si>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</si>
  <si>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</si>
  <si>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</si>
  <si>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</si>
  <si>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</si>
  <si>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</si>
  <si>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</si>
  <si>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</si>
  <si>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</si>
  <si>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</si>
  <si>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13/1/2014</t>
  </si>
  <si>
    <t>14/1/2014</t>
  </si>
  <si>
    <t>15/1/2014</t>
  </si>
  <si>
    <t>16/1/2014</t>
  </si>
  <si>
    <t>17/1/2014</t>
  </si>
  <si>
    <t>18/1/2014</t>
  </si>
  <si>
    <t>19/1/2014</t>
  </si>
  <si>
    <t>20/1/2014</t>
  </si>
  <si>
    <t>21/1/2014</t>
  </si>
  <si>
    <t>22/1/2014</t>
  </si>
  <si>
    <t>23/1/2014</t>
  </si>
  <si>
    <t>24/1/2014</t>
  </si>
  <si>
    <t>25/1/2014</t>
  </si>
  <si>
    <t>26/1/2014</t>
  </si>
  <si>
    <t>27/1/2014</t>
  </si>
  <si>
    <t>28/1/2014</t>
  </si>
  <si>
    <t>29/1/2014</t>
  </si>
  <si>
    <t>30/1/2014</t>
  </si>
  <si>
    <t>31/1/2014</t>
  </si>
  <si>
    <t>1/2/2014</t>
  </si>
  <si>
    <t>2/2/2014</t>
  </si>
  <si>
    <t>3/2/2014</t>
  </si>
  <si>
    <t>4/2/2014</t>
  </si>
  <si>
    <t>5/2/2014</t>
  </si>
  <si>
    <t>6/2/2014</t>
  </si>
  <si>
    <t>7/2/2014</t>
  </si>
  <si>
    <t>8/2/2014</t>
  </si>
  <si>
    <t>9/2/2014</t>
  </si>
  <si>
    <t>10/2/2014</t>
  </si>
  <si>
    <t>11/2/2014</t>
  </si>
  <si>
    <t>12/2/2014</t>
  </si>
  <si>
    <t>13/2/2014</t>
  </si>
  <si>
    <t>14/2/2014</t>
  </si>
  <si>
    <t>15/2/2014</t>
  </si>
  <si>
    <t>16/2/2014</t>
  </si>
  <si>
    <t>17/2/2014</t>
  </si>
  <si>
    <t>18/2/2014</t>
  </si>
  <si>
    <t>19/2/2014</t>
  </si>
  <si>
    <t>20/2/2014</t>
  </si>
  <si>
    <t>21/2/2014</t>
  </si>
  <si>
    <t>22/2/2014</t>
  </si>
  <si>
    <t>23/2/2014</t>
  </si>
  <si>
    <t>24/2/2014</t>
  </si>
  <si>
    <t>25/2/2014</t>
  </si>
  <si>
    <t>26/2/2014</t>
  </si>
  <si>
    <t>27/2/2014</t>
  </si>
  <si>
    <t>28/2/2014</t>
  </si>
  <si>
    <t>1/3/2014</t>
  </si>
  <si>
    <t>2/3/2014</t>
  </si>
  <si>
    <t>3/3/2014</t>
  </si>
  <si>
    <t>4/3/2014</t>
  </si>
  <si>
    <t>5/3/2014</t>
  </si>
  <si>
    <t>6/3/2014</t>
  </si>
  <si>
    <t>7/3/2014</t>
  </si>
  <si>
    <t>8/3/2014</t>
  </si>
  <si>
    <t>9/3/2014</t>
  </si>
  <si>
    <t>10/3/2014</t>
  </si>
  <si>
    <t>11/3/2014</t>
  </si>
  <si>
    <t>12/3/2014</t>
  </si>
  <si>
    <t>13/3/2014</t>
  </si>
  <si>
    <t>14/3/2014</t>
  </si>
  <si>
    <t>15/3/2014</t>
  </si>
  <si>
    <t>16/3/2014</t>
  </si>
  <si>
    <t>17/3/2014</t>
  </si>
  <si>
    <t>18/3/2014</t>
  </si>
  <si>
    <t>19/3/2014</t>
  </si>
  <si>
    <t>20/3/2014</t>
  </si>
  <si>
    <t>21/3/2014</t>
  </si>
  <si>
    <t>22/3/2014</t>
  </si>
  <si>
    <t>23/3/2014</t>
  </si>
  <si>
    <t>24/3/2014</t>
  </si>
  <si>
    <t>25/3/2014</t>
  </si>
  <si>
    <t>26/3/2014</t>
  </si>
  <si>
    <t>27/3/2014</t>
  </si>
  <si>
    <t>28/3/2014</t>
  </si>
  <si>
    <t>29/3/2014</t>
  </si>
  <si>
    <t>30/3/2014</t>
  </si>
  <si>
    <t>31/3/2014</t>
  </si>
  <si>
    <t>1/4/2014</t>
  </si>
  <si>
    <t>2/4/2014</t>
  </si>
  <si>
    <t>3/4/2014</t>
  </si>
  <si>
    <t>4/4/2014</t>
  </si>
  <si>
    <t>5/4/2014</t>
  </si>
  <si>
    <t>6/4/2014</t>
  </si>
  <si>
    <t>7/4/2014</t>
  </si>
  <si>
    <t>8/4/2014</t>
  </si>
  <si>
    <t>9/4/2014</t>
  </si>
  <si>
    <t>10/4/2014</t>
  </si>
  <si>
    <t>11/4/2014</t>
  </si>
  <si>
    <t>12/4/2014</t>
  </si>
  <si>
    <t>13/4/2014</t>
  </si>
  <si>
    <t>14/4/2014</t>
  </si>
  <si>
    <t>15/4/2014</t>
  </si>
  <si>
    <t>16/4/2014</t>
  </si>
  <si>
    <t>17/4/2014</t>
  </si>
  <si>
    <t>18/4/2014</t>
  </si>
  <si>
    <t>19/4/2014</t>
  </si>
  <si>
    <t>20/4/2014</t>
  </si>
  <si>
    <t>21/4/2014</t>
  </si>
  <si>
    <t>22/4/2014</t>
  </si>
  <si>
    <t>23/4/2014</t>
  </si>
  <si>
    <t>24/4/2014</t>
  </si>
  <si>
    <t>25/4/2014</t>
  </si>
  <si>
    <t>26/4/2014</t>
  </si>
  <si>
    <t>27/4/2014</t>
  </si>
  <si>
    <t>28/4/2014</t>
  </si>
  <si>
    <t>29/4/2014</t>
  </si>
  <si>
    <t>30/4/2014</t>
  </si>
  <si>
    <t>1/5/2014</t>
  </si>
  <si>
    <t>2/5/2014</t>
  </si>
  <si>
    <t>3/5/2014</t>
  </si>
  <si>
    <t>4/5/2014</t>
  </si>
  <si>
    <t>5/5/2014</t>
  </si>
  <si>
    <t>6/5/2014</t>
  </si>
  <si>
    <t>7/5/2014</t>
  </si>
  <si>
    <t>8/5/2014</t>
  </si>
  <si>
    <t>9/5/2014</t>
  </si>
  <si>
    <t>10/5/2014</t>
  </si>
  <si>
    <t>11/5/2014</t>
  </si>
  <si>
    <t>12/5/2014</t>
  </si>
  <si>
    <t>13/5/2014</t>
  </si>
  <si>
    <t>14/5/2014</t>
  </si>
  <si>
    <t>15/5/2014</t>
  </si>
  <si>
    <t>16/5/2014</t>
  </si>
  <si>
    <t>17/5/2014</t>
  </si>
  <si>
    <t>18/5/2014</t>
  </si>
  <si>
    <t>19/5/2014</t>
  </si>
  <si>
    <t>20/5/2014</t>
  </si>
  <si>
    <t>21/5/2014</t>
  </si>
  <si>
    <t>22/5/2014</t>
  </si>
  <si>
    <t>23/5/2014</t>
  </si>
  <si>
    <t>24/5/2014</t>
  </si>
  <si>
    <t>25/5/2014</t>
  </si>
  <si>
    <t>26/5/2014</t>
  </si>
  <si>
    <t>27/5/2014</t>
  </si>
  <si>
    <t>28/5/2014</t>
  </si>
  <si>
    <t>29/5/2014</t>
  </si>
  <si>
    <t>30/5/2014</t>
  </si>
  <si>
    <t>31/5/2014</t>
  </si>
  <si>
    <t>1/6/2014</t>
  </si>
  <si>
    <t>2/6/2014</t>
  </si>
  <si>
    <t>3/6/2014</t>
  </si>
  <si>
    <t>4/6/2014</t>
  </si>
  <si>
    <t>5/6/2014</t>
  </si>
  <si>
    <t>6/6/2014</t>
  </si>
  <si>
    <t>7/6/2014</t>
  </si>
  <si>
    <t>8/6/2014</t>
  </si>
  <si>
    <t>9/6/2014</t>
  </si>
  <si>
    <t>10/6/2014</t>
  </si>
  <si>
    <t>11/6/2014</t>
  </si>
  <si>
    <t>12/6/2014</t>
  </si>
  <si>
    <t>13/6/2014</t>
  </si>
  <si>
    <t>14/6/2014</t>
  </si>
  <si>
    <t>15/6/2014</t>
  </si>
  <si>
    <t>16/6/2014</t>
  </si>
  <si>
    <t>17/6/2014</t>
  </si>
  <si>
    <t>18/6/2014</t>
  </si>
  <si>
    <t>19/6/2014</t>
  </si>
  <si>
    <t>20/6/2014</t>
  </si>
  <si>
    <t>21/6/2014</t>
  </si>
  <si>
    <t>22/6/2014</t>
  </si>
  <si>
    <t>23/6/2014</t>
  </si>
  <si>
    <t>24/6/2014</t>
  </si>
  <si>
    <t>25/6/2014</t>
  </si>
  <si>
    <t>26/6/2014</t>
  </si>
  <si>
    <t>27/6/2014</t>
  </si>
  <si>
    <t>28/6/2014</t>
  </si>
  <si>
    <t>29/6/2014</t>
  </si>
  <si>
    <t>30/6/2014</t>
  </si>
  <si>
    <t>1/7/2014</t>
  </si>
  <si>
    <t>2/7/2014</t>
  </si>
  <si>
    <t>3/7/2014</t>
  </si>
  <si>
    <t>4/7/2014</t>
  </si>
  <si>
    <t>5/7/2014</t>
  </si>
  <si>
    <t>6/7/2014</t>
  </si>
  <si>
    <t>7/7/2014</t>
  </si>
  <si>
    <t>8/7/2014</t>
  </si>
  <si>
    <t>9/7/2014</t>
  </si>
  <si>
    <t>10/7/2014</t>
  </si>
  <si>
    <t>11/7/2014</t>
  </si>
  <si>
    <t>12/7/2014</t>
  </si>
  <si>
    <t>13/7/2014</t>
  </si>
  <si>
    <t>14/7/2014</t>
  </si>
  <si>
    <t>15/7/2014</t>
  </si>
  <si>
    <t>16/7/2014</t>
  </si>
  <si>
    <t>17/7/2014</t>
  </si>
  <si>
    <t>temoin_3</t>
  </si>
  <si>
    <t>DKEXQUISITE</t>
  </si>
  <si>
    <t>limons grossiers</t>
  </si>
  <si>
    <t>sables fins</t>
  </si>
  <si>
    <t>sables grossiers</t>
  </si>
  <si>
    <t>RFU</t>
  </si>
  <si>
    <t>Analyse réalisé par SAS Laboratoire</t>
  </si>
  <si>
    <t>Horizons</t>
  </si>
  <si>
    <t>0-30</t>
  </si>
  <si>
    <t>30-60</t>
  </si>
  <si>
    <t>60-90</t>
  </si>
  <si>
    <t>Analyse granulométrique  après décarbonatation</t>
  </si>
  <si>
    <t>argile</t>
  </si>
  <si>
    <t>35.5</t>
  </si>
  <si>
    <t>37.3</t>
  </si>
  <si>
    <t>36.3</t>
  </si>
  <si>
    <t>limons fins</t>
  </si>
  <si>
    <t>31.6</t>
  </si>
  <si>
    <t>31.7</t>
  </si>
  <si>
    <t>30.6</t>
  </si>
  <si>
    <t>24.4</t>
  </si>
  <si>
    <t>24.7</t>
  </si>
  <si>
    <t>23.1</t>
  </si>
  <si>
    <t>2.9</t>
  </si>
  <si>
    <t>2.5</t>
  </si>
  <si>
    <t>3.3</t>
  </si>
  <si>
    <t>2.2</t>
  </si>
  <si>
    <t>1.7</t>
  </si>
  <si>
    <t>2.8</t>
  </si>
  <si>
    <t>Analyse chimique</t>
  </si>
  <si>
    <t>CEC</t>
  </si>
  <si>
    <t>22.9</t>
  </si>
  <si>
    <t>23.4</t>
  </si>
  <si>
    <t>-</t>
  </si>
  <si>
    <t>pHeau</t>
  </si>
  <si>
    <t>7.4</t>
  </si>
  <si>
    <t>7.1</t>
  </si>
  <si>
    <t>7.7</t>
  </si>
  <si>
    <t>pH kcl</t>
  </si>
  <si>
    <t>6.6</t>
  </si>
  <si>
    <t>6.3</t>
  </si>
  <si>
    <t>7.2</t>
  </si>
  <si>
    <t>CaCO3 total (%)</t>
  </si>
  <si>
    <t>&gt;0.1</t>
  </si>
  <si>
    <t>CaO (mg/Kg)</t>
  </si>
  <si>
    <t>MO (%)</t>
  </si>
  <si>
    <t>2.0</t>
  </si>
  <si>
    <t>1.6</t>
  </si>
  <si>
    <t>P2O5 (mg/Kg)</t>
  </si>
  <si>
    <t>K2O (mg/Kg)</t>
  </si>
  <si>
    <t>MgO (mg/Kg)</t>
  </si>
  <si>
    <t>Bloc 1 N1</t>
  </si>
  <si>
    <t>Bloc 1 N2</t>
  </si>
  <si>
    <t>36.9</t>
  </si>
  <si>
    <t>37.9</t>
  </si>
  <si>
    <t>35.0</t>
  </si>
  <si>
    <t>31.0</t>
  </si>
  <si>
    <t>33.0</t>
  </si>
  <si>
    <t>23.7</t>
  </si>
  <si>
    <t>22.4</t>
  </si>
  <si>
    <t>23.3</t>
  </si>
  <si>
    <t>3.2</t>
  </si>
  <si>
    <t>3.9</t>
  </si>
  <si>
    <t>1.8</t>
  </si>
  <si>
    <t>23.9</t>
  </si>
  <si>
    <t>23.2</t>
  </si>
  <si>
    <t>7.3</t>
  </si>
  <si>
    <t>7.9</t>
  </si>
  <si>
    <t>6.5</t>
  </si>
  <si>
    <t>&lt;0.1</t>
  </si>
  <si>
    <t>3.6</t>
  </si>
  <si>
    <t>2.6</t>
  </si>
  <si>
    <t>1.2</t>
  </si>
  <si>
    <t>Bloc 2 N1</t>
  </si>
  <si>
    <t>34.5</t>
  </si>
  <si>
    <t>36.1</t>
  </si>
  <si>
    <t>34.1</t>
  </si>
  <si>
    <t>28.6</t>
  </si>
  <si>
    <t>31.1</t>
  </si>
  <si>
    <t>27.0</t>
  </si>
  <si>
    <t>17.7</t>
  </si>
  <si>
    <t>3.7</t>
  </si>
  <si>
    <t>4.0</t>
  </si>
  <si>
    <t>22.5</t>
  </si>
  <si>
    <t>8.1</t>
  </si>
  <si>
    <t>7.0</t>
  </si>
  <si>
    <t>7.5</t>
  </si>
  <si>
    <t>4.8</t>
  </si>
  <si>
    <t>1.1</t>
  </si>
  <si>
    <t>2.7</t>
  </si>
  <si>
    <t>Bloc 2 N2</t>
  </si>
  <si>
    <t>35.6</t>
  </si>
  <si>
    <t>33.2</t>
  </si>
  <si>
    <t>32.9</t>
  </si>
  <si>
    <t>28.1</t>
  </si>
  <si>
    <t>27.5</t>
  </si>
  <si>
    <t>25.6</t>
  </si>
  <si>
    <t>26.1</t>
  </si>
  <si>
    <t>26.5</t>
  </si>
  <si>
    <t>20.6</t>
  </si>
  <si>
    <t>3.5</t>
  </si>
  <si>
    <t>2.3</t>
  </si>
  <si>
    <t>3.0</t>
  </si>
  <si>
    <t>8.0</t>
  </si>
  <si>
    <t>7.6</t>
  </si>
  <si>
    <t>1.4</t>
  </si>
  <si>
    <t>4.2</t>
  </si>
  <si>
    <t>1.3</t>
  </si>
  <si>
    <t>0-30cm</t>
  </si>
  <si>
    <t>30-60cm</t>
  </si>
  <si>
    <t>60-90cm</t>
  </si>
  <si>
    <t>% humidité du sol brut</t>
  </si>
  <si>
    <t>20.4</t>
  </si>
  <si>
    <t>21.0</t>
  </si>
  <si>
    <t>azote ammoniacal</t>
  </si>
  <si>
    <t>(NH4-N) en kg/ha</t>
  </si>
  <si>
    <t>0.9</t>
  </si>
  <si>
    <t>Azote nitrique</t>
  </si>
  <si>
    <t>(NO3-N) en kg/ha</t>
  </si>
  <si>
    <t>17.9</t>
  </si>
  <si>
    <t>18.7</t>
  </si>
  <si>
    <t>73.9</t>
  </si>
  <si>
    <t>Azote minéral total</t>
  </si>
  <si>
    <t>en kg/ha</t>
  </si>
  <si>
    <t>39.0</t>
  </si>
  <si>
    <t>19.2</t>
  </si>
  <si>
    <t>19.6</t>
  </si>
  <si>
    <t>77.8</t>
  </si>
  <si>
    <t>Reliquat N à l'implantation</t>
  </si>
  <si>
    <t>21.2</t>
  </si>
  <si>
    <t>22.3</t>
  </si>
  <si>
    <t>21.4</t>
  </si>
  <si>
    <t>1.5</t>
  </si>
  <si>
    <t>4.1</t>
  </si>
  <si>
    <t>48.2</t>
  </si>
  <si>
    <t>26.3</t>
  </si>
  <si>
    <t>9.9</t>
  </si>
  <si>
    <t>84.4</t>
  </si>
  <si>
    <t>49.7</t>
  </si>
  <si>
    <t>27.6</t>
  </si>
  <si>
    <t>11.2</t>
  </si>
  <si>
    <t>88.5</t>
  </si>
  <si>
    <t>20.9</t>
  </si>
  <si>
    <t>21.5</t>
  </si>
  <si>
    <t>18.1</t>
  </si>
  <si>
    <t>42.8</t>
  </si>
  <si>
    <t>32.8</t>
  </si>
  <si>
    <t>11.7</t>
  </si>
  <si>
    <t>87.3</t>
  </si>
  <si>
    <t>43.9</t>
  </si>
  <si>
    <t>13.2</t>
  </si>
  <si>
    <t>91.2</t>
  </si>
  <si>
    <t>21.3</t>
  </si>
  <si>
    <t>19.4</t>
  </si>
  <si>
    <t>4.4</t>
  </si>
  <si>
    <t>43.3</t>
  </si>
  <si>
    <t>35.7</t>
  </si>
  <si>
    <t>11.3</t>
  </si>
  <si>
    <t>90.3</t>
  </si>
  <si>
    <t>44.8</t>
  </si>
  <si>
    <t>37.0</t>
  </si>
  <si>
    <t>12.9</t>
  </si>
  <si>
    <t>94.7</t>
  </si>
  <si>
    <t>Reliquat N après récolte</t>
  </si>
  <si>
    <t>Reliquat N sortie hiver</t>
  </si>
  <si>
    <t>Prélèvement du 03/02/2014</t>
  </si>
  <si>
    <t>Prélèvement du 13/09/2013</t>
  </si>
  <si>
    <t>Prélèvement du 24/07/2014</t>
  </si>
  <si>
    <t>bordures</t>
  </si>
  <si>
    <t>bordure sans végétation et sans azote</t>
  </si>
  <si>
    <t>Reliquat N sortie hiver bloc 1</t>
  </si>
  <si>
    <t>Reliquat N sortie hiver bloc 2</t>
  </si>
  <si>
    <t>Reliquat N après récolte bloc 1 + bloc 2</t>
  </si>
  <si>
    <t>na</t>
  </si>
  <si>
    <t>pods damaged by hail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</si>
</sst>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dd/mm/yy"/>
    <numFmt numFmtId="165" formatCode="d/mm/yyyy;@"/>
    <numFmt numFmtId="166" formatCode="0.0"/>
    <numFmt numFmtId="167" formatCode="0.0000"/>
    <numFmt numFmtId="168" formatCode="m/d/yyyy;@"/>
  </numFmts>
  <fonts count="79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b/>
      <sz val="12"/>
      <name val="Geneva"/>
    </font>
    <font>
      <sz val="8"/>
      <color indexed="8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FF0000"/>
      <name val="Geneva"/>
      <family val="2"/>
    </font>
    <font>
      <sz val="11"/>
      <color rgb="FFFF0000"/>
      <name val="Calibri"/>
      <family val="2"/>
      <scheme val="minor"/>
    </font>
    <font>
      <sz val="10"/>
      <name val="Courier New"/>
      <family val="3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22"/>
      </patternFill>
    </fill>
    <fill>
      <patternFill patternType="solid">
        <fgColor rgb="FFFFCC99"/>
        <bgColor indexed="64"/>
      </patternFill>
    </fill>
    <fill>
      <patternFill patternType="solid">
        <fgColor rgb="FFFCD5B4"/>
        <bgColor indexed="64"/>
      </patternFill>
    </fill>
  </fills>
  <borders count="9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9">
    <xf numFmtId="0" fontId="0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3" fillId="0" borderId="0" applyNumberFormat="0" applyFill="0" applyBorder="0" applyProtection="0"/>
    <xf numFmtId="0" fontId="5" fillId="0" borderId="0"/>
    <xf numFmtId="0" fontId="30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27" fillId="0" borderId="0" applyNumberFormat="0" applyFont="0" applyFill="0" applyBorder="0" applyAlignment="0" applyProtection="0"/>
    <xf numFmtId="0" fontId="24" fillId="0" borderId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26" borderId="22" applyNumberFormat="0" applyAlignment="0" applyProtection="0"/>
    <xf numFmtId="0" fontId="45" fillId="26" borderId="22" applyNumberFormat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2" fillId="27" borderId="24" applyNumberFormat="0" applyFont="0" applyAlignment="0" applyProtection="0"/>
    <xf numFmtId="0" fontId="27" fillId="27" borderId="24" applyNumberFormat="0" applyFont="0" applyAlignment="0" applyProtection="0"/>
    <xf numFmtId="0" fontId="47" fillId="13" borderId="22" applyNumberFormat="0" applyAlignment="0" applyProtection="0"/>
    <xf numFmtId="0" fontId="47" fillId="13" borderId="22" applyNumberFormat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43" fontId="27" fillId="0" borderId="0" applyFont="0" applyFill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5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2" fillId="26" borderId="5" applyNumberFormat="0" applyAlignment="0" applyProtection="0"/>
    <xf numFmtId="0" fontId="52" fillId="26" borderId="5" applyNumberForma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6" fillId="0" borderId="26" applyNumberFormat="0" applyFill="0" applyAlignment="0" applyProtection="0"/>
    <xf numFmtId="0" fontId="56" fillId="0" borderId="26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9" fillId="29" borderId="29" applyNumberFormat="0" applyAlignment="0" applyProtection="0"/>
    <xf numFmtId="0" fontId="59" fillId="29" borderId="29" applyNumberFormat="0" applyAlignment="0" applyProtection="0"/>
    <xf numFmtId="0" fontId="1" fillId="0" borderId="0"/>
  </cellStyleXfs>
  <cellXfs count="454">
    <xf numFmtId="0" fontId="0" fillId="0" borderId="0" xfId="0"/>
    <xf numFmtId="0" fontId="5" fillId="0" borderId="0" xfId="0" applyFont="1" applyAlignment="1">
      <alignment horizontal="left"/>
    </xf>
    <xf numFmtId="0" fontId="8" fillId="0" borderId="0" xfId="6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9" fillId="0" borderId="0" xfId="6" applyFont="1" applyAlignment="1">
      <alignment horizontal="left"/>
    </xf>
    <xf numFmtId="0" fontId="5" fillId="0" borderId="0" xfId="9" applyFont="1" applyAlignment="1">
      <alignment horizontal="left"/>
    </xf>
    <xf numFmtId="164" fontId="9" fillId="0" borderId="0" xfId="6" applyNumberFormat="1" applyFont="1" applyAlignment="1">
      <alignment horizontal="left"/>
    </xf>
    <xf numFmtId="0" fontId="5" fillId="0" borderId="0" xfId="6" applyFont="1" applyAlignment="1">
      <alignment horizontal="left"/>
    </xf>
    <xf numFmtId="0" fontId="5" fillId="0" borderId="0" xfId="9" applyFont="1" applyBorder="1" applyAlignment="1">
      <alignment horizontal="left"/>
    </xf>
    <xf numFmtId="0" fontId="13" fillId="0" borderId="0" xfId="9" applyFont="1" applyBorder="1" applyAlignment="1">
      <alignment horizontal="left"/>
    </xf>
    <xf numFmtId="0" fontId="9" fillId="0" borderId="0" xfId="9" applyFont="1" applyAlignment="1">
      <alignment horizontal="left"/>
    </xf>
    <xf numFmtId="0" fontId="11" fillId="0" borderId="0" xfId="9" applyFont="1" applyAlignment="1">
      <alignment horizontal="left"/>
    </xf>
    <xf numFmtId="0" fontId="10" fillId="0" borderId="0" xfId="9" applyFont="1" applyFill="1" applyAlignment="1">
      <alignment horizontal="left"/>
    </xf>
    <xf numFmtId="0" fontId="9" fillId="2" borderId="1" xfId="9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9" fillId="0" borderId="1" xfId="9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1" xfId="9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center" vertical="center" wrapText="1"/>
    </xf>
    <xf numFmtId="0" fontId="5" fillId="0" borderId="1" xfId="9" applyFont="1" applyBorder="1" applyAlignment="1">
      <alignment horizontal="left" vertical="center" wrapText="1"/>
    </xf>
    <xf numFmtId="0" fontId="5" fillId="0" borderId="7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vertical="center" wrapText="1"/>
    </xf>
    <xf numFmtId="0" fontId="5" fillId="0" borderId="0" xfId="9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0" fillId="0" borderId="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2" borderId="1" xfId="9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9" fillId="0" borderId="2" xfId="9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4" fillId="0" borderId="2" xfId="9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9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/>
    </xf>
    <xf numFmtId="0" fontId="5" fillId="0" borderId="0" xfId="9" applyFont="1" applyBorder="1" applyAlignment="1">
      <alignment horizontal="left" vertical="center"/>
    </xf>
    <xf numFmtId="0" fontId="10" fillId="0" borderId="0" xfId="9" applyFont="1" applyFill="1" applyBorder="1" applyAlignment="1">
      <alignment horizontal="left"/>
    </xf>
    <xf numFmtId="0" fontId="10" fillId="2" borderId="1" xfId="9" applyFont="1" applyFill="1" applyBorder="1" applyAlignment="1">
      <alignment horizontal="left"/>
    </xf>
    <xf numFmtId="0" fontId="14" fillId="2" borderId="1" xfId="9" applyFont="1" applyFill="1" applyBorder="1" applyAlignment="1">
      <alignment horizontal="left"/>
    </xf>
    <xf numFmtId="0" fontId="17" fillId="0" borderId="1" xfId="9" applyFont="1" applyBorder="1" applyAlignment="1">
      <alignment horizontal="left" vertical="center" wrapText="1"/>
    </xf>
    <xf numFmtId="0" fontId="5" fillId="0" borderId="1" xfId="9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9" fillId="0" borderId="0" xfId="9" applyFont="1" applyBorder="1" applyAlignment="1">
      <alignment horizontal="left" vertical="center" wrapText="1"/>
    </xf>
    <xf numFmtId="0" fontId="10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 vertical="center"/>
    </xf>
    <xf numFmtId="0" fontId="10" fillId="2" borderId="1" xfId="0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left"/>
    </xf>
    <xf numFmtId="0" fontId="14" fillId="2" borderId="7" xfId="0" applyFont="1" applyFill="1" applyBorder="1" applyAlignment="1" applyProtection="1">
      <alignment horizontal="left"/>
    </xf>
    <xf numFmtId="0" fontId="5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3" fillId="0" borderId="7" xfId="1" applyNumberFormat="1" applyFont="1" applyFill="1" applyBorder="1" applyAlignment="1" applyProtection="1">
      <alignment horizontal="left" vertical="center" wrapText="1"/>
    </xf>
    <xf numFmtId="0" fontId="10" fillId="2" borderId="1" xfId="10" applyFont="1" applyFill="1" applyBorder="1" applyAlignment="1">
      <alignment horizontal="left"/>
    </xf>
    <xf numFmtId="0" fontId="9" fillId="2" borderId="1" xfId="10" applyFont="1" applyFill="1" applyBorder="1" applyAlignment="1">
      <alignment horizontal="left"/>
    </xf>
    <xf numFmtId="0" fontId="5" fillId="0" borderId="1" xfId="1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49" fontId="10" fillId="2" borderId="1" xfId="0" applyNumberFormat="1" applyFont="1" applyFill="1" applyBorder="1" applyAlignment="1" applyProtection="1">
      <alignment horizontal="left"/>
    </xf>
    <xf numFmtId="49" fontId="14" fillId="2" borderId="1" xfId="0" applyNumberFormat="1" applyFont="1" applyFill="1" applyBorder="1" applyAlignment="1" applyProtection="1">
      <alignment horizontal="left"/>
    </xf>
    <xf numFmtId="0" fontId="11" fillId="2" borderId="1" xfId="0" applyFont="1" applyFill="1" applyBorder="1" applyAlignment="1" applyProtection="1">
      <alignment horizontal="left"/>
      <protection locked="0"/>
    </xf>
    <xf numFmtId="0" fontId="14" fillId="2" borderId="6" xfId="0" applyFont="1" applyFill="1" applyBorder="1" applyAlignment="1">
      <alignment horizontal="left"/>
    </xf>
    <xf numFmtId="49" fontId="21" fillId="0" borderId="1" xfId="0" applyNumberFormat="1" applyFont="1" applyFill="1" applyBorder="1" applyAlignment="1" applyProtection="1">
      <alignment horizontal="left" vertical="center" wrapText="1"/>
    </xf>
    <xf numFmtId="49" fontId="21" fillId="0" borderId="1" xfId="0" applyNumberFormat="1" applyFont="1" applyFill="1" applyBorder="1" applyAlignment="1" applyProtection="1">
      <alignment horizontal="left" wrapText="1"/>
    </xf>
    <xf numFmtId="0" fontId="5" fillId="0" borderId="0" xfId="0" applyFont="1" applyFill="1" applyBorder="1" applyAlignment="1">
      <alignment horizontal="left"/>
    </xf>
    <xf numFmtId="0" fontId="21" fillId="0" borderId="1" xfId="9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9" fillId="0" borderId="0" xfId="0" applyFont="1"/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1" xfId="3" applyNumberFormat="1" applyFont="1" applyFill="1" applyBorder="1" applyAlignment="1" applyProtection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6" fillId="2" borderId="1" xfId="0" applyFont="1" applyFill="1" applyBorder="1"/>
    <xf numFmtId="0" fontId="5" fillId="0" borderId="1" xfId="0" applyFont="1" applyFill="1" applyBorder="1" applyAlignment="1" applyProtection="1">
      <alignment horizontal="center"/>
      <protection locked="0"/>
    </xf>
    <xf numFmtId="0" fontId="23" fillId="3" borderId="11" xfId="0" applyFont="1" applyFill="1" applyBorder="1" applyAlignment="1">
      <alignment vertical="center"/>
    </xf>
    <xf numFmtId="0" fontId="0" fillId="0" borderId="12" xfId="0" applyFill="1" applyBorder="1"/>
    <xf numFmtId="0" fontId="18" fillId="4" borderId="12" xfId="0" applyFont="1" applyFill="1" applyBorder="1"/>
    <xf numFmtId="0" fontId="10" fillId="3" borderId="13" xfId="0" applyFont="1" applyFill="1" applyBorder="1" applyAlignment="1">
      <alignment horizontal="center" vertical="center"/>
    </xf>
    <xf numFmtId="0" fontId="14" fillId="0" borderId="14" xfId="9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8" fillId="3" borderId="15" xfId="0" applyFont="1" applyFill="1" applyBorder="1" applyAlignment="1">
      <alignment vertical="center"/>
    </xf>
    <xf numFmtId="0" fontId="0" fillId="0" borderId="12" xfId="0" applyBorder="1"/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Fill="1" applyBorder="1"/>
    <xf numFmtId="0" fontId="14" fillId="0" borderId="1" xfId="9" applyFont="1" applyFill="1" applyBorder="1" applyAlignment="1">
      <alignment horizontal="center"/>
    </xf>
    <xf numFmtId="0" fontId="18" fillId="3" borderId="11" xfId="0" applyFont="1" applyFill="1" applyBorder="1" applyAlignment="1">
      <alignment vertical="center"/>
    </xf>
    <xf numFmtId="0" fontId="14" fillId="0" borderId="14" xfId="9" applyFont="1" applyBorder="1" applyAlignment="1">
      <alignment horizontal="center" vertical="center"/>
    </xf>
    <xf numFmtId="0" fontId="18" fillId="3" borderId="16" xfId="0" applyFont="1" applyFill="1" applyBorder="1" applyAlignment="1">
      <alignment vertical="center"/>
    </xf>
    <xf numFmtId="0" fontId="5" fillId="0" borderId="0" xfId="0" applyFont="1" applyAlignment="1" applyProtection="1">
      <protection locked="0"/>
    </xf>
    <xf numFmtId="0" fontId="9" fillId="0" borderId="0" xfId="0" applyFont="1" applyAlignment="1" applyProtection="1"/>
    <xf numFmtId="0" fontId="5" fillId="5" borderId="11" xfId="0" applyFont="1" applyFill="1" applyBorder="1" applyAlignment="1">
      <alignment vertical="center"/>
    </xf>
    <xf numFmtId="0" fontId="5" fillId="0" borderId="0" xfId="0" applyFont="1" applyProtection="1">
      <protection locked="0"/>
    </xf>
    <xf numFmtId="0" fontId="9" fillId="5" borderId="13" xfId="0" applyFont="1" applyFill="1" applyBorder="1" applyAlignment="1">
      <alignment horizontal="center" vertical="center"/>
    </xf>
    <xf numFmtId="0" fontId="9" fillId="0" borderId="0" xfId="0" applyFont="1" applyProtection="1"/>
    <xf numFmtId="0" fontId="24" fillId="3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vertical="center"/>
    </xf>
    <xf numFmtId="0" fontId="25" fillId="3" borderId="11" xfId="0" applyFont="1" applyFill="1" applyBorder="1" applyAlignment="1">
      <alignment vertical="center"/>
    </xf>
    <xf numFmtId="0" fontId="25" fillId="0" borderId="12" xfId="0" applyFont="1" applyFill="1" applyBorder="1"/>
    <xf numFmtId="0" fontId="26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 applyProtection="1">
      <protection locked="0"/>
    </xf>
    <xf numFmtId="0" fontId="26" fillId="0" borderId="0" xfId="0" applyFont="1" applyFill="1"/>
    <xf numFmtId="0" fontId="28" fillId="0" borderId="0" xfId="0" applyFont="1"/>
    <xf numFmtId="0" fontId="23" fillId="6" borderId="12" xfId="5" applyFont="1" applyFill="1" applyBorder="1"/>
    <xf numFmtId="0" fontId="29" fillId="0" borderId="12" xfId="5" applyFont="1" applyFill="1" applyBorder="1"/>
    <xf numFmtId="0" fontId="5" fillId="0" borderId="12" xfId="5" applyBorder="1"/>
    <xf numFmtId="0" fontId="5" fillId="0" borderId="0" xfId="5"/>
    <xf numFmtId="0" fontId="10" fillId="6" borderId="1" xfId="5" applyFont="1" applyFill="1" applyBorder="1"/>
    <xf numFmtId="0" fontId="9" fillId="0" borderId="1" xfId="5" applyFont="1" applyFill="1" applyBorder="1"/>
    <xf numFmtId="0" fontId="9" fillId="0" borderId="1" xfId="5" applyFont="1" applyBorder="1"/>
    <xf numFmtId="0" fontId="0" fillId="7" borderId="12" xfId="0" applyFill="1" applyBorder="1"/>
    <xf numFmtId="0" fontId="16" fillId="7" borderId="1" xfId="0" applyFont="1" applyFill="1" applyBorder="1"/>
    <xf numFmtId="0" fontId="15" fillId="0" borderId="0" xfId="0" applyFont="1"/>
    <xf numFmtId="0" fontId="0" fillId="0" borderId="0" xfId="0" applyFont="1"/>
    <xf numFmtId="0" fontId="24" fillId="0" borderId="0" xfId="0" applyFont="1"/>
    <xf numFmtId="165" fontId="26" fillId="0" borderId="0" xfId="0" applyNumberFormat="1" applyFont="1" applyAlignment="1">
      <alignment horizontal="right"/>
    </xf>
    <xf numFmtId="0" fontId="18" fillId="3" borderId="0" xfId="0" applyFont="1" applyFill="1" applyBorder="1" applyAlignment="1">
      <alignment vertical="center"/>
    </xf>
    <xf numFmtId="0" fontId="10" fillId="3" borderId="18" xfId="0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/>
    </xf>
    <xf numFmtId="0" fontId="14" fillId="0" borderId="2" xfId="9" applyFont="1" applyFill="1" applyBorder="1" applyAlignment="1">
      <alignment horizontal="center" vertical="center" wrapText="1"/>
    </xf>
    <xf numFmtId="0" fontId="14" fillId="0" borderId="14" xfId="9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/>
    </xf>
    <xf numFmtId="0" fontId="27" fillId="0" borderId="2" xfId="9" applyFont="1" applyFill="1" applyBorder="1" applyAlignment="1">
      <alignment horizontal="center" vertical="center"/>
    </xf>
    <xf numFmtId="0" fontId="27" fillId="0" borderId="2" xfId="9" applyFont="1" applyFill="1" applyBorder="1" applyAlignment="1">
      <alignment horizontal="center" vertical="center" wrapText="1"/>
    </xf>
    <xf numFmtId="0" fontId="27" fillId="0" borderId="14" xfId="9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8" fillId="3" borderId="20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10" fillId="0" borderId="0" xfId="0" applyFont="1"/>
    <xf numFmtId="0" fontId="39" fillId="0" borderId="0" xfId="0" applyFont="1"/>
    <xf numFmtId="0" fontId="40" fillId="0" borderId="0" xfId="0" applyFont="1" applyAlignment="1"/>
    <xf numFmtId="0" fontId="37" fillId="0" borderId="0" xfId="0" applyFont="1" applyAlignment="1"/>
    <xf numFmtId="0" fontId="39" fillId="0" borderId="0" xfId="0" applyFont="1" applyAlignment="1"/>
    <xf numFmtId="0" fontId="0" fillId="0" borderId="0" xfId="0" applyFont="1" applyProtection="1">
      <protection locked="0"/>
    </xf>
    <xf numFmtId="0" fontId="3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1" fillId="0" borderId="0" xfId="0" applyFont="1"/>
    <xf numFmtId="14" fontId="0" fillId="0" borderId="0" xfId="0" applyNumberFormat="1"/>
    <xf numFmtId="0" fontId="27" fillId="0" borderId="0" xfId="12" applyNumberFormat="1" applyFont="1" applyFill="1" applyBorder="1" applyAlignment="1">
      <alignment horizontal="center"/>
    </xf>
    <xf numFmtId="0" fontId="24" fillId="0" borderId="0" xfId="13" applyAlignment="1">
      <alignment horizontal="center"/>
    </xf>
    <xf numFmtId="0" fontId="24" fillId="0" borderId="0" xfId="13"/>
    <xf numFmtId="14" fontId="27" fillId="0" borderId="0" xfId="12" applyNumberFormat="1" applyFont="1" applyFill="1" applyBorder="1" applyAlignment="1">
      <alignment horizontal="center"/>
    </xf>
    <xf numFmtId="0" fontId="24" fillId="0" borderId="0" xfId="13" applyBorder="1" applyAlignment="1">
      <alignment horizontal="center"/>
    </xf>
    <xf numFmtId="0" fontId="33" fillId="0" borderId="0" xfId="13" applyFont="1" applyBorder="1" applyAlignment="1">
      <alignment horizontal="center"/>
    </xf>
    <xf numFmtId="0" fontId="33" fillId="0" borderId="0" xfId="13" applyFont="1" applyFill="1" applyBorder="1" applyAlignment="1">
      <alignment horizontal="center"/>
    </xf>
    <xf numFmtId="14" fontId="24" fillId="0" borderId="0" xfId="13" applyNumberFormat="1" applyAlignment="1">
      <alignment horizontal="center"/>
    </xf>
    <xf numFmtId="166" fontId="24" fillId="0" borderId="0" xfId="13" applyNumberFormat="1" applyAlignment="1">
      <alignment horizontal="center"/>
    </xf>
    <xf numFmtId="0" fontId="2" fillId="0" borderId="0" xfId="87"/>
    <xf numFmtId="0" fontId="2" fillId="0" borderId="0" xfId="87" applyAlignment="1">
      <alignment horizontal="center"/>
    </xf>
    <xf numFmtId="0" fontId="27" fillId="0" borderId="0" xfId="77"/>
    <xf numFmtId="0" fontId="27" fillId="0" borderId="0" xfId="77" applyFont="1"/>
    <xf numFmtId="0" fontId="60" fillId="0" borderId="0" xfId="77" applyFont="1"/>
    <xf numFmtId="1" fontId="27" fillId="0" borderId="0" xfId="77" applyNumberFormat="1"/>
    <xf numFmtId="167" fontId="24" fillId="0" borderId="17" xfId="13" applyNumberFormat="1" applyBorder="1" applyAlignment="1">
      <alignment horizontal="center"/>
    </xf>
    <xf numFmtId="0" fontId="27" fillId="0" borderId="30" xfId="77" applyBorder="1" applyAlignment="1">
      <alignment horizontal="center"/>
    </xf>
    <xf numFmtId="0" fontId="27" fillId="0" borderId="30" xfId="77" applyFont="1" applyBorder="1" applyAlignment="1">
      <alignment horizontal="center"/>
    </xf>
    <xf numFmtId="0" fontId="60" fillId="32" borderId="33" xfId="77" applyFont="1" applyFill="1" applyBorder="1" applyAlignment="1">
      <alignment horizontal="center"/>
    </xf>
    <xf numFmtId="0" fontId="60" fillId="32" borderId="30" xfId="77" applyFont="1" applyFill="1" applyBorder="1" applyAlignment="1">
      <alignment horizontal="center"/>
    </xf>
    <xf numFmtId="0" fontId="27" fillId="0" borderId="0" xfId="77" applyAlignment="1">
      <alignment horizontal="center"/>
    </xf>
    <xf numFmtId="0" fontId="62" fillId="32" borderId="17" xfId="13" applyFont="1" applyFill="1" applyBorder="1" applyAlignment="1">
      <alignment horizontal="center"/>
    </xf>
    <xf numFmtId="14" fontId="63" fillId="30" borderId="17" xfId="13" applyNumberFormat="1" applyFont="1" applyFill="1" applyBorder="1" applyAlignment="1">
      <alignment horizontal="center"/>
    </xf>
    <xf numFmtId="14" fontId="63" fillId="0" borderId="17" xfId="13" applyNumberFormat="1" applyFont="1" applyBorder="1" applyAlignment="1">
      <alignment horizontal="center"/>
    </xf>
    <xf numFmtId="0" fontId="63" fillId="0" borderId="17" xfId="13" applyFont="1" applyBorder="1" applyAlignment="1">
      <alignment horizontal="center"/>
    </xf>
    <xf numFmtId="0" fontId="63" fillId="0" borderId="17" xfId="13" applyFont="1" applyFill="1" applyBorder="1" applyAlignment="1">
      <alignment horizontal="center"/>
    </xf>
    <xf numFmtId="14" fontId="24" fillId="0" borderId="0" xfId="13" applyNumberFormat="1"/>
    <xf numFmtId="0" fontId="28" fillId="0" borderId="0" xfId="13" applyFont="1"/>
    <xf numFmtId="0" fontId="14" fillId="33" borderId="14" xfId="9" applyFont="1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  <xf numFmtId="168" fontId="0" fillId="0" borderId="0" xfId="0" applyNumberFormat="1"/>
    <xf numFmtId="3" fontId="0" fillId="0" borderId="0" xfId="0" applyNumberFormat="1"/>
    <xf numFmtId="0" fontId="0" fillId="0" borderId="0" xfId="0" applyNumberFormat="1"/>
    <xf numFmtId="0" fontId="27" fillId="0" borderId="31" xfId="77" applyBorder="1" applyAlignment="1">
      <alignment horizontal="center"/>
    </xf>
    <xf numFmtId="0" fontId="64" fillId="3" borderId="0" xfId="0" applyFont="1" applyFill="1" applyBorder="1" applyAlignment="1">
      <alignment vertical="center"/>
    </xf>
    <xf numFmtId="0" fontId="65" fillId="0" borderId="0" xfId="0" applyFont="1"/>
    <xf numFmtId="0" fontId="64" fillId="4" borderId="12" xfId="0" applyFont="1" applyFill="1" applyBorder="1"/>
    <xf numFmtId="0" fontId="65" fillId="0" borderId="12" xfId="0" applyFont="1" applyFill="1" applyBorder="1"/>
    <xf numFmtId="0" fontId="65" fillId="0" borderId="0" xfId="0" applyFont="1" applyFill="1"/>
    <xf numFmtId="165" fontId="66" fillId="0" borderId="0" xfId="0" applyNumberFormat="1" applyFont="1" applyAlignment="1">
      <alignment horizontal="right"/>
    </xf>
    <xf numFmtId="2" fontId="65" fillId="0" borderId="0" xfId="0" applyNumberFormat="1" applyFont="1" applyFill="1"/>
    <xf numFmtId="1" fontId="65" fillId="0" borderId="0" xfId="0" applyNumberFormat="1" applyFont="1" applyFill="1"/>
    <xf numFmtId="168" fontId="65" fillId="0" borderId="0" xfId="0" applyNumberFormat="1" applyFont="1"/>
    <xf numFmtId="0" fontId="65" fillId="0" borderId="0" xfId="0" applyNumberFormat="1" applyFont="1"/>
    <xf numFmtId="0" fontId="66" fillId="0" borderId="0" xfId="0" applyFont="1" applyAlignment="1">
      <alignment horizontal="right"/>
    </xf>
    <xf numFmtId="0" fontId="66" fillId="0" borderId="0" xfId="0" applyFont="1"/>
    <xf numFmtId="3" fontId="65" fillId="0" borderId="0" xfId="0" applyNumberFormat="1" applyFont="1"/>
    <xf numFmtId="0" fontId="60" fillId="32" borderId="40" xfId="77" applyFont="1" applyFill="1" applyBorder="1" applyAlignment="1">
      <alignment horizontal="center"/>
    </xf>
    <xf numFmtId="0" fontId="27" fillId="0" borderId="41" xfId="77" applyBorder="1" applyAlignment="1">
      <alignment horizontal="center"/>
    </xf>
    <xf numFmtId="0" fontId="27" fillId="0" borderId="17" xfId="77" applyBorder="1" applyAlignment="1">
      <alignment horizontal="center"/>
    </xf>
    <xf numFmtId="0" fontId="60" fillId="32" borderId="42" xfId="77" applyFont="1" applyFill="1" applyBorder="1" applyAlignment="1">
      <alignment horizontal="center"/>
    </xf>
    <xf numFmtId="0" fontId="27" fillId="0" borderId="42" xfId="77" applyBorder="1" applyAlignment="1">
      <alignment horizontal="center"/>
    </xf>
    <xf numFmtId="2" fontId="27" fillId="0" borderId="30" xfId="77" applyNumberFormat="1" applyBorder="1" applyAlignment="1">
      <alignment horizontal="center"/>
    </xf>
    <xf numFmtId="0" fontId="60" fillId="32" borderId="47" xfId="77" applyFont="1" applyFill="1" applyBorder="1" applyAlignment="1">
      <alignment horizontal="center"/>
    </xf>
    <xf numFmtId="2" fontId="27" fillId="0" borderId="32" xfId="77" applyNumberFormat="1" applyBorder="1" applyAlignment="1">
      <alignment horizontal="center"/>
    </xf>
    <xf numFmtId="0" fontId="60" fillId="32" borderId="48" xfId="77" applyFont="1" applyFill="1" applyBorder="1" applyAlignment="1">
      <alignment horizontal="center"/>
    </xf>
    <xf numFmtId="0" fontId="60" fillId="32" borderId="49" xfId="77" applyFont="1" applyFill="1" applyBorder="1" applyAlignment="1">
      <alignment horizontal="center"/>
    </xf>
    <xf numFmtId="0" fontId="27" fillId="0" borderId="48" xfId="77" applyBorder="1" applyAlignment="1">
      <alignment horizontal="center"/>
    </xf>
    <xf numFmtId="0" fontId="60" fillId="32" borderId="38" xfId="77" applyFont="1" applyFill="1" applyBorder="1" applyAlignment="1">
      <alignment horizontal="center"/>
    </xf>
    <xf numFmtId="0" fontId="24" fillId="0" borderId="17" xfId="13" applyBorder="1"/>
    <xf numFmtId="0" fontId="60" fillId="32" borderId="17" xfId="77" applyFont="1" applyFill="1" applyBorder="1" applyAlignment="1">
      <alignment horizontal="center"/>
    </xf>
    <xf numFmtId="0" fontId="60" fillId="31" borderId="17" xfId="77" applyFont="1" applyFill="1" applyBorder="1" applyAlignment="1">
      <alignment horizontal="center"/>
    </xf>
    <xf numFmtId="0" fontId="27" fillId="0" borderId="30" xfId="77" applyNumberFormat="1" applyBorder="1" applyAlignment="1">
      <alignment horizontal="center"/>
    </xf>
    <xf numFmtId="0" fontId="27" fillId="0" borderId="31" xfId="77" applyBorder="1" applyAlignment="1">
      <alignment horizontal="center"/>
    </xf>
    <xf numFmtId="0" fontId="27" fillId="0" borderId="37" xfId="77" applyBorder="1" applyAlignment="1">
      <alignment horizontal="center"/>
    </xf>
    <xf numFmtId="0" fontId="27" fillId="0" borderId="36" xfId="77" applyBorder="1" applyAlignment="1">
      <alignment horizontal="center"/>
    </xf>
    <xf numFmtId="0" fontId="68" fillId="0" borderId="1" xfId="0" applyFont="1" applyBorder="1"/>
    <xf numFmtId="14" fontId="0" fillId="0" borderId="17" xfId="77" applyNumberFormat="1" applyFont="1" applyBorder="1"/>
    <xf numFmtId="0" fontId="0" fillId="0" borderId="17" xfId="77" applyFont="1" applyBorder="1"/>
    <xf numFmtId="1" fontId="25" fillId="0" borderId="17" xfId="0" applyNumberFormat="1" applyFont="1" applyFill="1" applyBorder="1" applyAlignment="1">
      <alignment horizontal="right" wrapText="1"/>
    </xf>
    <xf numFmtId="1" fontId="25" fillId="0" borderId="17" xfId="0" applyNumberFormat="1" applyFont="1" applyFill="1" applyBorder="1" applyAlignment="1">
      <alignment horizontal="center" wrapText="1"/>
    </xf>
    <xf numFmtId="0" fontId="27" fillId="0" borderId="41" xfId="77" applyFont="1" applyBorder="1" applyAlignment="1">
      <alignment horizontal="center"/>
    </xf>
    <xf numFmtId="14" fontId="0" fillId="0" borderId="50" xfId="77" applyNumberFormat="1" applyFont="1" applyBorder="1"/>
    <xf numFmtId="0" fontId="0" fillId="0" borderId="50" xfId="77" applyFont="1" applyBorder="1"/>
    <xf numFmtId="0" fontId="27" fillId="0" borderId="51" xfId="77" applyBorder="1" applyAlignment="1">
      <alignment horizontal="center"/>
    </xf>
    <xf numFmtId="0" fontId="27" fillId="0" borderId="52" xfId="77" applyBorder="1" applyAlignment="1">
      <alignment horizontal="center"/>
    </xf>
    <xf numFmtId="0" fontId="27" fillId="0" borderId="53" xfId="77" applyBorder="1" applyAlignment="1">
      <alignment horizontal="center"/>
    </xf>
    <xf numFmtId="0" fontId="27" fillId="0" borderId="50" xfId="77" applyBorder="1" applyAlignment="1">
      <alignment horizontal="center"/>
    </xf>
    <xf numFmtId="2" fontId="27" fillId="0" borderId="55" xfId="77" applyNumberFormat="1" applyBorder="1" applyAlignment="1">
      <alignment horizontal="center"/>
    </xf>
    <xf numFmtId="2" fontId="27" fillId="0" borderId="41" xfId="77" applyNumberFormat="1" applyBorder="1" applyAlignment="1">
      <alignment horizontal="center"/>
    </xf>
    <xf numFmtId="167" fontId="24" fillId="0" borderId="50" xfId="13" applyNumberFormat="1" applyBorder="1" applyAlignment="1">
      <alignment horizontal="center"/>
    </xf>
    <xf numFmtId="0" fontId="27" fillId="0" borderId="0" xfId="77" applyBorder="1"/>
    <xf numFmtId="0" fontId="24" fillId="0" borderId="0" xfId="13" applyBorder="1"/>
    <xf numFmtId="0" fontId="27" fillId="0" borderId="56" xfId="77" applyFont="1" applyBorder="1" applyAlignment="1">
      <alignment horizontal="center"/>
    </xf>
    <xf numFmtId="14" fontId="0" fillId="0" borderId="57" xfId="77" applyNumberFormat="1" applyFont="1" applyBorder="1"/>
    <xf numFmtId="0" fontId="27" fillId="0" borderId="58" xfId="77" applyBorder="1"/>
    <xf numFmtId="0" fontId="27" fillId="0" borderId="56" xfId="77" applyNumberFormat="1" applyBorder="1" applyAlignment="1">
      <alignment horizontal="center"/>
    </xf>
    <xf numFmtId="1" fontId="25" fillId="0" borderId="57" xfId="0" applyNumberFormat="1" applyFont="1" applyFill="1" applyBorder="1" applyAlignment="1">
      <alignment horizontal="right" wrapText="1"/>
    </xf>
    <xf numFmtId="0" fontId="0" fillId="0" borderId="57" xfId="77" applyFont="1" applyBorder="1"/>
    <xf numFmtId="0" fontId="27" fillId="0" borderId="56" xfId="77" applyBorder="1" applyAlignment="1">
      <alignment horizontal="center"/>
    </xf>
    <xf numFmtId="0" fontId="27" fillId="0" borderId="59" xfId="77" applyBorder="1" applyAlignment="1">
      <alignment horizontal="center"/>
    </xf>
    <xf numFmtId="0" fontId="27" fillId="0" borderId="60" xfId="77" applyBorder="1" applyAlignment="1">
      <alignment horizontal="center"/>
    </xf>
    <xf numFmtId="0" fontId="27" fillId="0" borderId="61" xfId="77" applyBorder="1" applyAlignment="1">
      <alignment horizontal="center"/>
    </xf>
    <xf numFmtId="0" fontId="27" fillId="0" borderId="57" xfId="77" applyBorder="1" applyAlignment="1">
      <alignment horizontal="center"/>
    </xf>
    <xf numFmtId="2" fontId="27" fillId="0" borderId="65" xfId="77" applyNumberFormat="1" applyBorder="1" applyAlignment="1">
      <alignment horizontal="center"/>
    </xf>
    <xf numFmtId="2" fontId="27" fillId="0" borderId="56" xfId="77" applyNumberFormat="1" applyBorder="1" applyAlignment="1">
      <alignment horizontal="center"/>
    </xf>
    <xf numFmtId="167" fontId="24" fillId="0" borderId="57" xfId="13" applyNumberFormat="1" applyBorder="1" applyAlignment="1">
      <alignment horizontal="center"/>
    </xf>
    <xf numFmtId="0" fontId="24" fillId="0" borderId="58" xfId="13" applyBorder="1"/>
    <xf numFmtId="0" fontId="27" fillId="0" borderId="66" xfId="77" applyFont="1" applyBorder="1" applyAlignment="1">
      <alignment horizontal="center"/>
    </xf>
    <xf numFmtId="14" fontId="0" fillId="0" borderId="67" xfId="77" applyNumberFormat="1" applyFont="1" applyBorder="1"/>
    <xf numFmtId="0" fontId="27" fillId="0" borderId="68" xfId="77" applyBorder="1"/>
    <xf numFmtId="0" fontId="27" fillId="0" borderId="66" xfId="77" applyNumberFormat="1" applyBorder="1" applyAlignment="1">
      <alignment horizontal="center"/>
    </xf>
    <xf numFmtId="0" fontId="0" fillId="0" borderId="67" xfId="77" applyFont="1" applyBorder="1"/>
    <xf numFmtId="0" fontId="27" fillId="0" borderId="66" xfId="77" applyBorder="1" applyAlignment="1">
      <alignment horizontal="center"/>
    </xf>
    <xf numFmtId="0" fontId="27" fillId="0" borderId="69" xfId="77" applyBorder="1" applyAlignment="1">
      <alignment horizontal="center"/>
    </xf>
    <xf numFmtId="0" fontId="27" fillId="0" borderId="70" xfId="77" applyBorder="1" applyAlignment="1">
      <alignment horizontal="center"/>
    </xf>
    <xf numFmtId="0" fontId="27" fillId="0" borderId="71" xfId="77" applyBorder="1" applyAlignment="1">
      <alignment horizontal="center"/>
    </xf>
    <xf numFmtId="0" fontId="27" fillId="0" borderId="67" xfId="77" applyBorder="1" applyAlignment="1">
      <alignment horizontal="center"/>
    </xf>
    <xf numFmtId="2" fontId="27" fillId="0" borderId="73" xfId="77" applyNumberFormat="1" applyBorder="1" applyAlignment="1">
      <alignment horizontal="center"/>
    </xf>
    <xf numFmtId="167" fontId="24" fillId="0" borderId="67" xfId="13" applyNumberFormat="1" applyBorder="1" applyAlignment="1">
      <alignment horizontal="center"/>
    </xf>
    <xf numFmtId="0" fontId="24" fillId="0" borderId="68" xfId="13" applyBorder="1"/>
    <xf numFmtId="1" fontId="25" fillId="0" borderId="74" xfId="0" applyNumberFormat="1" applyFont="1" applyFill="1" applyBorder="1" applyAlignment="1">
      <alignment horizontal="right" wrapText="1"/>
    </xf>
    <xf numFmtId="2" fontId="27" fillId="0" borderId="69" xfId="77" applyNumberFormat="1" applyBorder="1" applyAlignment="1">
      <alignment horizontal="center"/>
    </xf>
    <xf numFmtId="2" fontId="27" fillId="0" borderId="31" xfId="77" applyNumberFormat="1" applyBorder="1" applyAlignment="1">
      <alignment horizontal="center"/>
    </xf>
    <xf numFmtId="2" fontId="27" fillId="0" borderId="59" xfId="77" applyNumberFormat="1" applyBorder="1" applyAlignment="1">
      <alignment horizontal="center"/>
    </xf>
    <xf numFmtId="1" fontId="25" fillId="0" borderId="17" xfId="0" quotePrefix="1" applyNumberFormat="1" applyFont="1" applyFill="1" applyBorder="1" applyAlignment="1">
      <alignment horizontal="center" wrapText="1"/>
    </xf>
    <xf numFmtId="0" fontId="27" fillId="0" borderId="40" xfId="77" applyBorder="1" applyAlignment="1">
      <alignment horizontal="center"/>
    </xf>
    <xf numFmtId="0" fontId="27" fillId="0" borderId="78" xfId="77" applyBorder="1" applyAlignment="1">
      <alignment horizontal="center"/>
    </xf>
    <xf numFmtId="167" fontId="24" fillId="0" borderId="77" xfId="13" applyNumberFormat="1" applyBorder="1" applyAlignment="1">
      <alignment horizontal="center"/>
    </xf>
    <xf numFmtId="2" fontId="27" fillId="0" borderId="51" xfId="77" applyNumberFormat="1" applyBorder="1" applyAlignment="1">
      <alignment horizontal="center"/>
    </xf>
    <xf numFmtId="0" fontId="27" fillId="0" borderId="17" xfId="77" applyFont="1" applyBorder="1" applyAlignment="1">
      <alignment horizontal="center"/>
    </xf>
    <xf numFmtId="0" fontId="27" fillId="0" borderId="17" xfId="77" applyBorder="1"/>
    <xf numFmtId="0" fontId="27" fillId="0" borderId="32" xfId="77" applyBorder="1" applyAlignment="1">
      <alignment horizontal="center"/>
    </xf>
    <xf numFmtId="0" fontId="0" fillId="0" borderId="17" xfId="77" applyFont="1" applyBorder="1" applyAlignment="1">
      <alignment horizontal="center"/>
    </xf>
    <xf numFmtId="1" fontId="25" fillId="0" borderId="50" xfId="0" applyNumberFormat="1" applyFont="1" applyFill="1" applyBorder="1" applyAlignment="1">
      <alignment horizontal="center" wrapText="1"/>
    </xf>
    <xf numFmtId="1" fontId="25" fillId="0" borderId="57" xfId="0" applyNumberFormat="1" applyFont="1" applyFill="1" applyBorder="1" applyAlignment="1">
      <alignment horizontal="center" wrapText="1"/>
    </xf>
    <xf numFmtId="0" fontId="27" fillId="0" borderId="79" xfId="77" applyBorder="1" applyAlignment="1">
      <alignment horizontal="center"/>
    </xf>
    <xf numFmtId="0" fontId="27" fillId="0" borderId="80" xfId="77" applyBorder="1" applyAlignment="1">
      <alignment horizontal="center"/>
    </xf>
    <xf numFmtId="167" fontId="71" fillId="0" borderId="67" xfId="13" applyNumberFormat="1" applyFont="1" applyFill="1" applyBorder="1" applyAlignment="1">
      <alignment horizontal="center"/>
    </xf>
    <xf numFmtId="167" fontId="71" fillId="0" borderId="17" xfId="13" applyNumberFormat="1" applyFont="1" applyFill="1" applyBorder="1" applyAlignment="1">
      <alignment horizontal="center"/>
    </xf>
    <xf numFmtId="167" fontId="71" fillId="0" borderId="57" xfId="13" applyNumberFormat="1" applyFont="1" applyFill="1" applyBorder="1" applyAlignment="1">
      <alignment horizontal="center"/>
    </xf>
    <xf numFmtId="14" fontId="27" fillId="0" borderId="17" xfId="77" applyNumberFormat="1" applyBorder="1"/>
    <xf numFmtId="0" fontId="27" fillId="0" borderId="57" xfId="77" applyFont="1" applyBorder="1" applyAlignment="1">
      <alignment horizontal="center"/>
    </xf>
    <xf numFmtId="0" fontId="27" fillId="0" borderId="50" xfId="77" applyFont="1" applyBorder="1" applyAlignment="1">
      <alignment horizontal="center"/>
    </xf>
    <xf numFmtId="0" fontId="25" fillId="0" borderId="17" xfId="0" applyFont="1" applyFill="1" applyBorder="1" applyAlignment="1">
      <alignment horizontal="right" wrapText="1"/>
    </xf>
    <xf numFmtId="1" fontId="25" fillId="0" borderId="17" xfId="0" quotePrefix="1" applyNumberFormat="1" applyFont="1" applyFill="1" applyBorder="1" applyAlignment="1">
      <alignment horizontal="right" wrapText="1"/>
    </xf>
    <xf numFmtId="0" fontId="27" fillId="0" borderId="73" xfId="77" applyBorder="1" applyAlignment="1">
      <alignment horizontal="center"/>
    </xf>
    <xf numFmtId="0" fontId="27" fillId="0" borderId="47" xfId="77" applyBorder="1" applyAlignment="1">
      <alignment horizontal="center"/>
    </xf>
    <xf numFmtId="0" fontId="27" fillId="0" borderId="55" xfId="77" applyBorder="1" applyAlignment="1">
      <alignment horizontal="center"/>
    </xf>
    <xf numFmtId="0" fontId="27" fillId="0" borderId="65" xfId="77" applyBorder="1" applyAlignment="1">
      <alignment horizontal="center"/>
    </xf>
    <xf numFmtId="0" fontId="0" fillId="0" borderId="72" xfId="77" applyFont="1" applyBorder="1"/>
    <xf numFmtId="0" fontId="0" fillId="0" borderId="35" xfId="77" applyFont="1" applyBorder="1"/>
    <xf numFmtId="0" fontId="0" fillId="0" borderId="75" xfId="77" applyFont="1" applyBorder="1"/>
    <xf numFmtId="0" fontId="0" fillId="0" borderId="54" xfId="77" applyFont="1" applyBorder="1"/>
    <xf numFmtId="0" fontId="0" fillId="0" borderId="62" xfId="77" applyFont="1" applyBorder="1"/>
    <xf numFmtId="2" fontId="27" fillId="0" borderId="79" xfId="77" applyNumberFormat="1" applyBorder="1" applyAlignment="1">
      <alignment horizontal="center"/>
    </xf>
    <xf numFmtId="0" fontId="0" fillId="0" borderId="84" xfId="0" applyBorder="1"/>
    <xf numFmtId="0" fontId="0" fillId="0" borderId="85" xfId="0" applyBorder="1"/>
    <xf numFmtId="0" fontId="0" fillId="0" borderId="58" xfId="0" applyBorder="1"/>
    <xf numFmtId="0" fontId="73" fillId="0" borderId="0" xfId="0" applyFont="1" applyFill="1"/>
    <xf numFmtId="0" fontId="74" fillId="0" borderId="0" xfId="0" applyFont="1" applyFill="1"/>
    <xf numFmtId="0" fontId="74" fillId="35" borderId="0" xfId="0" applyFont="1" applyFill="1"/>
    <xf numFmtId="0" fontId="72" fillId="0" borderId="0" xfId="0" applyFont="1" applyFill="1"/>
    <xf numFmtId="0" fontId="73" fillId="36" borderId="0" xfId="0" applyFont="1" applyFill="1"/>
    <xf numFmtId="0" fontId="74" fillId="36" borderId="0" xfId="0" applyFont="1" applyFill="1"/>
    <xf numFmtId="0" fontId="72" fillId="35" borderId="0" xfId="0" applyFont="1" applyFill="1"/>
    <xf numFmtId="0" fontId="0" fillId="0" borderId="0" xfId="0" applyAlignment="1">
      <alignment horizontal="center"/>
    </xf>
    <xf numFmtId="0" fontId="74" fillId="31" borderId="0" xfId="0" applyFont="1" applyFill="1"/>
    <xf numFmtId="0" fontId="74" fillId="32" borderId="0" xfId="0" applyFont="1" applyFill="1"/>
    <xf numFmtId="0" fontId="74" fillId="37" borderId="0" xfId="0" applyFont="1" applyFill="1"/>
    <xf numFmtId="0" fontId="74" fillId="38" borderId="0" xfId="0" applyFont="1" applyFill="1"/>
    <xf numFmtId="0" fontId="0" fillId="31" borderId="0" xfId="0" applyFill="1"/>
    <xf numFmtId="0" fontId="0" fillId="37" borderId="0" xfId="0" applyFill="1"/>
    <xf numFmtId="0" fontId="0" fillId="32" borderId="0" xfId="0" applyFill="1"/>
    <xf numFmtId="0" fontId="0" fillId="38" borderId="0" xfId="0" applyFill="1"/>
    <xf numFmtId="0" fontId="0" fillId="0" borderId="0" xfId="0" applyBorder="1"/>
    <xf numFmtId="0" fontId="10" fillId="39" borderId="0" xfId="0" applyFont="1" applyFill="1" applyBorder="1" applyAlignment="1">
      <alignment horizontal="center" vertical="center"/>
    </xf>
    <xf numFmtId="49" fontId="1" fillId="40" borderId="0" xfId="108" applyNumberFormat="1" applyFill="1"/>
    <xf numFmtId="14" fontId="0" fillId="0" borderId="12" xfId="0" applyNumberFormat="1" applyFill="1" applyBorder="1"/>
    <xf numFmtId="0" fontId="75" fillId="0" borderId="86" xfId="0" applyFont="1" applyBorder="1" applyAlignment="1">
      <alignment horizontal="center" vertical="center" wrapText="1"/>
    </xf>
    <xf numFmtId="0" fontId="75" fillId="0" borderId="87" xfId="0" applyFont="1" applyBorder="1" applyAlignment="1">
      <alignment horizontal="center" vertical="center" wrapText="1"/>
    </xf>
    <xf numFmtId="0" fontId="75" fillId="0" borderId="90" xfId="0" applyFont="1" applyBorder="1" applyAlignment="1">
      <alignment horizontal="center" vertical="center" wrapText="1"/>
    </xf>
    <xf numFmtId="0" fontId="77" fillId="41" borderId="86" xfId="0" applyFont="1" applyFill="1" applyBorder="1" applyAlignment="1">
      <alignment horizontal="center" vertical="center"/>
    </xf>
    <xf numFmtId="0" fontId="77" fillId="41" borderId="87" xfId="0" applyFont="1" applyFill="1" applyBorder="1" applyAlignment="1">
      <alignment horizontal="center" vertical="center"/>
    </xf>
    <xf numFmtId="0" fontId="77" fillId="41" borderId="87" xfId="0" applyFont="1" applyFill="1" applyBorder="1" applyAlignment="1">
      <alignment horizontal="center" vertical="center" wrapText="1"/>
    </xf>
    <xf numFmtId="0" fontId="77" fillId="0" borderId="93" xfId="0" applyFont="1" applyBorder="1" applyAlignment="1">
      <alignment vertical="center"/>
    </xf>
    <xf numFmtId="0" fontId="77" fillId="0" borderId="90" xfId="0" applyFont="1" applyBorder="1" applyAlignment="1">
      <alignment horizontal="center" vertical="center"/>
    </xf>
    <xf numFmtId="0" fontId="77" fillId="0" borderId="90" xfId="0" applyFont="1" applyBorder="1" applyAlignment="1">
      <alignment horizontal="center" vertical="center" wrapText="1"/>
    </xf>
    <xf numFmtId="0" fontId="77" fillId="35" borderId="90" xfId="0" applyFont="1" applyFill="1" applyBorder="1" applyAlignment="1">
      <alignment horizontal="center" vertical="center"/>
    </xf>
    <xf numFmtId="0" fontId="77" fillId="0" borderId="89" xfId="0" applyFont="1" applyBorder="1" applyAlignment="1">
      <alignment vertical="center" wrapText="1"/>
    </xf>
    <xf numFmtId="0" fontId="77" fillId="0" borderId="93" xfId="0" applyFont="1" applyBorder="1" applyAlignment="1">
      <alignment vertical="center" wrapText="1"/>
    </xf>
    <xf numFmtId="0" fontId="1" fillId="0" borderId="0" xfId="87" applyFont="1" applyAlignment="1">
      <alignment horizontal="left"/>
    </xf>
    <xf numFmtId="0" fontId="35" fillId="0" borderId="0" xfId="87" applyFont="1" applyAlignment="1">
      <alignment horizontal="center"/>
    </xf>
    <xf numFmtId="0" fontId="35" fillId="0" borderId="0" xfId="87" applyFont="1"/>
    <xf numFmtId="0" fontId="77" fillId="35" borderId="91" xfId="0" applyFont="1" applyFill="1" applyBorder="1" applyAlignment="1">
      <alignment horizontal="center" vertical="center"/>
    </xf>
    <xf numFmtId="0" fontId="77" fillId="35" borderId="93" xfId="0" applyFont="1" applyFill="1" applyBorder="1" applyAlignment="1">
      <alignment horizontal="center" vertical="center"/>
    </xf>
    <xf numFmtId="0" fontId="73" fillId="0" borderId="94" xfId="0" applyFont="1" applyFill="1" applyBorder="1"/>
    <xf numFmtId="0" fontId="74" fillId="0" borderId="94" xfId="0" applyFont="1" applyFill="1" applyBorder="1"/>
    <xf numFmtId="0" fontId="74" fillId="35" borderId="94" xfId="0" applyFont="1" applyFill="1" applyBorder="1"/>
    <xf numFmtId="0" fontId="74" fillId="31" borderId="94" xfId="0" applyFont="1" applyFill="1" applyBorder="1"/>
    <xf numFmtId="0" fontId="74" fillId="37" borderId="94" xfId="0" applyFont="1" applyFill="1" applyBorder="1"/>
    <xf numFmtId="0" fontId="78" fillId="35" borderId="91" xfId="0" applyFont="1" applyFill="1" applyBorder="1" applyAlignment="1">
      <alignment horizontal="center" vertical="center"/>
    </xf>
    <xf numFmtId="0" fontId="78" fillId="35" borderId="93" xfId="0" applyFont="1" applyFill="1" applyBorder="1" applyAlignment="1">
      <alignment horizontal="center" vertical="center"/>
    </xf>
    <xf numFmtId="14" fontId="0" fillId="0" borderId="0" xfId="0" applyNumberFormat="1" applyFill="1"/>
    <xf numFmtId="165" fontId="0" fillId="0" borderId="0" xfId="0" applyNumberFormat="1"/>
    <xf numFmtId="14" fontId="26" fillId="0" borderId="0" xfId="0" applyNumberFormat="1" applyFont="1"/>
    <xf numFmtId="14" fontId="27" fillId="0" borderId="0" xfId="77" applyNumberFormat="1"/>
    <xf numFmtId="2" fontId="27" fillId="0" borderId="0" xfId="77" applyNumberFormat="1"/>
    <xf numFmtId="165" fontId="0" fillId="0" borderId="17" xfId="0" applyNumberFormat="1" applyBorder="1"/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0" xfId="9" applyFont="1" applyBorder="1" applyAlignment="1">
      <alignment horizontal="left"/>
    </xf>
    <xf numFmtId="0" fontId="9" fillId="0" borderId="1" xfId="9" applyFont="1" applyBorder="1" applyAlignment="1">
      <alignment horizontal="left" vertical="center"/>
    </xf>
    <xf numFmtId="0" fontId="10" fillId="0" borderId="2" xfId="9" applyFont="1" applyBorder="1" applyAlignment="1">
      <alignment horizontal="left"/>
    </xf>
    <xf numFmtId="0" fontId="9" fillId="0" borderId="3" xfId="9" applyFont="1" applyBorder="1" applyAlignment="1">
      <alignment horizontal="left"/>
    </xf>
    <xf numFmtId="0" fontId="11" fillId="0" borderId="4" xfId="9" applyFont="1" applyBorder="1" applyAlignment="1">
      <alignment horizontal="left"/>
    </xf>
    <xf numFmtId="0" fontId="14" fillId="0" borderId="1" xfId="9" applyFont="1" applyBorder="1" applyAlignment="1">
      <alignment horizontal="left" vertical="center" wrapText="1"/>
    </xf>
    <xf numFmtId="0" fontId="9" fillId="0" borderId="1" xfId="9" applyFont="1" applyFill="1" applyBorder="1" applyAlignment="1">
      <alignment horizontal="left" vertical="center" wrapText="1"/>
    </xf>
    <xf numFmtId="0" fontId="5" fillId="0" borderId="1" xfId="9" applyFont="1" applyFill="1" applyBorder="1" applyAlignment="1">
      <alignment horizontal="left" vertical="center" wrapText="1"/>
    </xf>
    <xf numFmtId="0" fontId="33" fillId="0" borderId="0" xfId="13" applyFont="1" applyBorder="1" applyAlignment="1">
      <alignment horizontal="center"/>
    </xf>
    <xf numFmtId="0" fontId="24" fillId="0" borderId="0" xfId="13" applyBorder="1" applyAlignment="1">
      <alignment horizontal="center" vertical="center"/>
    </xf>
    <xf numFmtId="0" fontId="24" fillId="0" borderId="0" xfId="13" applyAlignment="1">
      <alignment horizontal="center"/>
    </xf>
    <xf numFmtId="0" fontId="77" fillId="35" borderId="91" xfId="0" applyFont="1" applyFill="1" applyBorder="1" applyAlignment="1">
      <alignment horizontal="center" vertical="center"/>
    </xf>
    <xf numFmtId="0" fontId="77" fillId="35" borderId="93" xfId="0" applyFont="1" applyFill="1" applyBorder="1" applyAlignment="1">
      <alignment horizontal="center" vertical="center"/>
    </xf>
    <xf numFmtId="0" fontId="78" fillId="35" borderId="91" xfId="0" applyFont="1" applyFill="1" applyBorder="1" applyAlignment="1">
      <alignment horizontal="center" vertical="center"/>
    </xf>
    <xf numFmtId="0" fontId="78" fillId="35" borderId="93" xfId="0" applyFont="1" applyFill="1" applyBorder="1" applyAlignment="1">
      <alignment horizontal="center" vertical="center"/>
    </xf>
    <xf numFmtId="0" fontId="77" fillId="0" borderId="91" xfId="0" applyFont="1" applyBorder="1" applyAlignment="1">
      <alignment horizontal="center" vertical="center"/>
    </xf>
    <xf numFmtId="0" fontId="77" fillId="0" borderId="93" xfId="0" applyFont="1" applyBorder="1" applyAlignment="1">
      <alignment horizontal="center" vertical="center"/>
    </xf>
    <xf numFmtId="0" fontId="77" fillId="0" borderId="91" xfId="0" applyFont="1" applyBorder="1" applyAlignment="1">
      <alignment horizontal="center" vertical="center" wrapText="1"/>
    </xf>
    <xf numFmtId="0" fontId="77" fillId="0" borderId="93" xfId="0" applyFont="1" applyBorder="1" applyAlignment="1">
      <alignment horizontal="center" vertical="center" wrapText="1"/>
    </xf>
    <xf numFmtId="0" fontId="77" fillId="35" borderId="91" xfId="0" applyFont="1" applyFill="1" applyBorder="1" applyAlignment="1">
      <alignment horizontal="center" vertical="center" wrapText="1"/>
    </xf>
    <xf numFmtId="0" fontId="77" fillId="35" borderId="93" xfId="0" applyFont="1" applyFill="1" applyBorder="1" applyAlignment="1">
      <alignment horizontal="center" vertical="center" wrapText="1"/>
    </xf>
    <xf numFmtId="0" fontId="77" fillId="0" borderId="92" xfId="0" applyFont="1" applyBorder="1" applyAlignment="1">
      <alignment horizontal="center" vertical="center" wrapText="1"/>
    </xf>
    <xf numFmtId="0" fontId="77" fillId="0" borderId="89" xfId="0" applyFont="1" applyBorder="1" applyAlignment="1">
      <alignment horizontal="center" vertical="center" wrapText="1"/>
    </xf>
    <xf numFmtId="0" fontId="77" fillId="0" borderId="88" xfId="0" applyFont="1" applyBorder="1" applyAlignment="1">
      <alignment horizontal="center" vertical="center" wrapText="1"/>
    </xf>
    <xf numFmtId="0" fontId="76" fillId="0" borderId="91" xfId="0" applyFont="1" applyBorder="1" applyAlignment="1">
      <alignment horizontal="center" vertical="center" wrapText="1"/>
    </xf>
    <xf numFmtId="0" fontId="76" fillId="0" borderId="89" xfId="0" applyFont="1" applyBorder="1" applyAlignment="1">
      <alignment horizontal="center" vertical="center" wrapText="1"/>
    </xf>
    <xf numFmtId="0" fontId="76" fillId="0" borderId="88" xfId="0" applyFont="1" applyBorder="1" applyAlignment="1">
      <alignment horizontal="center" vertical="center" wrapText="1"/>
    </xf>
    <xf numFmtId="49" fontId="61" fillId="30" borderId="45" xfId="77" applyNumberFormat="1" applyFont="1" applyFill="1" applyBorder="1" applyAlignment="1">
      <alignment horizontal="center"/>
    </xf>
    <xf numFmtId="49" fontId="61" fillId="30" borderId="34" xfId="77" applyNumberFormat="1" applyFont="1" applyFill="1" applyBorder="1" applyAlignment="1">
      <alignment horizontal="center"/>
    </xf>
    <xf numFmtId="49" fontId="61" fillId="30" borderId="43" xfId="77" applyNumberFormat="1" applyFont="1" applyFill="1" applyBorder="1" applyAlignment="1">
      <alignment horizontal="center"/>
    </xf>
    <xf numFmtId="49" fontId="61" fillId="30" borderId="31" xfId="77" applyNumberFormat="1" applyFont="1" applyFill="1" applyBorder="1" applyAlignment="1">
      <alignment horizontal="center"/>
    </xf>
    <xf numFmtId="166" fontId="25" fillId="0" borderId="35" xfId="0" applyNumberFormat="1" applyFont="1" applyFill="1" applyBorder="1" applyAlignment="1">
      <alignment horizontal="center" wrapText="1"/>
    </xf>
    <xf numFmtId="166" fontId="25" fillId="0" borderId="46" xfId="0" applyNumberFormat="1" applyFont="1" applyFill="1" applyBorder="1" applyAlignment="1">
      <alignment horizontal="center" wrapText="1"/>
    </xf>
    <xf numFmtId="0" fontId="67" fillId="30" borderId="39" xfId="13" applyFont="1" applyFill="1" applyBorder="1" applyAlignment="1">
      <alignment horizontal="center"/>
    </xf>
    <xf numFmtId="0" fontId="67" fillId="30" borderId="44" xfId="13" applyFont="1" applyFill="1" applyBorder="1" applyAlignment="1">
      <alignment horizontal="center"/>
    </xf>
    <xf numFmtId="0" fontId="35" fillId="30" borderId="17" xfId="13" applyFont="1" applyFill="1" applyBorder="1" applyAlignment="1">
      <alignment horizontal="center"/>
    </xf>
    <xf numFmtId="0" fontId="35" fillId="30" borderId="35" xfId="13" applyFont="1" applyFill="1" applyBorder="1" applyAlignment="1">
      <alignment horizontal="center"/>
    </xf>
    <xf numFmtId="166" fontId="25" fillId="0" borderId="36" xfId="0" applyNumberFormat="1" applyFont="1" applyFill="1" applyBorder="1" applyAlignment="1">
      <alignment horizontal="center" wrapText="1"/>
    </xf>
    <xf numFmtId="167" fontId="24" fillId="0" borderId="17" xfId="13" applyNumberFormat="1" applyBorder="1" applyAlignment="1">
      <alignment horizontal="center"/>
    </xf>
    <xf numFmtId="166" fontId="25" fillId="0" borderId="76" xfId="0" applyNumberFormat="1" applyFont="1" applyFill="1" applyBorder="1" applyAlignment="1">
      <alignment horizontal="center" wrapText="1"/>
    </xf>
    <xf numFmtId="166" fontId="25" fillId="0" borderId="63" xfId="0" applyNumberFormat="1" applyFont="1" applyFill="1" applyBorder="1" applyAlignment="1">
      <alignment horizontal="center" wrapText="1"/>
    </xf>
    <xf numFmtId="167" fontId="24" fillId="0" borderId="50" xfId="13" applyNumberFormat="1" applyBorder="1" applyAlignment="1">
      <alignment horizontal="center"/>
    </xf>
    <xf numFmtId="166" fontId="25" fillId="0" borderId="62" xfId="0" applyNumberFormat="1" applyFont="1" applyFill="1" applyBorder="1" applyAlignment="1">
      <alignment horizontal="center" wrapText="1"/>
    </xf>
    <xf numFmtId="166" fontId="25" fillId="0" borderId="64" xfId="0" applyNumberFormat="1" applyFont="1" applyFill="1" applyBorder="1" applyAlignment="1">
      <alignment horizontal="center" wrapText="1"/>
    </xf>
    <xf numFmtId="167" fontId="24" fillId="0" borderId="57" xfId="13" applyNumberFormat="1" applyBorder="1" applyAlignment="1">
      <alignment horizontal="center"/>
    </xf>
    <xf numFmtId="0" fontId="0" fillId="0" borderId="83" xfId="0" applyFill="1" applyBorder="1" applyAlignment="1">
      <alignment horizontal="center"/>
    </xf>
    <xf numFmtId="0" fontId="0" fillId="0" borderId="82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57" xfId="0" applyFill="1" applyBorder="1" applyAlignment="1">
      <alignment horizontal="center"/>
    </xf>
    <xf numFmtId="167" fontId="24" fillId="0" borderId="81" xfId="13" applyNumberFormat="1" applyBorder="1" applyAlignment="1">
      <alignment horizontal="center"/>
    </xf>
    <xf numFmtId="167" fontId="24" fillId="0" borderId="82" xfId="13" applyNumberFormat="1" applyBorder="1" applyAlignment="1">
      <alignment horizontal="center"/>
    </xf>
    <xf numFmtId="0" fontId="35" fillId="31" borderId="0" xfId="0" applyFont="1" applyFill="1" applyAlignment="1">
      <alignment horizontal="center"/>
    </xf>
    <xf numFmtId="0" fontId="74" fillId="34" borderId="0" xfId="0" applyFont="1" applyFill="1" applyAlignment="1">
      <alignment horizontal="center"/>
    </xf>
    <xf numFmtId="0" fontId="74" fillId="0" borderId="0" xfId="0" applyFont="1" applyFill="1" applyAlignment="1">
      <alignment horizontal="center"/>
    </xf>
    <xf numFmtId="0" fontId="27" fillId="0" borderId="41" xfId="77" applyFont="1" applyFill="1" applyBorder="1" applyAlignment="1">
      <alignment horizontal="center"/>
    </xf>
    <xf numFmtId="0" fontId="27" fillId="0" borderId="30" xfId="77" applyFont="1" applyFill="1" applyBorder="1" applyAlignment="1">
      <alignment horizontal="center"/>
    </xf>
    <xf numFmtId="0" fontId="27" fillId="0" borderId="56" xfId="77" applyFont="1" applyFill="1" applyBorder="1" applyAlignment="1">
      <alignment horizontal="center"/>
    </xf>
  </cellXfs>
  <cellStyles count="109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_Data" xfId="108"/>
    <cellStyle name="Normalny 2" xfId="11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85725</xdr:colOff>
      <xdr:row>17</xdr:row>
      <xdr:rowOff>76200</xdr:rowOff>
    </xdr:from>
    <xdr:to>
      <xdr:col>48</xdr:col>
      <xdr:colOff>219075</xdr:colOff>
      <xdr:row>18</xdr:row>
      <xdr:rowOff>180975</xdr:rowOff>
    </xdr:to>
    <xdr:sp macro="" textlink="">
      <xdr:nvSpPr>
        <xdr:cNvPr id="2" name="Flèche vers le haut 1"/>
        <xdr:cNvSpPr/>
      </xdr:nvSpPr>
      <xdr:spPr>
        <a:xfrm>
          <a:off x="13201650" y="3314700"/>
          <a:ext cx="133350" cy="2952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42</xdr:col>
      <xdr:colOff>114300</xdr:colOff>
      <xdr:row>17</xdr:row>
      <xdr:rowOff>38100</xdr:rowOff>
    </xdr:from>
    <xdr:to>
      <xdr:col>42</xdr:col>
      <xdr:colOff>247650</xdr:colOff>
      <xdr:row>18</xdr:row>
      <xdr:rowOff>142875</xdr:rowOff>
    </xdr:to>
    <xdr:sp macro="" textlink="">
      <xdr:nvSpPr>
        <xdr:cNvPr id="3" name="Flèche vers le haut 2"/>
        <xdr:cNvSpPr/>
      </xdr:nvSpPr>
      <xdr:spPr>
        <a:xfrm>
          <a:off x="11630025" y="3276600"/>
          <a:ext cx="133350" cy="2952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D1" zoomScale="90" zoomScaleNormal="90" workbookViewId="0">
      <selection activeCell="H23" sqref="H23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97" t="s">
        <v>5</v>
      </c>
      <c r="B5" s="397"/>
      <c r="C5" s="397"/>
      <c r="D5" s="397"/>
      <c r="E5" s="397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98" t="s">
        <v>6</v>
      </c>
      <c r="B7" s="399" t="s">
        <v>7</v>
      </c>
      <c r="C7" s="399"/>
      <c r="D7" s="399"/>
      <c r="E7" s="399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98"/>
      <c r="B8" s="400" t="s">
        <v>8</v>
      </c>
      <c r="C8" s="400"/>
      <c r="D8" s="400"/>
      <c r="E8" s="400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98"/>
      <c r="B9" s="401" t="s">
        <v>9</v>
      </c>
      <c r="C9" s="401"/>
      <c r="D9" s="401"/>
      <c r="E9" s="401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402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402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403" t="s">
        <v>29</v>
      </c>
      <c r="B69" s="404" t="s">
        <v>196</v>
      </c>
      <c r="C69" s="87" t="s">
        <v>197</v>
      </c>
      <c r="D69" s="87" t="s">
        <v>198</v>
      </c>
      <c r="E69" s="396" t="s">
        <v>199</v>
      </c>
      <c r="F69" s="396" t="s">
        <v>200</v>
      </c>
      <c r="G69" s="396" t="s">
        <v>201</v>
      </c>
      <c r="H69" s="396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403"/>
      <c r="B70" s="404"/>
      <c r="C70" s="90" t="s">
        <v>204</v>
      </c>
      <c r="D70" s="90" t="s">
        <v>205</v>
      </c>
      <c r="E70" s="396"/>
      <c r="F70" s="396"/>
      <c r="G70" s="396"/>
      <c r="H70" s="396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W4"/>
  <sheetViews>
    <sheetView zoomScale="95" zoomScaleNormal="95" workbookViewId="0">
      <selection activeCell="E2" sqref="E2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223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>
      <c r="A2" s="111" t="s">
        <v>8211</v>
      </c>
      <c r="B2" s="111" t="s">
        <v>8212</v>
      </c>
      <c r="C2" s="365">
        <v>41522</v>
      </c>
      <c r="D2" s="365">
        <v>41471</v>
      </c>
      <c r="G2" s="112" t="s">
        <v>7447</v>
      </c>
      <c r="N2" s="112" t="s">
        <v>243</v>
      </c>
    </row>
    <row r="3" spans="1:23">
      <c r="R3" s="179"/>
      <c r="S3" s="179"/>
      <c r="T3" s="180"/>
      <c r="U3" s="180"/>
      <c r="V3" s="180"/>
      <c r="W3" s="180"/>
    </row>
    <row r="4" spans="1:23">
      <c r="R4" s="181"/>
      <c r="S4" s="181"/>
      <c r="T4" s="181"/>
      <c r="U4" s="181"/>
      <c r="V4" s="181"/>
      <c r="W4" s="181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F2" sqref="F2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8208</v>
      </c>
      <c r="B2" s="118" t="s">
        <v>8294</v>
      </c>
      <c r="C2" s="118" t="s">
        <v>8293</v>
      </c>
      <c r="G2" s="117" t="s">
        <v>8209</v>
      </c>
      <c r="H2" s="263"/>
      <c r="I2" s="263"/>
      <c r="J2" s="118" t="s">
        <v>8210</v>
      </c>
      <c r="K2" s="112">
        <v>21106002</v>
      </c>
      <c r="L2" s="112" t="s">
        <v>8292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X10"/>
  <sheetViews>
    <sheetView zoomScale="95" zoomScaleNormal="95" workbookViewId="0">
      <selection activeCell="B8" sqref="B8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A2" s="123" t="s">
        <v>261</v>
      </c>
      <c r="B2" s="123" t="s">
        <v>8223</v>
      </c>
      <c r="C2" s="123" t="s">
        <v>8224</v>
      </c>
      <c r="D2"/>
      <c r="E2"/>
      <c r="F2" s="123" t="s">
        <v>8221</v>
      </c>
      <c r="G2" s="123" t="s">
        <v>8227</v>
      </c>
      <c r="H2" s="189"/>
    </row>
    <row r="3" spans="1:24">
      <c r="B3" s="123" t="s">
        <v>8225</v>
      </c>
      <c r="C3" s="123" t="s">
        <v>8226</v>
      </c>
      <c r="D3" s="192"/>
      <c r="E3"/>
      <c r="F3" s="123" t="s">
        <v>8222</v>
      </c>
      <c r="G3" s="123" t="s">
        <v>8227</v>
      </c>
      <c r="H3" s="189"/>
    </row>
    <row r="8" spans="1:24">
      <c r="K8" s="182"/>
      <c r="L8" s="183"/>
      <c r="M8" s="183"/>
      <c r="N8" s="183"/>
      <c r="O8" s="180"/>
      <c r="P8" s="184"/>
      <c r="Q8" s="185"/>
      <c r="R8" s="186"/>
      <c r="S8" s="186"/>
      <c r="T8" s="186"/>
      <c r="U8" s="185"/>
      <c r="V8" s="186"/>
      <c r="W8" s="186"/>
      <c r="X8" s="185"/>
    </row>
    <row r="9" spans="1:24">
      <c r="L9" s="187"/>
      <c r="M9" s="187"/>
      <c r="N9" s="188"/>
      <c r="Q9" s="189"/>
      <c r="R9" s="189"/>
      <c r="S9" s="189"/>
      <c r="T9" s="190"/>
      <c r="U9" s="189"/>
      <c r="V9" s="189"/>
      <c r="W9" s="189"/>
      <c r="X9" s="191"/>
    </row>
    <row r="10" spans="1:24">
      <c r="K10" s="192"/>
      <c r="L10" s="187"/>
      <c r="M10" s="187"/>
      <c r="N10" s="188"/>
      <c r="O10" s="192"/>
      <c r="Q10" s="189"/>
      <c r="R10" s="189"/>
      <c r="S10" s="189"/>
      <c r="T10" s="190"/>
      <c r="U10" s="189"/>
      <c r="V10" s="189"/>
      <c r="W10" s="189"/>
      <c r="X10" s="19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8"/>
  <sheetViews>
    <sheetView zoomScale="70" zoomScaleNormal="70" workbookViewId="0">
      <selection activeCell="D16" sqref="D16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5" t="s">
        <v>126</v>
      </c>
      <c r="B1" s="155" t="s">
        <v>127</v>
      </c>
      <c r="C1" s="156" t="s">
        <v>128</v>
      </c>
      <c r="D1" s="157" t="s">
        <v>29</v>
      </c>
      <c r="E1" s="157" t="s">
        <v>129</v>
      </c>
      <c r="F1" s="157" t="s">
        <v>130</v>
      </c>
      <c r="G1" s="158" t="s">
        <v>131</v>
      </c>
      <c r="H1" s="158" t="s">
        <v>74</v>
      </c>
    </row>
    <row r="2" spans="1:8" s="138" customFormat="1" ht="90" thickBot="1">
      <c r="A2" s="166" t="s">
        <v>244</v>
      </c>
      <c r="B2" s="166" t="s">
        <v>7891</v>
      </c>
      <c r="C2" s="167" t="s">
        <v>7892</v>
      </c>
      <c r="D2" s="168" t="s">
        <v>7893</v>
      </c>
      <c r="E2" s="168" t="s">
        <v>7894</v>
      </c>
      <c r="F2" s="168" t="s">
        <v>7895</v>
      </c>
      <c r="G2" s="169"/>
      <c r="H2" s="169"/>
    </row>
    <row r="3" spans="1:8" ht="38.25">
      <c r="A3" s="159" t="s">
        <v>244</v>
      </c>
      <c r="B3" s="159" t="s">
        <v>7896</v>
      </c>
      <c r="C3" s="160" t="s">
        <v>7897</v>
      </c>
      <c r="D3" s="161" t="s">
        <v>7898</v>
      </c>
      <c r="E3" s="161" t="s">
        <v>7899</v>
      </c>
      <c r="F3" s="162" t="s">
        <v>7900</v>
      </c>
      <c r="G3" s="163"/>
      <c r="H3" s="163"/>
    </row>
    <row r="4" spans="1:8" ht="38.25">
      <c r="A4" s="159" t="s">
        <v>244</v>
      </c>
      <c r="B4" s="159" t="s">
        <v>7901</v>
      </c>
      <c r="C4" s="160" t="s">
        <v>7902</v>
      </c>
      <c r="D4" s="161" t="s">
        <v>7903</v>
      </c>
      <c r="E4" s="161" t="s">
        <v>246</v>
      </c>
      <c r="F4" s="162" t="s">
        <v>7904</v>
      </c>
      <c r="G4" s="163"/>
      <c r="H4" s="163"/>
    </row>
    <row r="5" spans="1:8" ht="63.75">
      <c r="A5" s="159" t="s">
        <v>244</v>
      </c>
      <c r="B5" s="159" t="s">
        <v>7905</v>
      </c>
      <c r="C5" s="160" t="s">
        <v>7906</v>
      </c>
      <c r="D5" s="161" t="s">
        <v>7907</v>
      </c>
      <c r="E5" s="161" t="s">
        <v>247</v>
      </c>
      <c r="F5" s="162" t="s">
        <v>7908</v>
      </c>
      <c r="G5" s="163"/>
      <c r="H5" s="163"/>
    </row>
    <row r="6" spans="1:8" ht="38.25">
      <c r="A6" s="159" t="s">
        <v>244</v>
      </c>
      <c r="B6" s="159" t="s">
        <v>7909</v>
      </c>
      <c r="C6" s="160" t="s">
        <v>7910</v>
      </c>
      <c r="D6" s="161" t="s">
        <v>7911</v>
      </c>
      <c r="E6" s="161" t="s">
        <v>247</v>
      </c>
      <c r="F6" s="162" t="s">
        <v>7912</v>
      </c>
      <c r="G6" s="163"/>
      <c r="H6" s="163"/>
    </row>
    <row r="7" spans="1:8">
      <c r="A7" s="159" t="s">
        <v>244</v>
      </c>
      <c r="B7" s="159" t="s">
        <v>254</v>
      </c>
      <c r="C7" s="160" t="s">
        <v>7854</v>
      </c>
      <c r="D7" s="161" t="s">
        <v>7913</v>
      </c>
      <c r="E7" s="161" t="s">
        <v>7914</v>
      </c>
      <c r="F7" s="162" t="s">
        <v>7915</v>
      </c>
      <c r="G7" s="163"/>
      <c r="H7" s="163"/>
    </row>
    <row r="8" spans="1:8" ht="38.25">
      <c r="A8" s="159" t="s">
        <v>244</v>
      </c>
      <c r="B8" s="159" t="s">
        <v>7916</v>
      </c>
      <c r="C8" s="160" t="s">
        <v>7917</v>
      </c>
      <c r="D8" s="161" t="s">
        <v>7918</v>
      </c>
      <c r="E8" s="161" t="s">
        <v>245</v>
      </c>
      <c r="F8" s="162" t="s">
        <v>7919</v>
      </c>
      <c r="G8" s="163"/>
      <c r="H8" s="163"/>
    </row>
    <row r="9" spans="1:8" ht="25.5">
      <c r="A9" s="159" t="s">
        <v>244</v>
      </c>
      <c r="B9" s="159" t="s">
        <v>7920</v>
      </c>
      <c r="C9" s="160" t="s">
        <v>7921</v>
      </c>
      <c r="D9" s="161" t="s">
        <v>7922</v>
      </c>
      <c r="E9" s="161" t="s">
        <v>7899</v>
      </c>
      <c r="F9" s="162" t="s">
        <v>7923</v>
      </c>
      <c r="G9" s="163"/>
      <c r="H9" s="163"/>
    </row>
    <row r="10" spans="1:8">
      <c r="A10" s="159" t="s">
        <v>244</v>
      </c>
      <c r="B10" s="159" t="s">
        <v>253</v>
      </c>
      <c r="C10" s="160" t="s">
        <v>7853</v>
      </c>
      <c r="D10" s="161" t="s">
        <v>7924</v>
      </c>
      <c r="E10" s="161" t="s">
        <v>7914</v>
      </c>
      <c r="F10" s="162" t="s">
        <v>7925</v>
      </c>
      <c r="G10" s="163"/>
      <c r="H10" s="163"/>
    </row>
    <row r="11" spans="1:8">
      <c r="A11" s="159" t="s">
        <v>244</v>
      </c>
      <c r="B11" s="159" t="s">
        <v>251</v>
      </c>
      <c r="C11" s="160" t="s">
        <v>7926</v>
      </c>
      <c r="D11" s="161" t="s">
        <v>7927</v>
      </c>
      <c r="E11" s="161" t="s">
        <v>7928</v>
      </c>
      <c r="F11" s="162" t="s">
        <v>7929</v>
      </c>
      <c r="G11" s="163"/>
      <c r="H11" s="163"/>
    </row>
    <row r="12" spans="1:8" ht="25.5">
      <c r="A12" s="159" t="s">
        <v>244</v>
      </c>
      <c r="B12" s="159" t="s">
        <v>248</v>
      </c>
      <c r="C12" s="160" t="s">
        <v>7930</v>
      </c>
      <c r="D12" s="161" t="s">
        <v>7931</v>
      </c>
      <c r="E12" s="161" t="s">
        <v>7914</v>
      </c>
      <c r="F12" s="162" t="s">
        <v>7932</v>
      </c>
      <c r="G12" s="163"/>
      <c r="H12" s="163"/>
    </row>
    <row r="13" spans="1:8" ht="38.25">
      <c r="A13" s="159" t="s">
        <v>244</v>
      </c>
      <c r="B13" s="159" t="s">
        <v>7933</v>
      </c>
      <c r="C13" s="160" t="s">
        <v>7934</v>
      </c>
      <c r="D13" s="161" t="s">
        <v>7935</v>
      </c>
      <c r="E13" s="161" t="s">
        <v>7914</v>
      </c>
      <c r="F13" s="162" t="s">
        <v>7936</v>
      </c>
      <c r="G13" s="163"/>
      <c r="H13" s="163"/>
    </row>
    <row r="14" spans="1:8" ht="60.75" customHeight="1">
      <c r="A14" s="159" t="s">
        <v>244</v>
      </c>
      <c r="B14" s="159" t="s">
        <v>249</v>
      </c>
      <c r="C14" s="160" t="s">
        <v>7937</v>
      </c>
      <c r="D14" s="161" t="s">
        <v>7938</v>
      </c>
      <c r="E14" s="161" t="s">
        <v>250</v>
      </c>
      <c r="F14" s="162" t="s">
        <v>8043</v>
      </c>
      <c r="G14" s="163"/>
      <c r="H14" s="163"/>
    </row>
    <row r="15" spans="1:8" ht="25.5">
      <c r="A15" s="159" t="s">
        <v>244</v>
      </c>
      <c r="B15" s="159" t="s">
        <v>8044</v>
      </c>
      <c r="C15" s="160" t="s">
        <v>7939</v>
      </c>
      <c r="D15" s="161" t="s">
        <v>7940</v>
      </c>
      <c r="E15" s="161" t="s">
        <v>143</v>
      </c>
      <c r="F15" s="162" t="s">
        <v>7941</v>
      </c>
      <c r="G15" s="163"/>
      <c r="H15" s="163"/>
    </row>
    <row r="16" spans="1:8" ht="60">
      <c r="A16" s="159" t="s">
        <v>244</v>
      </c>
      <c r="B16" s="159" t="s">
        <v>7942</v>
      </c>
      <c r="C16" s="160" t="s">
        <v>7943</v>
      </c>
      <c r="D16" s="161" t="s">
        <v>7944</v>
      </c>
      <c r="E16" s="161" t="s">
        <v>7945</v>
      </c>
      <c r="F16" s="162" t="s">
        <v>7946</v>
      </c>
      <c r="G16" s="163"/>
      <c r="H16" s="164"/>
    </row>
    <row r="17" spans="1:8" ht="36">
      <c r="A17" s="159" t="s">
        <v>244</v>
      </c>
      <c r="B17" s="159" t="s">
        <v>7947</v>
      </c>
      <c r="C17" s="160" t="s">
        <v>7948</v>
      </c>
      <c r="D17" s="161" t="s">
        <v>7949</v>
      </c>
      <c r="E17" s="161" t="s">
        <v>7950</v>
      </c>
      <c r="F17" s="162" t="s">
        <v>7946</v>
      </c>
      <c r="G17" s="163"/>
      <c r="H17" s="163"/>
    </row>
    <row r="18" spans="1:8" ht="36">
      <c r="A18" s="159" t="s">
        <v>244</v>
      </c>
      <c r="B18" s="159" t="s">
        <v>7951</v>
      </c>
      <c r="C18" s="160" t="s">
        <v>7952</v>
      </c>
      <c r="D18" s="161" t="s">
        <v>7953</v>
      </c>
      <c r="E18" s="161" t="s">
        <v>7950</v>
      </c>
      <c r="F18" s="162" t="s">
        <v>7946</v>
      </c>
      <c r="G18" s="163"/>
      <c r="H18" s="163"/>
    </row>
    <row r="19" spans="1:8" ht="114.75">
      <c r="A19" s="170" t="s">
        <v>244</v>
      </c>
      <c r="B19" s="170" t="s">
        <v>7954</v>
      </c>
      <c r="C19" s="171" t="s">
        <v>7955</v>
      </c>
      <c r="D19" s="172" t="s">
        <v>7956</v>
      </c>
      <c r="E19" s="172" t="s">
        <v>7950</v>
      </c>
      <c r="F19" s="173" t="s">
        <v>7957</v>
      </c>
      <c r="G19" s="174"/>
      <c r="H19" s="174"/>
    </row>
    <row r="20" spans="1:8" ht="36">
      <c r="A20" s="159" t="s">
        <v>244</v>
      </c>
      <c r="B20" s="159" t="s">
        <v>7958</v>
      </c>
      <c r="C20" s="160" t="s">
        <v>7959</v>
      </c>
      <c r="D20" s="165" t="s">
        <v>7960</v>
      </c>
      <c r="E20" s="161" t="s">
        <v>7950</v>
      </c>
      <c r="F20" s="162" t="s">
        <v>7946</v>
      </c>
      <c r="G20" s="163"/>
      <c r="H20" s="163"/>
    </row>
    <row r="21" spans="1:8" ht="36">
      <c r="A21" s="159" t="s">
        <v>244</v>
      </c>
      <c r="B21" s="159" t="s">
        <v>7961</v>
      </c>
      <c r="C21" s="160" t="s">
        <v>7962</v>
      </c>
      <c r="D21" s="161" t="s">
        <v>7963</v>
      </c>
      <c r="E21" s="161" t="s">
        <v>7950</v>
      </c>
      <c r="F21" s="162" t="s">
        <v>7946</v>
      </c>
      <c r="G21" s="163"/>
      <c r="H21" s="163"/>
    </row>
    <row r="22" spans="1:8" ht="36">
      <c r="A22" s="159" t="s">
        <v>244</v>
      </c>
      <c r="B22" s="159" t="s">
        <v>7964</v>
      </c>
      <c r="C22" s="160" t="s">
        <v>7965</v>
      </c>
      <c r="D22" s="161" t="s">
        <v>7966</v>
      </c>
      <c r="E22" s="161" t="s">
        <v>7950</v>
      </c>
      <c r="F22" s="162" t="s">
        <v>7946</v>
      </c>
      <c r="G22" s="163"/>
      <c r="H22" s="163"/>
    </row>
    <row r="23" spans="1:8" ht="76.5">
      <c r="A23" s="159" t="s">
        <v>244</v>
      </c>
      <c r="B23" s="159" t="s">
        <v>7967</v>
      </c>
      <c r="C23" s="160" t="s">
        <v>7968</v>
      </c>
      <c r="D23" s="161" t="s">
        <v>7969</v>
      </c>
      <c r="E23" s="161" t="s">
        <v>7950</v>
      </c>
      <c r="F23" s="162" t="s">
        <v>7970</v>
      </c>
      <c r="G23" s="163"/>
      <c r="H23" s="163"/>
    </row>
    <row r="24" spans="1:8" ht="36">
      <c r="A24" s="159" t="s">
        <v>244</v>
      </c>
      <c r="B24" s="159" t="s">
        <v>7971</v>
      </c>
      <c r="C24" s="160" t="s">
        <v>7972</v>
      </c>
      <c r="D24" s="161" t="s">
        <v>7973</v>
      </c>
      <c r="E24" s="161" t="s">
        <v>7950</v>
      </c>
      <c r="F24" s="162" t="s">
        <v>7946</v>
      </c>
      <c r="G24" s="163"/>
      <c r="H24" s="164"/>
    </row>
    <row r="25" spans="1:8" ht="89.25">
      <c r="A25" s="159" t="s">
        <v>244</v>
      </c>
      <c r="B25" s="159" t="s">
        <v>7974</v>
      </c>
      <c r="C25" s="160" t="s">
        <v>7975</v>
      </c>
      <c r="D25" s="161" t="s">
        <v>7976</v>
      </c>
      <c r="E25" s="161" t="s">
        <v>7950</v>
      </c>
      <c r="F25" s="162" t="s">
        <v>7977</v>
      </c>
      <c r="G25" s="163"/>
      <c r="H25" s="164"/>
    </row>
    <row r="26" spans="1:8" ht="38.25">
      <c r="A26" s="159" t="s">
        <v>244</v>
      </c>
      <c r="B26" s="159" t="s">
        <v>7978</v>
      </c>
      <c r="C26" s="160" t="s">
        <v>7979</v>
      </c>
      <c r="D26" s="161" t="s">
        <v>7980</v>
      </c>
      <c r="E26" s="161" t="s">
        <v>247</v>
      </c>
      <c r="F26" s="162" t="s">
        <v>7981</v>
      </c>
      <c r="G26" s="163"/>
      <c r="H26" s="164"/>
    </row>
    <row r="27" spans="1:8">
      <c r="A27" s="159" t="s">
        <v>244</v>
      </c>
      <c r="B27" s="159" t="s">
        <v>7982</v>
      </c>
      <c r="C27" s="160" t="s">
        <v>7983</v>
      </c>
      <c r="D27" s="161" t="s">
        <v>7984</v>
      </c>
      <c r="E27" s="161" t="s">
        <v>7985</v>
      </c>
      <c r="F27" s="162" t="s">
        <v>7986</v>
      </c>
      <c r="G27" s="163"/>
      <c r="H27" s="164"/>
    </row>
    <row r="28" spans="1:8">
      <c r="A28" s="159" t="s">
        <v>244</v>
      </c>
      <c r="B28" s="159" t="s">
        <v>7987</v>
      </c>
      <c r="C28" s="160" t="s">
        <v>7988</v>
      </c>
      <c r="D28" s="161" t="s">
        <v>7989</v>
      </c>
      <c r="E28" s="161" t="s">
        <v>7985</v>
      </c>
      <c r="F28" s="162" t="s">
        <v>7986</v>
      </c>
      <c r="G28" s="163"/>
      <c r="H28" s="164"/>
    </row>
    <row r="29" spans="1:8">
      <c r="A29" s="159" t="s">
        <v>244</v>
      </c>
      <c r="B29" s="159" t="s">
        <v>7990</v>
      </c>
      <c r="C29" s="160" t="s">
        <v>7991</v>
      </c>
      <c r="D29" s="161" t="s">
        <v>7992</v>
      </c>
      <c r="E29" s="161" t="s">
        <v>7985</v>
      </c>
      <c r="F29" s="162" t="s">
        <v>7986</v>
      </c>
      <c r="G29" s="163"/>
      <c r="H29" s="164"/>
    </row>
    <row r="30" spans="1:8">
      <c r="A30" s="159" t="s">
        <v>244</v>
      </c>
      <c r="B30" s="159" t="s">
        <v>7993</v>
      </c>
      <c r="C30" s="160" t="s">
        <v>7994</v>
      </c>
      <c r="D30" s="161" t="s">
        <v>7995</v>
      </c>
      <c r="E30" s="161" t="s">
        <v>7985</v>
      </c>
      <c r="F30" s="162" t="s">
        <v>7986</v>
      </c>
      <c r="G30" s="163"/>
      <c r="H30" s="164"/>
    </row>
    <row r="31" spans="1:8">
      <c r="A31" s="159" t="s">
        <v>244</v>
      </c>
      <c r="B31" s="159" t="s">
        <v>7996</v>
      </c>
      <c r="C31" s="160" t="s">
        <v>7997</v>
      </c>
      <c r="D31" s="161" t="s">
        <v>7998</v>
      </c>
      <c r="E31" s="161" t="s">
        <v>7985</v>
      </c>
      <c r="F31" s="162" t="s">
        <v>7986</v>
      </c>
      <c r="G31" s="163"/>
      <c r="H31" s="164"/>
    </row>
    <row r="32" spans="1:8">
      <c r="A32" s="159" t="s">
        <v>244</v>
      </c>
      <c r="B32" s="159" t="s">
        <v>7999</v>
      </c>
      <c r="C32" s="160" t="s">
        <v>8000</v>
      </c>
      <c r="D32" s="161" t="s">
        <v>8001</v>
      </c>
      <c r="E32" s="161" t="s">
        <v>7985</v>
      </c>
      <c r="F32" s="162" t="s">
        <v>7986</v>
      </c>
      <c r="G32" s="163"/>
      <c r="H32" s="164"/>
    </row>
    <row r="33" spans="1:8" ht="24">
      <c r="A33" s="159" t="s">
        <v>244</v>
      </c>
      <c r="B33" s="159" t="s">
        <v>252</v>
      </c>
      <c r="C33" s="160" t="s">
        <v>8002</v>
      </c>
      <c r="D33" s="161" t="s">
        <v>8003</v>
      </c>
      <c r="E33" s="161" t="s">
        <v>8004</v>
      </c>
      <c r="F33" s="162" t="s">
        <v>7986</v>
      </c>
      <c r="G33" s="163"/>
      <c r="H33" s="164"/>
    </row>
    <row r="34" spans="1:8" ht="24">
      <c r="A34" s="159" t="s">
        <v>244</v>
      </c>
      <c r="B34" s="159" t="s">
        <v>8005</v>
      </c>
      <c r="C34" s="160" t="s">
        <v>8006</v>
      </c>
      <c r="D34" s="161" t="s">
        <v>8007</v>
      </c>
      <c r="E34" s="161" t="s">
        <v>8004</v>
      </c>
      <c r="F34" s="162" t="s">
        <v>7986</v>
      </c>
      <c r="G34" s="163"/>
      <c r="H34" s="164"/>
    </row>
    <row r="35" spans="1:8">
      <c r="A35" s="159" t="s">
        <v>244</v>
      </c>
      <c r="B35" s="159" t="s">
        <v>8008</v>
      </c>
      <c r="C35" s="160" t="s">
        <v>7858</v>
      </c>
      <c r="D35" s="161" t="s">
        <v>8009</v>
      </c>
      <c r="E35" s="161" t="s">
        <v>8010</v>
      </c>
      <c r="F35" s="162" t="s">
        <v>7986</v>
      </c>
      <c r="G35" s="163"/>
      <c r="H35" s="164"/>
    </row>
    <row r="36" spans="1:8">
      <c r="A36" s="159" t="s">
        <v>244</v>
      </c>
      <c r="B36" s="159" t="s">
        <v>8011</v>
      </c>
      <c r="C36" s="160" t="s">
        <v>8012</v>
      </c>
      <c r="D36" s="161" t="s">
        <v>8013</v>
      </c>
      <c r="E36" s="161" t="s">
        <v>247</v>
      </c>
      <c r="F36" s="162" t="s">
        <v>7986</v>
      </c>
      <c r="G36" s="163"/>
      <c r="H36" s="163"/>
    </row>
    <row r="37" spans="1:8" ht="24">
      <c r="A37" s="159" t="s">
        <v>244</v>
      </c>
      <c r="B37" s="159" t="s">
        <v>8014</v>
      </c>
      <c r="C37" s="160" t="s">
        <v>8015</v>
      </c>
      <c r="D37" s="161" t="s">
        <v>8016</v>
      </c>
      <c r="E37" s="161" t="s">
        <v>8004</v>
      </c>
      <c r="F37" s="162" t="s">
        <v>7986</v>
      </c>
      <c r="G37" s="163"/>
      <c r="H37" s="163"/>
    </row>
    <row r="38" spans="1:8">
      <c r="A38" s="159" t="s">
        <v>244</v>
      </c>
      <c r="B38" s="159" t="s">
        <v>8017</v>
      </c>
      <c r="C38" s="160" t="s">
        <v>8018</v>
      </c>
      <c r="D38" s="161" t="s">
        <v>8019</v>
      </c>
      <c r="E38" s="161" t="s">
        <v>247</v>
      </c>
      <c r="F38" s="162" t="s">
        <v>8020</v>
      </c>
      <c r="G38" s="163"/>
      <c r="H38" s="163"/>
    </row>
    <row r="39" spans="1:8" ht="63.75">
      <c r="A39" s="159" t="s">
        <v>244</v>
      </c>
      <c r="B39" s="159" t="s">
        <v>8021</v>
      </c>
      <c r="C39" s="160" t="s">
        <v>8022</v>
      </c>
      <c r="D39" s="161" t="s">
        <v>8023</v>
      </c>
      <c r="E39" s="161" t="s">
        <v>247</v>
      </c>
      <c r="F39" s="162" t="s">
        <v>8024</v>
      </c>
      <c r="G39" s="163"/>
      <c r="H39" s="163"/>
    </row>
    <row r="40" spans="1:8" ht="63.75">
      <c r="A40" s="159" t="s">
        <v>244</v>
      </c>
      <c r="B40" s="159" t="s">
        <v>8025</v>
      </c>
      <c r="C40" s="160" t="s">
        <v>7857</v>
      </c>
      <c r="D40" s="161" t="s">
        <v>8026</v>
      </c>
      <c r="E40" s="161" t="s">
        <v>247</v>
      </c>
      <c r="F40" s="162" t="s">
        <v>8027</v>
      </c>
      <c r="G40" s="163"/>
      <c r="H40" s="163"/>
    </row>
    <row r="41" spans="1:8" ht="36">
      <c r="A41" s="159" t="s">
        <v>244</v>
      </c>
      <c r="B41" s="159" t="s">
        <v>8028</v>
      </c>
      <c r="C41" s="160" t="s">
        <v>8029</v>
      </c>
      <c r="D41" s="161" t="s">
        <v>8030</v>
      </c>
      <c r="E41" s="161" t="s">
        <v>8031</v>
      </c>
      <c r="F41" s="162" t="s">
        <v>8032</v>
      </c>
      <c r="G41" s="163"/>
      <c r="H41" s="163"/>
    </row>
    <row r="42" spans="1:8" ht="36">
      <c r="A42" s="159" t="s">
        <v>244</v>
      </c>
      <c r="B42" s="159" t="s">
        <v>7855</v>
      </c>
      <c r="C42" s="160" t="s">
        <v>7856</v>
      </c>
      <c r="D42" s="161" t="s">
        <v>8033</v>
      </c>
      <c r="E42" s="161" t="s">
        <v>8034</v>
      </c>
      <c r="F42" s="162" t="s">
        <v>8032</v>
      </c>
      <c r="G42" s="163"/>
      <c r="H42" s="163"/>
    </row>
    <row r="43" spans="1:8" ht="36">
      <c r="A43" s="159" t="s">
        <v>244</v>
      </c>
      <c r="B43" s="159" t="s">
        <v>8035</v>
      </c>
      <c r="C43" s="160" t="s">
        <v>8036</v>
      </c>
      <c r="D43" s="161" t="s">
        <v>8037</v>
      </c>
      <c r="E43" s="161" t="s">
        <v>8038</v>
      </c>
      <c r="F43" s="162" t="s">
        <v>8032</v>
      </c>
      <c r="G43" s="163"/>
      <c r="H43" s="163"/>
    </row>
    <row r="44" spans="1:8" ht="102">
      <c r="A44" s="159" t="s">
        <v>244</v>
      </c>
      <c r="B44" s="159" t="s">
        <v>8039</v>
      </c>
      <c r="C44" s="160" t="s">
        <v>8040</v>
      </c>
      <c r="D44" s="161" t="s">
        <v>8041</v>
      </c>
      <c r="E44" s="161" t="s">
        <v>7899</v>
      </c>
      <c r="F44" s="162" t="s">
        <v>8042</v>
      </c>
      <c r="G44" s="175"/>
      <c r="H44" s="175"/>
    </row>
    <row r="45" spans="1:8">
      <c r="A45" s="176"/>
      <c r="B45" s="176"/>
      <c r="C45" s="177"/>
      <c r="D45" s="177"/>
      <c r="E45" s="177"/>
      <c r="F45" s="177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213"/>
  <sheetViews>
    <sheetView topLeftCell="A166" zoomScale="95" zoomScaleNormal="95" workbookViewId="0">
      <selection activeCell="E208" sqref="E208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16384" width="12.7109375" style="129"/>
  </cols>
  <sheetData>
    <row r="1" spans="1:5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5">
      <c r="A2" s="132" t="s">
        <v>255</v>
      </c>
      <c r="B2" s="125" t="s">
        <v>7859</v>
      </c>
      <c r="C2" s="125" t="s">
        <v>7812</v>
      </c>
      <c r="D2" s="133"/>
      <c r="E2" s="125" t="s">
        <v>7606</v>
      </c>
    </row>
    <row r="3" spans="1:5">
      <c r="A3" s="132" t="s">
        <v>255</v>
      </c>
      <c r="B3" s="123" t="s">
        <v>7448</v>
      </c>
      <c r="C3" s="123" t="s">
        <v>7448</v>
      </c>
      <c r="E3" s="123" t="s">
        <v>7607</v>
      </c>
    </row>
    <row r="4" spans="1:5">
      <c r="A4" s="132" t="s">
        <v>255</v>
      </c>
      <c r="B4" s="123" t="s">
        <v>7860</v>
      </c>
      <c r="C4" s="123" t="s">
        <v>7813</v>
      </c>
      <c r="E4" s="123" t="s">
        <v>7608</v>
      </c>
    </row>
    <row r="5" spans="1:5">
      <c r="A5" s="132" t="s">
        <v>255</v>
      </c>
      <c r="B5" s="123" t="s">
        <v>257</v>
      </c>
      <c r="C5" s="123" t="s">
        <v>257</v>
      </c>
      <c r="E5" s="123" t="s">
        <v>7609</v>
      </c>
    </row>
    <row r="6" spans="1:5">
      <c r="A6" s="132" t="s">
        <v>255</v>
      </c>
      <c r="B6" s="123" t="s">
        <v>7449</v>
      </c>
      <c r="C6" s="123" t="s">
        <v>7449</v>
      </c>
      <c r="E6" s="123" t="s">
        <v>7610</v>
      </c>
    </row>
    <row r="7" spans="1:5">
      <c r="A7" s="132" t="s">
        <v>255</v>
      </c>
      <c r="B7" s="123" t="s">
        <v>7450</v>
      </c>
      <c r="C7" s="123" t="s">
        <v>7450</v>
      </c>
      <c r="E7" s="123" t="s">
        <v>7611</v>
      </c>
    </row>
    <row r="8" spans="1:5">
      <c r="A8" s="132" t="s">
        <v>255</v>
      </c>
      <c r="B8" s="123" t="s">
        <v>7861</v>
      </c>
      <c r="C8" s="123" t="s">
        <v>7814</v>
      </c>
      <c r="E8" s="123" t="s">
        <v>7612</v>
      </c>
    </row>
    <row r="9" spans="1:5">
      <c r="A9" s="132" t="s">
        <v>255</v>
      </c>
      <c r="B9" s="123" t="s">
        <v>7451</v>
      </c>
      <c r="C9" s="123" t="s">
        <v>7451</v>
      </c>
      <c r="E9" s="123" t="s">
        <v>7613</v>
      </c>
    </row>
    <row r="10" spans="1:5">
      <c r="A10" s="132" t="s">
        <v>255</v>
      </c>
      <c r="B10" s="123" t="s">
        <v>7862</v>
      </c>
      <c r="C10" s="123" t="s">
        <v>7815</v>
      </c>
      <c r="E10" s="123" t="s">
        <v>7614</v>
      </c>
    </row>
    <row r="11" spans="1:5">
      <c r="A11" s="132" t="s">
        <v>255</v>
      </c>
      <c r="B11" s="123" t="s">
        <v>7816</v>
      </c>
      <c r="C11" s="123" t="s">
        <v>7816</v>
      </c>
      <c r="E11" s="123" t="s">
        <v>7615</v>
      </c>
    </row>
    <row r="12" spans="1:5">
      <c r="A12" s="132" t="s">
        <v>255</v>
      </c>
      <c r="B12" s="123" t="s">
        <v>7453</v>
      </c>
      <c r="C12" s="123" t="s">
        <v>7453</v>
      </c>
      <c r="E12" s="123" t="s">
        <v>7616</v>
      </c>
    </row>
    <row r="13" spans="1:5">
      <c r="A13" s="132" t="s">
        <v>255</v>
      </c>
      <c r="B13" s="123" t="s">
        <v>7454</v>
      </c>
      <c r="C13" s="123" t="s">
        <v>7454</v>
      </c>
      <c r="E13" s="123" t="s">
        <v>7617</v>
      </c>
    </row>
    <row r="14" spans="1:5">
      <c r="A14" s="132" t="s">
        <v>255</v>
      </c>
      <c r="B14" s="123" t="s">
        <v>7455</v>
      </c>
      <c r="C14" s="123" t="s">
        <v>7455</v>
      </c>
      <c r="E14" s="123" t="s">
        <v>7618</v>
      </c>
    </row>
    <row r="15" spans="1:5">
      <c r="A15" s="132" t="s">
        <v>255</v>
      </c>
      <c r="B15" s="123" t="s">
        <v>7456</v>
      </c>
      <c r="C15" s="123" t="s">
        <v>7456</v>
      </c>
      <c r="E15" s="123" t="s">
        <v>7619</v>
      </c>
    </row>
    <row r="16" spans="1:5">
      <c r="A16" s="132" t="s">
        <v>255</v>
      </c>
      <c r="B16" s="123" t="s">
        <v>7863</v>
      </c>
      <c r="C16" s="123" t="s">
        <v>263</v>
      </c>
      <c r="E16" s="123" t="s">
        <v>7620</v>
      </c>
    </row>
    <row r="17" spans="1:5">
      <c r="A17" s="132" t="s">
        <v>255</v>
      </c>
      <c r="B17" s="123" t="s">
        <v>7457</v>
      </c>
      <c r="C17" s="123" t="s">
        <v>7457</v>
      </c>
      <c r="E17" s="123" t="s">
        <v>7621</v>
      </c>
    </row>
    <row r="18" spans="1:5">
      <c r="A18" s="132" t="s">
        <v>255</v>
      </c>
      <c r="B18" s="123" t="s">
        <v>7864</v>
      </c>
      <c r="C18" s="123" t="s">
        <v>7817</v>
      </c>
      <c r="E18" s="123" t="s">
        <v>7622</v>
      </c>
    </row>
    <row r="19" spans="1:5">
      <c r="A19" s="132" t="s">
        <v>255</v>
      </c>
      <c r="B19" s="123" t="s">
        <v>7458</v>
      </c>
      <c r="C19" s="123" t="s">
        <v>7458</v>
      </c>
      <c r="E19" s="123" t="s">
        <v>7623</v>
      </c>
    </row>
    <row r="20" spans="1:5">
      <c r="A20" s="132" t="s">
        <v>255</v>
      </c>
      <c r="B20" s="123" t="s">
        <v>7459</v>
      </c>
      <c r="C20" s="123" t="s">
        <v>7459</v>
      </c>
      <c r="E20" s="123" t="s">
        <v>7624</v>
      </c>
    </row>
    <row r="21" spans="1:5">
      <c r="A21" s="132" t="s">
        <v>255</v>
      </c>
      <c r="B21" s="123" t="s">
        <v>7460</v>
      </c>
      <c r="C21" s="123" t="s">
        <v>7460</v>
      </c>
      <c r="E21" s="123" t="s">
        <v>7625</v>
      </c>
    </row>
    <row r="22" spans="1:5">
      <c r="A22" s="132" t="s">
        <v>255</v>
      </c>
      <c r="B22" s="123" t="s">
        <v>7461</v>
      </c>
      <c r="C22" s="123" t="s">
        <v>7461</v>
      </c>
      <c r="E22" s="123" t="s">
        <v>7626</v>
      </c>
    </row>
    <row r="23" spans="1:5">
      <c r="A23" s="132" t="s">
        <v>255</v>
      </c>
      <c r="B23" s="123" t="s">
        <v>7865</v>
      </c>
      <c r="C23" s="123" t="s">
        <v>7818</v>
      </c>
      <c r="E23" s="123" t="s">
        <v>7627</v>
      </c>
    </row>
    <row r="24" spans="1:5">
      <c r="A24" s="132" t="s">
        <v>255</v>
      </c>
      <c r="B24" s="123" t="s">
        <v>7462</v>
      </c>
      <c r="C24" s="123" t="s">
        <v>7462</v>
      </c>
      <c r="E24" s="123" t="s">
        <v>7628</v>
      </c>
    </row>
    <row r="25" spans="1:5">
      <c r="A25" s="132" t="s">
        <v>255</v>
      </c>
      <c r="B25" s="123" t="s">
        <v>7463</v>
      </c>
      <c r="C25" s="123" t="s">
        <v>7463</v>
      </c>
      <c r="E25" s="123" t="s">
        <v>7629</v>
      </c>
    </row>
    <row r="26" spans="1:5">
      <c r="A26" s="132" t="s">
        <v>255</v>
      </c>
      <c r="B26" s="123" t="s">
        <v>7464</v>
      </c>
      <c r="C26" s="123" t="s">
        <v>7464</v>
      </c>
      <c r="E26" s="123" t="s">
        <v>7630</v>
      </c>
    </row>
    <row r="27" spans="1:5">
      <c r="A27" s="132" t="s">
        <v>255</v>
      </c>
      <c r="B27" s="123" t="s">
        <v>7465</v>
      </c>
      <c r="C27" s="123" t="s">
        <v>7465</v>
      </c>
      <c r="E27" s="123" t="s">
        <v>7631</v>
      </c>
    </row>
    <row r="28" spans="1:5">
      <c r="A28" s="132" t="s">
        <v>255</v>
      </c>
      <c r="B28" s="123" t="s">
        <v>7466</v>
      </c>
      <c r="C28" s="123" t="s">
        <v>7466</v>
      </c>
      <c r="E28" s="123" t="s">
        <v>7632</v>
      </c>
    </row>
    <row r="29" spans="1:5">
      <c r="A29" s="132" t="s">
        <v>255</v>
      </c>
      <c r="B29" s="123" t="s">
        <v>7467</v>
      </c>
      <c r="C29" s="123" t="s">
        <v>7467</v>
      </c>
      <c r="E29" s="123" t="s">
        <v>7633</v>
      </c>
    </row>
    <row r="30" spans="1:5">
      <c r="A30" s="132" t="s">
        <v>255</v>
      </c>
      <c r="B30" s="123" t="s">
        <v>7468</v>
      </c>
      <c r="C30" s="123" t="s">
        <v>7468</v>
      </c>
      <c r="E30" s="123" t="s">
        <v>7634</v>
      </c>
    </row>
    <row r="31" spans="1:5">
      <c r="A31" s="132" t="s">
        <v>255</v>
      </c>
      <c r="B31" s="123" t="s">
        <v>256</v>
      </c>
      <c r="C31" s="123" t="s">
        <v>256</v>
      </c>
      <c r="E31" s="123" t="s">
        <v>7635</v>
      </c>
    </row>
    <row r="32" spans="1:5">
      <c r="A32" s="132" t="s">
        <v>255</v>
      </c>
      <c r="B32" s="123" t="s">
        <v>7469</v>
      </c>
      <c r="C32" s="123" t="s">
        <v>7469</v>
      </c>
      <c r="E32" s="123" t="s">
        <v>7636</v>
      </c>
    </row>
    <row r="33" spans="1:5">
      <c r="A33" s="132" t="s">
        <v>255</v>
      </c>
      <c r="B33" s="123" t="s">
        <v>7470</v>
      </c>
      <c r="C33" s="123" t="s">
        <v>7470</v>
      </c>
      <c r="E33" s="123" t="s">
        <v>7637</v>
      </c>
    </row>
    <row r="34" spans="1:5">
      <c r="A34" s="132" t="s">
        <v>255</v>
      </c>
      <c r="B34" s="123" t="s">
        <v>7471</v>
      </c>
      <c r="C34" s="123" t="s">
        <v>7471</v>
      </c>
      <c r="E34" s="123" t="s">
        <v>7638</v>
      </c>
    </row>
    <row r="35" spans="1:5">
      <c r="A35" s="132" t="s">
        <v>255</v>
      </c>
      <c r="B35" s="123" t="s">
        <v>7472</v>
      </c>
      <c r="C35" s="123" t="s">
        <v>7472</v>
      </c>
      <c r="E35" s="123" t="s">
        <v>7639</v>
      </c>
    </row>
    <row r="36" spans="1:5">
      <c r="A36" s="132" t="s">
        <v>255</v>
      </c>
      <c r="B36" s="123" t="s">
        <v>7473</v>
      </c>
      <c r="C36" s="123" t="s">
        <v>7473</v>
      </c>
      <c r="E36" s="123" t="s">
        <v>7640</v>
      </c>
    </row>
    <row r="37" spans="1:5">
      <c r="A37" s="132" t="s">
        <v>255</v>
      </c>
      <c r="B37" s="123" t="s">
        <v>7866</v>
      </c>
      <c r="C37" s="123" t="s">
        <v>7819</v>
      </c>
      <c r="E37" s="123" t="s">
        <v>7641</v>
      </c>
    </row>
    <row r="38" spans="1:5">
      <c r="A38" s="132" t="s">
        <v>255</v>
      </c>
      <c r="B38" s="123" t="s">
        <v>7474</v>
      </c>
      <c r="C38" s="123" t="s">
        <v>7474</v>
      </c>
      <c r="E38" s="123" t="s">
        <v>7642</v>
      </c>
    </row>
    <row r="39" spans="1:5">
      <c r="A39" s="132" t="s">
        <v>255</v>
      </c>
      <c r="B39" s="123" t="s">
        <v>7475</v>
      </c>
      <c r="C39" s="123" t="s">
        <v>7475</v>
      </c>
      <c r="E39" s="123" t="s">
        <v>7643</v>
      </c>
    </row>
    <row r="40" spans="1:5">
      <c r="A40" s="132" t="s">
        <v>255</v>
      </c>
      <c r="B40" s="123" t="s">
        <v>7476</v>
      </c>
      <c r="C40" s="123" t="s">
        <v>7476</v>
      </c>
      <c r="E40" s="123" t="s">
        <v>7644</v>
      </c>
    </row>
    <row r="41" spans="1:5">
      <c r="A41" s="132" t="s">
        <v>255</v>
      </c>
      <c r="B41" s="123" t="s">
        <v>7477</v>
      </c>
      <c r="C41" s="123" t="s">
        <v>7477</v>
      </c>
      <c r="E41" s="123" t="s">
        <v>7645</v>
      </c>
    </row>
    <row r="42" spans="1:5">
      <c r="A42" s="132" t="s">
        <v>255</v>
      </c>
      <c r="B42" s="123" t="s">
        <v>7478</v>
      </c>
      <c r="C42" s="123" t="s">
        <v>7478</v>
      </c>
      <c r="E42" s="123" t="s">
        <v>7646</v>
      </c>
    </row>
    <row r="43" spans="1:5">
      <c r="A43" s="132" t="s">
        <v>255</v>
      </c>
      <c r="B43" s="123" t="s">
        <v>7479</v>
      </c>
      <c r="C43" s="123" t="s">
        <v>7479</v>
      </c>
      <c r="E43" s="123" t="s">
        <v>7647</v>
      </c>
    </row>
    <row r="44" spans="1:5">
      <c r="A44" s="132" t="s">
        <v>255</v>
      </c>
      <c r="B44" s="123" t="s">
        <v>7480</v>
      </c>
      <c r="C44" s="123" t="s">
        <v>7480</v>
      </c>
      <c r="E44" s="123" t="s">
        <v>7648</v>
      </c>
    </row>
    <row r="45" spans="1:5">
      <c r="A45" s="132" t="s">
        <v>255</v>
      </c>
      <c r="B45" s="123" t="s">
        <v>7481</v>
      </c>
      <c r="C45" s="123" t="s">
        <v>7481</v>
      </c>
      <c r="E45" s="123" t="s">
        <v>7649</v>
      </c>
    </row>
    <row r="46" spans="1:5">
      <c r="A46" s="132" t="s">
        <v>255</v>
      </c>
      <c r="B46" s="123" t="s">
        <v>7482</v>
      </c>
      <c r="C46" s="123" t="s">
        <v>7482</v>
      </c>
      <c r="E46" s="123" t="s">
        <v>7650</v>
      </c>
    </row>
    <row r="47" spans="1:5">
      <c r="A47" s="132" t="s">
        <v>255</v>
      </c>
      <c r="B47" s="123" t="s">
        <v>7483</v>
      </c>
      <c r="C47" s="123" t="s">
        <v>7483</v>
      </c>
      <c r="E47" s="123" t="s">
        <v>7651</v>
      </c>
    </row>
    <row r="48" spans="1:5">
      <c r="A48" s="132" t="s">
        <v>255</v>
      </c>
      <c r="B48" s="123" t="s">
        <v>260</v>
      </c>
      <c r="C48" s="123" t="s">
        <v>260</v>
      </c>
      <c r="E48" s="123" t="s">
        <v>7652</v>
      </c>
    </row>
    <row r="49" spans="1:5">
      <c r="A49" s="132" t="s">
        <v>255</v>
      </c>
      <c r="B49" s="123" t="s">
        <v>7484</v>
      </c>
      <c r="C49" s="123" t="s">
        <v>7484</v>
      </c>
      <c r="E49" s="123" t="s">
        <v>7653</v>
      </c>
    </row>
    <row r="50" spans="1:5">
      <c r="A50" s="132" t="s">
        <v>255</v>
      </c>
      <c r="B50" s="123" t="s">
        <v>7485</v>
      </c>
      <c r="C50" s="123" t="s">
        <v>7485</v>
      </c>
      <c r="E50" s="123" t="s">
        <v>7654</v>
      </c>
    </row>
    <row r="51" spans="1:5">
      <c r="A51" s="132" t="s">
        <v>255</v>
      </c>
      <c r="B51" s="123" t="s">
        <v>7486</v>
      </c>
      <c r="C51" s="123" t="s">
        <v>7486</v>
      </c>
      <c r="E51" s="123" t="s">
        <v>7655</v>
      </c>
    </row>
    <row r="52" spans="1:5">
      <c r="A52" s="132" t="s">
        <v>255</v>
      </c>
      <c r="B52" s="123" t="s">
        <v>7487</v>
      </c>
      <c r="C52" s="123" t="s">
        <v>7487</v>
      </c>
      <c r="E52" s="123" t="s">
        <v>7656</v>
      </c>
    </row>
    <row r="53" spans="1:5">
      <c r="A53" s="132" t="s">
        <v>255</v>
      </c>
      <c r="B53" s="123" t="s">
        <v>7820</v>
      </c>
      <c r="C53" s="123" t="s">
        <v>7820</v>
      </c>
      <c r="E53" s="123" t="s">
        <v>7657</v>
      </c>
    </row>
    <row r="54" spans="1:5">
      <c r="A54" s="132" t="s">
        <v>255</v>
      </c>
      <c r="B54" s="123" t="s">
        <v>7488</v>
      </c>
      <c r="C54" s="123" t="s">
        <v>7488</v>
      </c>
      <c r="E54" s="123" t="s">
        <v>7658</v>
      </c>
    </row>
    <row r="55" spans="1:5">
      <c r="A55" s="132" t="s">
        <v>255</v>
      </c>
      <c r="B55" s="123" t="s">
        <v>7489</v>
      </c>
      <c r="C55" s="123" t="s">
        <v>7489</v>
      </c>
      <c r="E55" s="123" t="s">
        <v>7659</v>
      </c>
    </row>
    <row r="56" spans="1:5">
      <c r="A56" s="132" t="s">
        <v>255</v>
      </c>
      <c r="B56" s="123" t="s">
        <v>7490</v>
      </c>
      <c r="C56" s="123" t="s">
        <v>7490</v>
      </c>
      <c r="E56" s="123" t="s">
        <v>7660</v>
      </c>
    </row>
    <row r="57" spans="1:5">
      <c r="A57" s="132" t="s">
        <v>255</v>
      </c>
      <c r="B57" s="123" t="s">
        <v>7491</v>
      </c>
      <c r="C57" s="123" t="s">
        <v>7491</v>
      </c>
      <c r="E57" s="123" t="s">
        <v>7661</v>
      </c>
    </row>
    <row r="58" spans="1:5">
      <c r="A58" s="132" t="s">
        <v>255</v>
      </c>
      <c r="B58" s="123" t="s">
        <v>7492</v>
      </c>
      <c r="C58" s="123" t="s">
        <v>7492</v>
      </c>
      <c r="E58" s="123" t="s">
        <v>7662</v>
      </c>
    </row>
    <row r="59" spans="1:5">
      <c r="A59" s="132" t="s">
        <v>255</v>
      </c>
      <c r="B59" s="123" t="s">
        <v>7493</v>
      </c>
      <c r="C59" s="123" t="s">
        <v>7493</v>
      </c>
      <c r="E59" s="123" t="s">
        <v>7663</v>
      </c>
    </row>
    <row r="60" spans="1:5">
      <c r="A60" s="132" t="s">
        <v>255</v>
      </c>
      <c r="B60" s="123" t="s">
        <v>7494</v>
      </c>
      <c r="C60" s="123" t="s">
        <v>7494</v>
      </c>
      <c r="E60" s="123" t="s">
        <v>7664</v>
      </c>
    </row>
    <row r="61" spans="1:5">
      <c r="A61" s="132" t="s">
        <v>255</v>
      </c>
      <c r="B61" s="123" t="s">
        <v>7495</v>
      </c>
      <c r="C61" s="123" t="s">
        <v>7495</v>
      </c>
      <c r="E61" s="123" t="s">
        <v>7665</v>
      </c>
    </row>
    <row r="62" spans="1:5">
      <c r="A62" s="132" t="s">
        <v>255</v>
      </c>
      <c r="B62" s="123" t="s">
        <v>7496</v>
      </c>
      <c r="C62" s="123" t="s">
        <v>7496</v>
      </c>
      <c r="E62" s="123" t="s">
        <v>7666</v>
      </c>
    </row>
    <row r="63" spans="1:5">
      <c r="A63" s="132" t="s">
        <v>255</v>
      </c>
      <c r="B63" s="123" t="s">
        <v>7867</v>
      </c>
      <c r="C63" s="123" t="s">
        <v>7821</v>
      </c>
      <c r="E63" s="123" t="s">
        <v>7667</v>
      </c>
    </row>
    <row r="64" spans="1:5">
      <c r="A64" s="132" t="s">
        <v>255</v>
      </c>
      <c r="B64" s="123" t="s">
        <v>7497</v>
      </c>
      <c r="C64" s="123" t="s">
        <v>7497</v>
      </c>
      <c r="E64" s="123" t="s">
        <v>7668</v>
      </c>
    </row>
    <row r="65" spans="1:5">
      <c r="A65" s="132" t="s">
        <v>255</v>
      </c>
      <c r="B65" s="123" t="s">
        <v>7498</v>
      </c>
      <c r="C65" s="123" t="s">
        <v>7498</v>
      </c>
      <c r="E65" s="123" t="s">
        <v>7669</v>
      </c>
    </row>
    <row r="66" spans="1:5">
      <c r="A66" s="132" t="s">
        <v>255</v>
      </c>
      <c r="B66" s="123" t="s">
        <v>7499</v>
      </c>
      <c r="C66" s="123" t="s">
        <v>7499</v>
      </c>
      <c r="E66" s="123" t="s">
        <v>7670</v>
      </c>
    </row>
    <row r="67" spans="1:5">
      <c r="A67" s="132" t="s">
        <v>255</v>
      </c>
      <c r="B67" s="123" t="s">
        <v>7500</v>
      </c>
      <c r="C67" s="123" t="s">
        <v>7500</v>
      </c>
      <c r="E67" s="123" t="s">
        <v>7671</v>
      </c>
    </row>
    <row r="68" spans="1:5">
      <c r="A68" s="132" t="s">
        <v>255</v>
      </c>
      <c r="B68" s="123" t="s">
        <v>7501</v>
      </c>
      <c r="C68" s="123" t="s">
        <v>7501</v>
      </c>
      <c r="E68" s="123" t="s">
        <v>7672</v>
      </c>
    </row>
    <row r="69" spans="1:5">
      <c r="A69" s="132" t="s">
        <v>255</v>
      </c>
      <c r="B69" s="123" t="s">
        <v>7502</v>
      </c>
      <c r="C69" s="123" t="s">
        <v>7502</v>
      </c>
      <c r="E69" s="123" t="s">
        <v>7673</v>
      </c>
    </row>
    <row r="70" spans="1:5">
      <c r="A70" s="132" t="s">
        <v>255</v>
      </c>
      <c r="B70" s="123" t="s">
        <v>7503</v>
      </c>
      <c r="C70" s="123" t="s">
        <v>7503</v>
      </c>
      <c r="E70" s="123" t="s">
        <v>7674</v>
      </c>
    </row>
    <row r="71" spans="1:5">
      <c r="A71" s="132" t="s">
        <v>255</v>
      </c>
      <c r="B71" s="123" t="s">
        <v>7504</v>
      </c>
      <c r="C71" s="123" t="s">
        <v>7504</v>
      </c>
      <c r="E71" s="123" t="s">
        <v>7675</v>
      </c>
    </row>
    <row r="72" spans="1:5">
      <c r="A72" s="132" t="s">
        <v>255</v>
      </c>
      <c r="B72" s="123" t="s">
        <v>7505</v>
      </c>
      <c r="C72" s="123" t="s">
        <v>7505</v>
      </c>
      <c r="E72" s="123" t="s">
        <v>7676</v>
      </c>
    </row>
    <row r="73" spans="1:5">
      <c r="A73" s="132" t="s">
        <v>255</v>
      </c>
      <c r="B73" s="123" t="s">
        <v>7506</v>
      </c>
      <c r="C73" s="123" t="s">
        <v>7506</v>
      </c>
      <c r="E73" s="123" t="s">
        <v>7677</v>
      </c>
    </row>
    <row r="74" spans="1:5">
      <c r="A74" s="132" t="s">
        <v>255</v>
      </c>
      <c r="B74" s="123" t="s">
        <v>7507</v>
      </c>
      <c r="C74" s="123" t="s">
        <v>7507</v>
      </c>
      <c r="E74" s="123" t="s">
        <v>7678</v>
      </c>
    </row>
    <row r="75" spans="1:5">
      <c r="A75" s="132" t="s">
        <v>255</v>
      </c>
      <c r="B75" s="123" t="s">
        <v>258</v>
      </c>
      <c r="C75" s="123" t="s">
        <v>258</v>
      </c>
      <c r="E75" s="123" t="s">
        <v>7679</v>
      </c>
    </row>
    <row r="76" spans="1:5">
      <c r="A76" s="132" t="s">
        <v>255</v>
      </c>
      <c r="B76" s="123" t="s">
        <v>261</v>
      </c>
      <c r="C76" s="123" t="s">
        <v>261</v>
      </c>
      <c r="E76" s="123" t="s">
        <v>7680</v>
      </c>
    </row>
    <row r="77" spans="1:5">
      <c r="A77" s="132" t="s">
        <v>255</v>
      </c>
      <c r="B77" s="123" t="s">
        <v>7508</v>
      </c>
      <c r="C77" s="123" t="s">
        <v>7508</v>
      </c>
      <c r="E77" s="123" t="s">
        <v>7681</v>
      </c>
    </row>
    <row r="78" spans="1:5">
      <c r="A78" s="132" t="s">
        <v>255</v>
      </c>
      <c r="B78" s="123" t="s">
        <v>7509</v>
      </c>
      <c r="C78" s="123" t="s">
        <v>7509</v>
      </c>
      <c r="E78" s="123" t="s">
        <v>7682</v>
      </c>
    </row>
    <row r="79" spans="1:5">
      <c r="A79" s="132" t="s">
        <v>255</v>
      </c>
      <c r="B79" s="123" t="s">
        <v>7510</v>
      </c>
      <c r="C79" s="123" t="s">
        <v>7510</v>
      </c>
      <c r="E79" s="123" t="s">
        <v>7683</v>
      </c>
    </row>
    <row r="80" spans="1:5">
      <c r="A80" s="132" t="s">
        <v>255</v>
      </c>
      <c r="B80" s="123" t="s">
        <v>7511</v>
      </c>
      <c r="C80" s="123" t="s">
        <v>7511</v>
      </c>
      <c r="E80" s="123" t="s">
        <v>7684</v>
      </c>
    </row>
    <row r="81" spans="1:5">
      <c r="A81" s="132" t="s">
        <v>255</v>
      </c>
      <c r="B81" s="123" t="s">
        <v>7512</v>
      </c>
      <c r="C81" s="123" t="s">
        <v>7512</v>
      </c>
      <c r="E81" s="123" t="s">
        <v>7685</v>
      </c>
    </row>
    <row r="82" spans="1:5">
      <c r="A82" s="132" t="s">
        <v>255</v>
      </c>
      <c r="B82" s="123" t="s">
        <v>7513</v>
      </c>
      <c r="C82" s="123" t="s">
        <v>7513</v>
      </c>
      <c r="E82" s="123" t="s">
        <v>7686</v>
      </c>
    </row>
    <row r="83" spans="1:5">
      <c r="A83" s="132" t="s">
        <v>255</v>
      </c>
      <c r="B83" s="123" t="s">
        <v>7514</v>
      </c>
      <c r="C83" s="123" t="s">
        <v>7514</v>
      </c>
      <c r="E83" s="123" t="s">
        <v>7687</v>
      </c>
    </row>
    <row r="84" spans="1:5">
      <c r="A84" s="132" t="s">
        <v>255</v>
      </c>
      <c r="B84" s="123" t="s">
        <v>262</v>
      </c>
      <c r="C84" s="123" t="s">
        <v>262</v>
      </c>
      <c r="E84" s="123" t="s">
        <v>7688</v>
      </c>
    </row>
    <row r="85" spans="1:5">
      <c r="A85" s="132" t="s">
        <v>255</v>
      </c>
      <c r="B85" s="123" t="s">
        <v>7515</v>
      </c>
      <c r="C85" s="123" t="s">
        <v>7515</v>
      </c>
      <c r="E85" s="123" t="s">
        <v>7689</v>
      </c>
    </row>
    <row r="86" spans="1:5">
      <c r="A86" s="132" t="s">
        <v>255</v>
      </c>
      <c r="B86" s="123" t="s">
        <v>7516</v>
      </c>
      <c r="C86" s="123" t="s">
        <v>7516</v>
      </c>
      <c r="E86" s="123" t="s">
        <v>7690</v>
      </c>
    </row>
    <row r="87" spans="1:5">
      <c r="A87" s="132" t="s">
        <v>255</v>
      </c>
      <c r="B87" s="123" t="s">
        <v>7517</v>
      </c>
      <c r="C87" s="123" t="s">
        <v>7517</v>
      </c>
      <c r="E87" s="123" t="s">
        <v>7691</v>
      </c>
    </row>
    <row r="88" spans="1:5">
      <c r="A88" s="132" t="s">
        <v>255</v>
      </c>
      <c r="B88" s="123" t="s">
        <v>7518</v>
      </c>
      <c r="C88" s="123" t="s">
        <v>7518</v>
      </c>
      <c r="E88" s="123" t="s">
        <v>7692</v>
      </c>
    </row>
    <row r="89" spans="1:5">
      <c r="A89" s="132" t="s">
        <v>255</v>
      </c>
      <c r="B89" s="123" t="s">
        <v>7519</v>
      </c>
      <c r="C89" s="123" t="s">
        <v>7519</v>
      </c>
      <c r="E89" s="123" t="s">
        <v>7693</v>
      </c>
    </row>
    <row r="90" spans="1:5">
      <c r="A90" s="132" t="s">
        <v>255</v>
      </c>
      <c r="B90" s="123" t="s">
        <v>7520</v>
      </c>
      <c r="C90" s="123" t="s">
        <v>7520</v>
      </c>
      <c r="E90" s="123" t="s">
        <v>7694</v>
      </c>
    </row>
    <row r="91" spans="1:5">
      <c r="A91" s="132" t="s">
        <v>255</v>
      </c>
      <c r="B91" s="123" t="s">
        <v>7521</v>
      </c>
      <c r="C91" s="123" t="s">
        <v>7521</v>
      </c>
      <c r="E91" s="123" t="s">
        <v>7695</v>
      </c>
    </row>
    <row r="92" spans="1:5">
      <c r="A92" s="132" t="s">
        <v>255</v>
      </c>
      <c r="B92" s="123" t="s">
        <v>7522</v>
      </c>
      <c r="C92" s="123" t="s">
        <v>7522</v>
      </c>
      <c r="E92" s="123" t="s">
        <v>7696</v>
      </c>
    </row>
    <row r="93" spans="1:5">
      <c r="A93" s="132" t="s">
        <v>255</v>
      </c>
      <c r="B93" s="123" t="s">
        <v>7523</v>
      </c>
      <c r="C93" s="123" t="s">
        <v>7523</v>
      </c>
      <c r="E93" s="123" t="s">
        <v>7697</v>
      </c>
    </row>
    <row r="94" spans="1:5">
      <c r="A94" s="132" t="s">
        <v>255</v>
      </c>
      <c r="B94" s="123" t="s">
        <v>7524</v>
      </c>
      <c r="C94" s="123" t="s">
        <v>7524</v>
      </c>
      <c r="E94" s="123" t="s">
        <v>7698</v>
      </c>
    </row>
    <row r="95" spans="1:5">
      <c r="A95" s="132" t="s">
        <v>255</v>
      </c>
      <c r="B95" s="123" t="s">
        <v>7525</v>
      </c>
      <c r="C95" s="123" t="s">
        <v>7525</v>
      </c>
      <c r="E95" s="123" t="s">
        <v>7699</v>
      </c>
    </row>
    <row r="96" spans="1:5">
      <c r="A96" s="132" t="s">
        <v>255</v>
      </c>
      <c r="B96" s="123" t="s">
        <v>7526</v>
      </c>
      <c r="C96" s="123" t="s">
        <v>7526</v>
      </c>
      <c r="E96" s="123" t="s">
        <v>7700</v>
      </c>
    </row>
    <row r="97" spans="1:5">
      <c r="A97" s="132" t="s">
        <v>255</v>
      </c>
      <c r="B97" s="123" t="s">
        <v>7527</v>
      </c>
      <c r="C97" s="123" t="s">
        <v>7527</v>
      </c>
      <c r="E97" s="123" t="s">
        <v>7701</v>
      </c>
    </row>
    <row r="98" spans="1:5">
      <c r="A98" s="132" t="s">
        <v>255</v>
      </c>
      <c r="B98" s="123" t="s">
        <v>7528</v>
      </c>
      <c r="C98" s="123" t="s">
        <v>7528</v>
      </c>
      <c r="E98" s="123" t="s">
        <v>7702</v>
      </c>
    </row>
    <row r="99" spans="1:5">
      <c r="A99" s="132" t="s">
        <v>255</v>
      </c>
      <c r="B99" s="123" t="s">
        <v>7529</v>
      </c>
      <c r="C99" s="123" t="s">
        <v>7529</v>
      </c>
      <c r="E99" s="123" t="s">
        <v>7703</v>
      </c>
    </row>
    <row r="100" spans="1:5">
      <c r="A100" s="132" t="s">
        <v>255</v>
      </c>
      <c r="B100" s="123" t="s">
        <v>7530</v>
      </c>
      <c r="C100" s="123" t="s">
        <v>7530</v>
      </c>
      <c r="E100" s="123" t="s">
        <v>7704</v>
      </c>
    </row>
    <row r="101" spans="1:5">
      <c r="A101" s="132" t="s">
        <v>255</v>
      </c>
      <c r="B101" s="123" t="s">
        <v>7531</v>
      </c>
      <c r="C101" s="123" t="s">
        <v>7531</v>
      </c>
      <c r="E101" s="123" t="s">
        <v>7705</v>
      </c>
    </row>
    <row r="102" spans="1:5">
      <c r="A102" s="132" t="s">
        <v>255</v>
      </c>
      <c r="B102" s="123" t="s">
        <v>7532</v>
      </c>
      <c r="C102" s="123" t="s">
        <v>7532</v>
      </c>
      <c r="E102" s="123" t="s">
        <v>7706</v>
      </c>
    </row>
    <row r="103" spans="1:5">
      <c r="A103" s="132" t="s">
        <v>255</v>
      </c>
      <c r="B103" s="123" t="s">
        <v>7533</v>
      </c>
      <c r="C103" s="123" t="s">
        <v>7533</v>
      </c>
      <c r="E103" s="123" t="s">
        <v>7707</v>
      </c>
    </row>
    <row r="104" spans="1:5">
      <c r="A104" s="132" t="s">
        <v>255</v>
      </c>
      <c r="B104" s="123" t="s">
        <v>7534</v>
      </c>
      <c r="C104" s="123" t="s">
        <v>7534</v>
      </c>
      <c r="E104" s="123" t="s">
        <v>7708</v>
      </c>
    </row>
    <row r="105" spans="1:5">
      <c r="A105" s="132" t="s">
        <v>255</v>
      </c>
      <c r="B105" s="123" t="s">
        <v>7535</v>
      </c>
      <c r="C105" s="123" t="s">
        <v>7535</v>
      </c>
      <c r="E105" s="123" t="s">
        <v>7709</v>
      </c>
    </row>
    <row r="106" spans="1:5">
      <c r="A106" s="132" t="s">
        <v>255</v>
      </c>
      <c r="B106" s="123" t="s">
        <v>7536</v>
      </c>
      <c r="C106" s="123" t="s">
        <v>7536</v>
      </c>
      <c r="E106" s="123" t="s">
        <v>7710</v>
      </c>
    </row>
    <row r="107" spans="1:5">
      <c r="A107" s="132" t="s">
        <v>255</v>
      </c>
      <c r="B107" s="123" t="s">
        <v>7868</v>
      </c>
      <c r="C107" s="123" t="s">
        <v>7822</v>
      </c>
      <c r="E107" s="123" t="s">
        <v>7711</v>
      </c>
    </row>
    <row r="108" spans="1:5">
      <c r="A108" s="132" t="s">
        <v>255</v>
      </c>
      <c r="B108" s="123" t="s">
        <v>7537</v>
      </c>
      <c r="C108" s="123" t="s">
        <v>7537</v>
      </c>
      <c r="E108" s="123" t="s">
        <v>7712</v>
      </c>
    </row>
    <row r="109" spans="1:5">
      <c r="A109" s="132" t="s">
        <v>255</v>
      </c>
      <c r="B109" s="123" t="s">
        <v>7538</v>
      </c>
      <c r="C109" s="123" t="s">
        <v>7538</v>
      </c>
      <c r="E109" s="123" t="s">
        <v>7713</v>
      </c>
    </row>
    <row r="110" spans="1:5">
      <c r="A110" s="132" t="s">
        <v>255</v>
      </c>
      <c r="B110" s="123" t="s">
        <v>259</v>
      </c>
      <c r="C110" s="123" t="s">
        <v>259</v>
      </c>
      <c r="E110" s="123" t="s">
        <v>7714</v>
      </c>
    </row>
    <row r="111" spans="1:5">
      <c r="A111" s="132" t="s">
        <v>255</v>
      </c>
      <c r="B111" s="123" t="s">
        <v>7539</v>
      </c>
      <c r="C111" s="123" t="s">
        <v>7539</v>
      </c>
      <c r="E111" s="123" t="s">
        <v>7715</v>
      </c>
    </row>
    <row r="112" spans="1:5">
      <c r="A112" s="132" t="s">
        <v>255</v>
      </c>
      <c r="B112" s="123" t="s">
        <v>7540</v>
      </c>
      <c r="C112" s="123" t="s">
        <v>7540</v>
      </c>
      <c r="E112" s="123" t="s">
        <v>7716</v>
      </c>
    </row>
    <row r="113" spans="1:5">
      <c r="A113" s="132" t="s">
        <v>255</v>
      </c>
      <c r="B113" s="123" t="s">
        <v>7541</v>
      </c>
      <c r="C113" s="123" t="s">
        <v>7541</v>
      </c>
      <c r="E113" s="123" t="s">
        <v>7717</v>
      </c>
    </row>
    <row r="114" spans="1:5">
      <c r="A114" s="132" t="s">
        <v>255</v>
      </c>
      <c r="B114" s="123" t="s">
        <v>7542</v>
      </c>
      <c r="C114" s="123" t="s">
        <v>7542</v>
      </c>
      <c r="E114" s="123" t="s">
        <v>7718</v>
      </c>
    </row>
    <row r="115" spans="1:5">
      <c r="A115" s="132" t="s">
        <v>255</v>
      </c>
      <c r="B115" s="123" t="s">
        <v>7543</v>
      </c>
      <c r="C115" s="123" t="s">
        <v>7543</v>
      </c>
      <c r="E115" s="123" t="s">
        <v>7719</v>
      </c>
    </row>
    <row r="116" spans="1:5">
      <c r="A116" s="132" t="s">
        <v>255</v>
      </c>
      <c r="B116" s="123" t="s">
        <v>7544</v>
      </c>
      <c r="C116" s="123" t="s">
        <v>7544</v>
      </c>
      <c r="E116" s="123" t="s">
        <v>7720</v>
      </c>
    </row>
    <row r="117" spans="1:5">
      <c r="A117" s="132" t="s">
        <v>255</v>
      </c>
      <c r="B117" s="123" t="s">
        <v>7545</v>
      </c>
      <c r="C117" s="123" t="s">
        <v>7545</v>
      </c>
      <c r="E117" s="123" t="s">
        <v>7721</v>
      </c>
    </row>
    <row r="118" spans="1:5">
      <c r="A118" s="132" t="s">
        <v>255</v>
      </c>
      <c r="B118" s="123" t="s">
        <v>7546</v>
      </c>
      <c r="C118" s="123" t="s">
        <v>7546</v>
      </c>
      <c r="E118" s="123" t="s">
        <v>7722</v>
      </c>
    </row>
    <row r="119" spans="1:5">
      <c r="A119" s="132" t="s">
        <v>255</v>
      </c>
      <c r="B119" s="123" t="s">
        <v>7547</v>
      </c>
      <c r="C119" s="123" t="s">
        <v>7547</v>
      </c>
      <c r="E119" s="123" t="s">
        <v>7723</v>
      </c>
    </row>
    <row r="120" spans="1:5">
      <c r="A120" s="132" t="s">
        <v>255</v>
      </c>
      <c r="B120" s="123" t="s">
        <v>7548</v>
      </c>
      <c r="C120" s="123" t="s">
        <v>7548</v>
      </c>
      <c r="E120" s="123" t="s">
        <v>7724</v>
      </c>
    </row>
    <row r="121" spans="1:5">
      <c r="A121" s="132" t="s">
        <v>255</v>
      </c>
      <c r="B121" s="123" t="s">
        <v>7549</v>
      </c>
      <c r="C121" s="123" t="s">
        <v>7549</v>
      </c>
      <c r="E121" s="123" t="s">
        <v>7725</v>
      </c>
    </row>
    <row r="122" spans="1:5">
      <c r="A122" s="132" t="s">
        <v>255</v>
      </c>
      <c r="B122" s="123" t="s">
        <v>7869</v>
      </c>
      <c r="C122" s="123" t="s">
        <v>7823</v>
      </c>
      <c r="E122" s="123" t="s">
        <v>7726</v>
      </c>
    </row>
    <row r="123" spans="1:5">
      <c r="A123" s="132" t="s">
        <v>255</v>
      </c>
      <c r="B123" s="123" t="s">
        <v>7550</v>
      </c>
      <c r="C123" s="123" t="s">
        <v>7550</v>
      </c>
      <c r="E123" s="123" t="s">
        <v>7727</v>
      </c>
    </row>
    <row r="124" spans="1:5">
      <c r="A124" s="132" t="s">
        <v>255</v>
      </c>
      <c r="B124" s="123" t="s">
        <v>7551</v>
      </c>
      <c r="C124" s="123" t="s">
        <v>7551</v>
      </c>
      <c r="E124" s="123" t="s">
        <v>7728</v>
      </c>
    </row>
    <row r="125" spans="1:5">
      <c r="A125" s="132" t="s">
        <v>255</v>
      </c>
      <c r="B125" s="123" t="s">
        <v>7552</v>
      </c>
      <c r="C125" s="123" t="s">
        <v>7552</v>
      </c>
      <c r="E125" s="123" t="s">
        <v>7729</v>
      </c>
    </row>
    <row r="126" spans="1:5">
      <c r="A126" s="132" t="s">
        <v>255</v>
      </c>
      <c r="B126" s="123" t="s">
        <v>7553</v>
      </c>
      <c r="C126" s="123" t="s">
        <v>7553</v>
      </c>
      <c r="E126" s="123" t="s">
        <v>7730</v>
      </c>
    </row>
    <row r="127" spans="1:5">
      <c r="A127" s="132" t="s">
        <v>255</v>
      </c>
      <c r="B127" s="123" t="s">
        <v>7554</v>
      </c>
      <c r="C127" s="123" t="s">
        <v>7554</v>
      </c>
      <c r="E127" s="123" t="s">
        <v>7731</v>
      </c>
    </row>
    <row r="128" spans="1:5">
      <c r="A128" s="132" t="s">
        <v>255</v>
      </c>
      <c r="B128" s="123" t="s">
        <v>7555</v>
      </c>
      <c r="C128" s="123" t="s">
        <v>7555</v>
      </c>
      <c r="E128" s="123" t="s">
        <v>7732</v>
      </c>
    </row>
    <row r="129" spans="1:5">
      <c r="A129" s="132" t="s">
        <v>255</v>
      </c>
      <c r="B129" s="123" t="s">
        <v>7556</v>
      </c>
      <c r="C129" s="123" t="s">
        <v>7556</v>
      </c>
      <c r="E129" s="123" t="s">
        <v>7733</v>
      </c>
    </row>
    <row r="130" spans="1:5">
      <c r="A130" s="132" t="s">
        <v>255</v>
      </c>
      <c r="B130" s="123" t="s">
        <v>7557</v>
      </c>
      <c r="C130" s="123" t="s">
        <v>7557</v>
      </c>
      <c r="E130" s="123" t="s">
        <v>7734</v>
      </c>
    </row>
    <row r="131" spans="1:5">
      <c r="A131" s="132" t="s">
        <v>255</v>
      </c>
      <c r="B131" s="123" t="s">
        <v>7558</v>
      </c>
      <c r="C131" s="123" t="s">
        <v>7558</v>
      </c>
      <c r="E131" s="123" t="s">
        <v>7735</v>
      </c>
    </row>
    <row r="132" spans="1:5">
      <c r="A132" s="132" t="s">
        <v>255</v>
      </c>
      <c r="B132" s="123" t="s">
        <v>7559</v>
      </c>
      <c r="C132" s="123" t="s">
        <v>7559</v>
      </c>
      <c r="E132" s="123" t="s">
        <v>7736</v>
      </c>
    </row>
    <row r="133" spans="1:5">
      <c r="A133" s="132" t="s">
        <v>255</v>
      </c>
      <c r="B133" s="123" t="s">
        <v>7560</v>
      </c>
      <c r="C133" s="123" t="s">
        <v>7560</v>
      </c>
      <c r="E133" s="123" t="s">
        <v>7737</v>
      </c>
    </row>
    <row r="134" spans="1:5">
      <c r="A134" s="132" t="s">
        <v>255</v>
      </c>
      <c r="B134" s="123" t="s">
        <v>7886</v>
      </c>
      <c r="C134" s="123" t="s">
        <v>7824</v>
      </c>
      <c r="E134" s="123" t="s">
        <v>7738</v>
      </c>
    </row>
    <row r="135" spans="1:5">
      <c r="A135" s="132" t="s">
        <v>255</v>
      </c>
      <c r="B135" s="123" t="s">
        <v>7885</v>
      </c>
      <c r="C135" s="123" t="s">
        <v>7825</v>
      </c>
      <c r="E135" s="123" t="s">
        <v>7739</v>
      </c>
    </row>
    <row r="136" spans="1:5">
      <c r="A136" s="132" t="s">
        <v>255</v>
      </c>
      <c r="B136" s="123" t="s">
        <v>7884</v>
      </c>
      <c r="C136" s="123" t="s">
        <v>7826</v>
      </c>
      <c r="E136" s="123" t="s">
        <v>7740</v>
      </c>
    </row>
    <row r="137" spans="1:5">
      <c r="A137" s="132" t="s">
        <v>255</v>
      </c>
      <c r="B137" s="123" t="s">
        <v>7883</v>
      </c>
      <c r="C137" s="123" t="s">
        <v>7827</v>
      </c>
      <c r="E137" s="123" t="s">
        <v>7741</v>
      </c>
    </row>
    <row r="138" spans="1:5">
      <c r="A138" s="132" t="s">
        <v>255</v>
      </c>
      <c r="B138" s="123" t="s">
        <v>7882</v>
      </c>
      <c r="C138" s="123" t="s">
        <v>7828</v>
      </c>
      <c r="E138" s="123" t="s">
        <v>7742</v>
      </c>
    </row>
    <row r="139" spans="1:5">
      <c r="A139" s="132" t="s">
        <v>255</v>
      </c>
      <c r="B139" s="123" t="s">
        <v>7881</v>
      </c>
      <c r="C139" s="123" t="s">
        <v>7829</v>
      </c>
      <c r="E139" s="123" t="s">
        <v>7743</v>
      </c>
    </row>
    <row r="140" spans="1:5">
      <c r="A140" s="132" t="s">
        <v>255</v>
      </c>
      <c r="B140" s="123" t="s">
        <v>7880</v>
      </c>
      <c r="C140" s="123" t="s">
        <v>7830</v>
      </c>
      <c r="E140" s="123" t="s">
        <v>7744</v>
      </c>
    </row>
    <row r="141" spans="1:5">
      <c r="A141" s="132" t="s">
        <v>255</v>
      </c>
      <c r="B141" s="123" t="s">
        <v>7879</v>
      </c>
      <c r="C141" s="123" t="s">
        <v>7831</v>
      </c>
      <c r="E141" s="123" t="s">
        <v>7745</v>
      </c>
    </row>
    <row r="142" spans="1:5">
      <c r="A142" s="132" t="s">
        <v>255</v>
      </c>
      <c r="B142" s="123" t="s">
        <v>7878</v>
      </c>
      <c r="C142" s="123" t="s">
        <v>7832</v>
      </c>
      <c r="E142" s="123" t="s">
        <v>7746</v>
      </c>
    </row>
    <row r="143" spans="1:5">
      <c r="A143" s="132" t="s">
        <v>255</v>
      </c>
      <c r="B143" s="123" t="s">
        <v>7877</v>
      </c>
      <c r="C143" s="123" t="s">
        <v>7833</v>
      </c>
      <c r="E143" s="123" t="s">
        <v>7747</v>
      </c>
    </row>
    <row r="144" spans="1:5">
      <c r="A144" s="132" t="s">
        <v>255</v>
      </c>
      <c r="B144" s="123" t="s">
        <v>7889</v>
      </c>
      <c r="C144" s="123" t="s">
        <v>7834</v>
      </c>
      <c r="E144" s="123" t="s">
        <v>7748</v>
      </c>
    </row>
    <row r="145" spans="1:5">
      <c r="A145" s="132" t="s">
        <v>255</v>
      </c>
      <c r="B145" s="123" t="s">
        <v>7876</v>
      </c>
      <c r="C145" s="123" t="s">
        <v>7835</v>
      </c>
      <c r="E145" s="123" t="s">
        <v>7749</v>
      </c>
    </row>
    <row r="146" spans="1:5">
      <c r="A146" s="132" t="s">
        <v>255</v>
      </c>
      <c r="B146" s="123" t="s">
        <v>7875</v>
      </c>
      <c r="C146" s="123" t="s">
        <v>7836</v>
      </c>
      <c r="E146" s="123" t="s">
        <v>7750</v>
      </c>
    </row>
    <row r="147" spans="1:5">
      <c r="A147" s="132" t="s">
        <v>255</v>
      </c>
      <c r="B147" s="123" t="s">
        <v>7890</v>
      </c>
      <c r="C147" s="123" t="s">
        <v>7837</v>
      </c>
      <c r="E147" s="123" t="s">
        <v>7751</v>
      </c>
    </row>
    <row r="148" spans="1:5">
      <c r="A148" s="132" t="s">
        <v>255</v>
      </c>
      <c r="B148" s="123" t="s">
        <v>7874</v>
      </c>
      <c r="C148" s="123" t="s">
        <v>7838</v>
      </c>
      <c r="E148" s="123" t="s">
        <v>7752</v>
      </c>
    </row>
    <row r="149" spans="1:5">
      <c r="A149" s="132" t="s">
        <v>255</v>
      </c>
      <c r="B149" s="123" t="s">
        <v>7561</v>
      </c>
      <c r="C149" s="123" t="s">
        <v>7561</v>
      </c>
      <c r="E149" s="123" t="s">
        <v>7753</v>
      </c>
    </row>
    <row r="150" spans="1:5">
      <c r="A150" s="132" t="s">
        <v>255</v>
      </c>
      <c r="B150" s="123" t="s">
        <v>7562</v>
      </c>
      <c r="C150" s="123" t="s">
        <v>7562</v>
      </c>
      <c r="E150" s="123" t="s">
        <v>7754</v>
      </c>
    </row>
    <row r="151" spans="1:5">
      <c r="A151" s="132" t="s">
        <v>255</v>
      </c>
      <c r="B151" s="123" t="s">
        <v>7563</v>
      </c>
      <c r="C151" s="123" t="s">
        <v>7563</v>
      </c>
      <c r="E151" s="123" t="s">
        <v>7755</v>
      </c>
    </row>
    <row r="152" spans="1:5">
      <c r="A152" s="132" t="s">
        <v>255</v>
      </c>
      <c r="B152" s="123" t="s">
        <v>7564</v>
      </c>
      <c r="C152" s="123" t="s">
        <v>7564</v>
      </c>
      <c r="E152" s="123" t="s">
        <v>7756</v>
      </c>
    </row>
    <row r="153" spans="1:5">
      <c r="A153" s="132" t="s">
        <v>255</v>
      </c>
      <c r="B153" s="123" t="s">
        <v>7565</v>
      </c>
      <c r="C153" s="123" t="s">
        <v>7565</v>
      </c>
      <c r="E153" s="123" t="s">
        <v>7757</v>
      </c>
    </row>
    <row r="154" spans="1:5">
      <c r="A154" s="132" t="s">
        <v>255</v>
      </c>
      <c r="B154" s="123" t="s">
        <v>7566</v>
      </c>
      <c r="C154" s="123" t="s">
        <v>7566</v>
      </c>
      <c r="E154" s="123" t="s">
        <v>7758</v>
      </c>
    </row>
    <row r="155" spans="1:5">
      <c r="A155" s="132" t="s">
        <v>255</v>
      </c>
      <c r="B155" s="123" t="s">
        <v>7452</v>
      </c>
      <c r="C155" s="123" t="s">
        <v>7452</v>
      </c>
      <c r="E155" s="123" t="s">
        <v>7759</v>
      </c>
    </row>
    <row r="156" spans="1:5">
      <c r="A156" s="132" t="s">
        <v>255</v>
      </c>
      <c r="B156" s="123" t="s">
        <v>7567</v>
      </c>
      <c r="C156" s="123" t="s">
        <v>7567</v>
      </c>
      <c r="E156" s="123" t="s">
        <v>7760</v>
      </c>
    </row>
    <row r="157" spans="1:5">
      <c r="A157" s="132" t="s">
        <v>255</v>
      </c>
      <c r="B157" s="123" t="s">
        <v>7568</v>
      </c>
      <c r="C157" s="123" t="s">
        <v>7568</v>
      </c>
      <c r="E157" s="123" t="s">
        <v>7761</v>
      </c>
    </row>
    <row r="158" spans="1:5">
      <c r="A158" s="132" t="s">
        <v>255</v>
      </c>
      <c r="B158" s="123" t="s">
        <v>7839</v>
      </c>
      <c r="C158" s="123" t="s">
        <v>7839</v>
      </c>
      <c r="E158" s="123" t="s">
        <v>7762</v>
      </c>
    </row>
    <row r="159" spans="1:5">
      <c r="A159" s="132" t="s">
        <v>255</v>
      </c>
      <c r="B159" s="123" t="s">
        <v>7840</v>
      </c>
      <c r="C159" s="123" t="s">
        <v>7840</v>
      </c>
      <c r="E159" s="123" t="s">
        <v>7763</v>
      </c>
    </row>
    <row r="160" spans="1:5">
      <c r="A160" s="132" t="s">
        <v>255</v>
      </c>
      <c r="B160" s="123" t="s">
        <v>7841</v>
      </c>
      <c r="C160" s="123" t="s">
        <v>7841</v>
      </c>
      <c r="E160" s="123" t="s">
        <v>7764</v>
      </c>
    </row>
    <row r="161" spans="1:5">
      <c r="A161" s="132" t="s">
        <v>255</v>
      </c>
      <c r="B161" s="123" t="s">
        <v>7842</v>
      </c>
      <c r="C161" s="123" t="s">
        <v>7842</v>
      </c>
      <c r="E161" s="123" t="s">
        <v>7765</v>
      </c>
    </row>
    <row r="162" spans="1:5">
      <c r="A162" s="132" t="s">
        <v>255</v>
      </c>
      <c r="B162" s="123" t="s">
        <v>7843</v>
      </c>
      <c r="C162" s="123" t="s">
        <v>7843</v>
      </c>
      <c r="E162" s="123" t="s">
        <v>7766</v>
      </c>
    </row>
    <row r="163" spans="1:5">
      <c r="A163" s="132" t="s">
        <v>255</v>
      </c>
      <c r="B163" s="123" t="s">
        <v>7569</v>
      </c>
      <c r="C163" s="123" t="s">
        <v>7569</v>
      </c>
      <c r="E163" s="123" t="s">
        <v>7767</v>
      </c>
    </row>
    <row r="164" spans="1:5">
      <c r="A164" s="132" t="s">
        <v>255</v>
      </c>
      <c r="B164" s="123" t="s">
        <v>7844</v>
      </c>
      <c r="C164" s="123" t="s">
        <v>7844</v>
      </c>
      <c r="E164" s="123" t="s">
        <v>7768</v>
      </c>
    </row>
    <row r="165" spans="1:5">
      <c r="A165" s="132" t="s">
        <v>255</v>
      </c>
      <c r="B165" s="123" t="s">
        <v>7845</v>
      </c>
      <c r="C165" s="123" t="s">
        <v>7845</v>
      </c>
      <c r="E165" s="123" t="s">
        <v>7769</v>
      </c>
    </row>
    <row r="166" spans="1:5">
      <c r="A166" s="132" t="s">
        <v>255</v>
      </c>
      <c r="B166" s="123" t="s">
        <v>7846</v>
      </c>
      <c r="C166" s="123" t="s">
        <v>7846</v>
      </c>
      <c r="E166" s="123" t="s">
        <v>7770</v>
      </c>
    </row>
    <row r="167" spans="1:5">
      <c r="A167" s="132" t="s">
        <v>255</v>
      </c>
      <c r="B167" s="123" t="s">
        <v>7847</v>
      </c>
      <c r="C167" s="123" t="s">
        <v>7847</v>
      </c>
      <c r="E167" s="123" t="s">
        <v>7771</v>
      </c>
    </row>
    <row r="168" spans="1:5">
      <c r="A168" s="132" t="s">
        <v>255</v>
      </c>
      <c r="B168" s="123" t="s">
        <v>7570</v>
      </c>
      <c r="C168" s="123" t="s">
        <v>7570</v>
      </c>
      <c r="E168" s="123" t="s">
        <v>7772</v>
      </c>
    </row>
    <row r="169" spans="1:5">
      <c r="A169" s="132" t="s">
        <v>255</v>
      </c>
      <c r="B169" s="123" t="s">
        <v>7571</v>
      </c>
      <c r="C169" s="123" t="s">
        <v>7571</v>
      </c>
      <c r="E169" s="123" t="s">
        <v>7773</v>
      </c>
    </row>
    <row r="170" spans="1:5">
      <c r="A170" s="132" t="s">
        <v>255</v>
      </c>
      <c r="B170" s="123" t="s">
        <v>7572</v>
      </c>
      <c r="C170" s="123" t="s">
        <v>7572</v>
      </c>
      <c r="E170" s="123" t="s">
        <v>7774</v>
      </c>
    </row>
    <row r="171" spans="1:5">
      <c r="A171" s="132" t="s">
        <v>255</v>
      </c>
      <c r="B171" s="123" t="s">
        <v>7573</v>
      </c>
      <c r="C171" s="123" t="s">
        <v>7573</v>
      </c>
      <c r="E171" s="123" t="s">
        <v>7775</v>
      </c>
    </row>
    <row r="172" spans="1:5">
      <c r="A172" s="132" t="s">
        <v>255</v>
      </c>
      <c r="B172" s="123" t="s">
        <v>7574</v>
      </c>
      <c r="C172" s="123" t="s">
        <v>7574</v>
      </c>
      <c r="E172" s="123" t="s">
        <v>7776</v>
      </c>
    </row>
    <row r="173" spans="1:5">
      <c r="A173" s="132" t="s">
        <v>255</v>
      </c>
      <c r="B173" s="123" t="s">
        <v>7575</v>
      </c>
      <c r="C173" s="123" t="s">
        <v>7575</v>
      </c>
      <c r="E173" s="123" t="s">
        <v>7777</v>
      </c>
    </row>
    <row r="174" spans="1:5">
      <c r="A174" s="132" t="s">
        <v>255</v>
      </c>
      <c r="B174" s="123" t="s">
        <v>7576</v>
      </c>
      <c r="C174" s="123" t="s">
        <v>7576</v>
      </c>
      <c r="E174" s="123" t="s">
        <v>7778</v>
      </c>
    </row>
    <row r="175" spans="1:5">
      <c r="A175" s="132" t="s">
        <v>255</v>
      </c>
      <c r="B175" s="123" t="s">
        <v>7577</v>
      </c>
      <c r="C175" s="123" t="s">
        <v>7577</v>
      </c>
      <c r="E175" s="123" t="s">
        <v>7779</v>
      </c>
    </row>
    <row r="176" spans="1:5">
      <c r="A176" s="132" t="s">
        <v>255</v>
      </c>
      <c r="B176" s="123" t="s">
        <v>7578</v>
      </c>
      <c r="C176" s="123" t="s">
        <v>7578</v>
      </c>
      <c r="E176" s="123" t="s">
        <v>7780</v>
      </c>
    </row>
    <row r="177" spans="1:5">
      <c r="A177" s="132" t="s">
        <v>255</v>
      </c>
      <c r="B177" s="123" t="s">
        <v>7579</v>
      </c>
      <c r="C177" s="123" t="s">
        <v>7579</v>
      </c>
      <c r="E177" s="123" t="s">
        <v>7781</v>
      </c>
    </row>
    <row r="178" spans="1:5">
      <c r="A178" s="132" t="s">
        <v>255</v>
      </c>
      <c r="B178" s="123" t="s">
        <v>7580</v>
      </c>
      <c r="C178" s="123" t="s">
        <v>7580</v>
      </c>
      <c r="E178" s="123" t="s">
        <v>7782</v>
      </c>
    </row>
    <row r="179" spans="1:5">
      <c r="A179" s="132" t="s">
        <v>255</v>
      </c>
      <c r="B179" s="123" t="s">
        <v>7581</v>
      </c>
      <c r="C179" s="123" t="s">
        <v>7581</v>
      </c>
      <c r="E179" s="123" t="s">
        <v>7783</v>
      </c>
    </row>
    <row r="180" spans="1:5">
      <c r="A180" s="132" t="s">
        <v>255</v>
      </c>
      <c r="B180" s="123" t="s">
        <v>7582</v>
      </c>
      <c r="C180" s="123" t="s">
        <v>7582</v>
      </c>
      <c r="E180" s="123" t="s">
        <v>7784</v>
      </c>
    </row>
    <row r="181" spans="1:5">
      <c r="A181" s="132" t="s">
        <v>255</v>
      </c>
      <c r="B181" s="123" t="s">
        <v>7583</v>
      </c>
      <c r="C181" s="123" t="s">
        <v>7583</v>
      </c>
      <c r="E181" s="123" t="s">
        <v>7785</v>
      </c>
    </row>
    <row r="182" spans="1:5">
      <c r="A182" s="132" t="s">
        <v>255</v>
      </c>
      <c r="B182" s="123" t="s">
        <v>7584</v>
      </c>
      <c r="C182" s="123" t="s">
        <v>7584</v>
      </c>
      <c r="E182" s="123" t="s">
        <v>7786</v>
      </c>
    </row>
    <row r="183" spans="1:5">
      <c r="A183" s="132" t="s">
        <v>255</v>
      </c>
      <c r="B183" s="123" t="s">
        <v>7585</v>
      </c>
      <c r="C183" s="123" t="s">
        <v>7585</v>
      </c>
      <c r="E183" s="123" t="s">
        <v>7787</v>
      </c>
    </row>
    <row r="184" spans="1:5">
      <c r="A184" s="132" t="s">
        <v>255</v>
      </c>
      <c r="B184" s="123" t="s">
        <v>7586</v>
      </c>
      <c r="C184" s="123" t="s">
        <v>7586</v>
      </c>
      <c r="E184" s="123" t="s">
        <v>7788</v>
      </c>
    </row>
    <row r="185" spans="1:5">
      <c r="A185" s="132" t="s">
        <v>255</v>
      </c>
      <c r="B185" s="123" t="s">
        <v>7587</v>
      </c>
      <c r="C185" s="123" t="s">
        <v>7587</v>
      </c>
      <c r="E185" s="123" t="s">
        <v>7789</v>
      </c>
    </row>
    <row r="186" spans="1:5">
      <c r="A186" s="132" t="s">
        <v>255</v>
      </c>
      <c r="B186" s="123" t="s">
        <v>7588</v>
      </c>
      <c r="C186" s="123" t="s">
        <v>7588</v>
      </c>
      <c r="E186" s="123" t="s">
        <v>7790</v>
      </c>
    </row>
    <row r="187" spans="1:5">
      <c r="A187" s="132" t="s">
        <v>255</v>
      </c>
      <c r="B187" s="123" t="s">
        <v>7589</v>
      </c>
      <c r="C187" s="123" t="s">
        <v>7589</v>
      </c>
      <c r="E187" s="123" t="s">
        <v>7791</v>
      </c>
    </row>
    <row r="188" spans="1:5">
      <c r="A188" s="132" t="s">
        <v>255</v>
      </c>
      <c r="B188" s="123" t="s">
        <v>7590</v>
      </c>
      <c r="C188" s="123" t="s">
        <v>7590</v>
      </c>
      <c r="E188" s="123" t="s">
        <v>7792</v>
      </c>
    </row>
    <row r="189" spans="1:5">
      <c r="A189" s="132" t="s">
        <v>255</v>
      </c>
      <c r="B189" s="123" t="s">
        <v>7591</v>
      </c>
      <c r="C189" s="123" t="s">
        <v>7591</v>
      </c>
      <c r="E189" s="123" t="s">
        <v>7793</v>
      </c>
    </row>
    <row r="190" spans="1:5">
      <c r="A190" s="132" t="s">
        <v>255</v>
      </c>
      <c r="B190" s="123" t="s">
        <v>7592</v>
      </c>
      <c r="C190" s="123" t="s">
        <v>7592</v>
      </c>
      <c r="E190" s="123" t="s">
        <v>7794</v>
      </c>
    </row>
    <row r="191" spans="1:5">
      <c r="A191" s="132" t="s">
        <v>255</v>
      </c>
      <c r="B191" s="123" t="s">
        <v>7593</v>
      </c>
      <c r="C191" s="123" t="s">
        <v>7593</v>
      </c>
      <c r="E191" s="123" t="s">
        <v>7795</v>
      </c>
    </row>
    <row r="192" spans="1:5">
      <c r="A192" s="132" t="s">
        <v>255</v>
      </c>
      <c r="B192" s="123" t="s">
        <v>7594</v>
      </c>
      <c r="C192" s="123" t="s">
        <v>7594</v>
      </c>
      <c r="E192" s="123" t="s">
        <v>7796</v>
      </c>
    </row>
    <row r="193" spans="1:5">
      <c r="A193" s="132" t="s">
        <v>255</v>
      </c>
      <c r="B193" s="123" t="s">
        <v>7595</v>
      </c>
      <c r="C193" s="123" t="s">
        <v>7595</v>
      </c>
      <c r="E193" s="123" t="s">
        <v>7797</v>
      </c>
    </row>
    <row r="194" spans="1:5">
      <c r="A194" s="132" t="s">
        <v>255</v>
      </c>
      <c r="B194" s="123" t="s">
        <v>7596</v>
      </c>
      <c r="C194" s="123" t="s">
        <v>7596</v>
      </c>
      <c r="E194" s="123" t="s">
        <v>7798</v>
      </c>
    </row>
    <row r="195" spans="1:5">
      <c r="A195" s="132" t="s">
        <v>255</v>
      </c>
      <c r="B195" s="123" t="s">
        <v>7597</v>
      </c>
      <c r="C195" s="123" t="s">
        <v>7597</v>
      </c>
      <c r="E195" s="123" t="s">
        <v>7799</v>
      </c>
    </row>
    <row r="196" spans="1:5">
      <c r="A196" s="132" t="s">
        <v>255</v>
      </c>
      <c r="B196" s="123" t="s">
        <v>7598</v>
      </c>
      <c r="C196" s="123" t="s">
        <v>7598</v>
      </c>
      <c r="E196" s="123" t="s">
        <v>7800</v>
      </c>
    </row>
    <row r="197" spans="1:5">
      <c r="A197" s="132" t="s">
        <v>255</v>
      </c>
      <c r="B197" s="123" t="s">
        <v>7599</v>
      </c>
      <c r="C197" s="123" t="s">
        <v>7599</v>
      </c>
      <c r="E197" s="123" t="s">
        <v>7801</v>
      </c>
    </row>
    <row r="198" spans="1:5">
      <c r="A198" s="132" t="s">
        <v>255</v>
      </c>
      <c r="B198" s="123" t="s">
        <v>7600</v>
      </c>
      <c r="C198" s="123" t="s">
        <v>7600</v>
      </c>
      <c r="E198" s="123" t="s">
        <v>7802</v>
      </c>
    </row>
    <row r="199" spans="1:5">
      <c r="A199" s="132" t="s">
        <v>255</v>
      </c>
      <c r="B199" s="123" t="s">
        <v>7870</v>
      </c>
      <c r="C199" s="123" t="s">
        <v>7848</v>
      </c>
      <c r="E199" s="123" t="s">
        <v>7803</v>
      </c>
    </row>
    <row r="200" spans="1:5">
      <c r="A200" s="132" t="s">
        <v>255</v>
      </c>
      <c r="B200" s="123" t="s">
        <v>7871</v>
      </c>
      <c r="C200" s="123" t="s">
        <v>7849</v>
      </c>
      <c r="E200" s="123" t="s">
        <v>7804</v>
      </c>
    </row>
    <row r="201" spans="1:5">
      <c r="A201" s="132" t="s">
        <v>255</v>
      </c>
      <c r="B201" s="123" t="s">
        <v>7872</v>
      </c>
      <c r="C201" s="123" t="s">
        <v>7850</v>
      </c>
      <c r="E201" s="123" t="s">
        <v>7805</v>
      </c>
    </row>
    <row r="202" spans="1:5">
      <c r="A202" s="132" t="s">
        <v>255</v>
      </c>
      <c r="B202" s="123" t="s">
        <v>7873</v>
      </c>
      <c r="C202" s="123" t="s">
        <v>7851</v>
      </c>
      <c r="E202" s="123" t="s">
        <v>7806</v>
      </c>
    </row>
    <row r="203" spans="1:5">
      <c r="A203" s="132" t="s">
        <v>255</v>
      </c>
      <c r="B203" s="123" t="s">
        <v>7601</v>
      </c>
      <c r="C203" s="123" t="s">
        <v>7601</v>
      </c>
      <c r="E203" s="123" t="s">
        <v>7807</v>
      </c>
    </row>
    <row r="204" spans="1:5">
      <c r="A204" s="132" t="s">
        <v>255</v>
      </c>
      <c r="B204" s="123" t="s">
        <v>7602</v>
      </c>
      <c r="C204" s="123" t="s">
        <v>7602</v>
      </c>
      <c r="E204" s="123" t="s">
        <v>7808</v>
      </c>
    </row>
    <row r="205" spans="1:5">
      <c r="A205" s="132" t="s">
        <v>255</v>
      </c>
      <c r="B205" s="123" t="s">
        <v>7603</v>
      </c>
      <c r="C205" s="123" t="s">
        <v>7603</v>
      </c>
      <c r="E205" s="123" t="s">
        <v>7809</v>
      </c>
    </row>
    <row r="206" spans="1:5">
      <c r="A206" s="132" t="s">
        <v>255</v>
      </c>
      <c r="B206" s="123" t="s">
        <v>7604</v>
      </c>
      <c r="C206" s="123" t="s">
        <v>7604</v>
      </c>
      <c r="E206" s="123" t="s">
        <v>7810</v>
      </c>
    </row>
    <row r="207" spans="1:5">
      <c r="A207" s="132" t="s">
        <v>255</v>
      </c>
      <c r="B207" s="123" t="s">
        <v>7605</v>
      </c>
      <c r="C207" s="123" t="s">
        <v>7605</v>
      </c>
      <c r="E207" s="123" t="s">
        <v>7811</v>
      </c>
    </row>
    <row r="208" spans="1:5">
      <c r="A208" s="132" t="s">
        <v>255</v>
      </c>
      <c r="B208" s="123" t="s">
        <v>7852</v>
      </c>
      <c r="C208" s="123" t="s">
        <v>7852</v>
      </c>
      <c r="E208" s="123" t="s">
        <v>7887</v>
      </c>
    </row>
    <row r="209" spans="1:5">
      <c r="A209" s="132" t="s">
        <v>255</v>
      </c>
      <c r="B209" s="123" t="s">
        <v>8196</v>
      </c>
      <c r="C209" s="123" t="s">
        <v>8196</v>
      </c>
      <c r="E209" s="123" t="s">
        <v>7888</v>
      </c>
    </row>
    <row r="210" spans="1:5">
      <c r="A210" s="132" t="s">
        <v>255</v>
      </c>
      <c r="B210" s="123" t="s">
        <v>8647</v>
      </c>
      <c r="C210" s="123" t="s">
        <v>8647</v>
      </c>
      <c r="E210" s="123" t="s">
        <v>8646</v>
      </c>
    </row>
    <row r="211" spans="1:5">
      <c r="E211" s="125"/>
    </row>
    <row r="212" spans="1:5">
      <c r="E212" s="125"/>
    </row>
    <row r="213" spans="1:5">
      <c r="E213" s="125"/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10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J6"/>
  <sheetViews>
    <sheetView zoomScale="89" zoomScaleNormal="89" workbookViewId="0">
      <selection activeCell="I17" sqref="I17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93"/>
      <c r="H1" s="193"/>
      <c r="I1" s="180"/>
      <c r="J1" s="193"/>
    </row>
    <row r="2" spans="1:10">
      <c r="A2" s="125" t="s">
        <v>264</v>
      </c>
      <c r="B2" s="125" t="s">
        <v>265</v>
      </c>
      <c r="C2" s="125" t="s">
        <v>266</v>
      </c>
      <c r="D2" s="112" t="s">
        <v>8228</v>
      </c>
      <c r="J2" s="194"/>
    </row>
    <row r="3" spans="1:10">
      <c r="A3" s="123" t="s">
        <v>264</v>
      </c>
      <c r="B3" s="123" t="s">
        <v>267</v>
      </c>
      <c r="C3" s="123" t="s">
        <v>268</v>
      </c>
      <c r="D3" s="112" t="s">
        <v>8229</v>
      </c>
      <c r="J3" s="194"/>
    </row>
    <row r="4" spans="1:10">
      <c r="J4" s="194"/>
    </row>
    <row r="5" spans="1:10">
      <c r="G5" s="140"/>
      <c r="H5" s="140"/>
      <c r="J5" s="194"/>
    </row>
    <row r="6" spans="1:10">
      <c r="G6" s="193"/>
      <c r="H6" s="193"/>
      <c r="I6" s="180"/>
      <c r="J6" s="193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4"/>
  <sheetViews>
    <sheetView zoomScale="95" zoomScaleNormal="95" workbookViewId="0">
      <selection activeCell="B5" sqref="B5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269</v>
      </c>
      <c r="B2" s="112" t="s">
        <v>269</v>
      </c>
    </row>
    <row r="3" spans="1:4">
      <c r="A3" s="134" t="s">
        <v>270</v>
      </c>
      <c r="B3" s="135" t="s">
        <v>271</v>
      </c>
      <c r="D3" s="112" t="s">
        <v>269</v>
      </c>
    </row>
    <row r="4" spans="1:4">
      <c r="A4" s="123" t="s">
        <v>8114</v>
      </c>
      <c r="B4" s="112" t="s">
        <v>8115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841"/>
  <sheetViews>
    <sheetView zoomScale="95" zoomScaleNormal="95" workbookViewId="0">
      <pane xSplit="8" ySplit="1" topLeftCell="AA2" activePane="bottomRight" state="frozen"/>
      <selection pane="topRight" activeCell="I1" sqref="I1"/>
      <selection pane="bottomLeft" activeCell="A2" sqref="A2"/>
      <selection pane="bottomRight" activeCell="AF15" sqref="AF15"/>
    </sheetView>
  </sheetViews>
  <sheetFormatPr baseColWidth="10" defaultColWidth="11.28515625" defaultRowHeight="12.75"/>
  <cols>
    <col min="1" max="1" width="12.140625" style="154" bestFit="1" customWidth="1"/>
    <col min="2" max="2" width="12.5703125" bestFit="1" customWidth="1"/>
    <col min="3" max="3" width="9.7109375" bestFit="1" customWidth="1"/>
    <col min="4" max="4" width="13.5703125" bestFit="1" customWidth="1"/>
    <col min="5" max="5" width="7.140625" style="113" bestFit="1" customWidth="1"/>
    <col min="6" max="6" width="7" style="113" bestFit="1" customWidth="1"/>
    <col min="7" max="7" width="9.85546875" style="113" bestFit="1" customWidth="1"/>
    <col min="8" max="8" width="9.7109375" style="113" bestFit="1" customWidth="1"/>
    <col min="9" max="9" width="18.140625" style="112" bestFit="1" customWidth="1"/>
    <col min="10" max="10" width="17.5703125" style="112" bestFit="1" customWidth="1"/>
    <col min="11" max="11" width="17.28515625" style="112" bestFit="1" customWidth="1"/>
    <col min="12" max="12" width="16.7109375" style="178" bestFit="1" customWidth="1"/>
    <col min="13" max="13" width="20.85546875" style="136" bestFit="1" customWidth="1"/>
    <col min="14" max="14" width="20.28515625" style="136" bestFit="1" customWidth="1"/>
    <col min="15" max="15" width="12.140625" style="136" bestFit="1" customWidth="1"/>
    <col min="16" max="16" width="7.7109375" style="153" bestFit="1" customWidth="1"/>
    <col min="17" max="17" width="9.5703125" style="153" bestFit="1" customWidth="1"/>
    <col min="18" max="18" width="9" style="153" bestFit="1" customWidth="1"/>
    <col min="19" max="19" width="9.28515625" style="153" bestFit="1" customWidth="1"/>
    <col min="20" max="20" width="8.7109375" style="153" customWidth="1"/>
    <col min="21" max="21" width="16.85546875" style="136" bestFit="1" customWidth="1"/>
    <col min="22" max="22" width="16.28515625" style="136" bestFit="1" customWidth="1"/>
    <col min="23" max="23" width="16" style="153" bestFit="1" customWidth="1"/>
    <col min="24" max="24" width="15.28515625" style="153" bestFit="1" customWidth="1"/>
    <col min="25" max="25" width="9.7109375" style="136" bestFit="1" customWidth="1"/>
    <col min="26" max="26" width="9.140625" style="136" bestFit="1" customWidth="1"/>
    <col min="27" max="27" width="12.28515625" style="153" bestFit="1" customWidth="1"/>
    <col min="28" max="28" width="8.5703125" style="153" bestFit="1" customWidth="1"/>
    <col min="29" max="29" width="10" style="136" bestFit="1" customWidth="1"/>
    <col min="30" max="30" width="8.140625" style="136" bestFit="1" customWidth="1"/>
    <col min="31" max="31" width="15.140625" style="153" bestFit="1" customWidth="1"/>
    <col min="32" max="32" width="14.42578125" style="153" bestFit="1" customWidth="1"/>
    <col min="33" max="33" width="16.7109375" style="136" bestFit="1" customWidth="1"/>
    <col min="34" max="34" width="10.28515625" style="136" bestFit="1" customWidth="1"/>
    <col min="35" max="35" width="17" style="153" bestFit="1" customWidth="1"/>
    <col min="36" max="36" width="16.42578125" style="153" bestFit="1" customWidth="1"/>
    <col min="37" max="37" width="18.85546875" style="136" bestFit="1" customWidth="1"/>
    <col min="38" max="38" width="18.140625" style="136" bestFit="1" customWidth="1"/>
    <col min="39" max="39" width="18.5703125" style="153" bestFit="1" customWidth="1"/>
    <col min="40" max="40" width="18" style="153" bestFit="1" customWidth="1"/>
    <col min="41" max="41" width="18.5703125" style="136" bestFit="1" customWidth="1"/>
    <col min="42" max="42" width="18" style="136" bestFit="1" customWidth="1"/>
    <col min="43" max="43" width="20.28515625" style="153" bestFit="1" customWidth="1"/>
    <col min="44" max="44" width="19.7109375" style="153" bestFit="1" customWidth="1"/>
    <col min="45" max="45" width="24.5703125" style="136" bestFit="1" customWidth="1"/>
    <col min="46" max="46" width="23.7109375" style="136" bestFit="1" customWidth="1"/>
    <col min="47" max="47" width="19" style="153" bestFit="1" customWidth="1"/>
    <col min="48" max="48" width="18.28515625" style="153" bestFit="1" customWidth="1"/>
    <col min="49" max="49" width="19" style="136" bestFit="1" customWidth="1"/>
    <col min="50" max="50" width="18.28515625" style="136" bestFit="1" customWidth="1"/>
    <col min="51" max="51" width="25" style="153" bestFit="1" customWidth="1"/>
    <col min="52" max="52" width="24.28515625" style="153" bestFit="1" customWidth="1"/>
    <col min="53" max="53" width="19" style="136" bestFit="1" customWidth="1"/>
    <col min="54" max="54" width="18.28515625" style="136" bestFit="1" customWidth="1"/>
    <col min="55" max="55" width="30.7109375" style="153" bestFit="1" customWidth="1"/>
    <col min="56" max="56" width="30" style="153" bestFit="1" customWidth="1"/>
    <col min="57" max="57" width="13.7109375" style="153" bestFit="1" customWidth="1"/>
    <col min="58" max="58" width="13.140625" style="153" bestFit="1" customWidth="1"/>
    <col min="59" max="59" width="13.7109375" style="153" bestFit="1" customWidth="1"/>
    <col min="60" max="60" width="13.140625" style="153" bestFit="1" customWidth="1"/>
    <col min="61" max="61" width="15.28515625" style="153" bestFit="1" customWidth="1"/>
    <col min="62" max="62" width="14.140625" style="153" bestFit="1" customWidth="1"/>
    <col min="63" max="63" width="14.85546875" style="153" bestFit="1" customWidth="1"/>
    <col min="64" max="64" width="14.140625" style="153" bestFit="1" customWidth="1"/>
    <col min="65" max="65" width="12.140625" style="136" bestFit="1" customWidth="1"/>
    <col min="66" max="66" width="11.5703125" style="136" bestFit="1" customWidth="1"/>
    <col min="67" max="67" width="15.140625" style="153" bestFit="1" customWidth="1"/>
    <col min="68" max="68" width="14.42578125" style="153" bestFit="1" customWidth="1"/>
    <col min="69" max="69" width="16.5703125" style="136" bestFit="1" customWidth="1"/>
    <col min="70" max="70" width="16" style="136" bestFit="1" customWidth="1"/>
    <col min="71" max="71" width="10.7109375" style="153" bestFit="1" customWidth="1"/>
    <col min="72" max="72" width="7.42578125" style="153" bestFit="1" customWidth="1"/>
    <col min="73" max="73" width="10.28515625" style="136" bestFit="1" customWidth="1"/>
    <col min="74" max="74" width="7.85546875" style="136" bestFit="1" customWidth="1"/>
    <col min="75" max="75" width="14.42578125" style="136" bestFit="1" customWidth="1"/>
    <col min="76" max="76" width="9.7109375" style="136" bestFit="1" customWidth="1"/>
    <col min="77" max="77" width="21.7109375" style="136" bestFit="1" customWidth="1"/>
    <col min="78" max="78" width="21" style="136" bestFit="1" customWidth="1"/>
    <col min="79" max="79" width="14.7109375" style="136" bestFit="1" customWidth="1"/>
    <col min="80" max="80" width="14" style="136" bestFit="1" customWidth="1"/>
    <col min="81" max="81" width="22.5703125" style="136" bestFit="1" customWidth="1"/>
    <col min="82" max="82" width="22" style="136" bestFit="1" customWidth="1"/>
    <col min="83" max="83" width="20.85546875" style="136" bestFit="1" customWidth="1"/>
    <col min="84" max="84" width="20.28515625" style="136" bestFit="1" customWidth="1"/>
    <col min="85" max="85" width="18.140625" style="136" bestFit="1" customWidth="1"/>
    <col min="86" max="86" width="17.5703125" style="136" bestFit="1" customWidth="1"/>
    <col min="87" max="87" width="7.140625" style="136" bestFit="1" customWidth="1"/>
    <col min="88" max="88" width="8.85546875" style="136" bestFit="1" customWidth="1"/>
    <col min="89" max="89" width="18.5703125" style="136" bestFit="1" customWidth="1"/>
    <col min="90" max="90" width="15.28515625" style="136" bestFit="1" customWidth="1"/>
    <col min="91" max="91" width="14.7109375" style="136" bestFit="1" customWidth="1"/>
    <col min="92" max="16384" width="11.28515625" style="137"/>
  </cols>
  <sheetData>
    <row r="1" spans="1:91" s="139" customFormat="1" ht="13.5" thickBot="1">
      <c r="A1" s="363" t="s">
        <v>150</v>
      </c>
      <c r="B1" s="115" t="s">
        <v>171</v>
      </c>
      <c r="C1" s="115" t="s">
        <v>187</v>
      </c>
      <c r="D1" s="115" t="s">
        <v>272</v>
      </c>
      <c r="E1" s="113" t="s">
        <v>21</v>
      </c>
      <c r="F1" s="113" t="s">
        <v>22</v>
      </c>
      <c r="G1" s="116" t="s">
        <v>192</v>
      </c>
      <c r="H1" s="116" t="s">
        <v>193</v>
      </c>
      <c r="I1" s="138" t="s">
        <v>8045</v>
      </c>
      <c r="J1" s="138" t="s">
        <v>8046</v>
      </c>
      <c r="K1" s="138" t="s">
        <v>8047</v>
      </c>
      <c r="L1" s="138" t="s">
        <v>8048</v>
      </c>
      <c r="M1" s="138" t="s">
        <v>8049</v>
      </c>
      <c r="N1" s="138" t="s">
        <v>8050</v>
      </c>
      <c r="O1" s="138" t="s">
        <v>8051</v>
      </c>
      <c r="P1" s="138" t="s">
        <v>8052</v>
      </c>
      <c r="Q1" s="138" t="s">
        <v>8053</v>
      </c>
      <c r="R1" s="138" t="s">
        <v>8054</v>
      </c>
      <c r="S1" s="138" t="s">
        <v>282</v>
      </c>
      <c r="T1" s="138" t="s">
        <v>283</v>
      </c>
      <c r="U1" s="138" t="s">
        <v>8055</v>
      </c>
      <c r="V1" s="138" t="s">
        <v>8056</v>
      </c>
      <c r="W1" s="138" t="s">
        <v>8057</v>
      </c>
      <c r="X1" s="138" t="s">
        <v>8058</v>
      </c>
      <c r="Y1" s="138" t="s">
        <v>280</v>
      </c>
      <c r="Z1" s="138" t="s">
        <v>281</v>
      </c>
      <c r="AA1" s="138" t="s">
        <v>276</v>
      </c>
      <c r="AB1" s="138" t="s">
        <v>277</v>
      </c>
      <c r="AC1" s="138" t="s">
        <v>273</v>
      </c>
      <c r="AD1" s="138" t="s">
        <v>8059</v>
      </c>
      <c r="AE1" s="138" t="s">
        <v>8060</v>
      </c>
      <c r="AF1" s="138" t="s">
        <v>8061</v>
      </c>
      <c r="AG1" s="138" t="s">
        <v>274</v>
      </c>
      <c r="AH1" s="138" t="s">
        <v>275</v>
      </c>
      <c r="AI1" s="138" t="s">
        <v>8062</v>
      </c>
      <c r="AJ1" s="138" t="s">
        <v>8063</v>
      </c>
      <c r="AK1" s="138" t="s">
        <v>8065</v>
      </c>
      <c r="AL1" s="138" t="s">
        <v>8064</v>
      </c>
      <c r="AM1" s="138" t="s">
        <v>8066</v>
      </c>
      <c r="AN1" s="138" t="s">
        <v>8067</v>
      </c>
      <c r="AO1" s="138" t="s">
        <v>8068</v>
      </c>
      <c r="AP1" s="138" t="s">
        <v>8069</v>
      </c>
      <c r="AQ1" s="138" t="s">
        <v>8070</v>
      </c>
      <c r="AR1" s="138" t="s">
        <v>8071</v>
      </c>
      <c r="AS1" s="138" t="s">
        <v>8072</v>
      </c>
      <c r="AT1" s="138" t="s">
        <v>8073</v>
      </c>
      <c r="AU1" s="138" t="s">
        <v>8074</v>
      </c>
      <c r="AV1" s="138" t="s">
        <v>8075</v>
      </c>
      <c r="AW1" s="138" t="s">
        <v>8076</v>
      </c>
      <c r="AX1" s="138" t="s">
        <v>8077</v>
      </c>
      <c r="AY1" s="138" t="s">
        <v>8078</v>
      </c>
      <c r="AZ1" s="138" t="s">
        <v>8079</v>
      </c>
      <c r="BA1" s="138" t="s">
        <v>8081</v>
      </c>
      <c r="BB1" s="138" t="s">
        <v>8080</v>
      </c>
      <c r="BC1" s="138" t="s">
        <v>8082</v>
      </c>
      <c r="BD1" s="138" t="s">
        <v>8083</v>
      </c>
      <c r="BE1" s="138" t="s">
        <v>8084</v>
      </c>
      <c r="BF1" s="138" t="s">
        <v>8085</v>
      </c>
      <c r="BG1" s="138" t="s">
        <v>8086</v>
      </c>
      <c r="BH1" s="138" t="s">
        <v>8087</v>
      </c>
      <c r="BI1" s="138" t="s">
        <v>8088</v>
      </c>
      <c r="BJ1" s="138" t="s">
        <v>8089</v>
      </c>
      <c r="BK1" s="138" t="s">
        <v>8090</v>
      </c>
      <c r="BL1" s="138" t="s">
        <v>8091</v>
      </c>
      <c r="BM1" s="138" t="s">
        <v>8092</v>
      </c>
      <c r="BN1" s="138" t="s">
        <v>8093</v>
      </c>
      <c r="BO1" s="138" t="s">
        <v>8094</v>
      </c>
      <c r="BP1" s="138" t="s">
        <v>8095</v>
      </c>
      <c r="BQ1" s="138" t="s">
        <v>8096</v>
      </c>
      <c r="BR1" s="138" t="s">
        <v>8097</v>
      </c>
      <c r="BS1" s="138" t="s">
        <v>278</v>
      </c>
      <c r="BT1" s="138" t="s">
        <v>279</v>
      </c>
      <c r="BU1" s="138" t="s">
        <v>8098</v>
      </c>
      <c r="BV1" s="138" t="s">
        <v>8099</v>
      </c>
      <c r="BW1" s="138" t="s">
        <v>8100</v>
      </c>
      <c r="BX1" s="138" t="s">
        <v>8101</v>
      </c>
      <c r="BY1" s="138" t="s">
        <v>8102</v>
      </c>
      <c r="BZ1" s="138" t="s">
        <v>8103</v>
      </c>
      <c r="CA1" s="138" t="s">
        <v>8104</v>
      </c>
      <c r="CB1" s="138" t="s">
        <v>8105</v>
      </c>
      <c r="CC1" s="138" t="s">
        <v>8106</v>
      </c>
      <c r="CD1" s="138" t="s">
        <v>8107</v>
      </c>
      <c r="CE1" s="138" t="s">
        <v>8108</v>
      </c>
      <c r="CF1" s="138" t="s">
        <v>8109</v>
      </c>
      <c r="CG1" s="138" t="s">
        <v>8110</v>
      </c>
      <c r="CH1" s="138" t="s">
        <v>8111</v>
      </c>
      <c r="CI1" s="138" t="s">
        <v>8028</v>
      </c>
      <c r="CJ1" s="138" t="s">
        <v>7855</v>
      </c>
      <c r="CK1" s="138" t="s">
        <v>8035</v>
      </c>
      <c r="CL1" s="138" t="s">
        <v>8112</v>
      </c>
      <c r="CM1" s="138" t="s">
        <v>8113</v>
      </c>
    </row>
    <row r="2" spans="1:91" ht="15">
      <c r="A2" s="364" t="s">
        <v>7606</v>
      </c>
      <c r="B2" t="s">
        <v>265</v>
      </c>
      <c r="C2" t="s">
        <v>413</v>
      </c>
      <c r="D2">
        <v>1</v>
      </c>
      <c r="E2" s="113">
        <v>34</v>
      </c>
      <c r="F2" s="113">
        <v>6</v>
      </c>
      <c r="I2"/>
      <c r="K2" s="224">
        <v>7</v>
      </c>
      <c r="L2" s="390">
        <v>41625</v>
      </c>
      <c r="M2"/>
      <c r="N2" s="224"/>
      <c r="O2"/>
      <c r="P2"/>
      <c r="Q2"/>
      <c r="S2" s="224"/>
      <c r="T2" s="224"/>
      <c r="U2"/>
      <c r="V2"/>
      <c r="W2"/>
      <c r="X2"/>
      <c r="Y2" s="225"/>
      <c r="Z2" s="224"/>
      <c r="AA2" s="226"/>
      <c r="AB2" s="224"/>
      <c r="AC2" s="225"/>
      <c r="AD2" s="224"/>
      <c r="AE2" s="224"/>
      <c r="AF2" s="224"/>
      <c r="AG2"/>
      <c r="AH2"/>
      <c r="AI2">
        <v>140</v>
      </c>
      <c r="AJ2" s="194">
        <v>41785</v>
      </c>
      <c r="AK2"/>
      <c r="AL2"/>
      <c r="AM2"/>
      <c r="AN2"/>
      <c r="AO2"/>
      <c r="AP2"/>
      <c r="AQ2" s="227"/>
      <c r="AR2" s="227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>
        <v>54.7</v>
      </c>
      <c r="BT2"/>
      <c r="BU2">
        <v>12.8</v>
      </c>
      <c r="BV2"/>
      <c r="BW2" s="229"/>
      <c r="BX2"/>
      <c r="BY2"/>
      <c r="BZ2"/>
      <c r="CA2"/>
      <c r="CC2"/>
      <c r="CD2"/>
      <c r="CE2">
        <v>7</v>
      </c>
      <c r="CF2"/>
      <c r="CG2">
        <v>0.5</v>
      </c>
      <c r="CH2"/>
      <c r="CI2"/>
      <c r="CJ2"/>
      <c r="CK2" t="s">
        <v>8820</v>
      </c>
      <c r="CL2"/>
      <c r="CM2"/>
    </row>
    <row r="3" spans="1:91" ht="15">
      <c r="A3" s="364" t="s">
        <v>7607</v>
      </c>
      <c r="B3" t="s">
        <v>265</v>
      </c>
      <c r="C3" t="s">
        <v>413</v>
      </c>
      <c r="D3">
        <v>2</v>
      </c>
      <c r="E3" s="113">
        <v>20</v>
      </c>
      <c r="F3" s="113">
        <v>6</v>
      </c>
      <c r="G3" s="233"/>
      <c r="H3" s="233"/>
      <c r="I3" s="232"/>
      <c r="J3" s="234"/>
      <c r="K3" s="235">
        <v>6</v>
      </c>
      <c r="L3" s="390">
        <v>41625</v>
      </c>
      <c r="M3" s="232"/>
      <c r="N3" s="235"/>
      <c r="O3" s="232"/>
      <c r="P3" s="232"/>
      <c r="Q3" s="232"/>
      <c r="R3" s="236"/>
      <c r="S3" s="235"/>
      <c r="T3" s="235"/>
      <c r="U3" s="232"/>
      <c r="V3" s="232"/>
      <c r="W3" s="232"/>
      <c r="X3" s="232"/>
      <c r="Y3" s="237"/>
      <c r="Z3" s="235"/>
      <c r="AA3" s="238"/>
      <c r="AB3" s="235"/>
      <c r="AC3" s="237"/>
      <c r="AD3" s="235"/>
      <c r="AE3" s="235"/>
      <c r="AF3" s="235"/>
      <c r="AG3" s="232"/>
      <c r="AH3" s="232"/>
      <c r="AI3" s="232">
        <v>170</v>
      </c>
      <c r="AJ3" s="194">
        <v>41785</v>
      </c>
      <c r="AK3" s="232"/>
      <c r="AL3" s="232"/>
      <c r="AM3" s="232"/>
      <c r="AN3" s="232"/>
      <c r="AO3" s="232"/>
      <c r="AP3" s="232"/>
      <c r="AQ3" s="239"/>
      <c r="AR3" s="239"/>
      <c r="AS3" s="232"/>
      <c r="AT3" s="232"/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232"/>
      <c r="BG3" s="232"/>
      <c r="BH3" s="232"/>
      <c r="BI3" s="232"/>
      <c r="BJ3" s="232"/>
      <c r="BK3" s="232"/>
      <c r="BL3" s="232"/>
      <c r="BM3" s="232"/>
      <c r="BN3" s="232"/>
      <c r="BO3" s="232"/>
      <c r="BP3" s="232"/>
      <c r="BQ3" s="232"/>
      <c r="BR3" s="232"/>
      <c r="BS3" s="232">
        <v>53.7</v>
      </c>
      <c r="BT3" s="232"/>
      <c r="BU3" s="232">
        <v>13.6</v>
      </c>
      <c r="BV3" s="232"/>
      <c r="BW3" s="232"/>
      <c r="BX3" s="243"/>
      <c r="BY3" s="232"/>
      <c r="BZ3" s="232"/>
      <c r="CA3" s="232"/>
      <c r="CB3" s="241"/>
      <c r="CC3" s="232"/>
      <c r="CD3" s="232"/>
      <c r="CE3" s="232">
        <v>5.7</v>
      </c>
      <c r="CF3" s="232"/>
      <c r="CG3" s="232">
        <v>0.1</v>
      </c>
      <c r="CH3" s="232"/>
      <c r="CI3" s="232"/>
      <c r="CJ3" s="232"/>
      <c r="CK3" t="s">
        <v>8820</v>
      </c>
      <c r="CL3" s="232"/>
      <c r="CM3" s="232"/>
    </row>
    <row r="4" spans="1:91" ht="15">
      <c r="A4" s="364" t="s">
        <v>7608</v>
      </c>
      <c r="B4" t="s">
        <v>265</v>
      </c>
      <c r="C4" t="s">
        <v>413</v>
      </c>
      <c r="D4" s="232">
        <v>3</v>
      </c>
      <c r="E4" s="113">
        <v>24</v>
      </c>
      <c r="F4" s="113">
        <v>1</v>
      </c>
      <c r="I4"/>
      <c r="K4" s="224">
        <v>6</v>
      </c>
      <c r="L4" s="390">
        <v>41625</v>
      </c>
      <c r="M4"/>
      <c r="N4" s="224"/>
      <c r="O4"/>
      <c r="P4"/>
      <c r="Q4"/>
      <c r="S4" s="224"/>
      <c r="T4" s="224"/>
      <c r="U4"/>
      <c r="V4"/>
      <c r="W4"/>
      <c r="X4"/>
      <c r="Y4" s="225"/>
      <c r="Z4" s="224"/>
      <c r="AA4" s="226"/>
      <c r="AB4" s="224"/>
      <c r="AC4" s="225"/>
      <c r="AD4" s="224"/>
      <c r="AE4" s="224"/>
      <c r="AF4" s="224"/>
      <c r="AG4"/>
      <c r="AH4"/>
      <c r="AI4">
        <v>175</v>
      </c>
      <c r="AJ4" s="194">
        <v>41785</v>
      </c>
      <c r="AK4"/>
      <c r="AL4"/>
      <c r="AM4"/>
      <c r="AN4"/>
      <c r="AO4"/>
      <c r="AP4"/>
      <c r="AQ4" s="227"/>
      <c r="AR4" s="227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>
        <v>53.9</v>
      </c>
      <c r="BT4"/>
      <c r="BU4">
        <v>14.1</v>
      </c>
      <c r="BV4"/>
      <c r="BW4" s="229"/>
      <c r="BX4"/>
      <c r="BY4"/>
      <c r="BZ4"/>
      <c r="CA4"/>
      <c r="CC4"/>
      <c r="CD4"/>
      <c r="CE4">
        <v>6.7</v>
      </c>
      <c r="CF4"/>
      <c r="CG4">
        <v>0.9</v>
      </c>
      <c r="CH4"/>
      <c r="CI4"/>
      <c r="CJ4"/>
      <c r="CK4" t="s">
        <v>8820</v>
      </c>
      <c r="CL4"/>
      <c r="CM4"/>
    </row>
    <row r="5" spans="1:91" ht="15">
      <c r="A5" s="364" t="s">
        <v>7609</v>
      </c>
      <c r="B5" t="s">
        <v>265</v>
      </c>
      <c r="C5" t="s">
        <v>413</v>
      </c>
      <c r="D5">
        <v>4</v>
      </c>
      <c r="E5" s="113">
        <v>28</v>
      </c>
      <c r="F5" s="113">
        <v>3</v>
      </c>
      <c r="I5"/>
      <c r="K5" s="224">
        <v>7</v>
      </c>
      <c r="L5" s="390">
        <v>41625</v>
      </c>
      <c r="M5"/>
      <c r="N5" s="224"/>
      <c r="O5"/>
      <c r="P5"/>
      <c r="Q5"/>
      <c r="S5" s="224"/>
      <c r="T5" s="224"/>
      <c r="U5"/>
      <c r="V5"/>
      <c r="W5"/>
      <c r="X5"/>
      <c r="Y5" s="225"/>
      <c r="Z5" s="224"/>
      <c r="AA5" s="226"/>
      <c r="AB5" s="224"/>
      <c r="AC5" s="225"/>
      <c r="AD5" s="224"/>
      <c r="AE5" s="224"/>
      <c r="AF5" s="224"/>
      <c r="AG5"/>
      <c r="AH5"/>
      <c r="AI5">
        <v>145</v>
      </c>
      <c r="AJ5" s="194">
        <v>41785</v>
      </c>
      <c r="AK5"/>
      <c r="AL5"/>
      <c r="AM5"/>
      <c r="AN5"/>
      <c r="AO5"/>
      <c r="AP5"/>
      <c r="AQ5" s="227"/>
      <c r="AR5" s="227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>
        <v>52.7</v>
      </c>
      <c r="BT5"/>
      <c r="BU5">
        <v>15.8</v>
      </c>
      <c r="BV5"/>
      <c r="BW5"/>
      <c r="BX5" s="228"/>
      <c r="BY5"/>
      <c r="BZ5"/>
      <c r="CA5"/>
      <c r="CC5"/>
      <c r="CD5"/>
      <c r="CE5">
        <v>6.2</v>
      </c>
      <c r="CF5"/>
      <c r="CG5">
        <v>0.3</v>
      </c>
      <c r="CH5"/>
      <c r="CI5"/>
      <c r="CJ5"/>
      <c r="CK5" t="s">
        <v>8820</v>
      </c>
      <c r="CL5"/>
      <c r="CM5"/>
    </row>
    <row r="6" spans="1:91" ht="15">
      <c r="A6" s="364" t="s">
        <v>7610</v>
      </c>
      <c r="B6" t="s">
        <v>265</v>
      </c>
      <c r="C6" t="s">
        <v>413</v>
      </c>
      <c r="D6">
        <v>5</v>
      </c>
      <c r="E6" s="113">
        <v>26</v>
      </c>
      <c r="F6" s="113">
        <v>2</v>
      </c>
      <c r="I6"/>
      <c r="K6" s="224">
        <v>6</v>
      </c>
      <c r="L6" s="390">
        <v>41625</v>
      </c>
      <c r="M6"/>
      <c r="N6" s="224"/>
      <c r="O6"/>
      <c r="P6"/>
      <c r="Q6"/>
      <c r="S6" s="224"/>
      <c r="T6" s="224"/>
      <c r="U6"/>
      <c r="V6"/>
      <c r="W6"/>
      <c r="X6"/>
      <c r="Y6" s="225"/>
      <c r="Z6" s="224"/>
      <c r="AA6" s="226"/>
      <c r="AB6" s="224"/>
      <c r="AC6" s="225"/>
      <c r="AD6" s="224"/>
      <c r="AE6" s="224"/>
      <c r="AF6" s="224"/>
      <c r="AG6"/>
      <c r="AH6"/>
      <c r="AI6">
        <v>125</v>
      </c>
      <c r="AJ6" s="194">
        <v>41785</v>
      </c>
      <c r="AK6"/>
      <c r="AL6"/>
      <c r="AM6"/>
      <c r="AN6"/>
      <c r="AO6"/>
      <c r="AP6"/>
      <c r="AQ6" s="227"/>
      <c r="AR6" s="227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>
        <v>54.5</v>
      </c>
      <c r="BT6"/>
      <c r="BU6">
        <v>14.4</v>
      </c>
      <c r="BV6"/>
      <c r="BW6" s="229"/>
      <c r="BX6"/>
      <c r="BY6"/>
      <c r="BZ6"/>
      <c r="CA6"/>
      <c r="CC6"/>
      <c r="CD6"/>
      <c r="CE6">
        <v>6.6</v>
      </c>
      <c r="CF6"/>
      <c r="CG6">
        <v>0.3</v>
      </c>
      <c r="CH6"/>
      <c r="CI6"/>
      <c r="CJ6"/>
      <c r="CK6" t="s">
        <v>8820</v>
      </c>
      <c r="CL6"/>
      <c r="CM6"/>
    </row>
    <row r="7" spans="1:91" ht="15">
      <c r="A7" s="364" t="s">
        <v>7611</v>
      </c>
      <c r="B7" t="s">
        <v>265</v>
      </c>
      <c r="C7" t="s">
        <v>413</v>
      </c>
      <c r="D7">
        <v>6</v>
      </c>
      <c r="E7" s="113">
        <v>27</v>
      </c>
      <c r="F7" s="113">
        <v>2</v>
      </c>
      <c r="G7" s="233"/>
      <c r="H7" s="233"/>
      <c r="I7" s="232"/>
      <c r="J7" s="234"/>
      <c r="K7" s="235">
        <v>7</v>
      </c>
      <c r="L7" s="390">
        <v>41625</v>
      </c>
      <c r="M7" s="232"/>
      <c r="N7" s="235"/>
      <c r="O7" s="232"/>
      <c r="P7" s="232"/>
      <c r="Q7" s="232"/>
      <c r="R7" s="236"/>
      <c r="S7" s="235"/>
      <c r="T7" s="235"/>
      <c r="U7" s="232"/>
      <c r="V7" s="232"/>
      <c r="W7" s="232"/>
      <c r="X7" s="232"/>
      <c r="Y7" s="237"/>
      <c r="Z7" s="235"/>
      <c r="AA7" s="238"/>
      <c r="AB7" s="235"/>
      <c r="AC7" s="237"/>
      <c r="AD7" s="235"/>
      <c r="AE7" s="235"/>
      <c r="AF7" s="235"/>
      <c r="AG7" s="232"/>
      <c r="AH7" s="232"/>
      <c r="AI7" s="232">
        <v>150</v>
      </c>
      <c r="AJ7" s="194">
        <v>41785</v>
      </c>
      <c r="AK7" s="232"/>
      <c r="AL7" s="232"/>
      <c r="AM7" s="232"/>
      <c r="AN7" s="232"/>
      <c r="AO7" s="232"/>
      <c r="AP7" s="232"/>
      <c r="AQ7" s="239"/>
      <c r="AR7" s="239"/>
      <c r="AS7" s="232"/>
      <c r="AT7" s="232"/>
      <c r="AU7" s="232"/>
      <c r="AV7" s="232"/>
      <c r="AW7" s="232"/>
      <c r="AX7" s="232"/>
      <c r="AY7" s="232"/>
      <c r="AZ7" s="232"/>
      <c r="BA7" s="232"/>
      <c r="BB7" s="232"/>
      <c r="BC7" s="232"/>
      <c r="BD7" s="232"/>
      <c r="BE7" s="232"/>
      <c r="BF7" s="232"/>
      <c r="BG7" s="232"/>
      <c r="BH7" s="232"/>
      <c r="BI7" s="232"/>
      <c r="BJ7" s="232"/>
      <c r="BK7" s="232"/>
      <c r="BL7" s="232"/>
      <c r="BM7" s="232"/>
      <c r="BN7" s="232"/>
      <c r="BO7" s="232"/>
      <c r="BP7" s="232"/>
      <c r="BQ7" s="232"/>
      <c r="BR7" s="232"/>
      <c r="BS7" s="232">
        <v>53.6</v>
      </c>
      <c r="BT7" s="232"/>
      <c r="BU7" s="232">
        <v>16.100000000000001</v>
      </c>
      <c r="BV7" s="232"/>
      <c r="BW7" s="240"/>
      <c r="BX7" s="232"/>
      <c r="BY7" s="232"/>
      <c r="BZ7" s="232"/>
      <c r="CA7" s="232"/>
      <c r="CB7" s="241"/>
      <c r="CC7" s="232"/>
      <c r="CD7" s="232"/>
      <c r="CE7" s="232">
        <v>6</v>
      </c>
      <c r="CF7" s="232"/>
      <c r="CG7" s="232">
        <v>0.5</v>
      </c>
      <c r="CH7" s="232"/>
      <c r="CI7" s="232"/>
      <c r="CJ7" s="232"/>
      <c r="CK7" t="s">
        <v>8820</v>
      </c>
      <c r="CL7" s="232"/>
      <c r="CM7" s="232"/>
    </row>
    <row r="8" spans="1:91" ht="15">
      <c r="A8" s="364" t="s">
        <v>7612</v>
      </c>
      <c r="B8" t="s">
        <v>265</v>
      </c>
      <c r="C8" t="s">
        <v>413</v>
      </c>
      <c r="D8">
        <v>7</v>
      </c>
      <c r="E8" s="113">
        <v>11</v>
      </c>
      <c r="F8" s="113">
        <v>1</v>
      </c>
      <c r="I8"/>
      <c r="K8" s="224">
        <v>7</v>
      </c>
      <c r="L8" s="390">
        <v>41625</v>
      </c>
      <c r="M8"/>
      <c r="N8" s="224"/>
      <c r="O8"/>
      <c r="P8"/>
      <c r="Q8"/>
      <c r="S8" s="224"/>
      <c r="T8" s="224"/>
      <c r="U8"/>
      <c r="V8"/>
      <c r="W8"/>
      <c r="X8"/>
      <c r="Y8" s="225"/>
      <c r="Z8" s="224"/>
      <c r="AA8" s="226"/>
      <c r="AB8" s="224"/>
      <c r="AC8" s="225"/>
      <c r="AD8" s="224"/>
      <c r="AE8" s="224"/>
      <c r="AF8" s="224"/>
      <c r="AG8"/>
      <c r="AH8"/>
      <c r="AI8">
        <v>140</v>
      </c>
      <c r="AJ8" s="194">
        <v>41785</v>
      </c>
      <c r="AK8"/>
      <c r="AL8"/>
      <c r="AM8"/>
      <c r="AN8"/>
      <c r="AO8"/>
      <c r="AP8"/>
      <c r="AQ8" s="227"/>
      <c r="AR8" s="227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>
        <v>51.1</v>
      </c>
      <c r="BT8"/>
      <c r="BU8">
        <v>17.5</v>
      </c>
      <c r="BV8"/>
      <c r="BW8" s="229"/>
      <c r="BX8"/>
      <c r="BY8"/>
      <c r="BZ8"/>
      <c r="CA8"/>
      <c r="CC8"/>
      <c r="CD8"/>
      <c r="CE8">
        <v>6.1</v>
      </c>
      <c r="CF8"/>
      <c r="CG8">
        <v>0.3</v>
      </c>
      <c r="CH8"/>
      <c r="CI8"/>
      <c r="CJ8"/>
      <c r="CK8" t="s">
        <v>8820</v>
      </c>
      <c r="CL8"/>
      <c r="CM8"/>
    </row>
    <row r="9" spans="1:91" ht="15">
      <c r="A9" s="364" t="s">
        <v>7613</v>
      </c>
      <c r="B9" t="s">
        <v>265</v>
      </c>
      <c r="C9" t="s">
        <v>413</v>
      </c>
      <c r="D9">
        <v>8</v>
      </c>
      <c r="E9" s="113">
        <v>9</v>
      </c>
      <c r="F9" s="113">
        <v>6</v>
      </c>
      <c r="I9"/>
      <c r="K9" s="224">
        <v>8</v>
      </c>
      <c r="L9" s="390">
        <v>41625</v>
      </c>
      <c r="M9"/>
      <c r="N9" s="224"/>
      <c r="O9"/>
      <c r="P9"/>
      <c r="Q9"/>
      <c r="S9" s="224"/>
      <c r="T9" s="224"/>
      <c r="U9"/>
      <c r="V9"/>
      <c r="W9"/>
      <c r="X9"/>
      <c r="Y9" s="225"/>
      <c r="Z9" s="224"/>
      <c r="AA9" s="226"/>
      <c r="AB9" s="224"/>
      <c r="AC9" s="225"/>
      <c r="AD9" s="224"/>
      <c r="AE9" s="224"/>
      <c r="AF9" s="224"/>
      <c r="AG9"/>
      <c r="AH9"/>
      <c r="AI9">
        <v>155</v>
      </c>
      <c r="AJ9" s="194">
        <v>41785</v>
      </c>
      <c r="AK9"/>
      <c r="AL9"/>
      <c r="AM9"/>
      <c r="AN9"/>
      <c r="AO9"/>
      <c r="AP9"/>
      <c r="AQ9" s="227"/>
      <c r="AR9" s="227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>
        <v>53.2</v>
      </c>
      <c r="BT9"/>
      <c r="BU9">
        <v>16.399999999999999</v>
      </c>
      <c r="BV9"/>
      <c r="BW9" s="229"/>
      <c r="BX9"/>
      <c r="BY9"/>
      <c r="BZ9"/>
      <c r="CA9"/>
      <c r="CC9"/>
      <c r="CD9"/>
      <c r="CE9">
        <v>5.5</v>
      </c>
      <c r="CF9"/>
      <c r="CG9">
        <v>0.4</v>
      </c>
      <c r="CH9"/>
      <c r="CI9"/>
      <c r="CJ9"/>
      <c r="CK9" t="s">
        <v>8820</v>
      </c>
      <c r="CL9"/>
      <c r="CM9"/>
    </row>
    <row r="10" spans="1:91" ht="15">
      <c r="A10" s="364" t="s">
        <v>7614</v>
      </c>
      <c r="B10" t="s">
        <v>265</v>
      </c>
      <c r="C10" t="s">
        <v>413</v>
      </c>
      <c r="D10">
        <v>9</v>
      </c>
      <c r="E10" s="113">
        <v>21</v>
      </c>
      <c r="F10" s="113">
        <v>2</v>
      </c>
      <c r="I10"/>
      <c r="K10" s="224">
        <v>7</v>
      </c>
      <c r="L10" s="390">
        <v>41625</v>
      </c>
      <c r="M10"/>
      <c r="N10" s="224"/>
      <c r="O10"/>
      <c r="P10"/>
      <c r="Q10"/>
      <c r="S10" s="224"/>
      <c r="T10" s="224"/>
      <c r="U10"/>
      <c r="V10"/>
      <c r="W10"/>
      <c r="X10"/>
      <c r="Y10" s="225"/>
      <c r="Z10" s="224"/>
      <c r="AA10" s="226"/>
      <c r="AB10" s="224"/>
      <c r="AC10" s="225"/>
      <c r="AD10" s="224"/>
      <c r="AE10" s="224"/>
      <c r="AF10" s="224"/>
      <c r="AG10"/>
      <c r="AH10"/>
      <c r="AI10">
        <v>150</v>
      </c>
      <c r="AJ10" s="194">
        <v>41785</v>
      </c>
      <c r="AK10"/>
      <c r="AL10"/>
      <c r="AM10"/>
      <c r="AN10"/>
      <c r="AO10"/>
      <c r="AP10"/>
      <c r="AQ10" s="227"/>
      <c r="AR10" s="227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>
        <v>53</v>
      </c>
      <c r="BT10"/>
      <c r="BU10">
        <v>15.4</v>
      </c>
      <c r="BV10"/>
      <c r="BW10" s="229"/>
      <c r="BX10"/>
      <c r="BY10"/>
      <c r="BZ10"/>
      <c r="CA10"/>
      <c r="CC10"/>
      <c r="CD10"/>
      <c r="CE10">
        <v>6.1</v>
      </c>
      <c r="CF10"/>
      <c r="CG10">
        <v>0.3</v>
      </c>
      <c r="CH10"/>
      <c r="CI10"/>
      <c r="CJ10"/>
      <c r="CK10" t="s">
        <v>8820</v>
      </c>
      <c r="CL10"/>
      <c r="CM10"/>
    </row>
    <row r="11" spans="1:91" ht="15">
      <c r="A11" s="364" t="s">
        <v>7615</v>
      </c>
      <c r="B11" t="s">
        <v>265</v>
      </c>
      <c r="C11" t="s">
        <v>413</v>
      </c>
      <c r="D11">
        <v>10</v>
      </c>
      <c r="E11" s="113">
        <v>31</v>
      </c>
      <c r="F11" s="113">
        <v>3</v>
      </c>
      <c r="I11"/>
      <c r="K11" s="224">
        <v>7</v>
      </c>
      <c r="L11" s="390">
        <v>41625</v>
      </c>
      <c r="M11"/>
      <c r="N11" s="224"/>
      <c r="O11"/>
      <c r="P11"/>
      <c r="Q11"/>
      <c r="S11" s="224"/>
      <c r="T11" s="224"/>
      <c r="U11"/>
      <c r="V11"/>
      <c r="W11"/>
      <c r="X11"/>
      <c r="Y11" s="225"/>
      <c r="Z11" s="224"/>
      <c r="AA11" s="226"/>
      <c r="AB11" s="224"/>
      <c r="AC11" s="225"/>
      <c r="AD11" s="224"/>
      <c r="AE11" s="224"/>
      <c r="AF11" s="224"/>
      <c r="AG11"/>
      <c r="AH11"/>
      <c r="AI11">
        <v>160</v>
      </c>
      <c r="AJ11" s="194">
        <v>41785</v>
      </c>
      <c r="AK11"/>
      <c r="AL11"/>
      <c r="AM11"/>
      <c r="AN11"/>
      <c r="AO11"/>
      <c r="AP11"/>
      <c r="AQ11" s="227"/>
      <c r="AR11" s="227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>
        <v>55</v>
      </c>
      <c r="BT11"/>
      <c r="BU11">
        <v>13</v>
      </c>
      <c r="BV11"/>
      <c r="BW11" s="229"/>
      <c r="BX11"/>
      <c r="BY11"/>
      <c r="BZ11"/>
      <c r="CA11"/>
      <c r="CC11"/>
      <c r="CD11"/>
      <c r="CE11">
        <v>7.5</v>
      </c>
      <c r="CF11"/>
      <c r="CG11">
        <v>0.5</v>
      </c>
      <c r="CH11"/>
      <c r="CI11"/>
      <c r="CJ11"/>
      <c r="CK11" t="s">
        <v>8820</v>
      </c>
      <c r="CL11"/>
      <c r="CM11"/>
    </row>
    <row r="12" spans="1:91" ht="15">
      <c r="A12" s="364" t="s">
        <v>7616</v>
      </c>
      <c r="B12" t="s">
        <v>265</v>
      </c>
      <c r="C12" t="s">
        <v>413</v>
      </c>
      <c r="D12">
        <v>11</v>
      </c>
      <c r="E12" s="113">
        <v>12</v>
      </c>
      <c r="F12" s="113">
        <v>5</v>
      </c>
      <c r="I12"/>
      <c r="K12" s="224">
        <v>7</v>
      </c>
      <c r="L12" s="390">
        <v>41625</v>
      </c>
      <c r="M12"/>
      <c r="N12" s="224"/>
      <c r="O12"/>
      <c r="P12"/>
      <c r="Q12"/>
      <c r="S12" s="224"/>
      <c r="T12" s="224"/>
      <c r="U12"/>
      <c r="V12"/>
      <c r="W12"/>
      <c r="X12"/>
      <c r="Y12" s="225"/>
      <c r="Z12" s="224"/>
      <c r="AA12" s="226"/>
      <c r="AB12" s="224"/>
      <c r="AC12" s="225"/>
      <c r="AD12" s="224"/>
      <c r="AE12" s="224"/>
      <c r="AF12" s="224"/>
      <c r="AG12"/>
      <c r="AH12"/>
      <c r="AI12">
        <v>140</v>
      </c>
      <c r="AJ12" s="194">
        <v>41785</v>
      </c>
      <c r="AK12"/>
      <c r="AL12"/>
      <c r="AM12"/>
      <c r="AN12"/>
      <c r="AO12"/>
      <c r="AP12"/>
      <c r="AQ12" s="227"/>
      <c r="AR12" s="227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>
        <v>54.4</v>
      </c>
      <c r="BT12"/>
      <c r="BU12">
        <v>14.4</v>
      </c>
      <c r="BV12"/>
      <c r="BW12" s="229"/>
      <c r="BX12"/>
      <c r="BY12"/>
      <c r="BZ12"/>
      <c r="CA12"/>
      <c r="CC12"/>
      <c r="CD12"/>
      <c r="CE12">
        <v>5.7</v>
      </c>
      <c r="CF12"/>
      <c r="CG12">
        <v>0.1</v>
      </c>
      <c r="CH12"/>
      <c r="CI12"/>
      <c r="CJ12"/>
      <c r="CK12" t="s">
        <v>8820</v>
      </c>
      <c r="CL12"/>
      <c r="CM12"/>
    </row>
    <row r="13" spans="1:91" ht="15">
      <c r="A13" s="364" t="s">
        <v>7617</v>
      </c>
      <c r="B13" t="s">
        <v>265</v>
      </c>
      <c r="C13" t="s">
        <v>413</v>
      </c>
      <c r="D13">
        <v>12</v>
      </c>
      <c r="E13" s="113">
        <v>24</v>
      </c>
      <c r="F13" s="113">
        <v>5</v>
      </c>
      <c r="I13"/>
      <c r="K13" s="224">
        <v>7</v>
      </c>
      <c r="L13" s="390">
        <v>41625</v>
      </c>
      <c r="M13"/>
      <c r="N13" s="224"/>
      <c r="O13"/>
      <c r="P13"/>
      <c r="Q13"/>
      <c r="S13" s="224"/>
      <c r="T13" s="224"/>
      <c r="U13"/>
      <c r="V13"/>
      <c r="W13"/>
      <c r="X13"/>
      <c r="Y13" s="225"/>
      <c r="Z13" s="224"/>
      <c r="AA13" s="226"/>
      <c r="AB13" s="224"/>
      <c r="AC13" s="225"/>
      <c r="AD13" s="224"/>
      <c r="AE13" s="224"/>
      <c r="AF13" s="224"/>
      <c r="AG13"/>
      <c r="AH13"/>
      <c r="AI13">
        <v>150</v>
      </c>
      <c r="AJ13" s="194">
        <v>41785</v>
      </c>
      <c r="AK13"/>
      <c r="AL13"/>
      <c r="AM13"/>
      <c r="AN13"/>
      <c r="AO13"/>
      <c r="AP13"/>
      <c r="AQ13" s="227"/>
      <c r="AR13" s="227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>
        <v>54.8</v>
      </c>
      <c r="BT13"/>
      <c r="BU13">
        <v>13.1</v>
      </c>
      <c r="BV13"/>
      <c r="BW13" s="229"/>
      <c r="BX13"/>
      <c r="BY13"/>
      <c r="BZ13"/>
      <c r="CA13"/>
      <c r="CC13"/>
      <c r="CD13"/>
      <c r="CE13">
        <v>5.9</v>
      </c>
      <c r="CF13"/>
      <c r="CG13">
        <v>0.5</v>
      </c>
      <c r="CH13"/>
      <c r="CI13"/>
      <c r="CJ13"/>
      <c r="CK13" t="s">
        <v>8820</v>
      </c>
      <c r="CL13"/>
      <c r="CM13"/>
    </row>
    <row r="14" spans="1:91" ht="15">
      <c r="A14" s="364" t="s">
        <v>7618</v>
      </c>
      <c r="B14" t="s">
        <v>265</v>
      </c>
      <c r="C14" t="s">
        <v>413</v>
      </c>
      <c r="D14">
        <v>13</v>
      </c>
      <c r="E14" s="113">
        <v>19</v>
      </c>
      <c r="F14" s="113">
        <v>5</v>
      </c>
      <c r="I14"/>
      <c r="K14" s="224">
        <v>7</v>
      </c>
      <c r="L14" s="390">
        <v>41625</v>
      </c>
      <c r="M14"/>
      <c r="N14" s="224"/>
      <c r="O14"/>
      <c r="P14"/>
      <c r="Q14"/>
      <c r="S14" s="224"/>
      <c r="T14" s="224"/>
      <c r="U14"/>
      <c r="V14"/>
      <c r="W14"/>
      <c r="X14"/>
      <c r="Y14" s="225"/>
      <c r="Z14" s="224"/>
      <c r="AA14" s="226"/>
      <c r="AB14" s="224"/>
      <c r="AC14" s="225"/>
      <c r="AD14" s="224"/>
      <c r="AE14" s="224"/>
      <c r="AF14" s="224"/>
      <c r="AG14"/>
      <c r="AH14"/>
      <c r="AI14">
        <v>155</v>
      </c>
      <c r="AJ14" s="194">
        <v>41785</v>
      </c>
      <c r="AK14"/>
      <c r="AL14"/>
      <c r="AM14"/>
      <c r="AN14"/>
      <c r="AO14"/>
      <c r="AP14"/>
      <c r="AQ14" s="227"/>
      <c r="AR14" s="227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>
        <v>54.2</v>
      </c>
      <c r="BT14"/>
      <c r="BU14">
        <v>14.8</v>
      </c>
      <c r="BV14"/>
      <c r="BW14" s="229"/>
      <c r="BX14"/>
      <c r="BY14"/>
      <c r="BZ14"/>
      <c r="CA14"/>
      <c r="CC14"/>
      <c r="CD14"/>
      <c r="CE14">
        <v>5.5</v>
      </c>
      <c r="CF14"/>
      <c r="CG14">
        <v>0.1</v>
      </c>
      <c r="CH14"/>
      <c r="CI14"/>
      <c r="CJ14"/>
      <c r="CK14" t="s">
        <v>8820</v>
      </c>
      <c r="CL14"/>
      <c r="CM14"/>
    </row>
    <row r="15" spans="1:91" ht="15">
      <c r="A15" s="364" t="s">
        <v>7619</v>
      </c>
      <c r="B15" t="s">
        <v>265</v>
      </c>
      <c r="C15" t="s">
        <v>413</v>
      </c>
      <c r="D15">
        <v>14</v>
      </c>
      <c r="E15" s="113">
        <v>33</v>
      </c>
      <c r="F15" s="113">
        <v>2</v>
      </c>
      <c r="G15" s="233"/>
      <c r="H15" s="233"/>
      <c r="I15" s="232"/>
      <c r="J15" s="234"/>
      <c r="K15" s="235">
        <v>6</v>
      </c>
      <c r="L15" s="390">
        <v>41625</v>
      </c>
      <c r="M15" s="232"/>
      <c r="N15" s="235"/>
      <c r="O15" s="232"/>
      <c r="P15" s="232"/>
      <c r="Q15" s="232"/>
      <c r="R15" s="236"/>
      <c r="S15" s="235"/>
      <c r="T15" s="235"/>
      <c r="U15" s="232"/>
      <c r="V15" s="232"/>
      <c r="W15" s="232"/>
      <c r="X15" s="232"/>
      <c r="Y15" s="237"/>
      <c r="Z15" s="235"/>
      <c r="AA15" s="238"/>
      <c r="AB15" s="235"/>
      <c r="AC15" s="237"/>
      <c r="AD15" s="235"/>
      <c r="AE15" s="235"/>
      <c r="AF15" s="235"/>
      <c r="AG15" s="232"/>
      <c r="AH15" s="232"/>
      <c r="AI15" s="232">
        <v>110</v>
      </c>
      <c r="AJ15" s="194">
        <v>41785</v>
      </c>
      <c r="AK15" s="232"/>
      <c r="AL15" s="232"/>
      <c r="AM15" s="232"/>
      <c r="AN15" s="232"/>
      <c r="AO15" s="232"/>
      <c r="AP15" s="232"/>
      <c r="AQ15" s="239"/>
      <c r="AR15" s="239"/>
      <c r="AS15" s="232"/>
      <c r="AT15" s="232"/>
      <c r="AU15" s="232"/>
      <c r="AV15" s="232"/>
      <c r="AW15" s="232"/>
      <c r="AX15" s="232"/>
      <c r="AY15" s="232"/>
      <c r="AZ15" s="232"/>
      <c r="BA15" s="232"/>
      <c r="BB15" s="232"/>
      <c r="BC15" s="232"/>
      <c r="BD15" s="232"/>
      <c r="BE15" s="232"/>
      <c r="BF15" s="232"/>
      <c r="BG15" s="232"/>
      <c r="BH15" s="232"/>
      <c r="BI15" s="232"/>
      <c r="BJ15" s="232"/>
      <c r="BK15" s="232"/>
      <c r="BL15" s="232"/>
      <c r="BM15" s="232"/>
      <c r="BN15" s="232"/>
      <c r="BO15" s="232"/>
      <c r="BP15" s="232"/>
      <c r="BQ15" s="232"/>
      <c r="BR15" s="232"/>
      <c r="BS15" s="232">
        <v>54.4</v>
      </c>
      <c r="BT15" s="232"/>
      <c r="BU15" s="232">
        <v>13.8</v>
      </c>
      <c r="BV15" s="232"/>
      <c r="BW15" s="240"/>
      <c r="BX15" s="232"/>
      <c r="BY15" s="232"/>
      <c r="BZ15" s="232"/>
      <c r="CA15" s="232"/>
      <c r="CB15" s="241"/>
      <c r="CC15" s="232"/>
      <c r="CD15" s="232"/>
      <c r="CE15" s="232">
        <v>6.5</v>
      </c>
      <c r="CF15" s="232"/>
      <c r="CG15" s="232">
        <v>1.1000000000000001</v>
      </c>
      <c r="CH15" s="232"/>
      <c r="CI15" s="232"/>
      <c r="CJ15" s="232"/>
      <c r="CK15" t="s">
        <v>8820</v>
      </c>
      <c r="CL15" s="232"/>
      <c r="CM15" s="232"/>
    </row>
    <row r="16" spans="1:91" ht="15">
      <c r="A16" s="364" t="s">
        <v>7620</v>
      </c>
      <c r="B16" t="s">
        <v>265</v>
      </c>
      <c r="C16" t="s">
        <v>413</v>
      </c>
      <c r="D16" s="232">
        <v>15</v>
      </c>
      <c r="E16" s="113">
        <v>14</v>
      </c>
      <c r="F16" s="113">
        <v>4</v>
      </c>
      <c r="I16"/>
      <c r="K16" s="224">
        <v>7</v>
      </c>
      <c r="L16" s="390">
        <v>41625</v>
      </c>
      <c r="M16"/>
      <c r="N16" s="224"/>
      <c r="O16"/>
      <c r="P16"/>
      <c r="Q16"/>
      <c r="S16" s="224"/>
      <c r="T16" s="224"/>
      <c r="U16"/>
      <c r="V16"/>
      <c r="W16"/>
      <c r="X16"/>
      <c r="Y16" s="225"/>
      <c r="Z16" s="224"/>
      <c r="AA16" s="226"/>
      <c r="AB16" s="224"/>
      <c r="AC16" s="225"/>
      <c r="AD16" s="224"/>
      <c r="AE16" s="224"/>
      <c r="AF16" s="224"/>
      <c r="AG16"/>
      <c r="AH16"/>
      <c r="AI16">
        <v>105</v>
      </c>
      <c r="AJ16" s="194">
        <v>41785</v>
      </c>
      <c r="AK16"/>
      <c r="AL16"/>
      <c r="AM16"/>
      <c r="AN16"/>
      <c r="AO16"/>
      <c r="AP16"/>
      <c r="AQ16" s="227"/>
      <c r="AR16" s="227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>
        <v>55.5</v>
      </c>
      <c r="BT16"/>
      <c r="BU16">
        <v>14.5</v>
      </c>
      <c r="BV16"/>
      <c r="BW16" s="229"/>
      <c r="BX16"/>
      <c r="BY16"/>
      <c r="BZ16"/>
      <c r="CA16"/>
      <c r="CC16"/>
      <c r="CD16"/>
      <c r="CE16">
        <v>8.1999999999999993</v>
      </c>
      <c r="CF16"/>
      <c r="CG16">
        <v>0.4</v>
      </c>
      <c r="CH16"/>
      <c r="CI16"/>
      <c r="CJ16"/>
      <c r="CK16" t="s">
        <v>8820</v>
      </c>
      <c r="CL16"/>
      <c r="CM16"/>
    </row>
    <row r="17" spans="1:91" ht="15">
      <c r="A17" s="364" t="s">
        <v>7622</v>
      </c>
      <c r="B17" t="s">
        <v>265</v>
      </c>
      <c r="C17" t="s">
        <v>413</v>
      </c>
      <c r="D17" s="232">
        <v>17</v>
      </c>
      <c r="E17" s="113">
        <v>13</v>
      </c>
      <c r="F17" s="113">
        <v>2</v>
      </c>
      <c r="I17"/>
      <c r="K17" s="224">
        <v>6</v>
      </c>
      <c r="L17" s="390">
        <v>41625</v>
      </c>
      <c r="M17"/>
      <c r="N17" s="224"/>
      <c r="O17"/>
      <c r="P17"/>
      <c r="Q17"/>
      <c r="S17" s="224"/>
      <c r="T17" s="224"/>
      <c r="U17"/>
      <c r="V17"/>
      <c r="W17"/>
      <c r="X17"/>
      <c r="Y17" s="225"/>
      <c r="Z17" s="224"/>
      <c r="AA17" s="226"/>
      <c r="AB17" s="224"/>
      <c r="AC17" s="225"/>
      <c r="AD17" s="224"/>
      <c r="AE17" s="224"/>
      <c r="AF17" s="224"/>
      <c r="AG17"/>
      <c r="AH17"/>
      <c r="AI17">
        <v>140</v>
      </c>
      <c r="AJ17" s="194">
        <v>41785</v>
      </c>
      <c r="AK17"/>
      <c r="AL17"/>
      <c r="AM17"/>
      <c r="AN17"/>
      <c r="AO17"/>
      <c r="AP17"/>
      <c r="AQ17" s="227"/>
      <c r="AR17" s="22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>
        <v>53.9</v>
      </c>
      <c r="BT17"/>
      <c r="BU17">
        <v>15.6</v>
      </c>
      <c r="BV17"/>
      <c r="BW17"/>
      <c r="BX17" s="228"/>
      <c r="BY17"/>
      <c r="BZ17"/>
      <c r="CA17"/>
      <c r="CC17"/>
      <c r="CD17"/>
      <c r="CE17">
        <v>8</v>
      </c>
      <c r="CF17"/>
      <c r="CG17">
        <v>0.3</v>
      </c>
      <c r="CH17"/>
      <c r="CI17"/>
      <c r="CJ17"/>
      <c r="CK17" t="s">
        <v>8820</v>
      </c>
      <c r="CL17"/>
      <c r="CM17"/>
    </row>
    <row r="18" spans="1:91" ht="15">
      <c r="A18" s="364" t="s">
        <v>7624</v>
      </c>
      <c r="B18" t="s">
        <v>265</v>
      </c>
      <c r="C18" t="s">
        <v>413</v>
      </c>
      <c r="D18">
        <v>19</v>
      </c>
      <c r="E18" s="113">
        <v>3</v>
      </c>
      <c r="F18" s="113">
        <v>6</v>
      </c>
      <c r="I18"/>
      <c r="K18" s="224">
        <v>7</v>
      </c>
      <c r="L18" s="390">
        <v>41625</v>
      </c>
      <c r="M18"/>
      <c r="N18" s="224"/>
      <c r="O18"/>
      <c r="P18"/>
      <c r="Q18"/>
      <c r="S18" s="224"/>
      <c r="T18" s="224"/>
      <c r="U18"/>
      <c r="V18"/>
      <c r="W18"/>
      <c r="X18"/>
      <c r="Y18" s="225"/>
      <c r="Z18" s="224"/>
      <c r="AA18" s="226"/>
      <c r="AB18" s="224"/>
      <c r="AC18" s="225"/>
      <c r="AD18" s="224"/>
      <c r="AE18" s="224"/>
      <c r="AF18" s="224"/>
      <c r="AG18"/>
      <c r="AH18"/>
      <c r="AI18">
        <v>130</v>
      </c>
      <c r="AJ18" s="194">
        <v>41785</v>
      </c>
      <c r="AK18"/>
      <c r="AL18"/>
      <c r="AM18"/>
      <c r="AN18"/>
      <c r="AO18"/>
      <c r="AP18"/>
      <c r="AQ18" s="227"/>
      <c r="AR18" s="227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>
        <v>52.1</v>
      </c>
      <c r="BT18"/>
      <c r="BU18">
        <v>17.899999999999999</v>
      </c>
      <c r="BV18"/>
      <c r="BW18" s="229"/>
      <c r="BX18"/>
      <c r="BY18"/>
      <c r="BZ18"/>
      <c r="CA18"/>
      <c r="CC18"/>
      <c r="CD18"/>
      <c r="CE18">
        <v>5.6</v>
      </c>
      <c r="CF18"/>
      <c r="CG18">
        <v>0.3</v>
      </c>
      <c r="CH18"/>
      <c r="CI18"/>
      <c r="CJ18"/>
      <c r="CK18" t="s">
        <v>8820</v>
      </c>
      <c r="CL18"/>
      <c r="CM18"/>
    </row>
    <row r="19" spans="1:91" ht="15">
      <c r="A19" s="364" t="s">
        <v>7625</v>
      </c>
      <c r="B19" t="s">
        <v>265</v>
      </c>
      <c r="C19" t="s">
        <v>413</v>
      </c>
      <c r="D19">
        <v>20</v>
      </c>
      <c r="E19" s="113">
        <v>29</v>
      </c>
      <c r="F19" s="113">
        <v>3</v>
      </c>
      <c r="I19"/>
      <c r="K19" s="224">
        <v>8</v>
      </c>
      <c r="L19" s="390">
        <v>41625</v>
      </c>
      <c r="M19"/>
      <c r="N19" s="224"/>
      <c r="O19"/>
      <c r="P19"/>
      <c r="Q19"/>
      <c r="S19" s="224"/>
      <c r="T19" s="224"/>
      <c r="U19"/>
      <c r="V19"/>
      <c r="W19"/>
      <c r="X19"/>
      <c r="Y19" s="225"/>
      <c r="Z19" s="224"/>
      <c r="AA19" s="226"/>
      <c r="AB19" s="224"/>
      <c r="AC19" s="225"/>
      <c r="AD19" s="224"/>
      <c r="AE19" s="224"/>
      <c r="AF19" s="224"/>
      <c r="AG19"/>
      <c r="AH19"/>
      <c r="AI19">
        <v>125</v>
      </c>
      <c r="AJ19" s="194">
        <v>41785</v>
      </c>
      <c r="AK19"/>
      <c r="AL19"/>
      <c r="AM19"/>
      <c r="AN19"/>
      <c r="AO19"/>
      <c r="AP19"/>
      <c r="AQ19" s="227"/>
      <c r="AR19" s="227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>
        <v>53.3</v>
      </c>
      <c r="BT19"/>
      <c r="BU19">
        <v>14.9</v>
      </c>
      <c r="BV19"/>
      <c r="BW19" s="229"/>
      <c r="BX19"/>
      <c r="BY19"/>
      <c r="BZ19"/>
      <c r="CA19"/>
      <c r="CC19"/>
      <c r="CD19"/>
      <c r="CE19">
        <v>5.5</v>
      </c>
      <c r="CF19"/>
      <c r="CG19">
        <v>1.1000000000000001</v>
      </c>
      <c r="CH19"/>
      <c r="CI19"/>
      <c r="CJ19"/>
      <c r="CK19" t="s">
        <v>8820</v>
      </c>
      <c r="CL19"/>
      <c r="CM19"/>
    </row>
    <row r="20" spans="1:91" ht="15">
      <c r="A20" s="364" t="s">
        <v>7626</v>
      </c>
      <c r="B20" t="s">
        <v>265</v>
      </c>
      <c r="C20" t="s">
        <v>413</v>
      </c>
      <c r="D20">
        <v>21</v>
      </c>
      <c r="E20" s="113">
        <v>35</v>
      </c>
      <c r="F20" s="113">
        <v>2</v>
      </c>
      <c r="G20" s="233"/>
      <c r="H20" s="233"/>
      <c r="I20" s="232"/>
      <c r="J20" s="234"/>
      <c r="K20" s="235">
        <v>7</v>
      </c>
      <c r="L20" s="390">
        <v>41625</v>
      </c>
      <c r="M20" s="232"/>
      <c r="N20" s="235"/>
      <c r="O20" s="232"/>
      <c r="P20" s="232"/>
      <c r="Q20" s="232"/>
      <c r="R20" s="236"/>
      <c r="S20" s="235"/>
      <c r="T20" s="235"/>
      <c r="U20" s="232"/>
      <c r="V20" s="232"/>
      <c r="W20" s="232"/>
      <c r="X20" s="232"/>
      <c r="Y20" s="237"/>
      <c r="Z20" s="235"/>
      <c r="AA20" s="238"/>
      <c r="AB20" s="235"/>
      <c r="AC20" s="237"/>
      <c r="AD20" s="235"/>
      <c r="AE20" s="235"/>
      <c r="AF20" s="235"/>
      <c r="AG20" s="232"/>
      <c r="AH20" s="232"/>
      <c r="AI20" s="232">
        <v>150</v>
      </c>
      <c r="AJ20" s="194">
        <v>41785</v>
      </c>
      <c r="AK20" s="232"/>
      <c r="AL20" s="232"/>
      <c r="AM20" s="232"/>
      <c r="AN20" s="232"/>
      <c r="AO20" s="232"/>
      <c r="AP20" s="232"/>
      <c r="AQ20" s="239"/>
      <c r="AR20" s="239"/>
      <c r="AS20" s="232"/>
      <c r="AT20" s="232"/>
      <c r="AU20" s="232"/>
      <c r="AV20" s="232"/>
      <c r="AW20" s="232"/>
      <c r="AX20" s="232"/>
      <c r="AY20" s="232"/>
      <c r="AZ20" s="232"/>
      <c r="BA20" s="232"/>
      <c r="BB20" s="232"/>
      <c r="BC20" s="232"/>
      <c r="BD20" s="232"/>
      <c r="BE20" s="232"/>
      <c r="BF20" s="232"/>
      <c r="BG20" s="232"/>
      <c r="BH20" s="232"/>
      <c r="BI20" s="232"/>
      <c r="BJ20" s="232"/>
      <c r="BK20" s="232"/>
      <c r="BL20" s="232"/>
      <c r="BM20" s="232"/>
      <c r="BN20" s="232"/>
      <c r="BO20" s="232"/>
      <c r="BP20" s="232"/>
      <c r="BQ20" s="232"/>
      <c r="BR20" s="232"/>
      <c r="BS20" s="232">
        <v>53.4</v>
      </c>
      <c r="BT20" s="232"/>
      <c r="BU20" s="232">
        <v>14.4</v>
      </c>
      <c r="BV20" s="232"/>
      <c r="BW20" s="240"/>
      <c r="BX20" s="232"/>
      <c r="BY20" s="232"/>
      <c r="BZ20" s="232"/>
      <c r="CA20" s="232"/>
      <c r="CB20" s="241"/>
      <c r="CC20" s="232"/>
      <c r="CD20" s="232"/>
      <c r="CE20" s="232">
        <v>7.5</v>
      </c>
      <c r="CF20" s="232"/>
      <c r="CG20" s="232">
        <v>0.3</v>
      </c>
      <c r="CH20" s="232"/>
      <c r="CI20" s="232"/>
      <c r="CJ20" s="232"/>
      <c r="CK20" t="s">
        <v>8820</v>
      </c>
      <c r="CL20" s="232"/>
      <c r="CM20" s="232"/>
    </row>
    <row r="21" spans="1:91" ht="15">
      <c r="A21" s="364" t="s">
        <v>7627</v>
      </c>
      <c r="B21" t="s">
        <v>265</v>
      </c>
      <c r="C21" t="s">
        <v>413</v>
      </c>
      <c r="D21">
        <v>22</v>
      </c>
      <c r="E21" s="113">
        <v>18</v>
      </c>
      <c r="F21" s="113">
        <v>1</v>
      </c>
      <c r="G21" s="233"/>
      <c r="H21" s="233"/>
      <c r="I21" s="232"/>
      <c r="J21" s="234"/>
      <c r="K21" s="235">
        <v>7</v>
      </c>
      <c r="L21" s="390">
        <v>41625</v>
      </c>
      <c r="M21" s="232"/>
      <c r="N21" s="235"/>
      <c r="O21" s="232"/>
      <c r="P21" s="232"/>
      <c r="Q21" s="232"/>
      <c r="R21" s="236"/>
      <c r="S21" s="235"/>
      <c r="T21" s="235"/>
      <c r="U21" s="232"/>
      <c r="V21" s="232"/>
      <c r="W21" s="232"/>
      <c r="X21" s="232"/>
      <c r="Y21" s="237"/>
      <c r="Z21" s="235"/>
      <c r="AA21" s="238"/>
      <c r="AB21" s="235"/>
      <c r="AC21" s="237"/>
      <c r="AD21" s="235"/>
      <c r="AE21" s="235"/>
      <c r="AF21" s="235"/>
      <c r="AG21" s="232"/>
      <c r="AH21" s="232"/>
      <c r="AI21" s="232">
        <v>125</v>
      </c>
      <c r="AJ21" s="194">
        <v>41785</v>
      </c>
      <c r="AK21" s="232"/>
      <c r="AL21" s="232"/>
      <c r="AM21" s="232"/>
      <c r="AN21" s="232"/>
      <c r="AO21" s="232"/>
      <c r="AP21" s="232"/>
      <c r="AQ21" s="239"/>
      <c r="AR21" s="239"/>
      <c r="AS21" s="232"/>
      <c r="AT21" s="232"/>
      <c r="AU21" s="232"/>
      <c r="AV21" s="232"/>
      <c r="AW21" s="232"/>
      <c r="AX21" s="232"/>
      <c r="AY21" s="232"/>
      <c r="AZ21" s="232"/>
      <c r="BA21" s="232"/>
      <c r="BB21" s="232"/>
      <c r="BC21" s="232"/>
      <c r="BD21" s="232"/>
      <c r="BE21" s="232"/>
      <c r="BF21" s="232"/>
      <c r="BG21" s="232"/>
      <c r="BH21" s="232"/>
      <c r="BI21" s="232"/>
      <c r="BJ21" s="232"/>
      <c r="BK21" s="232"/>
      <c r="BL21" s="232"/>
      <c r="BM21" s="232"/>
      <c r="BN21" s="232"/>
      <c r="BO21" s="232"/>
      <c r="BP21" s="232"/>
      <c r="BQ21" s="232"/>
      <c r="BR21" s="232"/>
      <c r="BS21" s="232">
        <v>53.6</v>
      </c>
      <c r="BT21" s="232"/>
      <c r="BU21" s="232">
        <v>14.7</v>
      </c>
      <c r="BV21" s="232"/>
      <c r="BW21" s="232"/>
      <c r="BX21" s="243"/>
      <c r="BY21" s="232"/>
      <c r="BZ21" s="232"/>
      <c r="CA21" s="232"/>
      <c r="CB21" s="241"/>
      <c r="CC21" s="232"/>
      <c r="CD21" s="232"/>
      <c r="CE21" s="232">
        <v>10.199999999999999</v>
      </c>
      <c r="CF21" s="232"/>
      <c r="CG21" s="232">
        <v>0.5</v>
      </c>
      <c r="CH21" s="232"/>
      <c r="CI21" s="232"/>
      <c r="CJ21" s="232"/>
      <c r="CK21" t="s">
        <v>8820</v>
      </c>
      <c r="CL21" s="232"/>
      <c r="CM21" s="232"/>
    </row>
    <row r="22" spans="1:91" ht="15">
      <c r="A22" s="364" t="s">
        <v>7628</v>
      </c>
      <c r="B22" t="s">
        <v>265</v>
      </c>
      <c r="C22" t="s">
        <v>413</v>
      </c>
      <c r="D22">
        <v>23</v>
      </c>
      <c r="E22" s="113">
        <v>31</v>
      </c>
      <c r="F22" s="113">
        <v>6</v>
      </c>
      <c r="G22" s="233"/>
      <c r="H22" s="233"/>
      <c r="I22" s="232"/>
      <c r="J22" s="234"/>
      <c r="K22" s="235">
        <v>6</v>
      </c>
      <c r="L22" s="390">
        <v>41625</v>
      </c>
      <c r="M22" s="232"/>
      <c r="N22" s="235"/>
      <c r="O22" s="232"/>
      <c r="P22" s="232"/>
      <c r="Q22" s="232"/>
      <c r="R22" s="236"/>
      <c r="S22" s="235"/>
      <c r="T22" s="235"/>
      <c r="U22" s="232"/>
      <c r="V22" s="232"/>
      <c r="W22" s="232"/>
      <c r="X22" s="232"/>
      <c r="Y22" s="237"/>
      <c r="Z22" s="235"/>
      <c r="AA22" s="238"/>
      <c r="AB22" s="235"/>
      <c r="AC22" s="237"/>
      <c r="AD22" s="235"/>
      <c r="AE22" s="235"/>
      <c r="AF22" s="235"/>
      <c r="AG22" s="232"/>
      <c r="AH22" s="232"/>
      <c r="AI22" s="232">
        <v>110</v>
      </c>
      <c r="AJ22" s="194">
        <v>41785</v>
      </c>
      <c r="AK22" s="232"/>
      <c r="AL22" s="232"/>
      <c r="AM22" s="232"/>
      <c r="AN22" s="232"/>
      <c r="AO22" s="232"/>
      <c r="AP22" s="232"/>
      <c r="AQ22" s="239"/>
      <c r="AR22" s="239"/>
      <c r="AS22" s="232"/>
      <c r="AT22" s="232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32"/>
      <c r="BJ22" s="232"/>
      <c r="BK22" s="232"/>
      <c r="BL22" s="232"/>
      <c r="BM22" s="232"/>
      <c r="BN22" s="232"/>
      <c r="BO22" s="232"/>
      <c r="BP22" s="232"/>
      <c r="BQ22" s="232"/>
      <c r="BR22" s="232"/>
      <c r="BS22" s="232">
        <v>51.9</v>
      </c>
      <c r="BT22" s="232"/>
      <c r="BU22" s="232">
        <v>17.100000000000001</v>
      </c>
      <c r="BV22" s="232"/>
      <c r="BW22" s="232"/>
      <c r="BX22" s="243"/>
      <c r="BY22" s="232"/>
      <c r="BZ22" s="232"/>
      <c r="CA22" s="232"/>
      <c r="CB22" s="241"/>
      <c r="CC22" s="232"/>
      <c r="CD22" s="232"/>
      <c r="CE22" s="232">
        <v>7.2</v>
      </c>
      <c r="CF22" s="232"/>
      <c r="CG22" s="232">
        <v>0.3</v>
      </c>
      <c r="CH22" s="232"/>
      <c r="CI22" s="232"/>
      <c r="CJ22" s="232"/>
      <c r="CK22" t="s">
        <v>8820</v>
      </c>
      <c r="CL22" s="232"/>
      <c r="CM22" s="232"/>
    </row>
    <row r="23" spans="1:91" ht="15">
      <c r="A23" s="364" t="s">
        <v>7629</v>
      </c>
      <c r="B23" t="s">
        <v>265</v>
      </c>
      <c r="C23" t="s">
        <v>413</v>
      </c>
      <c r="D23">
        <v>24</v>
      </c>
      <c r="E23" s="113">
        <v>26</v>
      </c>
      <c r="F23" s="113">
        <v>4</v>
      </c>
      <c r="G23" s="233"/>
      <c r="H23" s="233"/>
      <c r="I23" s="232"/>
      <c r="J23" s="234"/>
      <c r="K23" s="235">
        <v>7</v>
      </c>
      <c r="L23" s="390">
        <v>41625</v>
      </c>
      <c r="M23" s="232"/>
      <c r="N23" s="235"/>
      <c r="O23" s="232"/>
      <c r="P23" s="232"/>
      <c r="Q23" s="232"/>
      <c r="R23" s="236"/>
      <c r="S23" s="235"/>
      <c r="T23" s="235"/>
      <c r="U23" s="232"/>
      <c r="V23" s="232"/>
      <c r="W23" s="232"/>
      <c r="X23" s="232"/>
      <c r="Y23" s="237"/>
      <c r="Z23" s="235"/>
      <c r="AA23" s="238"/>
      <c r="AB23" s="235"/>
      <c r="AC23" s="237"/>
      <c r="AD23" s="235"/>
      <c r="AE23" s="235"/>
      <c r="AF23" s="235"/>
      <c r="AG23" s="232"/>
      <c r="AH23" s="232"/>
      <c r="AI23" s="232">
        <v>140</v>
      </c>
      <c r="AJ23" s="194">
        <v>41785</v>
      </c>
      <c r="AK23" s="232"/>
      <c r="AL23" s="232"/>
      <c r="AM23" s="232"/>
      <c r="AN23" s="232"/>
      <c r="AO23" s="232"/>
      <c r="AP23" s="232"/>
      <c r="AQ23" s="239"/>
      <c r="AR23" s="239"/>
      <c r="AS23" s="232"/>
      <c r="AT23" s="232"/>
      <c r="AU23" s="232"/>
      <c r="AV23" s="232"/>
      <c r="AW23" s="232"/>
      <c r="AX23" s="232"/>
      <c r="AY23" s="232"/>
      <c r="AZ23" s="232"/>
      <c r="BA23" s="232"/>
      <c r="BB23" s="232"/>
      <c r="BC23" s="232"/>
      <c r="BD23" s="232"/>
      <c r="BE23" s="232"/>
      <c r="BF23" s="232"/>
      <c r="BG23" s="232"/>
      <c r="BH23" s="232"/>
      <c r="BI23" s="232"/>
      <c r="BJ23" s="232"/>
      <c r="BK23" s="232"/>
      <c r="BL23" s="232"/>
      <c r="BM23" s="232"/>
      <c r="BN23" s="232"/>
      <c r="BO23" s="232"/>
      <c r="BP23" s="232"/>
      <c r="BQ23" s="232"/>
      <c r="BR23" s="232"/>
      <c r="BS23" s="232">
        <v>54</v>
      </c>
      <c r="BT23" s="232"/>
      <c r="BU23" s="232">
        <v>13.5</v>
      </c>
      <c r="BV23" s="232"/>
      <c r="BW23" s="240"/>
      <c r="BX23" s="232"/>
      <c r="BY23" s="232"/>
      <c r="BZ23" s="232"/>
      <c r="CA23" s="232"/>
      <c r="CB23" s="241"/>
      <c r="CC23" s="232"/>
      <c r="CD23" s="232"/>
      <c r="CE23" s="232">
        <v>6.2</v>
      </c>
      <c r="CF23" s="232"/>
      <c r="CG23" s="232">
        <v>0.4</v>
      </c>
      <c r="CH23" s="232"/>
      <c r="CI23" s="232"/>
      <c r="CJ23" s="232"/>
      <c r="CK23" t="s">
        <v>8820</v>
      </c>
      <c r="CL23" s="232"/>
      <c r="CM23" s="232"/>
    </row>
    <row r="24" spans="1:91" ht="15">
      <c r="A24" s="364" t="s">
        <v>7630</v>
      </c>
      <c r="B24" t="s">
        <v>265</v>
      </c>
      <c r="C24" t="s">
        <v>413</v>
      </c>
      <c r="D24" s="232">
        <v>25</v>
      </c>
      <c r="E24" s="113">
        <v>30</v>
      </c>
      <c r="F24" s="113">
        <v>4</v>
      </c>
      <c r="I24"/>
      <c r="K24" s="224">
        <v>7</v>
      </c>
      <c r="L24" s="390">
        <v>41625</v>
      </c>
      <c r="M24"/>
      <c r="N24" s="224"/>
      <c r="O24"/>
      <c r="P24"/>
      <c r="Q24"/>
      <c r="S24" s="224"/>
      <c r="T24" s="224"/>
      <c r="U24"/>
      <c r="V24"/>
      <c r="W24"/>
      <c r="X24"/>
      <c r="Y24" s="225"/>
      <c r="Z24" s="224"/>
      <c r="AA24" s="226"/>
      <c r="AB24" s="224"/>
      <c r="AC24" s="225"/>
      <c r="AD24" s="224"/>
      <c r="AE24" s="224"/>
      <c r="AF24" s="224"/>
      <c r="AG24"/>
      <c r="AH24"/>
      <c r="AI24">
        <v>150</v>
      </c>
      <c r="AJ24" s="194">
        <v>41785</v>
      </c>
      <c r="AK24"/>
      <c r="AL24"/>
      <c r="AM24"/>
      <c r="AN24"/>
      <c r="AO24"/>
      <c r="AP24"/>
      <c r="AQ24" s="227"/>
      <c r="AR24" s="227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>
        <v>52.8</v>
      </c>
      <c r="BT24"/>
      <c r="BU24">
        <v>15.9</v>
      </c>
      <c r="BV24"/>
      <c r="BW24" s="229"/>
      <c r="BX24"/>
      <c r="BY24"/>
      <c r="BZ24"/>
      <c r="CA24"/>
      <c r="CC24"/>
      <c r="CD24"/>
      <c r="CE24">
        <v>7.3</v>
      </c>
      <c r="CF24"/>
      <c r="CG24">
        <v>0.4</v>
      </c>
      <c r="CH24"/>
      <c r="CI24"/>
      <c r="CJ24"/>
      <c r="CK24" t="s">
        <v>8820</v>
      </c>
      <c r="CL24"/>
      <c r="CM24"/>
    </row>
    <row r="25" spans="1:91" ht="15">
      <c r="A25" s="364" t="s">
        <v>7632</v>
      </c>
      <c r="B25" t="s">
        <v>265</v>
      </c>
      <c r="C25" t="s">
        <v>413</v>
      </c>
      <c r="D25">
        <v>27</v>
      </c>
      <c r="E25" s="113">
        <v>35</v>
      </c>
      <c r="F25" s="113">
        <v>1</v>
      </c>
      <c r="I25"/>
      <c r="K25" s="224">
        <v>7</v>
      </c>
      <c r="L25" s="390">
        <v>41625</v>
      </c>
      <c r="M25"/>
      <c r="N25" s="224"/>
      <c r="O25"/>
      <c r="P25"/>
      <c r="Q25"/>
      <c r="S25" s="224"/>
      <c r="T25" s="224"/>
      <c r="U25"/>
      <c r="V25"/>
      <c r="W25"/>
      <c r="X25"/>
      <c r="Y25" s="225"/>
      <c r="Z25" s="224"/>
      <c r="AA25" s="226"/>
      <c r="AB25" s="224"/>
      <c r="AC25" s="225"/>
      <c r="AD25" s="224"/>
      <c r="AE25" s="224"/>
      <c r="AF25" s="224"/>
      <c r="AG25"/>
      <c r="AH25"/>
      <c r="AI25">
        <v>130</v>
      </c>
      <c r="AJ25" s="194">
        <v>41785</v>
      </c>
      <c r="AK25"/>
      <c r="AL25"/>
      <c r="AM25"/>
      <c r="AN25"/>
      <c r="AO25"/>
      <c r="AP25"/>
      <c r="AQ25" s="227"/>
      <c r="AR25" s="227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>
        <v>51.2</v>
      </c>
      <c r="BT25"/>
      <c r="BU25">
        <v>17.2</v>
      </c>
      <c r="BV25"/>
      <c r="BW25"/>
      <c r="BX25" s="228"/>
      <c r="BY25"/>
      <c r="BZ25"/>
      <c r="CA25"/>
      <c r="CC25"/>
      <c r="CD25"/>
      <c r="CE25">
        <v>7.1</v>
      </c>
      <c r="CF25"/>
      <c r="CG25">
        <v>0.5</v>
      </c>
      <c r="CH25"/>
      <c r="CI25"/>
      <c r="CJ25"/>
      <c r="CK25" t="s">
        <v>8820</v>
      </c>
      <c r="CL25"/>
      <c r="CM25"/>
    </row>
    <row r="26" spans="1:91" ht="15">
      <c r="A26" s="364" t="s">
        <v>7633</v>
      </c>
      <c r="B26" t="s">
        <v>265</v>
      </c>
      <c r="C26" t="s">
        <v>413</v>
      </c>
      <c r="D26" s="232">
        <v>28</v>
      </c>
      <c r="E26" s="113">
        <v>6</v>
      </c>
      <c r="F26" s="113">
        <v>4</v>
      </c>
      <c r="I26"/>
      <c r="K26" s="224">
        <v>7</v>
      </c>
      <c r="L26" s="390">
        <v>41625</v>
      </c>
      <c r="M26"/>
      <c r="N26" s="224"/>
      <c r="O26"/>
      <c r="P26"/>
      <c r="Q26"/>
      <c r="S26" s="224"/>
      <c r="T26" s="224"/>
      <c r="U26"/>
      <c r="V26"/>
      <c r="W26"/>
      <c r="X26"/>
      <c r="Y26" s="225"/>
      <c r="Z26" s="224"/>
      <c r="AA26" s="226"/>
      <c r="AB26" s="224"/>
      <c r="AC26" s="225"/>
      <c r="AD26" s="224"/>
      <c r="AE26" s="224"/>
      <c r="AF26" s="224"/>
      <c r="AG26"/>
      <c r="AH26"/>
      <c r="AI26">
        <v>150</v>
      </c>
      <c r="AJ26" s="194">
        <v>41785</v>
      </c>
      <c r="AK26"/>
      <c r="AL26"/>
      <c r="AM26"/>
      <c r="AN26"/>
      <c r="AO26"/>
      <c r="AP26"/>
      <c r="AQ26" s="227"/>
      <c r="AR26" s="227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>
        <v>54</v>
      </c>
      <c r="BT26"/>
      <c r="BU26">
        <v>14.1</v>
      </c>
      <c r="BV26"/>
      <c r="BW26" s="229"/>
      <c r="BX26"/>
      <c r="BY26"/>
      <c r="BZ26"/>
      <c r="CA26"/>
      <c r="CC26"/>
      <c r="CD26"/>
      <c r="CE26">
        <v>5.8</v>
      </c>
      <c r="CF26"/>
      <c r="CG26">
        <v>0.1</v>
      </c>
      <c r="CH26"/>
      <c r="CI26"/>
      <c r="CJ26"/>
      <c r="CK26" t="s">
        <v>8820</v>
      </c>
      <c r="CL26"/>
      <c r="CM26"/>
    </row>
    <row r="27" spans="1:91" ht="15">
      <c r="A27" s="364" t="s">
        <v>7634</v>
      </c>
      <c r="B27" t="s">
        <v>265</v>
      </c>
      <c r="C27" t="s">
        <v>413</v>
      </c>
      <c r="D27">
        <v>29</v>
      </c>
      <c r="E27" s="113">
        <v>13</v>
      </c>
      <c r="F27" s="113">
        <v>3</v>
      </c>
      <c r="I27"/>
      <c r="K27" s="224">
        <v>7</v>
      </c>
      <c r="L27" s="390">
        <v>41625</v>
      </c>
      <c r="M27"/>
      <c r="N27" s="224"/>
      <c r="O27"/>
      <c r="P27"/>
      <c r="Q27"/>
      <c r="S27" s="224"/>
      <c r="T27" s="224"/>
      <c r="U27"/>
      <c r="V27"/>
      <c r="W27"/>
      <c r="X27"/>
      <c r="Y27" s="225"/>
      <c r="Z27" s="224"/>
      <c r="AA27" s="226"/>
      <c r="AB27" s="224"/>
      <c r="AC27" s="225"/>
      <c r="AD27" s="224"/>
      <c r="AE27" s="224"/>
      <c r="AF27" s="224"/>
      <c r="AG27"/>
      <c r="AH27"/>
      <c r="AI27">
        <v>150</v>
      </c>
      <c r="AJ27" s="194">
        <v>41785</v>
      </c>
      <c r="AK27"/>
      <c r="AL27"/>
      <c r="AM27"/>
      <c r="AN27"/>
      <c r="AO27"/>
      <c r="AP27"/>
      <c r="AQ27" s="227"/>
      <c r="AR27" s="2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>
        <v>54.4</v>
      </c>
      <c r="BT27"/>
      <c r="BU27">
        <v>15.7</v>
      </c>
      <c r="BV27"/>
      <c r="BW27" s="229"/>
      <c r="BX27"/>
      <c r="BY27"/>
      <c r="BZ27"/>
      <c r="CA27"/>
      <c r="CC27"/>
      <c r="CD27"/>
      <c r="CE27">
        <v>8.6999999999999993</v>
      </c>
      <c r="CF27"/>
      <c r="CG27">
        <v>0.3</v>
      </c>
      <c r="CH27"/>
      <c r="CI27"/>
      <c r="CJ27"/>
      <c r="CK27" t="s">
        <v>8820</v>
      </c>
      <c r="CL27"/>
      <c r="CM27"/>
    </row>
    <row r="28" spans="1:91" ht="15">
      <c r="A28" s="364" t="s">
        <v>7635</v>
      </c>
      <c r="B28" t="s">
        <v>265</v>
      </c>
      <c r="C28" t="s">
        <v>413</v>
      </c>
      <c r="D28">
        <v>30</v>
      </c>
      <c r="E28" s="113">
        <v>34</v>
      </c>
      <c r="F28" s="113">
        <v>4</v>
      </c>
      <c r="G28" s="233"/>
      <c r="H28" s="233"/>
      <c r="I28" s="232"/>
      <c r="J28" s="234"/>
      <c r="K28" s="235">
        <v>7</v>
      </c>
      <c r="L28" s="390">
        <v>41625</v>
      </c>
      <c r="M28" s="232"/>
      <c r="N28" s="235"/>
      <c r="O28" s="232"/>
      <c r="P28" s="232"/>
      <c r="Q28" s="232"/>
      <c r="R28" s="236"/>
      <c r="S28" s="235"/>
      <c r="T28" s="235"/>
      <c r="U28" s="232"/>
      <c r="V28" s="232"/>
      <c r="W28" s="232"/>
      <c r="X28" s="232"/>
      <c r="Y28" s="237"/>
      <c r="Z28" s="235"/>
      <c r="AA28" s="238"/>
      <c r="AB28" s="235"/>
      <c r="AC28" s="237"/>
      <c r="AD28" s="235"/>
      <c r="AE28" s="235"/>
      <c r="AF28" s="235"/>
      <c r="AG28" s="232"/>
      <c r="AH28" s="232"/>
      <c r="AI28" s="232">
        <v>120</v>
      </c>
      <c r="AJ28" s="194">
        <v>41785</v>
      </c>
      <c r="AK28" s="232"/>
      <c r="AL28" s="232"/>
      <c r="AM28" s="232"/>
      <c r="AN28" s="232"/>
      <c r="AO28" s="232"/>
      <c r="AP28" s="232"/>
      <c r="AQ28" s="239"/>
      <c r="AR28" s="239"/>
      <c r="AS28" s="232"/>
      <c r="AT28" s="232"/>
      <c r="AU28" s="232"/>
      <c r="AV28" s="232"/>
      <c r="AW28" s="232"/>
      <c r="AX28" s="232"/>
      <c r="AY28" s="232"/>
      <c r="AZ28" s="232"/>
      <c r="BA28" s="232"/>
      <c r="BB28" s="232"/>
      <c r="BC28" s="232"/>
      <c r="BD28" s="232"/>
      <c r="BE28" s="232"/>
      <c r="BF28" s="232"/>
      <c r="BG28" s="232"/>
      <c r="BH28" s="232"/>
      <c r="BI28" s="232"/>
      <c r="BJ28" s="232"/>
      <c r="BK28" s="232"/>
      <c r="BL28" s="232"/>
      <c r="BM28" s="232"/>
      <c r="BN28" s="232"/>
      <c r="BO28" s="232"/>
      <c r="BP28" s="232"/>
      <c r="BQ28" s="232"/>
      <c r="BR28" s="232"/>
      <c r="BS28" s="232">
        <v>54.8</v>
      </c>
      <c r="BT28" s="232"/>
      <c r="BU28" s="232">
        <v>13.2</v>
      </c>
      <c r="BV28" s="232"/>
      <c r="BW28" s="240"/>
      <c r="BX28" s="232"/>
      <c r="BY28" s="232"/>
      <c r="BZ28" s="232"/>
      <c r="CA28" s="232"/>
      <c r="CB28" s="241"/>
      <c r="CC28" s="232"/>
      <c r="CD28" s="232"/>
      <c r="CE28" s="232">
        <v>6.8</v>
      </c>
      <c r="CF28" s="232"/>
      <c r="CG28" s="232">
        <v>0.4</v>
      </c>
      <c r="CH28" s="232"/>
      <c r="CI28" s="232"/>
      <c r="CJ28" s="232"/>
      <c r="CK28" t="s">
        <v>8820</v>
      </c>
      <c r="CL28" s="232"/>
      <c r="CM28" s="232"/>
    </row>
    <row r="29" spans="1:91" ht="15">
      <c r="A29" s="364" t="s">
        <v>7636</v>
      </c>
      <c r="B29" t="s">
        <v>265</v>
      </c>
      <c r="C29" t="s">
        <v>413</v>
      </c>
      <c r="D29" s="232">
        <v>31</v>
      </c>
      <c r="E29" s="113">
        <v>26</v>
      </c>
      <c r="F29" s="113">
        <v>1</v>
      </c>
      <c r="I29"/>
      <c r="K29" s="224">
        <v>6</v>
      </c>
      <c r="L29" s="390">
        <v>41625</v>
      </c>
      <c r="M29"/>
      <c r="N29" s="224"/>
      <c r="O29"/>
      <c r="P29"/>
      <c r="Q29"/>
      <c r="S29" s="224"/>
      <c r="T29" s="224"/>
      <c r="U29"/>
      <c r="V29"/>
      <c r="W29"/>
      <c r="X29"/>
      <c r="Y29" s="225"/>
      <c r="Z29" s="224"/>
      <c r="AA29" s="226"/>
      <c r="AB29" s="224"/>
      <c r="AC29" s="225"/>
      <c r="AD29" s="224"/>
      <c r="AE29" s="224"/>
      <c r="AF29" s="224"/>
      <c r="AG29"/>
      <c r="AH29"/>
      <c r="AI29">
        <v>115</v>
      </c>
      <c r="AJ29" s="194">
        <v>41785</v>
      </c>
      <c r="AK29"/>
      <c r="AL29"/>
      <c r="AM29"/>
      <c r="AN29"/>
      <c r="AO29"/>
      <c r="AP29"/>
      <c r="AQ29" s="227"/>
      <c r="AR29" s="227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>
        <v>55.7</v>
      </c>
      <c r="BT29"/>
      <c r="BU29">
        <v>12.3</v>
      </c>
      <c r="BV29"/>
      <c r="BW29" s="229"/>
      <c r="BX29"/>
      <c r="BY29"/>
      <c r="BZ29"/>
      <c r="CA29"/>
      <c r="CC29"/>
      <c r="CD29"/>
      <c r="CE29">
        <v>6</v>
      </c>
      <c r="CF29"/>
      <c r="CG29">
        <v>1.1000000000000001</v>
      </c>
      <c r="CH29"/>
      <c r="CI29"/>
      <c r="CJ29"/>
      <c r="CK29" t="s">
        <v>8820</v>
      </c>
      <c r="CL29"/>
      <c r="CM29"/>
    </row>
    <row r="30" spans="1:91" ht="15">
      <c r="A30" s="364" t="s">
        <v>7637</v>
      </c>
      <c r="B30" t="s">
        <v>265</v>
      </c>
      <c r="C30" t="s">
        <v>413</v>
      </c>
      <c r="D30">
        <v>32</v>
      </c>
      <c r="E30" s="113">
        <v>2</v>
      </c>
      <c r="F30" s="113">
        <v>2</v>
      </c>
      <c r="I30"/>
      <c r="K30" s="224">
        <v>7</v>
      </c>
      <c r="L30" s="390">
        <v>41625</v>
      </c>
      <c r="M30"/>
      <c r="N30" s="224"/>
      <c r="O30"/>
      <c r="P30"/>
      <c r="Q30"/>
      <c r="S30" s="224"/>
      <c r="T30" s="224"/>
      <c r="U30"/>
      <c r="V30"/>
      <c r="W30"/>
      <c r="X30"/>
      <c r="Y30" s="225"/>
      <c r="Z30" s="224"/>
      <c r="AA30" s="226"/>
      <c r="AB30" s="224"/>
      <c r="AC30" s="225"/>
      <c r="AD30" s="224"/>
      <c r="AE30" s="224"/>
      <c r="AF30" s="224"/>
      <c r="AG30"/>
      <c r="AH30"/>
      <c r="AI30">
        <v>150</v>
      </c>
      <c r="AJ30" s="194">
        <v>41785</v>
      </c>
      <c r="AK30"/>
      <c r="AL30"/>
      <c r="AM30"/>
      <c r="AN30"/>
      <c r="AO30"/>
      <c r="AP30"/>
      <c r="AQ30" s="227"/>
      <c r="AR30" s="227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>
        <v>55.3</v>
      </c>
      <c r="BT30"/>
      <c r="BU30">
        <v>13.7</v>
      </c>
      <c r="BV30"/>
      <c r="BW30" s="229"/>
      <c r="BX30"/>
      <c r="BY30"/>
      <c r="BZ30"/>
      <c r="CA30"/>
      <c r="CC30"/>
      <c r="CD30"/>
      <c r="CE30">
        <v>4.9000000000000004</v>
      </c>
      <c r="CF30"/>
      <c r="CG30">
        <v>0.4</v>
      </c>
      <c r="CH30"/>
      <c r="CI30"/>
      <c r="CJ30"/>
      <c r="CK30" t="s">
        <v>8820</v>
      </c>
      <c r="CL30"/>
      <c r="CM30"/>
    </row>
    <row r="31" spans="1:91" ht="15">
      <c r="A31" s="364" t="s">
        <v>7638</v>
      </c>
      <c r="B31" t="s">
        <v>265</v>
      </c>
      <c r="C31" t="s">
        <v>413</v>
      </c>
      <c r="D31" s="232">
        <v>33</v>
      </c>
      <c r="E31" s="113">
        <v>6</v>
      </c>
      <c r="F31" s="113">
        <v>6</v>
      </c>
      <c r="I31"/>
      <c r="K31" s="224">
        <v>8</v>
      </c>
      <c r="L31" s="390">
        <v>41625</v>
      </c>
      <c r="M31"/>
      <c r="N31" s="224"/>
      <c r="O31"/>
      <c r="P31"/>
      <c r="Q31"/>
      <c r="S31" s="224"/>
      <c r="T31" s="224"/>
      <c r="U31"/>
      <c r="V31"/>
      <c r="W31"/>
      <c r="X31"/>
      <c r="Y31" s="225"/>
      <c r="Z31" s="224"/>
      <c r="AA31" s="226"/>
      <c r="AB31" s="224"/>
      <c r="AC31" s="225"/>
      <c r="AD31" s="224"/>
      <c r="AE31" s="224"/>
      <c r="AF31" s="224"/>
      <c r="AG31"/>
      <c r="AH31"/>
      <c r="AI31">
        <v>125</v>
      </c>
      <c r="AJ31" s="194">
        <v>41785</v>
      </c>
      <c r="AK31"/>
      <c r="AL31"/>
      <c r="AM31"/>
      <c r="AN31"/>
      <c r="AO31"/>
      <c r="AP31"/>
      <c r="AQ31" s="227"/>
      <c r="AR31" s="227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>
        <v>50.1</v>
      </c>
      <c r="BT31"/>
      <c r="BU31">
        <v>18.600000000000001</v>
      </c>
      <c r="BV31"/>
      <c r="BW31" s="229"/>
      <c r="BX31"/>
      <c r="BY31"/>
      <c r="BZ31"/>
      <c r="CA31"/>
      <c r="CC31"/>
      <c r="CD31"/>
      <c r="CE31">
        <v>5.9</v>
      </c>
      <c r="CF31"/>
      <c r="CG31">
        <v>0.1</v>
      </c>
      <c r="CH31"/>
      <c r="CI31"/>
      <c r="CJ31"/>
      <c r="CK31" t="s">
        <v>8820</v>
      </c>
      <c r="CL31"/>
      <c r="CM31"/>
    </row>
    <row r="32" spans="1:91" ht="15">
      <c r="A32" s="364" t="s">
        <v>7639</v>
      </c>
      <c r="B32" t="s">
        <v>265</v>
      </c>
      <c r="C32" t="s">
        <v>413</v>
      </c>
      <c r="D32">
        <v>34</v>
      </c>
      <c r="E32" s="113">
        <v>8</v>
      </c>
      <c r="F32" s="113">
        <v>1</v>
      </c>
      <c r="G32" s="233"/>
      <c r="H32" s="233"/>
      <c r="I32" s="232"/>
      <c r="J32" s="234"/>
      <c r="K32" s="235">
        <v>7</v>
      </c>
      <c r="L32" s="390">
        <v>41625</v>
      </c>
      <c r="M32" s="232"/>
      <c r="N32" s="235"/>
      <c r="O32" s="232"/>
      <c r="P32" s="232"/>
      <c r="Q32" s="232"/>
      <c r="R32" s="236"/>
      <c r="S32" s="235"/>
      <c r="T32" s="235"/>
      <c r="U32" s="232"/>
      <c r="V32" s="232"/>
      <c r="W32" s="232"/>
      <c r="X32" s="232"/>
      <c r="Y32" s="237"/>
      <c r="Z32" s="235"/>
      <c r="AA32" s="238"/>
      <c r="AB32" s="235"/>
      <c r="AC32" s="237"/>
      <c r="AD32" s="235"/>
      <c r="AE32" s="235"/>
      <c r="AF32" s="235"/>
      <c r="AG32" s="232"/>
      <c r="AH32" s="232"/>
      <c r="AI32" s="232">
        <v>140</v>
      </c>
      <c r="AJ32" s="194">
        <v>41785</v>
      </c>
      <c r="AK32" s="232"/>
      <c r="AL32" s="232"/>
      <c r="AM32" s="232"/>
      <c r="AN32" s="232"/>
      <c r="AO32" s="232"/>
      <c r="AP32" s="232"/>
      <c r="AQ32" s="239"/>
      <c r="AR32" s="239"/>
      <c r="AS32" s="232"/>
      <c r="AT32" s="232"/>
      <c r="AU32" s="232"/>
      <c r="AV32" s="232"/>
      <c r="AW32" s="232"/>
      <c r="AX32" s="232"/>
      <c r="AY32" s="232"/>
      <c r="AZ32" s="232"/>
      <c r="BA32" s="232"/>
      <c r="BB32" s="232"/>
      <c r="BC32" s="232"/>
      <c r="BD32" s="232"/>
      <c r="BE32" s="232"/>
      <c r="BF32" s="232"/>
      <c r="BG32" s="232"/>
      <c r="BH32" s="232"/>
      <c r="BI32" s="232"/>
      <c r="BJ32" s="232"/>
      <c r="BK32" s="232"/>
      <c r="BL32" s="232"/>
      <c r="BM32" s="232"/>
      <c r="BN32" s="232"/>
      <c r="BO32" s="232"/>
      <c r="BP32" s="232"/>
      <c r="BQ32" s="232"/>
      <c r="BR32" s="232"/>
      <c r="BS32" s="232">
        <v>49.4</v>
      </c>
      <c r="BT32" s="232"/>
      <c r="BU32" s="232">
        <v>18.600000000000001</v>
      </c>
      <c r="BV32" s="232"/>
      <c r="BW32" s="240"/>
      <c r="BX32" s="232"/>
      <c r="BY32" s="232"/>
      <c r="BZ32" s="232"/>
      <c r="CA32" s="232"/>
      <c r="CB32" s="241"/>
      <c r="CC32" s="232"/>
      <c r="CD32" s="232"/>
      <c r="CE32" s="232">
        <v>5.7</v>
      </c>
      <c r="CF32" s="232"/>
      <c r="CG32" s="232">
        <v>0.3</v>
      </c>
      <c r="CH32" s="232"/>
      <c r="CI32" s="232"/>
      <c r="CJ32" s="232"/>
      <c r="CK32" t="s">
        <v>8820</v>
      </c>
      <c r="CL32" s="232"/>
      <c r="CM32" s="232"/>
    </row>
    <row r="33" spans="1:91" ht="15">
      <c r="A33" s="364" t="s">
        <v>7640</v>
      </c>
      <c r="B33" t="s">
        <v>265</v>
      </c>
      <c r="C33" t="s">
        <v>413</v>
      </c>
      <c r="D33" s="232">
        <v>35</v>
      </c>
      <c r="E33" s="113">
        <v>10</v>
      </c>
      <c r="F33" s="113">
        <v>4</v>
      </c>
      <c r="I33"/>
      <c r="K33" s="224">
        <v>7</v>
      </c>
      <c r="L33" s="390">
        <v>41625</v>
      </c>
      <c r="M33"/>
      <c r="N33" s="224"/>
      <c r="O33"/>
      <c r="P33"/>
      <c r="Q33"/>
      <c r="S33" s="224"/>
      <c r="T33" s="224"/>
      <c r="U33"/>
      <c r="V33"/>
      <c r="W33"/>
      <c r="X33"/>
      <c r="Y33" s="225"/>
      <c r="Z33" s="224"/>
      <c r="AA33" s="226"/>
      <c r="AB33" s="224"/>
      <c r="AC33" s="225"/>
      <c r="AD33" s="224"/>
      <c r="AE33" s="224"/>
      <c r="AF33" s="224"/>
      <c r="AG33"/>
      <c r="AH33"/>
      <c r="AI33">
        <v>160</v>
      </c>
      <c r="AJ33" s="194">
        <v>41785</v>
      </c>
      <c r="AK33"/>
      <c r="AL33"/>
      <c r="AM33"/>
      <c r="AN33"/>
      <c r="AO33"/>
      <c r="AP33"/>
      <c r="AQ33" s="227"/>
      <c r="AR33" s="227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>
        <v>47.6</v>
      </c>
      <c r="BT33"/>
      <c r="BU33">
        <v>20.399999999999999</v>
      </c>
      <c r="BV33"/>
      <c r="BW33" s="229"/>
      <c r="BX33"/>
      <c r="BY33"/>
      <c r="BZ33"/>
      <c r="CA33"/>
      <c r="CC33"/>
      <c r="CD33"/>
      <c r="CE33">
        <v>5.7</v>
      </c>
      <c r="CF33"/>
      <c r="CG33">
        <v>0.7</v>
      </c>
      <c r="CH33"/>
      <c r="CI33"/>
      <c r="CJ33"/>
      <c r="CK33" t="s">
        <v>8820</v>
      </c>
      <c r="CL33"/>
      <c r="CM33"/>
    </row>
    <row r="34" spans="1:91" ht="15.75" thickBot="1">
      <c r="A34" s="364" t="s">
        <v>7641</v>
      </c>
      <c r="B34" s="343" t="s">
        <v>265</v>
      </c>
      <c r="C34" s="344" t="s">
        <v>413</v>
      </c>
      <c r="D34">
        <v>36</v>
      </c>
      <c r="E34" s="113">
        <v>1</v>
      </c>
      <c r="F34" s="113">
        <v>3</v>
      </c>
      <c r="I34"/>
      <c r="K34" s="224">
        <v>4</v>
      </c>
      <c r="L34" s="390">
        <v>41625</v>
      </c>
      <c r="M34"/>
      <c r="N34" s="224"/>
      <c r="O34"/>
      <c r="P34"/>
      <c r="Q34"/>
      <c r="S34" s="224"/>
      <c r="T34" s="224"/>
      <c r="U34"/>
      <c r="V34"/>
      <c r="W34"/>
      <c r="X34"/>
      <c r="Y34" s="225"/>
      <c r="Z34" s="224"/>
      <c r="AA34" s="226"/>
      <c r="AB34" s="224"/>
      <c r="AC34" s="225"/>
      <c r="AD34" s="224"/>
      <c r="AE34" s="224"/>
      <c r="AF34" s="224"/>
      <c r="AG34"/>
      <c r="AH34"/>
      <c r="AI34">
        <v>120</v>
      </c>
      <c r="AJ34" s="194">
        <v>41785</v>
      </c>
      <c r="AK34"/>
      <c r="AL34"/>
      <c r="AM34"/>
      <c r="AN34"/>
      <c r="AO34"/>
      <c r="AP34"/>
      <c r="AQ34" s="227"/>
      <c r="AR34" s="227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>
        <v>52.2</v>
      </c>
      <c r="BT34"/>
      <c r="BU34">
        <v>16.399999999999999</v>
      </c>
      <c r="BV34"/>
      <c r="BW34" s="229"/>
      <c r="BX34"/>
      <c r="BY34"/>
      <c r="BZ34"/>
      <c r="CA34"/>
      <c r="CC34"/>
      <c r="CD34"/>
      <c r="CE34">
        <v>5.0999999999999996</v>
      </c>
      <c r="CF34"/>
      <c r="CG34">
        <v>0.9</v>
      </c>
      <c r="CH34"/>
      <c r="CI34"/>
      <c r="CJ34"/>
      <c r="CK34" t="s">
        <v>8820</v>
      </c>
      <c r="CL34"/>
      <c r="CM34"/>
    </row>
    <row r="35" spans="1:91" ht="15">
      <c r="A35" s="364" t="s">
        <v>7642</v>
      </c>
      <c r="B35" t="s">
        <v>265</v>
      </c>
      <c r="C35" t="s">
        <v>413</v>
      </c>
      <c r="D35">
        <v>37</v>
      </c>
      <c r="E35" s="113">
        <v>7</v>
      </c>
      <c r="F35" s="113">
        <v>6</v>
      </c>
      <c r="I35"/>
      <c r="K35" s="224">
        <v>7</v>
      </c>
      <c r="L35" s="390">
        <v>41625</v>
      </c>
      <c r="M35"/>
      <c r="N35" s="224"/>
      <c r="O35"/>
      <c r="P35"/>
      <c r="Q35"/>
      <c r="S35" s="224"/>
      <c r="T35" s="224"/>
      <c r="U35"/>
      <c r="V35"/>
      <c r="W35"/>
      <c r="X35"/>
      <c r="Y35" s="225"/>
      <c r="Z35" s="224"/>
      <c r="AA35" s="226"/>
      <c r="AB35" s="224"/>
      <c r="AC35" s="225"/>
      <c r="AD35" s="224"/>
      <c r="AE35" s="224"/>
      <c r="AF35" s="224"/>
      <c r="AG35"/>
      <c r="AH35"/>
      <c r="AI35">
        <v>150</v>
      </c>
      <c r="AJ35" s="194">
        <v>41785</v>
      </c>
      <c r="AK35"/>
      <c r="AL35"/>
      <c r="AM35"/>
      <c r="AN35"/>
      <c r="AO35"/>
      <c r="AP35"/>
      <c r="AQ35" s="227"/>
      <c r="AR35" s="227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>
        <v>51</v>
      </c>
      <c r="BT35"/>
      <c r="BU35">
        <v>16.3</v>
      </c>
      <c r="BV35"/>
      <c r="BW35" s="229"/>
      <c r="BX35"/>
      <c r="BY35"/>
      <c r="BZ35"/>
      <c r="CA35"/>
      <c r="CC35"/>
      <c r="CD35"/>
      <c r="CE35">
        <v>5.7</v>
      </c>
      <c r="CF35"/>
      <c r="CG35">
        <v>0.1</v>
      </c>
      <c r="CH35"/>
      <c r="CI35"/>
      <c r="CJ35"/>
      <c r="CK35" t="s">
        <v>8820</v>
      </c>
      <c r="CL35"/>
      <c r="CM35"/>
    </row>
    <row r="36" spans="1:91" ht="15">
      <c r="A36" s="364" t="s">
        <v>7643</v>
      </c>
      <c r="B36" t="s">
        <v>265</v>
      </c>
      <c r="C36" t="s">
        <v>413</v>
      </c>
      <c r="D36">
        <v>38</v>
      </c>
      <c r="E36" s="113">
        <v>31</v>
      </c>
      <c r="F36" s="113">
        <v>1</v>
      </c>
      <c r="I36"/>
      <c r="K36" s="224">
        <v>7</v>
      </c>
      <c r="L36" s="390">
        <v>41625</v>
      </c>
      <c r="M36"/>
      <c r="N36" s="224"/>
      <c r="O36"/>
      <c r="P36"/>
      <c r="Q36"/>
      <c r="S36" s="224"/>
      <c r="T36" s="224"/>
      <c r="U36"/>
      <c r="V36"/>
      <c r="W36"/>
      <c r="X36"/>
      <c r="Y36" s="225"/>
      <c r="Z36" s="224"/>
      <c r="AA36" s="226"/>
      <c r="AB36" s="224"/>
      <c r="AC36" s="225"/>
      <c r="AD36" s="224"/>
      <c r="AE36" s="224"/>
      <c r="AF36" s="224"/>
      <c r="AG36"/>
      <c r="AH36"/>
      <c r="AI36">
        <v>140</v>
      </c>
      <c r="AJ36" s="194">
        <v>41785</v>
      </c>
      <c r="AK36"/>
      <c r="AL36"/>
      <c r="AM36"/>
      <c r="AN36"/>
      <c r="AO36"/>
      <c r="AP36"/>
      <c r="AQ36" s="227"/>
      <c r="AR36" s="227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>
        <v>47.2</v>
      </c>
      <c r="BT36"/>
      <c r="BU36">
        <v>20.9</v>
      </c>
      <c r="BV36"/>
      <c r="BW36" s="229"/>
      <c r="BX36"/>
      <c r="BY36"/>
      <c r="BZ36"/>
      <c r="CA36"/>
      <c r="CC36"/>
      <c r="CD36"/>
      <c r="CE36">
        <v>7.4</v>
      </c>
      <c r="CF36"/>
      <c r="CG36">
        <v>0.7</v>
      </c>
      <c r="CH36"/>
      <c r="CI36"/>
      <c r="CJ36"/>
      <c r="CK36" t="s">
        <v>8820</v>
      </c>
      <c r="CL36"/>
      <c r="CM36"/>
    </row>
    <row r="37" spans="1:91" ht="15">
      <c r="A37" s="364" t="s">
        <v>7644</v>
      </c>
      <c r="B37" t="s">
        <v>265</v>
      </c>
      <c r="C37" t="s">
        <v>413</v>
      </c>
      <c r="D37">
        <v>39</v>
      </c>
      <c r="E37" s="113">
        <v>16</v>
      </c>
      <c r="F37" s="113">
        <v>4</v>
      </c>
      <c r="I37"/>
      <c r="K37" s="224">
        <v>6</v>
      </c>
      <c r="L37" s="390">
        <v>41625</v>
      </c>
      <c r="M37"/>
      <c r="N37" s="224"/>
      <c r="O37"/>
      <c r="P37"/>
      <c r="Q37"/>
      <c r="S37" s="224"/>
      <c r="T37" s="224"/>
      <c r="U37"/>
      <c r="V37"/>
      <c r="W37"/>
      <c r="X37"/>
      <c r="Y37" s="225"/>
      <c r="Z37" s="224"/>
      <c r="AA37" s="226"/>
      <c r="AB37" s="224"/>
      <c r="AC37" s="225"/>
      <c r="AD37" s="224"/>
      <c r="AE37" s="224"/>
      <c r="AF37" s="224"/>
      <c r="AG37"/>
      <c r="AH37"/>
      <c r="AI37">
        <v>160</v>
      </c>
      <c r="AJ37" s="194">
        <v>41785</v>
      </c>
      <c r="AK37"/>
      <c r="AL37"/>
      <c r="AM37"/>
      <c r="AN37"/>
      <c r="AO37"/>
      <c r="AP37"/>
      <c r="AQ37" s="227"/>
      <c r="AR37" s="22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>
        <v>49.7</v>
      </c>
      <c r="BT37"/>
      <c r="BU37">
        <v>17.7</v>
      </c>
      <c r="BV37"/>
      <c r="BW37" s="229"/>
      <c r="BX37"/>
      <c r="BY37"/>
      <c r="BZ37"/>
      <c r="CA37"/>
      <c r="CC37"/>
      <c r="CD37"/>
      <c r="CE37">
        <v>7.5</v>
      </c>
      <c r="CF37"/>
      <c r="CG37">
        <v>0.3</v>
      </c>
      <c r="CH37"/>
      <c r="CI37"/>
      <c r="CJ37"/>
      <c r="CK37" t="s">
        <v>8820</v>
      </c>
      <c r="CL37"/>
      <c r="CM37"/>
    </row>
    <row r="38" spans="1:91" ht="15">
      <c r="A38" s="364" t="s">
        <v>7645</v>
      </c>
      <c r="B38" t="s">
        <v>265</v>
      </c>
      <c r="C38" t="s">
        <v>413</v>
      </c>
      <c r="D38">
        <v>40</v>
      </c>
      <c r="E38" s="113">
        <v>7</v>
      </c>
      <c r="F38" s="113">
        <v>5</v>
      </c>
      <c r="I38"/>
      <c r="K38" s="224">
        <v>7</v>
      </c>
      <c r="L38" s="390">
        <v>41625</v>
      </c>
      <c r="M38"/>
      <c r="N38" s="224"/>
      <c r="O38"/>
      <c r="P38"/>
      <c r="Q38"/>
      <c r="S38" s="224"/>
      <c r="T38" s="224"/>
      <c r="U38"/>
      <c r="V38"/>
      <c r="W38"/>
      <c r="X38"/>
      <c r="Y38" s="225"/>
      <c r="Z38" s="224"/>
      <c r="AA38" s="226"/>
      <c r="AB38" s="224"/>
      <c r="AC38" s="225"/>
      <c r="AD38" s="224"/>
      <c r="AE38" s="224"/>
      <c r="AF38" s="224"/>
      <c r="AG38"/>
      <c r="AH38"/>
      <c r="AI38">
        <v>130</v>
      </c>
      <c r="AJ38" s="194">
        <v>41785</v>
      </c>
      <c r="AK38"/>
      <c r="AL38"/>
      <c r="AM38"/>
      <c r="AN38"/>
      <c r="AO38"/>
      <c r="AP38"/>
      <c r="AQ38" s="227"/>
      <c r="AR38" s="227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>
        <v>50.1</v>
      </c>
      <c r="BT38"/>
      <c r="BU38">
        <v>16.5</v>
      </c>
      <c r="BV38"/>
      <c r="BW38" s="229"/>
      <c r="BX38"/>
      <c r="BY38"/>
      <c r="BZ38"/>
      <c r="CA38"/>
      <c r="CC38"/>
      <c r="CD38"/>
      <c r="CE38">
        <v>6</v>
      </c>
      <c r="CF38"/>
      <c r="CG38">
        <v>0.4</v>
      </c>
      <c r="CH38"/>
      <c r="CI38"/>
      <c r="CJ38"/>
      <c r="CK38" t="s">
        <v>8820</v>
      </c>
      <c r="CL38"/>
      <c r="CM38"/>
    </row>
    <row r="39" spans="1:91" ht="15">
      <c r="A39" s="364" t="s">
        <v>7646</v>
      </c>
      <c r="B39" t="s">
        <v>265</v>
      </c>
      <c r="C39" t="s">
        <v>413</v>
      </c>
      <c r="D39">
        <v>41</v>
      </c>
      <c r="E39" s="113">
        <v>12</v>
      </c>
      <c r="F39" s="113">
        <v>3</v>
      </c>
      <c r="I39"/>
      <c r="K39" s="224">
        <v>7</v>
      </c>
      <c r="L39" s="390">
        <v>41625</v>
      </c>
      <c r="M39"/>
      <c r="N39" s="224"/>
      <c r="O39"/>
      <c r="P39"/>
      <c r="Q39"/>
      <c r="S39" s="224"/>
      <c r="T39" s="224"/>
      <c r="U39"/>
      <c r="V39"/>
      <c r="W39"/>
      <c r="X39"/>
      <c r="Y39" s="225"/>
      <c r="Z39" s="224"/>
      <c r="AA39" s="226"/>
      <c r="AB39" s="224"/>
      <c r="AC39" s="225"/>
      <c r="AD39" s="224"/>
      <c r="AE39" s="224"/>
      <c r="AF39" s="224"/>
      <c r="AG39"/>
      <c r="AH39"/>
      <c r="AI39">
        <v>155</v>
      </c>
      <c r="AJ39" s="194">
        <v>41785</v>
      </c>
      <c r="AK39"/>
      <c r="AL39"/>
      <c r="AM39"/>
      <c r="AN39"/>
      <c r="AO39"/>
      <c r="AP39"/>
      <c r="AQ39" s="227"/>
      <c r="AR39" s="227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>
        <v>49.3</v>
      </c>
      <c r="BT39"/>
      <c r="BU39">
        <v>18.399999999999999</v>
      </c>
      <c r="BV39"/>
      <c r="BW39" s="229"/>
      <c r="BX39"/>
      <c r="BY39"/>
      <c r="BZ39"/>
      <c r="CA39"/>
      <c r="CC39"/>
      <c r="CD39"/>
      <c r="CE39">
        <v>5.8</v>
      </c>
      <c r="CF39"/>
      <c r="CG39">
        <v>0.3</v>
      </c>
      <c r="CH39"/>
      <c r="CI39"/>
      <c r="CJ39"/>
      <c r="CK39" t="s">
        <v>8820</v>
      </c>
      <c r="CL39"/>
      <c r="CM39"/>
    </row>
    <row r="40" spans="1:91" ht="15">
      <c r="A40" s="364" t="s">
        <v>7648</v>
      </c>
      <c r="B40" t="s">
        <v>265</v>
      </c>
      <c r="C40" t="s">
        <v>413</v>
      </c>
      <c r="D40">
        <v>43</v>
      </c>
      <c r="E40" s="113">
        <v>9</v>
      </c>
      <c r="F40" s="113">
        <v>2</v>
      </c>
      <c r="I40"/>
      <c r="K40" s="224">
        <v>7</v>
      </c>
      <c r="L40" s="390">
        <v>41625</v>
      </c>
      <c r="M40"/>
      <c r="N40" s="224"/>
      <c r="O40"/>
      <c r="P40"/>
      <c r="Q40"/>
      <c r="S40" s="224"/>
      <c r="T40" s="224"/>
      <c r="U40"/>
      <c r="V40"/>
      <c r="W40"/>
      <c r="X40"/>
      <c r="Y40" s="225"/>
      <c r="Z40" s="224"/>
      <c r="AA40" s="226"/>
      <c r="AB40" s="224"/>
      <c r="AC40" s="225"/>
      <c r="AD40" s="224"/>
      <c r="AE40" s="224"/>
      <c r="AF40" s="224"/>
      <c r="AG40"/>
      <c r="AH40"/>
      <c r="AI40">
        <v>160</v>
      </c>
      <c r="AJ40" s="194">
        <v>41785</v>
      </c>
      <c r="AK40"/>
      <c r="AL40"/>
      <c r="AM40"/>
      <c r="AN40"/>
      <c r="AO40"/>
      <c r="AP40"/>
      <c r="AQ40" s="227"/>
      <c r="AR40" s="227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>
        <v>52</v>
      </c>
      <c r="BT40"/>
      <c r="BU40">
        <v>17.5</v>
      </c>
      <c r="BV40"/>
      <c r="BW40"/>
      <c r="BX40" s="228"/>
      <c r="BY40"/>
      <c r="BZ40"/>
      <c r="CA40"/>
      <c r="CC40"/>
      <c r="CD40"/>
      <c r="CE40">
        <v>5.2</v>
      </c>
      <c r="CF40"/>
      <c r="CG40">
        <v>0.4</v>
      </c>
      <c r="CH40"/>
      <c r="CI40"/>
      <c r="CJ40"/>
      <c r="CK40" t="s">
        <v>8820</v>
      </c>
      <c r="CL40"/>
      <c r="CM40"/>
    </row>
    <row r="41" spans="1:91" ht="15">
      <c r="A41" s="364" t="s">
        <v>7649</v>
      </c>
      <c r="B41" t="s">
        <v>265</v>
      </c>
      <c r="C41" t="s">
        <v>413</v>
      </c>
      <c r="D41">
        <v>44</v>
      </c>
      <c r="E41" s="113">
        <v>23</v>
      </c>
      <c r="F41" s="113">
        <v>2</v>
      </c>
      <c r="I41"/>
      <c r="K41" s="224">
        <v>7</v>
      </c>
      <c r="L41" s="390">
        <v>41625</v>
      </c>
      <c r="M41"/>
      <c r="N41" s="224"/>
      <c r="O41"/>
      <c r="P41"/>
      <c r="Q41"/>
      <c r="S41" s="224"/>
      <c r="T41" s="224"/>
      <c r="U41"/>
      <c r="V41"/>
      <c r="W41"/>
      <c r="X41"/>
      <c r="Y41" s="225"/>
      <c r="Z41" s="224"/>
      <c r="AA41" s="226"/>
      <c r="AB41" s="224"/>
      <c r="AC41" s="225"/>
      <c r="AD41" s="224"/>
      <c r="AE41" s="224"/>
      <c r="AF41" s="224"/>
      <c r="AG41"/>
      <c r="AH41"/>
      <c r="AI41">
        <v>155</v>
      </c>
      <c r="AJ41" s="194">
        <v>41785</v>
      </c>
      <c r="AK41"/>
      <c r="AL41"/>
      <c r="AM41"/>
      <c r="AN41"/>
      <c r="AO41"/>
      <c r="AP41"/>
      <c r="AQ41" s="227"/>
      <c r="AR41" s="227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>
        <v>49.1</v>
      </c>
      <c r="BT41"/>
      <c r="BU41">
        <v>18.600000000000001</v>
      </c>
      <c r="BV41"/>
      <c r="BW41" s="229"/>
      <c r="BX41"/>
      <c r="BY41"/>
      <c r="BZ41"/>
      <c r="CA41"/>
      <c r="CC41"/>
      <c r="CD41"/>
      <c r="CE41">
        <v>5.8</v>
      </c>
      <c r="CF41"/>
      <c r="CG41">
        <v>0.3</v>
      </c>
      <c r="CH41"/>
      <c r="CI41"/>
      <c r="CJ41"/>
      <c r="CK41" t="s">
        <v>8820</v>
      </c>
      <c r="CL41"/>
      <c r="CM41"/>
    </row>
    <row r="42" spans="1:91" ht="15">
      <c r="A42" s="364" t="s">
        <v>7650</v>
      </c>
      <c r="B42" t="s">
        <v>265</v>
      </c>
      <c r="C42" t="s">
        <v>413</v>
      </c>
      <c r="D42">
        <v>45</v>
      </c>
      <c r="E42" s="113">
        <v>28</v>
      </c>
      <c r="F42" s="113">
        <v>2</v>
      </c>
      <c r="I42"/>
      <c r="K42" s="224">
        <v>6</v>
      </c>
      <c r="L42" s="390">
        <v>41625</v>
      </c>
      <c r="M42"/>
      <c r="N42" s="224"/>
      <c r="O42"/>
      <c r="P42"/>
      <c r="Q42"/>
      <c r="S42" s="224"/>
      <c r="T42" s="224"/>
      <c r="U42"/>
      <c r="V42"/>
      <c r="W42"/>
      <c r="X42"/>
      <c r="Y42" s="225"/>
      <c r="Z42" s="224"/>
      <c r="AA42" s="226"/>
      <c r="AB42" s="224"/>
      <c r="AC42" s="225"/>
      <c r="AD42" s="224"/>
      <c r="AE42" s="224"/>
      <c r="AF42" s="224"/>
      <c r="AG42"/>
      <c r="AH42"/>
      <c r="AI42">
        <v>150</v>
      </c>
      <c r="AJ42" s="194">
        <v>41785</v>
      </c>
      <c r="AK42"/>
      <c r="AL42"/>
      <c r="AM42"/>
      <c r="AN42"/>
      <c r="AO42"/>
      <c r="AP42"/>
      <c r="AQ42" s="227"/>
      <c r="AR42" s="227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>
        <v>50.2</v>
      </c>
      <c r="BT42"/>
      <c r="BU42">
        <v>16.5</v>
      </c>
      <c r="BV42"/>
      <c r="BW42" s="229"/>
      <c r="BX42"/>
      <c r="BY42"/>
      <c r="BZ42"/>
      <c r="CA42"/>
      <c r="CC42"/>
      <c r="CD42"/>
      <c r="CE42">
        <v>6.3</v>
      </c>
      <c r="CF42"/>
      <c r="CG42">
        <v>0.3</v>
      </c>
      <c r="CH42"/>
      <c r="CI42"/>
      <c r="CJ42"/>
      <c r="CK42" t="s">
        <v>8820</v>
      </c>
      <c r="CL42"/>
      <c r="CM42"/>
    </row>
    <row r="43" spans="1:91" ht="15">
      <c r="A43" s="364" t="s">
        <v>7651</v>
      </c>
      <c r="B43" t="s">
        <v>265</v>
      </c>
      <c r="C43" t="s">
        <v>413</v>
      </c>
      <c r="D43">
        <v>46</v>
      </c>
      <c r="E43" s="113">
        <v>5</v>
      </c>
      <c r="F43" s="113">
        <v>2</v>
      </c>
      <c r="I43"/>
      <c r="K43" s="224">
        <v>8</v>
      </c>
      <c r="L43" s="390">
        <v>41625</v>
      </c>
      <c r="M43"/>
      <c r="N43" s="224"/>
      <c r="O43"/>
      <c r="P43"/>
      <c r="Q43"/>
      <c r="S43" s="224"/>
      <c r="T43" s="224"/>
      <c r="U43"/>
      <c r="V43"/>
      <c r="W43"/>
      <c r="X43"/>
      <c r="Y43" s="225"/>
      <c r="Z43" s="224"/>
      <c r="AA43" s="226"/>
      <c r="AB43" s="224"/>
      <c r="AC43" s="225"/>
      <c r="AD43" s="224"/>
      <c r="AE43" s="224"/>
      <c r="AF43" s="224"/>
      <c r="AG43"/>
      <c r="AH43"/>
      <c r="AI43">
        <v>140</v>
      </c>
      <c r="AJ43" s="194">
        <v>41785</v>
      </c>
      <c r="AK43"/>
      <c r="AL43"/>
      <c r="AM43"/>
      <c r="AN43"/>
      <c r="AO43"/>
      <c r="AP43"/>
      <c r="AQ43" s="227"/>
      <c r="AR43" s="227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>
        <v>47.2</v>
      </c>
      <c r="BT43"/>
      <c r="BU43">
        <v>19.2</v>
      </c>
      <c r="BV43"/>
      <c r="BW43" s="229"/>
      <c r="BX43"/>
      <c r="BY43"/>
      <c r="BZ43"/>
      <c r="CA43"/>
      <c r="CC43"/>
      <c r="CD43"/>
      <c r="CE43">
        <v>6.5</v>
      </c>
      <c r="CF43"/>
      <c r="CG43">
        <v>1.2</v>
      </c>
      <c r="CH43"/>
      <c r="CI43"/>
      <c r="CJ43"/>
      <c r="CK43" t="s">
        <v>8820</v>
      </c>
      <c r="CL43"/>
      <c r="CM43"/>
    </row>
    <row r="44" spans="1:91" ht="15">
      <c r="A44" s="364" t="s">
        <v>7652</v>
      </c>
      <c r="B44" t="s">
        <v>265</v>
      </c>
      <c r="C44" t="s">
        <v>413</v>
      </c>
      <c r="D44">
        <v>47</v>
      </c>
      <c r="E44" s="113">
        <v>26</v>
      </c>
      <c r="F44" s="113">
        <v>5</v>
      </c>
      <c r="I44"/>
      <c r="K44" s="224">
        <v>7</v>
      </c>
      <c r="L44" s="390">
        <v>41625</v>
      </c>
      <c r="M44"/>
      <c r="N44" s="224"/>
      <c r="O44"/>
      <c r="P44"/>
      <c r="Q44"/>
      <c r="S44" s="224"/>
      <c r="T44" s="224"/>
      <c r="U44"/>
      <c r="V44"/>
      <c r="W44"/>
      <c r="X44"/>
      <c r="Y44" s="225"/>
      <c r="Z44" s="224"/>
      <c r="AA44" s="226"/>
      <c r="AB44" s="224"/>
      <c r="AC44" s="225"/>
      <c r="AD44" s="224"/>
      <c r="AE44" s="224"/>
      <c r="AF44" s="224"/>
      <c r="AG44"/>
      <c r="AH44"/>
      <c r="AI44">
        <v>110</v>
      </c>
      <c r="AJ44" s="194">
        <v>41785</v>
      </c>
      <c r="AK44"/>
      <c r="AL44"/>
      <c r="AM44"/>
      <c r="AN44"/>
      <c r="AO44"/>
      <c r="AP44"/>
      <c r="AQ44" s="227"/>
      <c r="AR44" s="227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>
        <v>52.1</v>
      </c>
      <c r="BT44"/>
      <c r="BU44">
        <v>17.8</v>
      </c>
      <c r="BV44"/>
      <c r="BW44"/>
      <c r="BX44" s="228"/>
      <c r="BY44"/>
      <c r="BZ44"/>
      <c r="CA44"/>
      <c r="CC44"/>
      <c r="CD44"/>
      <c r="CE44">
        <v>5.7</v>
      </c>
      <c r="CF44"/>
      <c r="CG44">
        <v>0.3</v>
      </c>
      <c r="CH44"/>
      <c r="CI44"/>
      <c r="CJ44"/>
      <c r="CK44" t="s">
        <v>8820</v>
      </c>
      <c r="CL44"/>
      <c r="CM44"/>
    </row>
    <row r="45" spans="1:91" ht="15">
      <c r="A45" s="364" t="s">
        <v>7653</v>
      </c>
      <c r="B45" t="s">
        <v>265</v>
      </c>
      <c r="C45" t="s">
        <v>413</v>
      </c>
      <c r="D45" s="232">
        <v>48</v>
      </c>
      <c r="E45" s="113">
        <v>22</v>
      </c>
      <c r="F45" s="113">
        <v>1</v>
      </c>
      <c r="I45"/>
      <c r="K45" s="224">
        <v>7</v>
      </c>
      <c r="L45" s="390">
        <v>41625</v>
      </c>
      <c r="M45"/>
      <c r="N45" s="224"/>
      <c r="O45"/>
      <c r="P45"/>
      <c r="Q45"/>
      <c r="S45" s="224"/>
      <c r="T45" s="224"/>
      <c r="U45"/>
      <c r="V45"/>
      <c r="W45"/>
      <c r="X45"/>
      <c r="Y45" s="225"/>
      <c r="Z45" s="224"/>
      <c r="AA45" s="226"/>
      <c r="AB45" s="224"/>
      <c r="AC45" s="225"/>
      <c r="AD45" s="224"/>
      <c r="AE45" s="224"/>
      <c r="AF45" s="224"/>
      <c r="AG45"/>
      <c r="AH45"/>
      <c r="AI45">
        <v>125</v>
      </c>
      <c r="AJ45" s="194">
        <v>41785</v>
      </c>
      <c r="AK45"/>
      <c r="AL45"/>
      <c r="AM45"/>
      <c r="AN45"/>
      <c r="AO45"/>
      <c r="AP45"/>
      <c r="AQ45" s="227"/>
      <c r="AR45" s="227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>
        <v>50.2</v>
      </c>
      <c r="BT45"/>
      <c r="BU45">
        <v>18.100000000000001</v>
      </c>
      <c r="BV45"/>
      <c r="BW45" s="229"/>
      <c r="BX45"/>
      <c r="BY45"/>
      <c r="BZ45"/>
      <c r="CA45"/>
      <c r="CC45"/>
      <c r="CD45"/>
      <c r="CE45">
        <v>5.7</v>
      </c>
      <c r="CF45"/>
      <c r="CG45">
        <v>0.8</v>
      </c>
      <c r="CH45"/>
      <c r="CI45"/>
      <c r="CJ45"/>
      <c r="CK45" t="s">
        <v>8820</v>
      </c>
      <c r="CL45"/>
      <c r="CM45"/>
    </row>
    <row r="46" spans="1:91" ht="15">
      <c r="A46" s="364" t="s">
        <v>7654</v>
      </c>
      <c r="B46" t="s">
        <v>265</v>
      </c>
      <c r="C46" t="s">
        <v>413</v>
      </c>
      <c r="D46">
        <v>49</v>
      </c>
      <c r="E46" s="113">
        <v>27</v>
      </c>
      <c r="F46" s="113">
        <v>6</v>
      </c>
      <c r="G46" s="233"/>
      <c r="H46" s="233"/>
      <c r="I46" s="232"/>
      <c r="J46" s="234"/>
      <c r="K46" s="235">
        <v>6</v>
      </c>
      <c r="L46" s="390">
        <v>41625</v>
      </c>
      <c r="M46" s="232"/>
      <c r="N46" s="235"/>
      <c r="O46" s="232"/>
      <c r="P46" s="232"/>
      <c r="Q46" s="232"/>
      <c r="R46" s="236"/>
      <c r="S46" s="235"/>
      <c r="T46" s="235"/>
      <c r="U46" s="232"/>
      <c r="V46" s="232"/>
      <c r="W46" s="232"/>
      <c r="X46" s="232"/>
      <c r="Y46" s="237"/>
      <c r="Z46" s="235"/>
      <c r="AA46" s="238"/>
      <c r="AB46" s="235"/>
      <c r="AC46" s="237"/>
      <c r="AD46" s="235"/>
      <c r="AE46" s="235"/>
      <c r="AF46" s="235"/>
      <c r="AG46" s="232"/>
      <c r="AH46" s="232"/>
      <c r="AI46" s="232">
        <v>105</v>
      </c>
      <c r="AJ46" s="194">
        <v>41785</v>
      </c>
      <c r="AK46" s="232"/>
      <c r="AL46" s="232"/>
      <c r="AM46" s="232"/>
      <c r="AN46" s="232"/>
      <c r="AO46" s="232"/>
      <c r="AP46" s="232"/>
      <c r="AQ46" s="239"/>
      <c r="AR46" s="239"/>
      <c r="AS46" s="232"/>
      <c r="AT46" s="232"/>
      <c r="AU46" s="232"/>
      <c r="AV46" s="232"/>
      <c r="AW46" s="232"/>
      <c r="AX46" s="232"/>
      <c r="AY46" s="232"/>
      <c r="AZ46" s="232"/>
      <c r="BA46" s="232"/>
      <c r="BB46" s="232"/>
      <c r="BC46" s="232"/>
      <c r="BD46" s="232"/>
      <c r="BE46" s="232"/>
      <c r="BF46" s="232"/>
      <c r="BG46" s="232"/>
      <c r="BH46" s="232"/>
      <c r="BI46" s="232"/>
      <c r="BJ46" s="232"/>
      <c r="BK46" s="232"/>
      <c r="BL46" s="232"/>
      <c r="BM46" s="232"/>
      <c r="BN46" s="232"/>
      <c r="BO46" s="232"/>
      <c r="BP46" s="232"/>
      <c r="BQ46" s="232"/>
      <c r="BR46" s="232"/>
      <c r="BS46" s="232">
        <v>51.3</v>
      </c>
      <c r="BT46" s="232"/>
      <c r="BU46" s="232">
        <v>15.7</v>
      </c>
      <c r="BV46" s="232"/>
      <c r="BW46" s="240"/>
      <c r="BX46" s="232"/>
      <c r="BY46" s="232"/>
      <c r="BZ46" s="232"/>
      <c r="CA46" s="232"/>
      <c r="CB46" s="241"/>
      <c r="CC46" s="232"/>
      <c r="CD46" s="232"/>
      <c r="CE46" s="232">
        <v>6.6</v>
      </c>
      <c r="CF46" s="232"/>
      <c r="CG46" s="232">
        <v>0.3</v>
      </c>
      <c r="CH46" s="232"/>
      <c r="CI46" s="232"/>
      <c r="CJ46" s="232"/>
      <c r="CK46" t="s">
        <v>8820</v>
      </c>
      <c r="CL46" s="232"/>
      <c r="CM46" s="232"/>
    </row>
    <row r="47" spans="1:91" ht="15">
      <c r="A47" s="364" t="s">
        <v>7655</v>
      </c>
      <c r="B47" t="s">
        <v>265</v>
      </c>
      <c r="C47" t="s">
        <v>413</v>
      </c>
      <c r="D47">
        <v>50</v>
      </c>
      <c r="E47" s="113">
        <v>1</v>
      </c>
      <c r="F47" s="113">
        <v>5</v>
      </c>
      <c r="G47" s="233"/>
      <c r="H47" s="233"/>
      <c r="I47" s="232"/>
      <c r="J47" s="234"/>
      <c r="K47" s="235">
        <v>6</v>
      </c>
      <c r="L47" s="390">
        <v>41625</v>
      </c>
      <c r="M47" s="232"/>
      <c r="N47" s="235"/>
      <c r="O47" s="232"/>
      <c r="P47" s="232"/>
      <c r="Q47" s="232"/>
      <c r="R47" s="236"/>
      <c r="S47" s="235"/>
      <c r="T47" s="235"/>
      <c r="U47" s="232"/>
      <c r="V47" s="232"/>
      <c r="W47" s="232"/>
      <c r="X47" s="232"/>
      <c r="Y47" s="237"/>
      <c r="Z47" s="235"/>
      <c r="AA47" s="238"/>
      <c r="AB47" s="235"/>
      <c r="AC47" s="237"/>
      <c r="AD47" s="235"/>
      <c r="AE47" s="235"/>
      <c r="AF47" s="235"/>
      <c r="AG47" s="232"/>
      <c r="AH47" s="232"/>
      <c r="AI47" s="232">
        <v>170</v>
      </c>
      <c r="AJ47" s="194">
        <v>41785</v>
      </c>
      <c r="AK47" s="232"/>
      <c r="AL47" s="232"/>
      <c r="AM47" s="232"/>
      <c r="AN47" s="232"/>
      <c r="AO47" s="232"/>
      <c r="AP47" s="232"/>
      <c r="AQ47" s="239"/>
      <c r="AR47" s="239"/>
      <c r="AS47" s="232"/>
      <c r="AT47" s="232"/>
      <c r="AU47" s="232"/>
      <c r="AV47" s="232"/>
      <c r="AW47" s="232"/>
      <c r="AX47" s="232"/>
      <c r="AY47" s="232"/>
      <c r="AZ47" s="232"/>
      <c r="BA47" s="232"/>
      <c r="BB47" s="232"/>
      <c r="BC47" s="232"/>
      <c r="BD47" s="232"/>
      <c r="BE47" s="232"/>
      <c r="BF47" s="232"/>
      <c r="BG47" s="232"/>
      <c r="BH47" s="232"/>
      <c r="BI47" s="232"/>
      <c r="BJ47" s="232"/>
      <c r="BK47" s="232"/>
      <c r="BL47" s="232"/>
      <c r="BM47" s="232"/>
      <c r="BN47" s="232"/>
      <c r="BO47" s="232"/>
      <c r="BP47" s="232"/>
      <c r="BQ47" s="232"/>
      <c r="BR47" s="232"/>
      <c r="BS47" s="232">
        <v>48.9</v>
      </c>
      <c r="BT47" s="232"/>
      <c r="BU47" s="232">
        <v>20.2</v>
      </c>
      <c r="BV47" s="232"/>
      <c r="BW47" s="240"/>
      <c r="BX47" s="232"/>
      <c r="BY47" s="232"/>
      <c r="BZ47" s="232"/>
      <c r="CA47" s="232"/>
      <c r="CB47" s="241"/>
      <c r="CC47" s="232"/>
      <c r="CD47" s="232"/>
      <c r="CE47" s="232">
        <v>5.2</v>
      </c>
      <c r="CF47" s="232"/>
      <c r="CG47" s="232">
        <v>0.4</v>
      </c>
      <c r="CH47" s="232"/>
      <c r="CI47" s="232"/>
      <c r="CJ47" s="232"/>
      <c r="CK47" t="s">
        <v>8820</v>
      </c>
      <c r="CL47" s="232"/>
      <c r="CM47" s="232"/>
    </row>
    <row r="48" spans="1:91" ht="15">
      <c r="A48" s="364" t="s">
        <v>7656</v>
      </c>
      <c r="B48" t="s">
        <v>265</v>
      </c>
      <c r="C48" t="s">
        <v>413</v>
      </c>
      <c r="D48" s="232">
        <v>51</v>
      </c>
      <c r="E48" s="113">
        <v>30</v>
      </c>
      <c r="F48" s="113">
        <v>2</v>
      </c>
      <c r="G48" s="233"/>
      <c r="H48" s="233"/>
      <c r="I48" s="232"/>
      <c r="J48" s="234"/>
      <c r="K48" s="235">
        <v>6</v>
      </c>
      <c r="L48" s="390">
        <v>41625</v>
      </c>
      <c r="M48" s="232"/>
      <c r="N48" s="235"/>
      <c r="O48" s="232"/>
      <c r="P48" s="232"/>
      <c r="Q48" s="232"/>
      <c r="R48" s="236"/>
      <c r="S48" s="235"/>
      <c r="T48" s="235"/>
      <c r="U48" s="232"/>
      <c r="V48" s="232"/>
      <c r="W48" s="232"/>
      <c r="X48" s="232"/>
      <c r="Y48" s="237"/>
      <c r="Z48" s="235"/>
      <c r="AA48" s="238"/>
      <c r="AB48" s="235"/>
      <c r="AC48" s="237"/>
      <c r="AD48" s="235"/>
      <c r="AE48" s="235"/>
      <c r="AF48" s="235"/>
      <c r="AG48" s="232"/>
      <c r="AH48" s="232"/>
      <c r="AI48" s="232">
        <v>110</v>
      </c>
      <c r="AJ48" s="194">
        <v>41785</v>
      </c>
      <c r="AK48" s="232"/>
      <c r="AL48" s="232"/>
      <c r="AM48" s="232"/>
      <c r="AN48" s="232"/>
      <c r="AO48" s="232"/>
      <c r="AP48" s="232"/>
      <c r="AQ48" s="239"/>
      <c r="AR48" s="239"/>
      <c r="AS48" s="232"/>
      <c r="AT48" s="232"/>
      <c r="AU48" s="232"/>
      <c r="AV48" s="232"/>
      <c r="AW48" s="232"/>
      <c r="AX48" s="232"/>
      <c r="AY48" s="232"/>
      <c r="AZ48" s="232"/>
      <c r="BA48" s="232"/>
      <c r="BB48" s="232"/>
      <c r="BC48" s="232"/>
      <c r="BD48" s="232"/>
      <c r="BE48" s="232"/>
      <c r="BF48" s="232"/>
      <c r="BG48" s="232"/>
      <c r="BH48" s="232"/>
      <c r="BI48" s="232"/>
      <c r="BJ48" s="232"/>
      <c r="BK48" s="232"/>
      <c r="BL48" s="232"/>
      <c r="BM48" s="232"/>
      <c r="BN48" s="232"/>
      <c r="BO48" s="232"/>
      <c r="BP48" s="232"/>
      <c r="BQ48" s="232"/>
      <c r="BR48" s="232"/>
      <c r="BS48" s="232">
        <v>51.8</v>
      </c>
      <c r="BT48" s="232"/>
      <c r="BU48" s="232">
        <v>15.8</v>
      </c>
      <c r="BV48" s="232"/>
      <c r="BW48" s="232"/>
      <c r="BX48" s="243"/>
      <c r="BY48" s="232"/>
      <c r="BZ48" s="232"/>
      <c r="CA48" s="232"/>
      <c r="CB48" s="241"/>
      <c r="CC48" s="232"/>
      <c r="CD48" s="232"/>
      <c r="CE48" s="232">
        <v>5.9</v>
      </c>
      <c r="CF48" s="232"/>
      <c r="CG48" s="232">
        <v>0.1</v>
      </c>
      <c r="CH48" s="232"/>
      <c r="CI48" s="232"/>
      <c r="CJ48" s="232"/>
      <c r="CK48" t="s">
        <v>8820</v>
      </c>
      <c r="CL48" s="232"/>
      <c r="CM48" s="232"/>
    </row>
    <row r="49" spans="1:91" ht="15">
      <c r="A49" s="364" t="s">
        <v>7658</v>
      </c>
      <c r="B49" t="s">
        <v>265</v>
      </c>
      <c r="C49" t="s">
        <v>413</v>
      </c>
      <c r="D49">
        <v>53</v>
      </c>
      <c r="E49" s="113">
        <v>2</v>
      </c>
      <c r="F49" s="113">
        <v>4</v>
      </c>
      <c r="I49"/>
      <c r="K49" s="224">
        <v>6</v>
      </c>
      <c r="L49" s="390">
        <v>41625</v>
      </c>
      <c r="M49"/>
      <c r="N49" s="224"/>
      <c r="O49"/>
      <c r="P49"/>
      <c r="Q49"/>
      <c r="S49" s="224"/>
      <c r="T49" s="224"/>
      <c r="U49"/>
      <c r="V49"/>
      <c r="W49"/>
      <c r="X49"/>
      <c r="Y49" s="225"/>
      <c r="Z49" s="224"/>
      <c r="AA49" s="226"/>
      <c r="AB49" s="224"/>
      <c r="AC49" s="225"/>
      <c r="AD49" s="224"/>
      <c r="AE49" s="224"/>
      <c r="AF49" s="224"/>
      <c r="AG49"/>
      <c r="AH49"/>
      <c r="AI49">
        <v>150</v>
      </c>
      <c r="AJ49" s="194">
        <v>41785</v>
      </c>
      <c r="AK49"/>
      <c r="AL49"/>
      <c r="AM49"/>
      <c r="AN49"/>
      <c r="AO49"/>
      <c r="AP49"/>
      <c r="AQ49" s="227"/>
      <c r="AR49" s="227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>
        <v>54</v>
      </c>
      <c r="BT49"/>
      <c r="BU49">
        <v>13.7</v>
      </c>
      <c r="BV49"/>
      <c r="BW49" s="229"/>
      <c r="BX49"/>
      <c r="BY49"/>
      <c r="BZ49"/>
      <c r="CA49"/>
      <c r="CC49"/>
      <c r="CD49"/>
      <c r="CE49">
        <v>4.8</v>
      </c>
      <c r="CF49"/>
      <c r="CG49">
        <v>0.3</v>
      </c>
      <c r="CH49"/>
      <c r="CI49"/>
      <c r="CJ49"/>
      <c r="CK49" t="s">
        <v>8820</v>
      </c>
      <c r="CL49"/>
      <c r="CM49"/>
    </row>
    <row r="50" spans="1:91" ht="15">
      <c r="A50" s="364" t="s">
        <v>7659</v>
      </c>
      <c r="B50" t="s">
        <v>265</v>
      </c>
      <c r="C50" t="s">
        <v>413</v>
      </c>
      <c r="D50">
        <v>54</v>
      </c>
      <c r="E50" s="113">
        <v>28</v>
      </c>
      <c r="F50" s="113">
        <v>5</v>
      </c>
      <c r="G50" s="233"/>
      <c r="H50" s="233"/>
      <c r="I50" s="232"/>
      <c r="J50" s="234"/>
      <c r="K50" s="235">
        <v>6</v>
      </c>
      <c r="L50" s="390">
        <v>41625</v>
      </c>
      <c r="M50" s="232"/>
      <c r="N50" s="235"/>
      <c r="O50" s="232"/>
      <c r="P50" s="232"/>
      <c r="Q50" s="232"/>
      <c r="R50" s="236"/>
      <c r="S50" s="235"/>
      <c r="T50" s="235"/>
      <c r="U50" s="232"/>
      <c r="V50" s="232"/>
      <c r="W50" s="232"/>
      <c r="X50" s="232"/>
      <c r="Y50" s="237"/>
      <c r="Z50" s="235"/>
      <c r="AA50" s="238"/>
      <c r="AB50" s="235"/>
      <c r="AC50" s="237"/>
      <c r="AD50" s="235"/>
      <c r="AE50" s="235"/>
      <c r="AF50" s="235"/>
      <c r="AG50" s="232"/>
      <c r="AH50" s="232"/>
      <c r="AI50" s="232">
        <v>140</v>
      </c>
      <c r="AJ50" s="194">
        <v>41785</v>
      </c>
      <c r="AK50" s="232"/>
      <c r="AL50" s="232"/>
      <c r="AM50" s="232"/>
      <c r="AN50" s="232"/>
      <c r="AO50" s="232"/>
      <c r="AP50" s="232"/>
      <c r="AQ50" s="239"/>
      <c r="AR50" s="239"/>
      <c r="AS50" s="232"/>
      <c r="AT50" s="232"/>
      <c r="AU50" s="232"/>
      <c r="AV50" s="232"/>
      <c r="AW50" s="232"/>
      <c r="AX50" s="232"/>
      <c r="AY50" s="232"/>
      <c r="AZ50" s="232"/>
      <c r="BA50" s="232"/>
      <c r="BB50" s="232"/>
      <c r="BC50" s="232"/>
      <c r="BD50" s="232"/>
      <c r="BE50" s="232"/>
      <c r="BF50" s="232"/>
      <c r="BG50" s="232"/>
      <c r="BH50" s="232"/>
      <c r="BI50" s="232"/>
      <c r="BJ50" s="232"/>
      <c r="BK50" s="232"/>
      <c r="BL50" s="232"/>
      <c r="BM50" s="232"/>
      <c r="BN50" s="232"/>
      <c r="BO50" s="232"/>
      <c r="BP50" s="232"/>
      <c r="BQ50" s="232"/>
      <c r="BR50" s="232"/>
      <c r="BS50" s="232">
        <v>53.2</v>
      </c>
      <c r="BT50" s="232"/>
      <c r="BU50" s="232">
        <v>15.5</v>
      </c>
      <c r="BV50" s="232"/>
      <c r="BW50" s="240"/>
      <c r="BX50" s="232"/>
      <c r="BY50" s="232"/>
      <c r="BZ50" s="232"/>
      <c r="CA50" s="232"/>
      <c r="CB50" s="241"/>
      <c r="CC50" s="232"/>
      <c r="CD50" s="232"/>
      <c r="CE50" s="232">
        <v>5.8</v>
      </c>
      <c r="CF50" s="232"/>
      <c r="CG50" s="232">
        <v>0.3</v>
      </c>
      <c r="CH50" s="232"/>
      <c r="CI50" s="232"/>
      <c r="CJ50" s="232"/>
      <c r="CK50" t="s">
        <v>8820</v>
      </c>
      <c r="CL50" s="232"/>
      <c r="CM50" s="232"/>
    </row>
    <row r="51" spans="1:91" ht="15">
      <c r="A51" s="364" t="s">
        <v>7660</v>
      </c>
      <c r="B51" t="s">
        <v>265</v>
      </c>
      <c r="C51" t="s">
        <v>413</v>
      </c>
      <c r="D51">
        <v>55</v>
      </c>
      <c r="E51" s="113">
        <v>9</v>
      </c>
      <c r="F51" s="113">
        <v>5</v>
      </c>
      <c r="I51"/>
      <c r="K51" s="224">
        <v>7</v>
      </c>
      <c r="L51" s="390">
        <v>41625</v>
      </c>
      <c r="M51"/>
      <c r="N51" s="224"/>
      <c r="O51"/>
      <c r="P51"/>
      <c r="Q51"/>
      <c r="S51" s="224"/>
      <c r="T51" s="224"/>
      <c r="U51"/>
      <c r="V51"/>
      <c r="W51"/>
      <c r="X51"/>
      <c r="Y51" s="225"/>
      <c r="Z51" s="224"/>
      <c r="AA51" s="226"/>
      <c r="AB51" s="224"/>
      <c r="AC51" s="225"/>
      <c r="AD51" s="224"/>
      <c r="AE51" s="224"/>
      <c r="AF51" s="224"/>
      <c r="AG51"/>
      <c r="AH51"/>
      <c r="AI51">
        <v>135</v>
      </c>
      <c r="AJ51" s="194">
        <v>41785</v>
      </c>
      <c r="AK51"/>
      <c r="AL51"/>
      <c r="AM51"/>
      <c r="AN51"/>
      <c r="AO51"/>
      <c r="AP51"/>
      <c r="AQ51" s="227"/>
      <c r="AR51" s="227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>
        <v>51.6</v>
      </c>
      <c r="BT51"/>
      <c r="BU51">
        <v>15.9</v>
      </c>
      <c r="BV51"/>
      <c r="BW51"/>
      <c r="BX51" s="228"/>
      <c r="BY51"/>
      <c r="BZ51"/>
      <c r="CA51"/>
      <c r="CC51"/>
      <c r="CD51"/>
      <c r="CE51">
        <v>5.4</v>
      </c>
      <c r="CF51"/>
      <c r="CG51">
        <v>0.3</v>
      </c>
      <c r="CH51"/>
      <c r="CI51"/>
      <c r="CJ51"/>
      <c r="CK51" t="s">
        <v>8820</v>
      </c>
      <c r="CL51"/>
      <c r="CM51"/>
    </row>
    <row r="52" spans="1:91" ht="15">
      <c r="A52" s="364" t="s">
        <v>7661</v>
      </c>
      <c r="B52" t="s">
        <v>265</v>
      </c>
      <c r="C52" t="s">
        <v>413</v>
      </c>
      <c r="D52">
        <v>56</v>
      </c>
      <c r="E52" s="113">
        <v>7</v>
      </c>
      <c r="F52" s="113">
        <v>1</v>
      </c>
      <c r="I52"/>
      <c r="K52" s="224">
        <v>7</v>
      </c>
      <c r="L52" s="390">
        <v>41625</v>
      </c>
      <c r="M52"/>
      <c r="N52" s="224"/>
      <c r="O52"/>
      <c r="P52"/>
      <c r="Q52"/>
      <c r="S52" s="224"/>
      <c r="T52" s="224"/>
      <c r="U52"/>
      <c r="V52"/>
      <c r="W52"/>
      <c r="X52"/>
      <c r="Y52" s="225"/>
      <c r="Z52" s="224"/>
      <c r="AA52" s="226"/>
      <c r="AB52" s="224"/>
      <c r="AC52" s="225"/>
      <c r="AD52" s="224"/>
      <c r="AE52" s="224"/>
      <c r="AF52" s="224"/>
      <c r="AG52"/>
      <c r="AH52"/>
      <c r="AI52">
        <v>150</v>
      </c>
      <c r="AJ52" s="194">
        <v>41785</v>
      </c>
      <c r="AK52"/>
      <c r="AL52"/>
      <c r="AM52"/>
      <c r="AN52"/>
      <c r="AO52"/>
      <c r="AP52"/>
      <c r="AQ52" s="227"/>
      <c r="AR52" s="227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>
        <v>53.1</v>
      </c>
      <c r="BT52"/>
      <c r="BU52">
        <v>15.8</v>
      </c>
      <c r="BV52"/>
      <c r="BW52"/>
      <c r="BX52" s="228"/>
      <c r="BY52"/>
      <c r="BZ52"/>
      <c r="CA52"/>
      <c r="CC52"/>
      <c r="CD52"/>
      <c r="CE52">
        <v>5.6</v>
      </c>
      <c r="CF52"/>
      <c r="CG52">
        <v>0.3</v>
      </c>
      <c r="CH52"/>
      <c r="CI52"/>
      <c r="CJ52"/>
      <c r="CK52" t="s">
        <v>8820</v>
      </c>
      <c r="CL52"/>
      <c r="CM52"/>
    </row>
    <row r="53" spans="1:91" ht="15">
      <c r="A53" s="364" t="s">
        <v>7662</v>
      </c>
      <c r="B53" t="s">
        <v>265</v>
      </c>
      <c r="C53" t="s">
        <v>413</v>
      </c>
      <c r="D53" s="232">
        <v>57</v>
      </c>
      <c r="E53" s="113">
        <v>23</v>
      </c>
      <c r="F53" s="113">
        <v>6</v>
      </c>
      <c r="I53"/>
      <c r="K53" s="224">
        <v>5</v>
      </c>
      <c r="L53" s="390">
        <v>41625</v>
      </c>
      <c r="M53"/>
      <c r="N53" s="224"/>
      <c r="O53"/>
      <c r="P53"/>
      <c r="Q53"/>
      <c r="S53" s="224"/>
      <c r="T53" s="224"/>
      <c r="U53"/>
      <c r="V53"/>
      <c r="W53"/>
      <c r="X53"/>
      <c r="Y53" s="225"/>
      <c r="Z53" s="224"/>
      <c r="AA53" s="226"/>
      <c r="AB53" s="224"/>
      <c r="AC53" s="225"/>
      <c r="AD53" s="224"/>
      <c r="AE53" s="224"/>
      <c r="AF53" s="224"/>
      <c r="AG53"/>
      <c r="AH53"/>
      <c r="AI53">
        <v>120</v>
      </c>
      <c r="AJ53" s="194">
        <v>41785</v>
      </c>
      <c r="AK53"/>
      <c r="AL53"/>
      <c r="AM53"/>
      <c r="AN53"/>
      <c r="AO53"/>
      <c r="AP53"/>
      <c r="AQ53" s="227"/>
      <c r="AR53" s="227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>
        <v>52.4</v>
      </c>
      <c r="BT53"/>
      <c r="BU53">
        <v>15.6</v>
      </c>
      <c r="BV53"/>
      <c r="BW53" s="229"/>
      <c r="BX53"/>
      <c r="BY53"/>
      <c r="BZ53"/>
      <c r="CA53"/>
      <c r="CC53"/>
      <c r="CD53"/>
      <c r="CE53">
        <v>5.2</v>
      </c>
      <c r="CF53"/>
      <c r="CG53">
        <v>0.4</v>
      </c>
      <c r="CH53"/>
      <c r="CI53"/>
      <c r="CJ53"/>
      <c r="CK53" t="s">
        <v>8820</v>
      </c>
      <c r="CL53"/>
      <c r="CM53"/>
    </row>
    <row r="54" spans="1:91" ht="15">
      <c r="A54" s="364" t="s">
        <v>7663</v>
      </c>
      <c r="B54" t="s">
        <v>265</v>
      </c>
      <c r="C54" t="s">
        <v>413</v>
      </c>
      <c r="D54">
        <v>58</v>
      </c>
      <c r="E54" s="113">
        <v>30</v>
      </c>
      <c r="F54" s="113">
        <v>6</v>
      </c>
      <c r="I54"/>
      <c r="K54" s="224">
        <v>6</v>
      </c>
      <c r="L54" s="390">
        <v>41625</v>
      </c>
      <c r="M54"/>
      <c r="N54" s="224"/>
      <c r="O54"/>
      <c r="P54"/>
      <c r="Q54"/>
      <c r="S54" s="224"/>
      <c r="T54" s="224"/>
      <c r="U54"/>
      <c r="V54"/>
      <c r="W54"/>
      <c r="X54"/>
      <c r="Y54" s="225"/>
      <c r="Z54" s="224"/>
      <c r="AA54" s="226"/>
      <c r="AB54" s="224"/>
      <c r="AC54" s="225"/>
      <c r="AD54" s="224"/>
      <c r="AE54" s="224"/>
      <c r="AF54" s="224"/>
      <c r="AG54"/>
      <c r="AH54"/>
      <c r="AI54">
        <v>120</v>
      </c>
      <c r="AJ54" s="194">
        <v>41785</v>
      </c>
      <c r="AK54"/>
      <c r="AL54"/>
      <c r="AM54"/>
      <c r="AN54"/>
      <c r="AO54"/>
      <c r="AP54"/>
      <c r="AQ54" s="227"/>
      <c r="AR54" s="227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>
        <v>51.4</v>
      </c>
      <c r="BT54"/>
      <c r="BU54">
        <v>16.5</v>
      </c>
      <c r="BV54"/>
      <c r="BW54"/>
      <c r="BX54" s="228"/>
      <c r="BY54"/>
      <c r="BZ54"/>
      <c r="CA54"/>
      <c r="CC54"/>
      <c r="CD54"/>
      <c r="CE54">
        <v>6.4</v>
      </c>
      <c r="CF54"/>
      <c r="CG54">
        <v>0.3</v>
      </c>
      <c r="CH54"/>
      <c r="CI54"/>
      <c r="CJ54"/>
      <c r="CK54" t="s">
        <v>8820</v>
      </c>
      <c r="CL54"/>
      <c r="CM54"/>
    </row>
    <row r="55" spans="1:91" ht="15">
      <c r="A55" s="364" t="s">
        <v>7664</v>
      </c>
      <c r="B55" t="s">
        <v>265</v>
      </c>
      <c r="C55" t="s">
        <v>413</v>
      </c>
      <c r="D55" s="232">
        <v>59</v>
      </c>
      <c r="E55" s="113">
        <v>13</v>
      </c>
      <c r="F55" s="113">
        <v>5</v>
      </c>
      <c r="I55"/>
      <c r="K55" s="224">
        <v>7</v>
      </c>
      <c r="L55" s="390">
        <v>41625</v>
      </c>
      <c r="M55"/>
      <c r="N55" s="224"/>
      <c r="O55"/>
      <c r="P55"/>
      <c r="Q55"/>
      <c r="S55" s="224"/>
      <c r="T55" s="224"/>
      <c r="U55"/>
      <c r="V55"/>
      <c r="W55"/>
      <c r="X55"/>
      <c r="Y55" s="225"/>
      <c r="Z55" s="224"/>
      <c r="AA55" s="226"/>
      <c r="AB55" s="224"/>
      <c r="AC55" s="225"/>
      <c r="AD55" s="224"/>
      <c r="AE55" s="224"/>
      <c r="AF55" s="224"/>
      <c r="AG55"/>
      <c r="AH55"/>
      <c r="AI55">
        <v>155</v>
      </c>
      <c r="AJ55" s="194">
        <v>41785</v>
      </c>
      <c r="AK55"/>
      <c r="AL55"/>
      <c r="AM55"/>
      <c r="AN55"/>
      <c r="AO55"/>
      <c r="AP55"/>
      <c r="AQ55" s="227"/>
      <c r="AR55" s="227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>
        <v>54</v>
      </c>
      <c r="BT55"/>
      <c r="BU55">
        <v>15</v>
      </c>
      <c r="BV55"/>
      <c r="BW55"/>
      <c r="BX55" s="228"/>
      <c r="BY55"/>
      <c r="BZ55"/>
      <c r="CA55"/>
      <c r="CC55"/>
      <c r="CD55"/>
      <c r="CE55">
        <v>8.1</v>
      </c>
      <c r="CF55"/>
      <c r="CG55">
        <v>0.3</v>
      </c>
      <c r="CH55"/>
      <c r="CI55"/>
      <c r="CJ55"/>
      <c r="CK55" t="s">
        <v>8820</v>
      </c>
      <c r="CL55"/>
      <c r="CM55"/>
    </row>
    <row r="56" spans="1:91" ht="15">
      <c r="A56" s="364" t="s">
        <v>7665</v>
      </c>
      <c r="B56" t="s">
        <v>265</v>
      </c>
      <c r="C56" t="s">
        <v>413</v>
      </c>
      <c r="D56">
        <v>60</v>
      </c>
      <c r="E56" s="113">
        <v>24</v>
      </c>
      <c r="F56" s="113">
        <v>3</v>
      </c>
      <c r="I56"/>
      <c r="K56" s="224">
        <v>7</v>
      </c>
      <c r="L56" s="390">
        <v>41625</v>
      </c>
      <c r="M56"/>
      <c r="N56" s="224"/>
      <c r="O56"/>
      <c r="P56"/>
      <c r="Q56"/>
      <c r="S56" s="224"/>
      <c r="T56" s="224"/>
      <c r="U56"/>
      <c r="V56"/>
      <c r="W56"/>
      <c r="X56"/>
      <c r="Y56" s="225"/>
      <c r="Z56" s="224"/>
      <c r="AA56" s="226"/>
      <c r="AB56" s="224"/>
      <c r="AC56" s="225"/>
      <c r="AD56" s="224"/>
      <c r="AE56" s="224"/>
      <c r="AF56" s="224"/>
      <c r="AG56"/>
      <c r="AH56"/>
      <c r="AI56">
        <v>130</v>
      </c>
      <c r="AJ56" s="194">
        <v>41785</v>
      </c>
      <c r="AK56"/>
      <c r="AL56"/>
      <c r="AM56"/>
      <c r="AN56"/>
      <c r="AO56"/>
      <c r="AP56"/>
      <c r="AQ56" s="227"/>
      <c r="AR56" s="227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>
        <v>53.5</v>
      </c>
      <c r="BT56"/>
      <c r="BU56">
        <v>15.4</v>
      </c>
      <c r="BV56"/>
      <c r="BW56"/>
      <c r="BX56" s="228"/>
      <c r="BY56"/>
      <c r="BZ56"/>
      <c r="CA56"/>
      <c r="CC56"/>
      <c r="CD56"/>
      <c r="CE56">
        <v>5.9</v>
      </c>
      <c r="CF56"/>
      <c r="CG56">
        <v>1.2</v>
      </c>
      <c r="CH56"/>
      <c r="CI56"/>
      <c r="CJ56"/>
      <c r="CK56" t="s">
        <v>8820</v>
      </c>
      <c r="CL56"/>
      <c r="CM56"/>
    </row>
    <row r="57" spans="1:91" ht="15">
      <c r="A57" s="364" t="s">
        <v>7666</v>
      </c>
      <c r="B57" t="s">
        <v>265</v>
      </c>
      <c r="C57" t="s">
        <v>413</v>
      </c>
      <c r="D57">
        <v>61</v>
      </c>
      <c r="E57" s="113">
        <v>3</v>
      </c>
      <c r="F57" s="113">
        <v>4</v>
      </c>
      <c r="I57"/>
      <c r="K57" s="224">
        <v>6</v>
      </c>
      <c r="L57" s="390">
        <v>41625</v>
      </c>
      <c r="M57"/>
      <c r="N57" s="224"/>
      <c r="O57"/>
      <c r="P57"/>
      <c r="Q57"/>
      <c r="S57" s="224"/>
      <c r="T57" s="224"/>
      <c r="U57"/>
      <c r="V57"/>
      <c r="W57"/>
      <c r="X57"/>
      <c r="Y57" s="225"/>
      <c r="Z57" s="224"/>
      <c r="AA57" s="226"/>
      <c r="AB57" s="224"/>
      <c r="AC57" s="225"/>
      <c r="AD57" s="224"/>
      <c r="AE57" s="224"/>
      <c r="AF57" s="224"/>
      <c r="AG57"/>
      <c r="AH57"/>
      <c r="AI57">
        <v>135</v>
      </c>
      <c r="AJ57" s="194">
        <v>41785</v>
      </c>
      <c r="AK57"/>
      <c r="AL57"/>
      <c r="AM57"/>
      <c r="AN57"/>
      <c r="AO57"/>
      <c r="AP57"/>
      <c r="AQ57" s="227"/>
      <c r="AR57" s="22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>
        <v>52.9</v>
      </c>
      <c r="BT57"/>
      <c r="BU57">
        <v>15.3</v>
      </c>
      <c r="BV57"/>
      <c r="BW57"/>
      <c r="BX57" s="228"/>
      <c r="BY57"/>
      <c r="BZ57"/>
      <c r="CA57"/>
      <c r="CC57"/>
      <c r="CD57"/>
      <c r="CE57">
        <v>4.9000000000000004</v>
      </c>
      <c r="CF57"/>
      <c r="CG57">
        <v>0.4</v>
      </c>
      <c r="CH57"/>
      <c r="CI57"/>
      <c r="CJ57"/>
      <c r="CK57" t="s">
        <v>8820</v>
      </c>
      <c r="CL57"/>
      <c r="CM57"/>
    </row>
    <row r="58" spans="1:91" ht="15">
      <c r="A58" s="364" t="s">
        <v>7667</v>
      </c>
      <c r="B58" t="s">
        <v>265</v>
      </c>
      <c r="C58" t="s">
        <v>413</v>
      </c>
      <c r="D58">
        <v>62</v>
      </c>
      <c r="E58" s="113">
        <v>22</v>
      </c>
      <c r="F58" s="113">
        <v>4</v>
      </c>
      <c r="I58"/>
      <c r="K58" s="224">
        <v>6</v>
      </c>
      <c r="L58" s="390">
        <v>41625</v>
      </c>
      <c r="M58"/>
      <c r="N58" s="224"/>
      <c r="O58"/>
      <c r="P58"/>
      <c r="Q58"/>
      <c r="S58" s="224"/>
      <c r="T58" s="224"/>
      <c r="U58"/>
      <c r="V58"/>
      <c r="W58"/>
      <c r="X58"/>
      <c r="Y58" s="225"/>
      <c r="Z58" s="224"/>
      <c r="AA58" s="226"/>
      <c r="AB58" s="224"/>
      <c r="AC58" s="225"/>
      <c r="AD58" s="224"/>
      <c r="AE58" s="224"/>
      <c r="AF58" s="224"/>
      <c r="AG58"/>
      <c r="AH58"/>
      <c r="AI58">
        <v>115</v>
      </c>
      <c r="AJ58" s="194">
        <v>41785</v>
      </c>
      <c r="AK58"/>
      <c r="AL58"/>
      <c r="AM58"/>
      <c r="AN58"/>
      <c r="AO58"/>
      <c r="AP58"/>
      <c r="AQ58" s="227"/>
      <c r="AR58" s="227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>
        <v>50.3</v>
      </c>
      <c r="BT58"/>
      <c r="BU58">
        <v>18.3</v>
      </c>
      <c r="BV58"/>
      <c r="BW58" s="229"/>
      <c r="BX58"/>
      <c r="BY58"/>
      <c r="BZ58"/>
      <c r="CA58"/>
      <c r="CC58"/>
      <c r="CD58"/>
      <c r="CE58">
        <v>6.3</v>
      </c>
      <c r="CF58"/>
      <c r="CG58">
        <v>0.4</v>
      </c>
      <c r="CH58"/>
      <c r="CI58"/>
      <c r="CJ58"/>
      <c r="CK58" t="s">
        <v>8820</v>
      </c>
      <c r="CL58"/>
      <c r="CM58"/>
    </row>
    <row r="59" spans="1:91" ht="15">
      <c r="A59" s="364" t="s">
        <v>7668</v>
      </c>
      <c r="B59" t="s">
        <v>265</v>
      </c>
      <c r="C59" t="s">
        <v>413</v>
      </c>
      <c r="D59">
        <v>63</v>
      </c>
      <c r="E59" s="113">
        <v>11</v>
      </c>
      <c r="F59" s="113">
        <v>2</v>
      </c>
      <c r="I59"/>
      <c r="K59" s="224">
        <v>6</v>
      </c>
      <c r="L59" s="390">
        <v>41625</v>
      </c>
      <c r="M59"/>
      <c r="N59" s="224"/>
      <c r="O59"/>
      <c r="P59"/>
      <c r="Q59"/>
      <c r="S59" s="224"/>
      <c r="T59" s="224"/>
      <c r="U59"/>
      <c r="V59"/>
      <c r="W59"/>
      <c r="X59"/>
      <c r="Y59" s="225"/>
      <c r="Z59" s="224"/>
      <c r="AA59" s="226"/>
      <c r="AB59" s="224"/>
      <c r="AC59" s="225"/>
      <c r="AD59" s="224"/>
      <c r="AE59" s="224"/>
      <c r="AF59" s="224"/>
      <c r="AG59"/>
      <c r="AH59"/>
      <c r="AI59">
        <v>150</v>
      </c>
      <c r="AJ59" s="194">
        <v>41785</v>
      </c>
      <c r="AK59"/>
      <c r="AL59"/>
      <c r="AM59"/>
      <c r="AN59"/>
      <c r="AO59"/>
      <c r="AP59"/>
      <c r="AQ59" s="227"/>
      <c r="AR59" s="227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>
        <v>52.4</v>
      </c>
      <c r="BT59"/>
      <c r="BU59">
        <v>16.2</v>
      </c>
      <c r="BV59"/>
      <c r="BW59"/>
      <c r="BX59" s="228"/>
      <c r="BY59"/>
      <c r="BZ59"/>
      <c r="CA59"/>
      <c r="CC59"/>
      <c r="CD59"/>
      <c r="CE59">
        <v>5.8</v>
      </c>
      <c r="CF59"/>
      <c r="CG59">
        <v>0.4</v>
      </c>
      <c r="CH59"/>
      <c r="CI59"/>
      <c r="CJ59"/>
      <c r="CK59" t="s">
        <v>8820</v>
      </c>
      <c r="CL59"/>
      <c r="CM59"/>
    </row>
    <row r="60" spans="1:91" ht="15">
      <c r="A60" s="364" t="s">
        <v>7669</v>
      </c>
      <c r="B60" t="s">
        <v>265</v>
      </c>
      <c r="C60" t="s">
        <v>413</v>
      </c>
      <c r="D60">
        <v>64</v>
      </c>
      <c r="E60" s="113">
        <v>19</v>
      </c>
      <c r="F60" s="113">
        <v>6</v>
      </c>
      <c r="I60"/>
      <c r="K60" s="224">
        <v>5</v>
      </c>
      <c r="L60" s="390">
        <v>41625</v>
      </c>
      <c r="M60"/>
      <c r="N60" s="224"/>
      <c r="O60"/>
      <c r="P60"/>
      <c r="Q60"/>
      <c r="S60" s="224"/>
      <c r="T60" s="224"/>
      <c r="U60"/>
      <c r="V60"/>
      <c r="W60"/>
      <c r="X60"/>
      <c r="Y60" s="225"/>
      <c r="Z60" s="224"/>
      <c r="AA60" s="226"/>
      <c r="AB60" s="224"/>
      <c r="AC60" s="225"/>
      <c r="AD60" s="224"/>
      <c r="AE60" s="224"/>
      <c r="AF60" s="224"/>
      <c r="AG60"/>
      <c r="AH60"/>
      <c r="AI60">
        <v>140</v>
      </c>
      <c r="AJ60" s="194">
        <v>41785</v>
      </c>
      <c r="AK60"/>
      <c r="AL60"/>
      <c r="AM60"/>
      <c r="AN60"/>
      <c r="AO60"/>
      <c r="AP60"/>
      <c r="AQ60" s="227"/>
      <c r="AR60" s="227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>
        <v>52.3</v>
      </c>
      <c r="BT60"/>
      <c r="BU60">
        <v>15.8</v>
      </c>
      <c r="BV60"/>
      <c r="BW60" s="229"/>
      <c r="BX60"/>
      <c r="BY60"/>
      <c r="BZ60"/>
      <c r="CA60"/>
      <c r="CC60"/>
      <c r="CD60"/>
      <c r="CE60">
        <v>5.8</v>
      </c>
      <c r="CF60"/>
      <c r="CG60">
        <v>0.4</v>
      </c>
      <c r="CH60"/>
      <c r="CI60"/>
      <c r="CJ60"/>
      <c r="CK60" t="s">
        <v>8820</v>
      </c>
      <c r="CL60"/>
      <c r="CM60"/>
    </row>
    <row r="61" spans="1:91" ht="15">
      <c r="A61" s="364" t="s">
        <v>7670</v>
      </c>
      <c r="B61" t="s">
        <v>265</v>
      </c>
      <c r="C61" t="s">
        <v>413</v>
      </c>
      <c r="D61" s="232">
        <v>65</v>
      </c>
      <c r="E61" s="113">
        <v>14</v>
      </c>
      <c r="F61" s="113">
        <v>2</v>
      </c>
      <c r="I61"/>
      <c r="K61" s="224">
        <v>7</v>
      </c>
      <c r="L61" s="390">
        <v>41625</v>
      </c>
      <c r="M61"/>
      <c r="N61" s="224"/>
      <c r="O61"/>
      <c r="P61"/>
      <c r="Q61"/>
      <c r="S61" s="224"/>
      <c r="T61" s="224"/>
      <c r="U61"/>
      <c r="V61"/>
      <c r="W61"/>
      <c r="X61"/>
      <c r="Y61" s="225"/>
      <c r="Z61" s="224"/>
      <c r="AA61" s="226"/>
      <c r="AB61" s="224"/>
      <c r="AC61" s="225"/>
      <c r="AD61" s="224"/>
      <c r="AE61" s="224"/>
      <c r="AF61" s="224"/>
      <c r="AG61"/>
      <c r="AH61"/>
      <c r="AI61">
        <v>130</v>
      </c>
      <c r="AJ61" s="194">
        <v>41785</v>
      </c>
      <c r="AK61"/>
      <c r="AL61"/>
      <c r="AM61"/>
      <c r="AN61"/>
      <c r="AO61"/>
      <c r="AP61"/>
      <c r="AQ61" s="227"/>
      <c r="AR61" s="227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>
        <v>53.4</v>
      </c>
      <c r="BT61"/>
      <c r="BU61">
        <v>15.9</v>
      </c>
      <c r="BV61"/>
      <c r="BW61" s="229"/>
      <c r="BX61"/>
      <c r="BY61"/>
      <c r="BZ61"/>
      <c r="CA61"/>
      <c r="CC61"/>
      <c r="CD61"/>
      <c r="CE61">
        <v>7.8</v>
      </c>
      <c r="CF61"/>
      <c r="CG61">
        <v>0.7</v>
      </c>
      <c r="CH61"/>
      <c r="CI61"/>
      <c r="CJ61"/>
      <c r="CK61" t="s">
        <v>8820</v>
      </c>
      <c r="CL61"/>
      <c r="CM61"/>
    </row>
    <row r="62" spans="1:91" ht="15">
      <c r="A62" s="364" t="s">
        <v>7671</v>
      </c>
      <c r="B62" t="s">
        <v>265</v>
      </c>
      <c r="C62" t="s">
        <v>413</v>
      </c>
      <c r="D62">
        <v>66</v>
      </c>
      <c r="E62" s="113">
        <v>23</v>
      </c>
      <c r="F62" s="113">
        <v>3</v>
      </c>
      <c r="G62" s="233"/>
      <c r="H62" s="233"/>
      <c r="I62" s="232"/>
      <c r="J62" s="234"/>
      <c r="K62" s="235">
        <v>7</v>
      </c>
      <c r="L62" s="390">
        <v>41625</v>
      </c>
      <c r="M62" s="232"/>
      <c r="N62" s="235"/>
      <c r="O62" s="232"/>
      <c r="P62" s="232"/>
      <c r="Q62" s="232"/>
      <c r="R62" s="236"/>
      <c r="S62" s="235"/>
      <c r="T62" s="235"/>
      <c r="U62" s="232"/>
      <c r="V62" s="232"/>
      <c r="W62" s="232"/>
      <c r="X62" s="232"/>
      <c r="Y62" s="237"/>
      <c r="Z62" s="235"/>
      <c r="AA62" s="238"/>
      <c r="AB62" s="235"/>
      <c r="AC62" s="237"/>
      <c r="AD62" s="235"/>
      <c r="AE62" s="235"/>
      <c r="AF62" s="235"/>
      <c r="AG62" s="232"/>
      <c r="AH62" s="232"/>
      <c r="AI62" s="232">
        <v>120</v>
      </c>
      <c r="AJ62" s="194">
        <v>41785</v>
      </c>
      <c r="AK62" s="232"/>
      <c r="AL62" s="232"/>
      <c r="AM62" s="232"/>
      <c r="AN62" s="232"/>
      <c r="AO62" s="232"/>
      <c r="AP62" s="232"/>
      <c r="AQ62" s="239"/>
      <c r="AR62" s="239"/>
      <c r="AS62" s="232"/>
      <c r="AT62" s="232"/>
      <c r="AU62" s="232"/>
      <c r="AV62" s="232"/>
      <c r="AW62" s="232"/>
      <c r="AX62" s="232"/>
      <c r="AY62" s="232"/>
      <c r="AZ62" s="232"/>
      <c r="BA62" s="232"/>
      <c r="BB62" s="232"/>
      <c r="BC62" s="232"/>
      <c r="BD62" s="232"/>
      <c r="BE62" s="232"/>
      <c r="BF62" s="232"/>
      <c r="BG62" s="232"/>
      <c r="BH62" s="232"/>
      <c r="BI62" s="232"/>
      <c r="BJ62" s="232"/>
      <c r="BK62" s="232"/>
      <c r="BL62" s="232"/>
      <c r="BM62" s="232"/>
      <c r="BN62" s="232"/>
      <c r="BO62" s="232"/>
      <c r="BP62" s="232"/>
      <c r="BQ62" s="232"/>
      <c r="BR62" s="232"/>
      <c r="BS62" s="232">
        <v>52.8</v>
      </c>
      <c r="BT62" s="232"/>
      <c r="BU62" s="232">
        <v>16.100000000000001</v>
      </c>
      <c r="BV62" s="232"/>
      <c r="BW62" s="240"/>
      <c r="BX62" s="232"/>
      <c r="BY62" s="232"/>
      <c r="BZ62" s="232"/>
      <c r="CA62" s="232"/>
      <c r="CB62" s="241"/>
      <c r="CC62" s="232"/>
      <c r="CD62" s="232"/>
      <c r="CE62" s="232">
        <v>6</v>
      </c>
      <c r="CF62" s="232"/>
      <c r="CG62" s="232">
        <v>0.4</v>
      </c>
      <c r="CH62" s="232"/>
      <c r="CI62" s="232"/>
      <c r="CJ62" s="232"/>
      <c r="CK62" t="s">
        <v>8820</v>
      </c>
      <c r="CL62" s="232"/>
      <c r="CM62" s="232"/>
    </row>
    <row r="63" spans="1:91" ht="15">
      <c r="A63" s="364" t="s">
        <v>7672</v>
      </c>
      <c r="B63" t="s">
        <v>265</v>
      </c>
      <c r="C63" t="s">
        <v>413</v>
      </c>
      <c r="D63">
        <v>67</v>
      </c>
      <c r="E63" s="113">
        <v>29</v>
      </c>
      <c r="F63" s="113">
        <v>5</v>
      </c>
      <c r="I63"/>
      <c r="K63" s="224">
        <v>6</v>
      </c>
      <c r="L63" s="390">
        <v>41625</v>
      </c>
      <c r="M63"/>
      <c r="N63" s="224"/>
      <c r="O63"/>
      <c r="P63"/>
      <c r="Q63"/>
      <c r="S63" s="224"/>
      <c r="T63" s="224"/>
      <c r="U63"/>
      <c r="V63"/>
      <c r="W63"/>
      <c r="X63"/>
      <c r="Y63" s="225"/>
      <c r="Z63" s="224"/>
      <c r="AA63" s="226"/>
      <c r="AB63" s="224"/>
      <c r="AC63" s="225"/>
      <c r="AD63" s="224"/>
      <c r="AE63" s="224"/>
      <c r="AF63" s="224"/>
      <c r="AG63"/>
      <c r="AH63"/>
      <c r="AI63">
        <v>130</v>
      </c>
      <c r="AJ63" s="194">
        <v>41785</v>
      </c>
      <c r="AK63"/>
      <c r="AL63"/>
      <c r="AM63"/>
      <c r="AN63"/>
      <c r="AO63"/>
      <c r="AP63"/>
      <c r="AQ63" s="227"/>
      <c r="AR63" s="227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>
        <v>53.3</v>
      </c>
      <c r="BT63"/>
      <c r="BU63">
        <v>16.3</v>
      </c>
      <c r="BV63"/>
      <c r="BW63" s="229"/>
      <c r="BX63"/>
      <c r="BY63"/>
      <c r="BZ63"/>
      <c r="CA63"/>
      <c r="CC63"/>
      <c r="CD63"/>
      <c r="CE63">
        <v>5.4</v>
      </c>
      <c r="CF63"/>
      <c r="CG63">
        <v>0.3</v>
      </c>
      <c r="CH63"/>
      <c r="CI63"/>
      <c r="CJ63"/>
      <c r="CK63" t="s">
        <v>8820</v>
      </c>
      <c r="CL63"/>
      <c r="CM63"/>
    </row>
    <row r="64" spans="1:91" ht="15">
      <c r="A64" s="364" t="s">
        <v>7673</v>
      </c>
      <c r="B64" t="s">
        <v>265</v>
      </c>
      <c r="C64" t="s">
        <v>413</v>
      </c>
      <c r="D64" s="232">
        <v>68</v>
      </c>
      <c r="E64" s="113">
        <v>21</v>
      </c>
      <c r="F64" s="113">
        <v>5</v>
      </c>
      <c r="I64"/>
      <c r="K64" s="224">
        <v>7</v>
      </c>
      <c r="L64" s="390">
        <v>41625</v>
      </c>
      <c r="M64"/>
      <c r="N64" s="224"/>
      <c r="O64"/>
      <c r="P64"/>
      <c r="Q64"/>
      <c r="S64" s="224"/>
      <c r="T64" s="224"/>
      <c r="U64"/>
      <c r="V64"/>
      <c r="W64"/>
      <c r="X64"/>
      <c r="Y64" s="225"/>
      <c r="Z64" s="224"/>
      <c r="AA64" s="226"/>
      <c r="AB64" s="224"/>
      <c r="AC64" s="225"/>
      <c r="AD64" s="224"/>
      <c r="AE64" s="224"/>
      <c r="AF64" s="224"/>
      <c r="AG64"/>
      <c r="AH64"/>
      <c r="AI64">
        <v>150</v>
      </c>
      <c r="AJ64" s="194">
        <v>41785</v>
      </c>
      <c r="AK64"/>
      <c r="AL64"/>
      <c r="AM64"/>
      <c r="AN64"/>
      <c r="AO64"/>
      <c r="AP64"/>
      <c r="AQ64" s="227"/>
      <c r="AR64" s="227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>
        <v>52.2</v>
      </c>
      <c r="BT64"/>
      <c r="BU64">
        <v>15.6</v>
      </c>
      <c r="BV64"/>
      <c r="BW64" s="229"/>
      <c r="BX64"/>
      <c r="BY64"/>
      <c r="BZ64"/>
      <c r="CA64"/>
      <c r="CC64"/>
      <c r="CD64"/>
      <c r="CE64">
        <v>5.6</v>
      </c>
      <c r="CF64"/>
      <c r="CG64">
        <v>0.4</v>
      </c>
      <c r="CH64"/>
      <c r="CI64"/>
      <c r="CJ64"/>
      <c r="CK64" t="s">
        <v>8820</v>
      </c>
      <c r="CL64"/>
      <c r="CM64"/>
    </row>
    <row r="65" spans="1:91" ht="15">
      <c r="A65" s="364" t="s">
        <v>7674</v>
      </c>
      <c r="B65" t="s">
        <v>265</v>
      </c>
      <c r="C65" t="s">
        <v>413</v>
      </c>
      <c r="D65">
        <v>69</v>
      </c>
      <c r="E65" s="113">
        <v>4</v>
      </c>
      <c r="F65" s="113">
        <v>5</v>
      </c>
      <c r="I65"/>
      <c r="K65" s="224">
        <v>7</v>
      </c>
      <c r="L65" s="390">
        <v>41625</v>
      </c>
      <c r="M65"/>
      <c r="N65" s="224"/>
      <c r="O65"/>
      <c r="P65"/>
      <c r="Q65"/>
      <c r="S65" s="224"/>
      <c r="T65" s="224"/>
      <c r="U65"/>
      <c r="V65"/>
      <c r="W65"/>
      <c r="X65"/>
      <c r="Y65" s="225"/>
      <c r="Z65" s="224"/>
      <c r="AA65" s="226"/>
      <c r="AB65" s="224"/>
      <c r="AC65" s="225"/>
      <c r="AD65" s="224"/>
      <c r="AE65" s="224"/>
      <c r="AF65" s="224"/>
      <c r="AG65"/>
      <c r="AH65"/>
      <c r="AI65">
        <v>110</v>
      </c>
      <c r="AJ65" s="194">
        <v>41785</v>
      </c>
      <c r="AK65"/>
      <c r="AL65"/>
      <c r="AM65"/>
      <c r="AN65"/>
      <c r="AO65"/>
      <c r="AP65"/>
      <c r="AQ65" s="227"/>
      <c r="AR65" s="227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>
        <v>52</v>
      </c>
      <c r="BT65"/>
      <c r="BU65">
        <v>16.399999999999999</v>
      </c>
      <c r="BV65"/>
      <c r="BW65"/>
      <c r="BX65" s="228"/>
      <c r="BY65"/>
      <c r="BZ65"/>
      <c r="CA65"/>
      <c r="CC65"/>
      <c r="CD65"/>
      <c r="CE65">
        <v>4.8</v>
      </c>
      <c r="CF65"/>
      <c r="CG65">
        <v>0.3</v>
      </c>
      <c r="CH65"/>
      <c r="CI65"/>
      <c r="CJ65"/>
      <c r="CK65" t="s">
        <v>8820</v>
      </c>
      <c r="CL65"/>
      <c r="CM65"/>
    </row>
    <row r="66" spans="1:91" ht="15">
      <c r="A66" s="364" t="s">
        <v>7675</v>
      </c>
      <c r="B66" t="s">
        <v>265</v>
      </c>
      <c r="C66" t="s">
        <v>413</v>
      </c>
      <c r="D66">
        <v>70</v>
      </c>
      <c r="E66" s="113">
        <v>10</v>
      </c>
      <c r="F66" s="113">
        <v>2</v>
      </c>
      <c r="G66" s="233"/>
      <c r="H66" s="233"/>
      <c r="I66" s="232"/>
      <c r="J66" s="234"/>
      <c r="K66" s="235">
        <v>7</v>
      </c>
      <c r="L66" s="390">
        <v>41625</v>
      </c>
      <c r="M66" s="232"/>
      <c r="N66" s="235"/>
      <c r="O66" s="232"/>
      <c r="P66" s="232"/>
      <c r="Q66" s="232"/>
      <c r="R66" s="236"/>
      <c r="S66" s="235"/>
      <c r="T66" s="235"/>
      <c r="U66" s="232"/>
      <c r="V66" s="232"/>
      <c r="W66" s="232"/>
      <c r="X66" s="232"/>
      <c r="Y66" s="237"/>
      <c r="Z66" s="235"/>
      <c r="AA66" s="238"/>
      <c r="AB66" s="235"/>
      <c r="AC66" s="237"/>
      <c r="AD66" s="235"/>
      <c r="AE66" s="235"/>
      <c r="AF66" s="235"/>
      <c r="AG66" s="232"/>
      <c r="AH66" s="232"/>
      <c r="AI66" s="232">
        <v>130</v>
      </c>
      <c r="AJ66" s="194">
        <v>41785</v>
      </c>
      <c r="AK66" s="232"/>
      <c r="AL66" s="232"/>
      <c r="AM66" s="232"/>
      <c r="AN66" s="232"/>
      <c r="AO66" s="232"/>
      <c r="AP66" s="232"/>
      <c r="AQ66" s="239"/>
      <c r="AR66" s="239"/>
      <c r="AS66" s="232"/>
      <c r="AT66" s="232"/>
      <c r="AU66" s="232"/>
      <c r="AV66" s="232"/>
      <c r="AW66" s="232"/>
      <c r="AX66" s="232"/>
      <c r="AY66" s="232"/>
      <c r="AZ66" s="232"/>
      <c r="BA66" s="232"/>
      <c r="BB66" s="232"/>
      <c r="BC66" s="232"/>
      <c r="BD66" s="232"/>
      <c r="BE66" s="232"/>
      <c r="BF66" s="232"/>
      <c r="BG66" s="232"/>
      <c r="BH66" s="232"/>
      <c r="BI66" s="232"/>
      <c r="BJ66" s="232"/>
      <c r="BK66" s="232"/>
      <c r="BL66" s="232"/>
      <c r="BM66" s="232"/>
      <c r="BN66" s="232"/>
      <c r="BO66" s="232"/>
      <c r="BP66" s="232"/>
      <c r="BQ66" s="232"/>
      <c r="BR66" s="232"/>
      <c r="BS66" s="232">
        <v>52.3</v>
      </c>
      <c r="BT66" s="232"/>
      <c r="BU66" s="232">
        <v>16.100000000000001</v>
      </c>
      <c r="BV66" s="232"/>
      <c r="BW66" s="240"/>
      <c r="BX66" s="232"/>
      <c r="BY66" s="232"/>
      <c r="BZ66" s="232"/>
      <c r="CA66" s="232"/>
      <c r="CB66" s="241"/>
      <c r="CC66" s="232"/>
      <c r="CD66" s="232"/>
      <c r="CE66" s="232">
        <v>5.5</v>
      </c>
      <c r="CF66" s="232"/>
      <c r="CG66" s="232">
        <v>0.1</v>
      </c>
      <c r="CH66" s="232"/>
      <c r="CI66" s="232"/>
      <c r="CJ66" s="232"/>
      <c r="CK66" t="s">
        <v>8820</v>
      </c>
      <c r="CL66" s="232"/>
      <c r="CM66" s="232"/>
    </row>
    <row r="67" spans="1:91" ht="15">
      <c r="A67" s="364" t="s">
        <v>7676</v>
      </c>
      <c r="B67" s="362" t="s">
        <v>265</v>
      </c>
      <c r="C67" s="362" t="s">
        <v>413</v>
      </c>
      <c r="D67">
        <v>71</v>
      </c>
      <c r="E67" s="113">
        <v>36</v>
      </c>
      <c r="F67" s="113">
        <v>5</v>
      </c>
      <c r="I67"/>
      <c r="K67" s="224">
        <v>6</v>
      </c>
      <c r="L67" s="390">
        <v>41625</v>
      </c>
      <c r="M67"/>
      <c r="N67" s="224"/>
      <c r="O67"/>
      <c r="P67"/>
      <c r="Q67"/>
      <c r="S67" s="224"/>
      <c r="T67" s="224"/>
      <c r="U67"/>
      <c r="V67"/>
      <c r="W67"/>
      <c r="X67"/>
      <c r="Y67" s="225"/>
      <c r="Z67" s="224"/>
      <c r="AA67" s="226"/>
      <c r="AB67" s="224"/>
      <c r="AC67" s="225"/>
      <c r="AD67" s="224"/>
      <c r="AE67" s="224"/>
      <c r="AF67" s="224"/>
      <c r="AG67"/>
      <c r="AH67"/>
      <c r="AI67">
        <v>115</v>
      </c>
      <c r="AJ67" s="194">
        <v>41785</v>
      </c>
      <c r="AK67"/>
      <c r="AL67"/>
      <c r="AM67"/>
      <c r="AN67"/>
      <c r="AO67"/>
      <c r="AP67"/>
      <c r="AQ67" s="227"/>
      <c r="AR67" s="22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>
        <v>51.4</v>
      </c>
      <c r="BT67"/>
      <c r="BU67">
        <v>16</v>
      </c>
      <c r="BV67"/>
      <c r="BW67"/>
      <c r="BX67" s="228"/>
      <c r="BY67"/>
      <c r="BZ67"/>
      <c r="CA67"/>
      <c r="CC67"/>
      <c r="CD67"/>
      <c r="CE67">
        <v>6.9</v>
      </c>
      <c r="CF67"/>
      <c r="CG67">
        <v>0.3</v>
      </c>
      <c r="CH67"/>
      <c r="CI67"/>
      <c r="CJ67"/>
      <c r="CK67" t="s">
        <v>8820</v>
      </c>
      <c r="CL67"/>
      <c r="CM67"/>
    </row>
    <row r="68" spans="1:91" ht="15.75" thickBot="1">
      <c r="A68" s="364" t="s">
        <v>7677</v>
      </c>
      <c r="B68" s="344" t="s">
        <v>265</v>
      </c>
      <c r="C68" s="344" t="s">
        <v>413</v>
      </c>
      <c r="D68" s="232">
        <v>72</v>
      </c>
      <c r="E68" s="113">
        <v>25</v>
      </c>
      <c r="F68" s="113">
        <v>4</v>
      </c>
      <c r="I68"/>
      <c r="K68" s="224">
        <v>7</v>
      </c>
      <c r="L68" s="390">
        <v>41625</v>
      </c>
      <c r="M68"/>
      <c r="N68" s="224"/>
      <c r="O68"/>
      <c r="P68"/>
      <c r="Q68"/>
      <c r="S68" s="224"/>
      <c r="T68" s="224"/>
      <c r="U68"/>
      <c r="V68"/>
      <c r="W68"/>
      <c r="X68"/>
      <c r="Y68" s="225"/>
      <c r="Z68" s="224"/>
      <c r="AA68" s="226"/>
      <c r="AB68" s="224"/>
      <c r="AC68" s="225"/>
      <c r="AD68" s="224"/>
      <c r="AE68" s="224"/>
      <c r="AF68" s="224"/>
      <c r="AG68"/>
      <c r="AH68"/>
      <c r="AI68">
        <v>130</v>
      </c>
      <c r="AJ68" s="194">
        <v>41785</v>
      </c>
      <c r="AK68"/>
      <c r="AL68"/>
      <c r="AM68"/>
      <c r="AN68"/>
      <c r="AO68"/>
      <c r="AP68"/>
      <c r="AQ68" s="227"/>
      <c r="AR68" s="227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>
        <v>52.9</v>
      </c>
      <c r="BT68"/>
      <c r="BU68">
        <v>15.3</v>
      </c>
      <c r="BV68"/>
      <c r="BW68"/>
      <c r="BX68" s="228"/>
      <c r="BY68"/>
      <c r="BZ68"/>
      <c r="CA68"/>
      <c r="CC68"/>
      <c r="CD68"/>
      <c r="CE68">
        <v>6.2</v>
      </c>
      <c r="CF68"/>
      <c r="CG68">
        <v>0.4</v>
      </c>
      <c r="CH68"/>
      <c r="CI68"/>
      <c r="CJ68"/>
      <c r="CK68" t="s">
        <v>8820</v>
      </c>
      <c r="CL68"/>
      <c r="CM68"/>
    </row>
    <row r="69" spans="1:91" ht="15">
      <c r="A69" s="364" t="s">
        <v>7678</v>
      </c>
      <c r="B69" t="s">
        <v>265</v>
      </c>
      <c r="C69" t="s">
        <v>413</v>
      </c>
      <c r="D69">
        <v>73</v>
      </c>
      <c r="E69" s="113">
        <v>12</v>
      </c>
      <c r="F69" s="113">
        <v>2</v>
      </c>
      <c r="I69"/>
      <c r="K69" s="224">
        <v>6</v>
      </c>
      <c r="L69" s="390">
        <v>41625</v>
      </c>
      <c r="M69"/>
      <c r="N69" s="224"/>
      <c r="O69"/>
      <c r="P69"/>
      <c r="Q69"/>
      <c r="S69" s="224"/>
      <c r="T69" s="224"/>
      <c r="U69"/>
      <c r="V69"/>
      <c r="W69"/>
      <c r="X69"/>
      <c r="Y69" s="225"/>
      <c r="Z69" s="224"/>
      <c r="AA69" s="226"/>
      <c r="AB69" s="224"/>
      <c r="AC69" s="225"/>
      <c r="AD69" s="224"/>
      <c r="AE69" s="224"/>
      <c r="AF69" s="224"/>
      <c r="AG69"/>
      <c r="AH69"/>
      <c r="AI69">
        <v>130</v>
      </c>
      <c r="AJ69" s="194">
        <v>41785</v>
      </c>
      <c r="AK69"/>
      <c r="AL69"/>
      <c r="AM69"/>
      <c r="AN69"/>
      <c r="AO69"/>
      <c r="AP69"/>
      <c r="AQ69" s="227"/>
      <c r="AR69" s="227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>
        <v>53.1</v>
      </c>
      <c r="BT69"/>
      <c r="BU69">
        <v>16</v>
      </c>
      <c r="BV69"/>
      <c r="BW69"/>
      <c r="BX69" s="228"/>
      <c r="BY69"/>
      <c r="BZ69"/>
      <c r="CA69"/>
      <c r="CC69"/>
      <c r="CD69"/>
      <c r="CE69">
        <v>5.4</v>
      </c>
      <c r="CF69"/>
      <c r="CG69">
        <v>0.1</v>
      </c>
      <c r="CH69"/>
      <c r="CI69"/>
      <c r="CJ69"/>
      <c r="CK69" t="s">
        <v>8820</v>
      </c>
      <c r="CL69"/>
      <c r="CM69"/>
    </row>
    <row r="70" spans="1:91" ht="15">
      <c r="A70" s="364" t="s">
        <v>7679</v>
      </c>
      <c r="B70" t="s">
        <v>265</v>
      </c>
      <c r="C70" t="s">
        <v>413</v>
      </c>
      <c r="D70">
        <v>74</v>
      </c>
      <c r="E70" s="113">
        <v>1</v>
      </c>
      <c r="F70" s="113">
        <v>6</v>
      </c>
      <c r="I70"/>
      <c r="K70" s="224">
        <v>6</v>
      </c>
      <c r="L70" s="390">
        <v>41625</v>
      </c>
      <c r="M70"/>
      <c r="N70" s="224"/>
      <c r="O70"/>
      <c r="P70"/>
      <c r="Q70"/>
      <c r="S70" s="224"/>
      <c r="T70" s="224"/>
      <c r="U70"/>
      <c r="V70"/>
      <c r="W70"/>
      <c r="X70"/>
      <c r="Y70" s="225"/>
      <c r="Z70" s="224"/>
      <c r="AA70" s="226"/>
      <c r="AB70" s="224"/>
      <c r="AC70" s="225"/>
      <c r="AD70" s="224"/>
      <c r="AE70" s="224"/>
      <c r="AF70" s="224"/>
      <c r="AG70"/>
      <c r="AH70"/>
      <c r="AI70">
        <v>125</v>
      </c>
      <c r="AJ70" s="194">
        <v>41785</v>
      </c>
      <c r="AK70"/>
      <c r="AL70"/>
      <c r="AM70"/>
      <c r="AN70"/>
      <c r="AO70"/>
      <c r="AP70"/>
      <c r="AQ70" s="227"/>
      <c r="AR70" s="227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>
        <v>51.3</v>
      </c>
      <c r="BT70"/>
      <c r="BU70">
        <v>18.600000000000001</v>
      </c>
      <c r="BV70"/>
      <c r="BW70" s="229"/>
      <c r="BX70"/>
      <c r="BY70"/>
      <c r="BZ70"/>
      <c r="CA70"/>
      <c r="CC70"/>
      <c r="CD70"/>
      <c r="CE70">
        <v>5.3</v>
      </c>
      <c r="CF70"/>
      <c r="CG70">
        <v>0.1</v>
      </c>
      <c r="CH70"/>
      <c r="CI70"/>
      <c r="CJ70"/>
      <c r="CK70" t="s">
        <v>8820</v>
      </c>
      <c r="CL70"/>
      <c r="CM70"/>
    </row>
    <row r="71" spans="1:91" ht="15">
      <c r="A71" s="364" t="s">
        <v>7680</v>
      </c>
      <c r="B71" t="s">
        <v>265</v>
      </c>
      <c r="C71" t="s">
        <v>413</v>
      </c>
      <c r="D71">
        <v>75</v>
      </c>
      <c r="E71" s="113">
        <v>21</v>
      </c>
      <c r="F71" s="113">
        <v>3</v>
      </c>
      <c r="I71"/>
      <c r="K71" s="224">
        <v>6</v>
      </c>
      <c r="L71" s="390">
        <v>41625</v>
      </c>
      <c r="M71"/>
      <c r="N71" s="224"/>
      <c r="O71"/>
      <c r="P71"/>
      <c r="Q71"/>
      <c r="S71" s="224"/>
      <c r="T71" s="224"/>
      <c r="U71"/>
      <c r="V71"/>
      <c r="W71"/>
      <c r="X71"/>
      <c r="Y71" s="225"/>
      <c r="Z71" s="224"/>
      <c r="AA71" s="226"/>
      <c r="AB71" s="224"/>
      <c r="AC71" s="225"/>
      <c r="AD71" s="224"/>
      <c r="AE71" s="224"/>
      <c r="AF71" s="224"/>
      <c r="AG71"/>
      <c r="AH71"/>
      <c r="AI71">
        <v>130</v>
      </c>
      <c r="AJ71" s="194">
        <v>41785</v>
      </c>
      <c r="AK71"/>
      <c r="AL71"/>
      <c r="AM71"/>
      <c r="AN71"/>
      <c r="AO71"/>
      <c r="AP71"/>
      <c r="AQ71" s="227"/>
      <c r="AR71" s="227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>
        <v>52.1</v>
      </c>
      <c r="BT71"/>
      <c r="BU71">
        <v>17.2</v>
      </c>
      <c r="BV71"/>
      <c r="BW71"/>
      <c r="BX71" s="228"/>
      <c r="BY71"/>
      <c r="BZ71"/>
      <c r="CA71"/>
      <c r="CC71"/>
      <c r="CD71"/>
      <c r="CE71">
        <v>5.4</v>
      </c>
      <c r="CF71"/>
      <c r="CG71">
        <v>0.3</v>
      </c>
      <c r="CH71"/>
      <c r="CI71"/>
      <c r="CJ71"/>
      <c r="CK71" t="s">
        <v>8820</v>
      </c>
      <c r="CL71"/>
      <c r="CM71"/>
    </row>
    <row r="72" spans="1:91" ht="15">
      <c r="A72" s="364" t="s">
        <v>7681</v>
      </c>
      <c r="B72" t="s">
        <v>265</v>
      </c>
      <c r="C72" t="s">
        <v>413</v>
      </c>
      <c r="D72">
        <v>76</v>
      </c>
      <c r="E72" s="113">
        <v>13</v>
      </c>
      <c r="F72" s="113">
        <v>4</v>
      </c>
      <c r="I72"/>
      <c r="K72" s="224">
        <v>7</v>
      </c>
      <c r="L72" s="390">
        <v>41625</v>
      </c>
      <c r="M72"/>
      <c r="N72" s="224"/>
      <c r="O72"/>
      <c r="P72"/>
      <c r="Q72"/>
      <c r="S72" s="224"/>
      <c r="T72" s="224"/>
      <c r="U72"/>
      <c r="V72"/>
      <c r="W72"/>
      <c r="X72"/>
      <c r="Y72" s="225"/>
      <c r="Z72" s="224"/>
      <c r="AA72" s="226"/>
      <c r="AB72" s="224"/>
      <c r="AC72" s="225"/>
      <c r="AD72" s="224"/>
      <c r="AE72" s="224"/>
      <c r="AF72" s="224"/>
      <c r="AG72"/>
      <c r="AH72"/>
      <c r="AI72">
        <v>140</v>
      </c>
      <c r="AJ72" s="194">
        <v>41785</v>
      </c>
      <c r="AK72"/>
      <c r="AL72"/>
      <c r="AM72"/>
      <c r="AN72"/>
      <c r="AO72"/>
      <c r="AP72"/>
      <c r="AQ72" s="227"/>
      <c r="AR72" s="227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>
        <v>54.1</v>
      </c>
      <c r="BT72"/>
      <c r="BU72">
        <v>15.3</v>
      </c>
      <c r="BV72"/>
      <c r="BW72"/>
      <c r="BX72" s="228"/>
      <c r="BY72"/>
      <c r="BZ72"/>
      <c r="CA72"/>
      <c r="CC72"/>
      <c r="CD72"/>
      <c r="CE72">
        <v>8.1</v>
      </c>
      <c r="CF72"/>
      <c r="CG72">
        <v>0.1</v>
      </c>
      <c r="CH72"/>
      <c r="CI72"/>
      <c r="CJ72"/>
      <c r="CK72" t="s">
        <v>8820</v>
      </c>
      <c r="CL72"/>
      <c r="CM72"/>
    </row>
    <row r="73" spans="1:91" ht="15">
      <c r="A73" s="364" t="s">
        <v>7682</v>
      </c>
      <c r="B73" t="s">
        <v>265</v>
      </c>
      <c r="C73" t="s">
        <v>413</v>
      </c>
      <c r="D73">
        <v>77</v>
      </c>
      <c r="E73" s="113">
        <v>31</v>
      </c>
      <c r="F73" s="113">
        <v>5</v>
      </c>
      <c r="I73"/>
      <c r="K73" s="224">
        <v>7</v>
      </c>
      <c r="L73" s="390">
        <v>41625</v>
      </c>
      <c r="M73"/>
      <c r="N73" s="224"/>
      <c r="O73"/>
      <c r="P73"/>
      <c r="Q73"/>
      <c r="S73" s="224"/>
      <c r="T73" s="224"/>
      <c r="U73"/>
      <c r="V73"/>
      <c r="W73"/>
      <c r="X73"/>
      <c r="Y73" s="225"/>
      <c r="Z73" s="224"/>
      <c r="AA73" s="226"/>
      <c r="AB73" s="224"/>
      <c r="AC73" s="225"/>
      <c r="AD73" s="224"/>
      <c r="AE73" s="224"/>
      <c r="AF73" s="224"/>
      <c r="AG73"/>
      <c r="AH73"/>
      <c r="AI73">
        <v>120</v>
      </c>
      <c r="AJ73" s="194">
        <v>41785</v>
      </c>
      <c r="AK73"/>
      <c r="AL73"/>
      <c r="AM73"/>
      <c r="AN73"/>
      <c r="AO73"/>
      <c r="AP73"/>
      <c r="AQ73" s="227"/>
      <c r="AR73" s="227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>
        <v>51.2</v>
      </c>
      <c r="BT73"/>
      <c r="BU73">
        <v>16.2</v>
      </c>
      <c r="BV73"/>
      <c r="BW73" s="229"/>
      <c r="BX73"/>
      <c r="BY73"/>
      <c r="BZ73"/>
      <c r="CA73"/>
      <c r="CC73"/>
      <c r="CD73"/>
      <c r="CE73">
        <v>7</v>
      </c>
      <c r="CF73"/>
      <c r="CG73">
        <v>0.3</v>
      </c>
      <c r="CH73"/>
      <c r="CI73"/>
      <c r="CJ73"/>
      <c r="CK73" t="s">
        <v>8820</v>
      </c>
      <c r="CL73"/>
      <c r="CM73"/>
    </row>
    <row r="74" spans="1:91" ht="15">
      <c r="A74" s="364" t="s">
        <v>7683</v>
      </c>
      <c r="B74" t="s">
        <v>265</v>
      </c>
      <c r="C74" t="s">
        <v>413</v>
      </c>
      <c r="D74">
        <v>78</v>
      </c>
      <c r="E74" s="113">
        <v>21</v>
      </c>
      <c r="F74" s="113">
        <v>4</v>
      </c>
      <c r="I74"/>
      <c r="K74" s="224">
        <v>6</v>
      </c>
      <c r="L74" s="390">
        <v>41625</v>
      </c>
      <c r="M74"/>
      <c r="N74" s="224"/>
      <c r="O74"/>
      <c r="P74"/>
      <c r="Q74"/>
      <c r="S74" s="224"/>
      <c r="T74" s="224"/>
      <c r="U74"/>
      <c r="V74"/>
      <c r="W74"/>
      <c r="X74"/>
      <c r="Y74" s="225"/>
      <c r="Z74" s="224"/>
      <c r="AA74" s="226"/>
      <c r="AB74" s="224"/>
      <c r="AC74" s="225"/>
      <c r="AD74" s="224"/>
      <c r="AE74" s="224"/>
      <c r="AF74" s="224"/>
      <c r="AG74"/>
      <c r="AH74"/>
      <c r="AI74">
        <v>150</v>
      </c>
      <c r="AJ74" s="194">
        <v>41785</v>
      </c>
      <c r="AK74"/>
      <c r="AL74"/>
      <c r="AM74"/>
      <c r="AN74"/>
      <c r="AO74"/>
      <c r="AP74"/>
      <c r="AQ74" s="227"/>
      <c r="AR74" s="227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>
        <v>53.3</v>
      </c>
      <c r="BT74"/>
      <c r="BU74">
        <v>15.1</v>
      </c>
      <c r="BV74"/>
      <c r="BW74" s="229"/>
      <c r="BX74"/>
      <c r="BY74"/>
      <c r="BZ74"/>
      <c r="CA74"/>
      <c r="CC74"/>
      <c r="CD74"/>
      <c r="CE74">
        <v>5.6</v>
      </c>
      <c r="CF74"/>
      <c r="CG74">
        <v>0.7</v>
      </c>
      <c r="CH74"/>
      <c r="CI74"/>
      <c r="CJ74"/>
      <c r="CK74" t="s">
        <v>8820</v>
      </c>
      <c r="CL74"/>
      <c r="CM74"/>
    </row>
    <row r="75" spans="1:91" ht="15">
      <c r="A75" s="364" t="s">
        <v>7684</v>
      </c>
      <c r="B75" t="s">
        <v>265</v>
      </c>
      <c r="C75" t="s">
        <v>413</v>
      </c>
      <c r="D75">
        <v>79</v>
      </c>
      <c r="E75" s="113">
        <v>1</v>
      </c>
      <c r="F75" s="113">
        <v>2</v>
      </c>
      <c r="I75"/>
      <c r="K75" s="224">
        <v>7</v>
      </c>
      <c r="L75" s="390">
        <v>41625</v>
      </c>
      <c r="M75"/>
      <c r="N75" s="224"/>
      <c r="O75"/>
      <c r="P75"/>
      <c r="Q75"/>
      <c r="S75" s="224"/>
      <c r="T75" s="224"/>
      <c r="U75"/>
      <c r="V75"/>
      <c r="W75"/>
      <c r="X75"/>
      <c r="Y75" s="225"/>
      <c r="Z75" s="224"/>
      <c r="AA75" s="226"/>
      <c r="AB75" s="224"/>
      <c r="AC75" s="225"/>
      <c r="AD75" s="224"/>
      <c r="AE75" s="224"/>
      <c r="AF75" s="224"/>
      <c r="AG75"/>
      <c r="AH75"/>
      <c r="AI75">
        <v>140</v>
      </c>
      <c r="AJ75" s="194">
        <v>41785</v>
      </c>
      <c r="AK75"/>
      <c r="AL75"/>
      <c r="AM75"/>
      <c r="AN75"/>
      <c r="AO75"/>
      <c r="AP75"/>
      <c r="AQ75" s="227"/>
      <c r="AR75" s="227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>
        <v>53</v>
      </c>
      <c r="BT75"/>
      <c r="BU75">
        <v>14.9</v>
      </c>
      <c r="BV75"/>
      <c r="BW75" s="229"/>
      <c r="BX75"/>
      <c r="BY75"/>
      <c r="BZ75"/>
      <c r="CA75"/>
      <c r="CC75"/>
      <c r="CD75"/>
      <c r="CE75">
        <v>5.7</v>
      </c>
      <c r="CF75"/>
      <c r="CG75">
        <v>0.5</v>
      </c>
      <c r="CH75"/>
      <c r="CI75"/>
      <c r="CJ75"/>
      <c r="CK75" t="s">
        <v>8820</v>
      </c>
      <c r="CL75"/>
      <c r="CM75"/>
    </row>
    <row r="76" spans="1:91" ht="15">
      <c r="A76" s="364" t="s">
        <v>7685</v>
      </c>
      <c r="B76" t="s">
        <v>265</v>
      </c>
      <c r="C76" t="s">
        <v>413</v>
      </c>
      <c r="D76">
        <v>80</v>
      </c>
      <c r="E76" s="113">
        <v>32</v>
      </c>
      <c r="F76" s="113">
        <v>1</v>
      </c>
      <c r="I76"/>
      <c r="K76" s="224">
        <v>6</v>
      </c>
      <c r="L76" s="390">
        <v>41625</v>
      </c>
      <c r="M76"/>
      <c r="N76" s="224"/>
      <c r="O76"/>
      <c r="P76"/>
      <c r="Q76"/>
      <c r="S76" s="224"/>
      <c r="T76" s="224"/>
      <c r="U76"/>
      <c r="V76"/>
      <c r="W76"/>
      <c r="X76"/>
      <c r="Y76" s="225"/>
      <c r="Z76" s="224"/>
      <c r="AA76" s="226"/>
      <c r="AB76" s="224"/>
      <c r="AC76" s="225"/>
      <c r="AD76" s="224"/>
      <c r="AE76" s="224"/>
      <c r="AF76" s="224"/>
      <c r="AG76"/>
      <c r="AH76"/>
      <c r="AI76">
        <v>130</v>
      </c>
      <c r="AJ76" s="194">
        <v>41785</v>
      </c>
      <c r="AK76"/>
      <c r="AL76"/>
      <c r="AM76"/>
      <c r="AN76"/>
      <c r="AO76"/>
      <c r="AP76"/>
      <c r="AQ76" s="227"/>
      <c r="AR76" s="227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>
        <v>52.9</v>
      </c>
      <c r="BT76"/>
      <c r="BU76">
        <v>16.600000000000001</v>
      </c>
      <c r="BV76"/>
      <c r="BW76"/>
      <c r="BX76" s="228"/>
      <c r="BY76"/>
      <c r="BZ76"/>
      <c r="CA76"/>
      <c r="CC76"/>
      <c r="CD76"/>
      <c r="CE76">
        <v>6.4</v>
      </c>
      <c r="CF76"/>
      <c r="CG76">
        <v>0.3</v>
      </c>
      <c r="CH76"/>
      <c r="CI76"/>
      <c r="CJ76"/>
      <c r="CK76" t="s">
        <v>8820</v>
      </c>
      <c r="CL76"/>
      <c r="CM76"/>
    </row>
    <row r="77" spans="1:91" ht="15">
      <c r="A77" s="364" t="s">
        <v>7686</v>
      </c>
      <c r="B77" t="s">
        <v>265</v>
      </c>
      <c r="C77" t="s">
        <v>413</v>
      </c>
      <c r="D77">
        <v>81</v>
      </c>
      <c r="E77" s="113">
        <v>17</v>
      </c>
      <c r="F77" s="113">
        <v>6</v>
      </c>
      <c r="I77"/>
      <c r="K77" s="224">
        <v>6</v>
      </c>
      <c r="L77" s="390">
        <v>41625</v>
      </c>
      <c r="M77"/>
      <c r="N77" s="224"/>
      <c r="O77"/>
      <c r="P77"/>
      <c r="Q77"/>
      <c r="S77" s="224"/>
      <c r="T77" s="224"/>
      <c r="U77"/>
      <c r="V77"/>
      <c r="W77"/>
      <c r="X77"/>
      <c r="Y77" s="225"/>
      <c r="Z77" s="224"/>
      <c r="AA77" s="226"/>
      <c r="AB77" s="224"/>
      <c r="AC77" s="225"/>
      <c r="AD77" s="224"/>
      <c r="AE77" s="224"/>
      <c r="AF77" s="224"/>
      <c r="AG77"/>
      <c r="AH77"/>
      <c r="AI77">
        <v>125</v>
      </c>
      <c r="AJ77" s="194">
        <v>41785</v>
      </c>
      <c r="AK77"/>
      <c r="AL77"/>
      <c r="AM77"/>
      <c r="AN77"/>
      <c r="AO77"/>
      <c r="AP77"/>
      <c r="AQ77" s="227"/>
      <c r="AR77" s="22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>
        <v>52.7</v>
      </c>
      <c r="BT77"/>
      <c r="BU77">
        <v>15.4</v>
      </c>
      <c r="BV77"/>
      <c r="BW77"/>
      <c r="BX77" s="228"/>
      <c r="BY77"/>
      <c r="BZ77"/>
      <c r="CA77"/>
      <c r="CC77"/>
      <c r="CD77"/>
      <c r="CE77">
        <v>8</v>
      </c>
      <c r="CF77"/>
      <c r="CG77">
        <v>0.3</v>
      </c>
      <c r="CH77"/>
      <c r="CI77"/>
      <c r="CJ77"/>
      <c r="CK77" t="s">
        <v>8820</v>
      </c>
      <c r="CL77"/>
      <c r="CM77"/>
    </row>
    <row r="78" spans="1:91" ht="15">
      <c r="A78" s="364" t="s">
        <v>7687</v>
      </c>
      <c r="B78" t="s">
        <v>265</v>
      </c>
      <c r="C78" t="s">
        <v>413</v>
      </c>
      <c r="D78">
        <v>82</v>
      </c>
      <c r="E78" s="113">
        <v>32</v>
      </c>
      <c r="F78" s="113">
        <v>6</v>
      </c>
      <c r="G78" s="233"/>
      <c r="H78" s="233"/>
      <c r="I78" s="232"/>
      <c r="J78" s="234"/>
      <c r="K78" s="235">
        <v>7</v>
      </c>
      <c r="L78" s="390">
        <v>41625</v>
      </c>
      <c r="M78" s="232"/>
      <c r="N78" s="235"/>
      <c r="O78" s="232"/>
      <c r="P78" s="232"/>
      <c r="Q78" s="232"/>
      <c r="R78" s="236"/>
      <c r="S78" s="235"/>
      <c r="T78" s="235"/>
      <c r="U78" s="232"/>
      <c r="V78" s="232"/>
      <c r="W78" s="232"/>
      <c r="X78" s="232"/>
      <c r="Y78" s="237"/>
      <c r="Z78" s="235"/>
      <c r="AA78" s="238"/>
      <c r="AB78" s="235"/>
      <c r="AC78" s="237"/>
      <c r="AD78" s="235"/>
      <c r="AE78" s="235"/>
      <c r="AF78" s="235"/>
      <c r="AG78" s="232"/>
      <c r="AH78" s="232"/>
      <c r="AI78" s="232">
        <v>120</v>
      </c>
      <c r="AJ78" s="194">
        <v>41785</v>
      </c>
      <c r="AK78" s="232"/>
      <c r="AL78" s="232"/>
      <c r="AM78" s="232"/>
      <c r="AN78" s="232"/>
      <c r="AO78" s="232"/>
      <c r="AP78" s="232"/>
      <c r="AQ78" s="239"/>
      <c r="AR78" s="239"/>
      <c r="AS78" s="232"/>
      <c r="AT78" s="232"/>
      <c r="AU78" s="232"/>
      <c r="AV78" s="232"/>
      <c r="AW78" s="232"/>
      <c r="AX78" s="232"/>
      <c r="AY78" s="232"/>
      <c r="AZ78" s="232"/>
      <c r="BA78" s="232"/>
      <c r="BB78" s="232"/>
      <c r="BC78" s="232"/>
      <c r="BD78" s="232"/>
      <c r="BE78" s="232"/>
      <c r="BF78" s="232"/>
      <c r="BG78" s="232"/>
      <c r="BH78" s="232"/>
      <c r="BI78" s="232"/>
      <c r="BJ78" s="232"/>
      <c r="BK78" s="232"/>
      <c r="BL78" s="232"/>
      <c r="BM78" s="232"/>
      <c r="BN78" s="232"/>
      <c r="BO78" s="232"/>
      <c r="BP78" s="232"/>
      <c r="BQ78" s="232"/>
      <c r="BR78" s="232"/>
      <c r="BS78" s="232">
        <v>52.4</v>
      </c>
      <c r="BT78" s="232"/>
      <c r="BU78" s="232">
        <v>15.1</v>
      </c>
      <c r="BV78" s="232"/>
      <c r="BW78" s="240"/>
      <c r="BX78" s="232"/>
      <c r="BY78" s="232"/>
      <c r="BZ78" s="232"/>
      <c r="CA78" s="232"/>
      <c r="CB78" s="241"/>
      <c r="CC78" s="232"/>
      <c r="CD78" s="232"/>
      <c r="CE78" s="232">
        <v>6.8</v>
      </c>
      <c r="CF78" s="232"/>
      <c r="CG78" s="232">
        <v>0.1</v>
      </c>
      <c r="CH78" s="232"/>
      <c r="CI78" s="232"/>
      <c r="CJ78" s="232"/>
      <c r="CK78" t="s">
        <v>8820</v>
      </c>
      <c r="CL78" s="232"/>
      <c r="CM78" s="232"/>
    </row>
    <row r="79" spans="1:91" ht="15">
      <c r="A79" s="364" t="s">
        <v>7688</v>
      </c>
      <c r="B79" t="s">
        <v>265</v>
      </c>
      <c r="C79" t="s">
        <v>413</v>
      </c>
      <c r="D79">
        <v>83</v>
      </c>
      <c r="E79" s="113">
        <v>17</v>
      </c>
      <c r="F79" s="113">
        <v>1</v>
      </c>
      <c r="I79"/>
      <c r="K79" s="224">
        <v>7</v>
      </c>
      <c r="L79" s="390">
        <v>41625</v>
      </c>
      <c r="M79"/>
      <c r="N79" s="224"/>
      <c r="O79"/>
      <c r="P79"/>
      <c r="Q79"/>
      <c r="S79" s="224"/>
      <c r="T79" s="224"/>
      <c r="U79"/>
      <c r="V79"/>
      <c r="W79"/>
      <c r="X79"/>
      <c r="Y79" s="225"/>
      <c r="Z79" s="224"/>
      <c r="AA79" s="226"/>
      <c r="AB79" s="224"/>
      <c r="AC79" s="225"/>
      <c r="AD79" s="224"/>
      <c r="AE79" s="224"/>
      <c r="AF79" s="224"/>
      <c r="AG79"/>
      <c r="AH79"/>
      <c r="AI79">
        <v>120</v>
      </c>
      <c r="AJ79" s="194">
        <v>41785</v>
      </c>
      <c r="AK79"/>
      <c r="AL79"/>
      <c r="AM79"/>
      <c r="AN79"/>
      <c r="AO79"/>
      <c r="AP79"/>
      <c r="AQ79" s="227"/>
      <c r="AR79" s="227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>
        <v>52.9</v>
      </c>
      <c r="BT79"/>
      <c r="BU79">
        <v>15.9</v>
      </c>
      <c r="BV79"/>
      <c r="BW79" s="229"/>
      <c r="BX79"/>
      <c r="BY79"/>
      <c r="BZ79"/>
      <c r="CA79"/>
      <c r="CC79"/>
      <c r="CD79"/>
      <c r="CE79">
        <v>8.6</v>
      </c>
      <c r="CF79"/>
      <c r="CG79">
        <v>0.1</v>
      </c>
      <c r="CH79"/>
      <c r="CI79"/>
      <c r="CJ79"/>
      <c r="CK79" t="s">
        <v>8820</v>
      </c>
      <c r="CL79"/>
      <c r="CM79"/>
    </row>
    <row r="80" spans="1:91" s="242" customFormat="1" ht="15">
      <c r="A80" s="364" t="s">
        <v>7689</v>
      </c>
      <c r="B80" t="s">
        <v>265</v>
      </c>
      <c r="C80" t="s">
        <v>413</v>
      </c>
      <c r="D80">
        <v>84</v>
      </c>
      <c r="E80" s="113">
        <v>13</v>
      </c>
      <c r="F80" s="113">
        <v>1</v>
      </c>
      <c r="G80" s="113"/>
      <c r="H80" s="113"/>
      <c r="I80"/>
      <c r="J80" s="112"/>
      <c r="K80" s="224">
        <v>6</v>
      </c>
      <c r="L80" s="390">
        <v>41625</v>
      </c>
      <c r="M80"/>
      <c r="N80" s="224"/>
      <c r="O80"/>
      <c r="P80"/>
      <c r="Q80"/>
      <c r="R80" s="153"/>
      <c r="S80" s="224"/>
      <c r="T80" s="224"/>
      <c r="U80"/>
      <c r="V80"/>
      <c r="W80"/>
      <c r="X80"/>
      <c r="Y80" s="225"/>
      <c r="Z80" s="224"/>
      <c r="AA80" s="226"/>
      <c r="AB80" s="224"/>
      <c r="AC80" s="225"/>
      <c r="AD80" s="224"/>
      <c r="AE80" s="224"/>
      <c r="AF80" s="224"/>
      <c r="AG80"/>
      <c r="AH80"/>
      <c r="AI80">
        <v>110</v>
      </c>
      <c r="AJ80" s="194">
        <v>41785</v>
      </c>
      <c r="AK80"/>
      <c r="AL80"/>
      <c r="AM80"/>
      <c r="AN80"/>
      <c r="AO80"/>
      <c r="AP80"/>
      <c r="AQ80" s="227"/>
      <c r="AR80" s="227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>
        <v>53.4</v>
      </c>
      <c r="BT80"/>
      <c r="BU80">
        <v>16.3</v>
      </c>
      <c r="BV80"/>
      <c r="BW80" s="229"/>
      <c r="BX80"/>
      <c r="BY80"/>
      <c r="BZ80"/>
      <c r="CA80"/>
      <c r="CB80" s="136"/>
      <c r="CC80"/>
      <c r="CD80"/>
      <c r="CE80">
        <v>8.6999999999999993</v>
      </c>
      <c r="CF80"/>
      <c r="CG80">
        <v>0.3</v>
      </c>
      <c r="CH80"/>
      <c r="CI80"/>
      <c r="CJ80"/>
      <c r="CK80" t="s">
        <v>8820</v>
      </c>
      <c r="CL80"/>
      <c r="CM80"/>
    </row>
    <row r="81" spans="1:91" s="242" customFormat="1" ht="15">
      <c r="A81" s="364" t="s">
        <v>7690</v>
      </c>
      <c r="B81" t="s">
        <v>265</v>
      </c>
      <c r="C81" t="s">
        <v>413</v>
      </c>
      <c r="D81">
        <v>85</v>
      </c>
      <c r="E81" s="113">
        <v>4</v>
      </c>
      <c r="F81" s="113">
        <v>4</v>
      </c>
      <c r="G81" s="113"/>
      <c r="H81" s="113"/>
      <c r="I81"/>
      <c r="J81" s="112"/>
      <c r="K81" s="224">
        <v>7</v>
      </c>
      <c r="L81" s="390">
        <v>41625</v>
      </c>
      <c r="M81"/>
      <c r="N81" s="224"/>
      <c r="O81"/>
      <c r="P81"/>
      <c r="Q81"/>
      <c r="R81" s="153"/>
      <c r="S81" s="224"/>
      <c r="T81" s="224"/>
      <c r="U81"/>
      <c r="V81"/>
      <c r="W81"/>
      <c r="X81"/>
      <c r="Y81" s="225"/>
      <c r="Z81" s="224"/>
      <c r="AA81" s="226"/>
      <c r="AB81" s="224"/>
      <c r="AC81" s="225"/>
      <c r="AD81" s="224"/>
      <c r="AE81" s="224"/>
      <c r="AF81" s="224"/>
      <c r="AG81"/>
      <c r="AH81"/>
      <c r="AI81">
        <v>140</v>
      </c>
      <c r="AJ81" s="194">
        <v>41785</v>
      </c>
      <c r="AK81"/>
      <c r="AL81"/>
      <c r="AM81"/>
      <c r="AN81"/>
      <c r="AO81"/>
      <c r="AP81"/>
      <c r="AQ81" s="227"/>
      <c r="AR81" s="227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>
        <v>52.6</v>
      </c>
      <c r="BT81"/>
      <c r="BU81">
        <v>16.2</v>
      </c>
      <c r="BV81"/>
      <c r="BW81" s="229"/>
      <c r="BX81"/>
      <c r="BY81"/>
      <c r="BZ81"/>
      <c r="CA81"/>
      <c r="CB81" s="136"/>
      <c r="CC81"/>
      <c r="CD81"/>
      <c r="CE81">
        <v>5.0999999999999996</v>
      </c>
      <c r="CF81"/>
      <c r="CG81">
        <v>0.3</v>
      </c>
      <c r="CH81"/>
      <c r="CI81"/>
      <c r="CJ81"/>
      <c r="CK81" t="s">
        <v>8820</v>
      </c>
      <c r="CL81"/>
      <c r="CM81"/>
    </row>
    <row r="82" spans="1:91" s="242" customFormat="1" ht="15">
      <c r="A82" s="364" t="s">
        <v>7691</v>
      </c>
      <c r="B82" t="s">
        <v>265</v>
      </c>
      <c r="C82" t="s">
        <v>413</v>
      </c>
      <c r="D82" s="232">
        <v>86</v>
      </c>
      <c r="E82" s="113">
        <v>6</v>
      </c>
      <c r="F82" s="113">
        <v>1</v>
      </c>
      <c r="G82" s="113"/>
      <c r="H82" s="113"/>
      <c r="I82"/>
      <c r="J82" s="112"/>
      <c r="K82" s="224">
        <v>7</v>
      </c>
      <c r="L82" s="390">
        <v>41625</v>
      </c>
      <c r="M82"/>
      <c r="N82" s="224"/>
      <c r="O82"/>
      <c r="P82"/>
      <c r="Q82"/>
      <c r="R82" s="153"/>
      <c r="S82" s="224"/>
      <c r="T82" s="224"/>
      <c r="U82"/>
      <c r="V82"/>
      <c r="W82"/>
      <c r="X82"/>
      <c r="Y82" s="225"/>
      <c r="Z82" s="224"/>
      <c r="AA82" s="226"/>
      <c r="AB82" s="224"/>
      <c r="AC82" s="225"/>
      <c r="AD82" s="224"/>
      <c r="AE82" s="224"/>
      <c r="AF82" s="224"/>
      <c r="AG82"/>
      <c r="AH82"/>
      <c r="AI82">
        <v>125</v>
      </c>
      <c r="AJ82" s="194">
        <v>41785</v>
      </c>
      <c r="AK82"/>
      <c r="AL82"/>
      <c r="AM82"/>
      <c r="AN82"/>
      <c r="AO82"/>
      <c r="AP82"/>
      <c r="AQ82" s="227"/>
      <c r="AR82" s="227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>
        <v>51.3</v>
      </c>
      <c r="BT82"/>
      <c r="BU82">
        <v>17.100000000000001</v>
      </c>
      <c r="BV82"/>
      <c r="BW82"/>
      <c r="BX82" s="228"/>
      <c r="BY82"/>
      <c r="BZ82"/>
      <c r="CA82"/>
      <c r="CB82" s="136"/>
      <c r="CC82"/>
      <c r="CD82"/>
      <c r="CE82">
        <v>5.2</v>
      </c>
      <c r="CF82"/>
      <c r="CG82">
        <v>0.3</v>
      </c>
      <c r="CH82"/>
      <c r="CI82"/>
      <c r="CJ82"/>
      <c r="CK82" t="s">
        <v>8820</v>
      </c>
      <c r="CL82"/>
      <c r="CM82"/>
    </row>
    <row r="83" spans="1:91" s="242" customFormat="1" ht="15">
      <c r="A83" s="364" t="s">
        <v>7692</v>
      </c>
      <c r="B83" t="s">
        <v>265</v>
      </c>
      <c r="C83" t="s">
        <v>413</v>
      </c>
      <c r="D83">
        <v>87</v>
      </c>
      <c r="E83" s="113">
        <v>32</v>
      </c>
      <c r="F83" s="113">
        <v>2</v>
      </c>
      <c r="G83" s="113"/>
      <c r="H83" s="113"/>
      <c r="I83"/>
      <c r="J83" s="112"/>
      <c r="K83" s="224">
        <v>7</v>
      </c>
      <c r="L83" s="390">
        <v>41625</v>
      </c>
      <c r="M83"/>
      <c r="N83" s="224"/>
      <c r="O83"/>
      <c r="P83"/>
      <c r="Q83"/>
      <c r="R83" s="153"/>
      <c r="S83" s="224"/>
      <c r="T83" s="224"/>
      <c r="U83"/>
      <c r="V83"/>
      <c r="W83"/>
      <c r="X83"/>
      <c r="Y83" s="225"/>
      <c r="Z83" s="224"/>
      <c r="AA83" s="226"/>
      <c r="AB83" s="224"/>
      <c r="AC83" s="225"/>
      <c r="AD83" s="224"/>
      <c r="AE83" s="224"/>
      <c r="AF83" s="224"/>
      <c r="AG83"/>
      <c r="AH83"/>
      <c r="AI83">
        <v>115</v>
      </c>
      <c r="AJ83" s="194">
        <v>41785</v>
      </c>
      <c r="AK83"/>
      <c r="AL83"/>
      <c r="AM83"/>
      <c r="AN83"/>
      <c r="AO83"/>
      <c r="AP83"/>
      <c r="AQ83" s="227"/>
      <c r="AR83" s="227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>
        <v>52.5</v>
      </c>
      <c r="BT83"/>
      <c r="BU83">
        <v>16.399999999999999</v>
      </c>
      <c r="BV83"/>
      <c r="BW83" s="229"/>
      <c r="BX83"/>
      <c r="BY83"/>
      <c r="BZ83"/>
      <c r="CA83"/>
      <c r="CB83" s="136"/>
      <c r="CC83"/>
      <c r="CD83"/>
      <c r="CE83">
        <v>6.5</v>
      </c>
      <c r="CF83"/>
      <c r="CG83">
        <v>0.3</v>
      </c>
      <c r="CH83"/>
      <c r="CI83"/>
      <c r="CJ83"/>
      <c r="CK83" t="s">
        <v>8820</v>
      </c>
      <c r="CL83"/>
      <c r="CM83"/>
    </row>
    <row r="84" spans="1:91" s="242" customFormat="1" ht="15">
      <c r="A84" s="364" t="s">
        <v>7693</v>
      </c>
      <c r="B84" t="s">
        <v>265</v>
      </c>
      <c r="C84" t="s">
        <v>413</v>
      </c>
      <c r="D84">
        <v>88</v>
      </c>
      <c r="E84" s="113">
        <v>23</v>
      </c>
      <c r="F84" s="113">
        <v>4</v>
      </c>
      <c r="G84" s="113"/>
      <c r="H84" s="113"/>
      <c r="I84"/>
      <c r="J84" s="112"/>
      <c r="K84" s="224">
        <v>7</v>
      </c>
      <c r="L84" s="390">
        <v>41625</v>
      </c>
      <c r="M84"/>
      <c r="N84" s="224"/>
      <c r="O84"/>
      <c r="P84"/>
      <c r="Q84"/>
      <c r="R84" s="153"/>
      <c r="S84" s="224"/>
      <c r="T84" s="224"/>
      <c r="U84"/>
      <c r="V84"/>
      <c r="W84"/>
      <c r="X84"/>
      <c r="Y84" s="225"/>
      <c r="Z84" s="224"/>
      <c r="AA84" s="226"/>
      <c r="AB84" s="224"/>
      <c r="AC84" s="225"/>
      <c r="AD84" s="224"/>
      <c r="AE84" s="224"/>
      <c r="AF84" s="224"/>
      <c r="AG84"/>
      <c r="AH84"/>
      <c r="AI84">
        <v>140</v>
      </c>
      <c r="AJ84" s="194">
        <v>41785</v>
      </c>
      <c r="AK84"/>
      <c r="AL84"/>
      <c r="AM84"/>
      <c r="AN84"/>
      <c r="AO84"/>
      <c r="AP84"/>
      <c r="AQ84" s="227"/>
      <c r="AR84" s="227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>
        <v>55.1</v>
      </c>
      <c r="BT84"/>
      <c r="BU84">
        <v>12.9</v>
      </c>
      <c r="BV84"/>
      <c r="BW84"/>
      <c r="BX84" s="228"/>
      <c r="BY84"/>
      <c r="BZ84"/>
      <c r="CA84"/>
      <c r="CB84" s="136"/>
      <c r="CC84"/>
      <c r="CD84"/>
      <c r="CE84">
        <v>5.9</v>
      </c>
      <c r="CF84"/>
      <c r="CG84">
        <v>0.4</v>
      </c>
      <c r="CH84"/>
      <c r="CI84"/>
      <c r="CJ84"/>
      <c r="CK84" t="s">
        <v>8820</v>
      </c>
      <c r="CL84"/>
      <c r="CM84"/>
    </row>
    <row r="85" spans="1:91" s="242" customFormat="1" ht="15">
      <c r="A85" s="364" t="s">
        <v>7694</v>
      </c>
      <c r="B85" t="s">
        <v>265</v>
      </c>
      <c r="C85" t="s">
        <v>413</v>
      </c>
      <c r="D85">
        <v>89</v>
      </c>
      <c r="E85" s="113">
        <v>28</v>
      </c>
      <c r="F85" s="113">
        <v>4</v>
      </c>
      <c r="G85" s="233"/>
      <c r="H85" s="233"/>
      <c r="I85" s="232"/>
      <c r="J85" s="234"/>
      <c r="K85" s="235">
        <v>7</v>
      </c>
      <c r="L85" s="390">
        <v>41625</v>
      </c>
      <c r="M85" s="232"/>
      <c r="N85" s="235"/>
      <c r="O85" s="232"/>
      <c r="P85" s="232"/>
      <c r="Q85" s="232"/>
      <c r="R85" s="236"/>
      <c r="S85" s="235"/>
      <c r="T85" s="235"/>
      <c r="U85" s="232"/>
      <c r="V85" s="232"/>
      <c r="W85" s="232"/>
      <c r="X85" s="232"/>
      <c r="Y85" s="237"/>
      <c r="Z85" s="235"/>
      <c r="AA85" s="238"/>
      <c r="AB85" s="235"/>
      <c r="AC85" s="237"/>
      <c r="AD85" s="235"/>
      <c r="AE85" s="235"/>
      <c r="AF85" s="235"/>
      <c r="AG85" s="232"/>
      <c r="AH85" s="232"/>
      <c r="AI85" s="232">
        <v>125</v>
      </c>
      <c r="AJ85" s="194">
        <v>41785</v>
      </c>
      <c r="AK85" s="232"/>
      <c r="AL85" s="232"/>
      <c r="AM85" s="232"/>
      <c r="AN85" s="232"/>
      <c r="AO85" s="232"/>
      <c r="AP85" s="232"/>
      <c r="AQ85" s="239"/>
      <c r="AR85" s="239"/>
      <c r="AS85" s="232"/>
      <c r="AT85" s="232"/>
      <c r="AU85" s="232"/>
      <c r="AV85" s="232"/>
      <c r="AW85" s="232"/>
      <c r="AX85" s="232"/>
      <c r="AY85" s="232"/>
      <c r="AZ85" s="232"/>
      <c r="BA85" s="232"/>
      <c r="BB85" s="232"/>
      <c r="BC85" s="232"/>
      <c r="BD85" s="232"/>
      <c r="BE85" s="232"/>
      <c r="BF85" s="232"/>
      <c r="BG85" s="232"/>
      <c r="BH85" s="232"/>
      <c r="BI85" s="232"/>
      <c r="BJ85" s="232"/>
      <c r="BK85" s="232"/>
      <c r="BL85" s="232"/>
      <c r="BM85" s="232"/>
      <c r="BN85" s="232"/>
      <c r="BO85" s="232"/>
      <c r="BP85" s="232"/>
      <c r="BQ85" s="232"/>
      <c r="BR85" s="232"/>
      <c r="BS85" s="232">
        <v>51.5</v>
      </c>
      <c r="BT85" s="232"/>
      <c r="BU85" s="232">
        <v>15.9</v>
      </c>
      <c r="BV85" s="232"/>
      <c r="BW85" s="240"/>
      <c r="BX85" s="232"/>
      <c r="BY85" s="232"/>
      <c r="BZ85" s="232"/>
      <c r="CA85" s="232"/>
      <c r="CB85" s="241"/>
      <c r="CC85" s="232"/>
      <c r="CD85" s="232"/>
      <c r="CE85" s="232">
        <v>5.7</v>
      </c>
      <c r="CF85" s="232"/>
      <c r="CG85" s="232">
        <v>0.1</v>
      </c>
      <c r="CH85" s="232"/>
      <c r="CI85" s="232"/>
      <c r="CJ85" s="232"/>
      <c r="CK85" t="s">
        <v>8820</v>
      </c>
      <c r="CL85" s="232"/>
      <c r="CM85" s="232"/>
    </row>
    <row r="86" spans="1:91" s="242" customFormat="1" ht="15">
      <c r="A86" s="364" t="s">
        <v>7695</v>
      </c>
      <c r="B86" t="s">
        <v>265</v>
      </c>
      <c r="C86" t="s">
        <v>413</v>
      </c>
      <c r="D86">
        <v>90</v>
      </c>
      <c r="E86" s="113">
        <v>15</v>
      </c>
      <c r="F86" s="113">
        <v>4</v>
      </c>
      <c r="G86" s="233"/>
      <c r="H86" s="233"/>
      <c r="I86" s="232"/>
      <c r="J86" s="234"/>
      <c r="K86" s="235">
        <v>7</v>
      </c>
      <c r="L86" s="390">
        <v>41625</v>
      </c>
      <c r="M86" s="232"/>
      <c r="N86" s="235"/>
      <c r="O86" s="232"/>
      <c r="P86" s="232"/>
      <c r="Q86" s="232"/>
      <c r="R86" s="236"/>
      <c r="S86" s="235"/>
      <c r="T86" s="235"/>
      <c r="U86" s="232"/>
      <c r="V86" s="232"/>
      <c r="W86" s="232"/>
      <c r="X86" s="232"/>
      <c r="Y86" s="237"/>
      <c r="Z86" s="235"/>
      <c r="AA86" s="238"/>
      <c r="AB86" s="235"/>
      <c r="AC86" s="237"/>
      <c r="AD86" s="235"/>
      <c r="AE86" s="235"/>
      <c r="AF86" s="235"/>
      <c r="AG86" s="232"/>
      <c r="AH86" s="232"/>
      <c r="AI86" s="232">
        <v>110</v>
      </c>
      <c r="AJ86" s="194">
        <v>41785</v>
      </c>
      <c r="AK86" s="232"/>
      <c r="AL86" s="232"/>
      <c r="AM86" s="232"/>
      <c r="AN86" s="232"/>
      <c r="AO86" s="232"/>
      <c r="AP86" s="232"/>
      <c r="AQ86" s="239"/>
      <c r="AR86" s="239"/>
      <c r="AS86" s="232"/>
      <c r="AT86" s="232"/>
      <c r="AU86" s="232"/>
      <c r="AV86" s="232"/>
      <c r="AW86" s="232"/>
      <c r="AX86" s="232"/>
      <c r="AY86" s="232"/>
      <c r="AZ86" s="232"/>
      <c r="BA86" s="232"/>
      <c r="BB86" s="232"/>
      <c r="BC86" s="232"/>
      <c r="BD86" s="232"/>
      <c r="BE86" s="232"/>
      <c r="BF86" s="232"/>
      <c r="BG86" s="232"/>
      <c r="BH86" s="232"/>
      <c r="BI86" s="232"/>
      <c r="BJ86" s="232"/>
      <c r="BK86" s="232"/>
      <c r="BL86" s="232"/>
      <c r="BM86" s="232"/>
      <c r="BN86" s="232"/>
      <c r="BO86" s="232"/>
      <c r="BP86" s="232"/>
      <c r="BQ86" s="232"/>
      <c r="BR86" s="232"/>
      <c r="BS86" s="232">
        <v>52.7</v>
      </c>
      <c r="BT86" s="232"/>
      <c r="BU86" s="232">
        <v>16.7</v>
      </c>
      <c r="BV86" s="232"/>
      <c r="BW86" s="240"/>
      <c r="BX86" s="232"/>
      <c r="BY86" s="232"/>
      <c r="BZ86" s="232"/>
      <c r="CA86" s="232"/>
      <c r="CB86" s="241"/>
      <c r="CC86" s="232"/>
      <c r="CD86" s="232"/>
      <c r="CE86" s="232">
        <v>7.2</v>
      </c>
      <c r="CF86" s="232"/>
      <c r="CG86" s="232">
        <v>0.3</v>
      </c>
      <c r="CH86" s="232"/>
      <c r="CI86" s="232"/>
      <c r="CJ86" s="232"/>
      <c r="CK86" t="s">
        <v>8820</v>
      </c>
      <c r="CL86" s="232"/>
      <c r="CM86" s="232"/>
    </row>
    <row r="87" spans="1:91" s="242" customFormat="1" ht="15">
      <c r="A87" s="364" t="s">
        <v>7696</v>
      </c>
      <c r="B87" t="s">
        <v>265</v>
      </c>
      <c r="C87" t="s">
        <v>413</v>
      </c>
      <c r="D87">
        <v>91</v>
      </c>
      <c r="E87" s="113">
        <v>19</v>
      </c>
      <c r="F87" s="113">
        <v>1</v>
      </c>
      <c r="G87" s="113"/>
      <c r="H87" s="113"/>
      <c r="I87"/>
      <c r="J87" s="112"/>
      <c r="K87" s="224">
        <v>5</v>
      </c>
      <c r="L87" s="390">
        <v>41625</v>
      </c>
      <c r="M87"/>
      <c r="N87" s="224"/>
      <c r="O87"/>
      <c r="P87"/>
      <c r="Q87"/>
      <c r="R87" s="153"/>
      <c r="S87" s="224"/>
      <c r="T87" s="224"/>
      <c r="U87"/>
      <c r="V87"/>
      <c r="W87"/>
      <c r="X87"/>
      <c r="Y87" s="225"/>
      <c r="Z87" s="224"/>
      <c r="AA87" s="226"/>
      <c r="AB87" s="224"/>
      <c r="AC87" s="225"/>
      <c r="AD87" s="224"/>
      <c r="AE87" s="224"/>
      <c r="AF87" s="224"/>
      <c r="AG87"/>
      <c r="AH87"/>
      <c r="AI87">
        <v>120</v>
      </c>
      <c r="AJ87" s="194">
        <v>41785</v>
      </c>
      <c r="AK87"/>
      <c r="AL87"/>
      <c r="AM87"/>
      <c r="AN87"/>
      <c r="AO87"/>
      <c r="AP87"/>
      <c r="AQ87" s="227"/>
      <c r="AR87" s="22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>
        <v>50.6</v>
      </c>
      <c r="BT87"/>
      <c r="BU87">
        <v>17.3</v>
      </c>
      <c r="BV87"/>
      <c r="BW87" s="229"/>
      <c r="BX87"/>
      <c r="BY87"/>
      <c r="BZ87"/>
      <c r="CA87"/>
      <c r="CB87" s="136"/>
      <c r="CC87"/>
      <c r="CD87"/>
      <c r="CE87">
        <v>6.2</v>
      </c>
      <c r="CF87"/>
      <c r="CG87">
        <v>0.4</v>
      </c>
      <c r="CH87"/>
      <c r="CI87"/>
      <c r="CJ87"/>
      <c r="CK87" t="s">
        <v>8820</v>
      </c>
      <c r="CL87"/>
      <c r="CM87"/>
    </row>
    <row r="88" spans="1:91" s="242" customFormat="1" ht="15">
      <c r="A88" s="364" t="s">
        <v>7697</v>
      </c>
      <c r="B88" t="s">
        <v>265</v>
      </c>
      <c r="C88" t="s">
        <v>413</v>
      </c>
      <c r="D88">
        <v>92</v>
      </c>
      <c r="E88" s="113">
        <v>25</v>
      </c>
      <c r="F88" s="113">
        <v>3</v>
      </c>
      <c r="G88" s="113"/>
      <c r="H88" s="113"/>
      <c r="I88"/>
      <c r="J88" s="112"/>
      <c r="K88" s="224">
        <v>7</v>
      </c>
      <c r="L88" s="390">
        <v>41625</v>
      </c>
      <c r="M88"/>
      <c r="N88" s="224"/>
      <c r="O88"/>
      <c r="P88"/>
      <c r="Q88"/>
      <c r="R88" s="153"/>
      <c r="S88" s="224"/>
      <c r="T88" s="224"/>
      <c r="U88"/>
      <c r="V88"/>
      <c r="W88"/>
      <c r="X88"/>
      <c r="Y88" s="225"/>
      <c r="Z88" s="224"/>
      <c r="AA88" s="226"/>
      <c r="AB88" s="224"/>
      <c r="AC88" s="225"/>
      <c r="AD88" s="224"/>
      <c r="AE88" s="224"/>
      <c r="AF88" s="224"/>
      <c r="AG88"/>
      <c r="AH88"/>
      <c r="AI88">
        <v>140</v>
      </c>
      <c r="AJ88" s="194">
        <v>41785</v>
      </c>
      <c r="AK88"/>
      <c r="AL88"/>
      <c r="AM88"/>
      <c r="AN88"/>
      <c r="AO88"/>
      <c r="AP88"/>
      <c r="AQ88" s="227"/>
      <c r="AR88" s="227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>
        <v>52.9</v>
      </c>
      <c r="BT88"/>
      <c r="BU88">
        <v>15.5</v>
      </c>
      <c r="BV88"/>
      <c r="BW88"/>
      <c r="BX88" s="228"/>
      <c r="BY88"/>
      <c r="BZ88"/>
      <c r="CA88"/>
      <c r="CB88" s="136"/>
      <c r="CC88"/>
      <c r="CD88"/>
      <c r="CE88">
        <v>5.7</v>
      </c>
      <c r="CF88"/>
      <c r="CG88">
        <v>0.9</v>
      </c>
      <c r="CH88"/>
      <c r="CI88"/>
      <c r="CJ88"/>
      <c r="CK88" t="s">
        <v>8820</v>
      </c>
      <c r="CL88"/>
      <c r="CM88"/>
    </row>
    <row r="89" spans="1:91" s="242" customFormat="1" ht="15">
      <c r="A89" s="364" t="s">
        <v>7698</v>
      </c>
      <c r="B89" t="s">
        <v>265</v>
      </c>
      <c r="C89" t="s">
        <v>413</v>
      </c>
      <c r="D89">
        <v>93</v>
      </c>
      <c r="E89" s="113">
        <v>3</v>
      </c>
      <c r="F89" s="113">
        <v>5</v>
      </c>
      <c r="G89" s="113"/>
      <c r="H89" s="113"/>
      <c r="I89"/>
      <c r="J89" s="112"/>
      <c r="K89" s="224">
        <v>6</v>
      </c>
      <c r="L89" s="390">
        <v>41625</v>
      </c>
      <c r="M89"/>
      <c r="N89" s="224"/>
      <c r="O89"/>
      <c r="P89"/>
      <c r="Q89"/>
      <c r="R89" s="153"/>
      <c r="S89" s="224"/>
      <c r="T89" s="224"/>
      <c r="U89"/>
      <c r="V89"/>
      <c r="W89"/>
      <c r="X89"/>
      <c r="Y89" s="225"/>
      <c r="Z89" s="224"/>
      <c r="AA89" s="226"/>
      <c r="AB89" s="224"/>
      <c r="AC89" s="225"/>
      <c r="AD89" s="224"/>
      <c r="AE89" s="224"/>
      <c r="AF89" s="224"/>
      <c r="AG89"/>
      <c r="AH89"/>
      <c r="AI89">
        <v>130</v>
      </c>
      <c r="AJ89" s="194">
        <v>41785</v>
      </c>
      <c r="AK89"/>
      <c r="AL89"/>
      <c r="AM89"/>
      <c r="AN89"/>
      <c r="AO89"/>
      <c r="AP89"/>
      <c r="AQ89" s="227"/>
      <c r="AR89" s="227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>
        <v>50.6</v>
      </c>
      <c r="BT89"/>
      <c r="BU89">
        <v>15</v>
      </c>
      <c r="BV89"/>
      <c r="BW89" s="229"/>
      <c r="BX89"/>
      <c r="BY89"/>
      <c r="BZ89"/>
      <c r="CA89"/>
      <c r="CB89" s="136"/>
      <c r="CC89"/>
      <c r="CD89"/>
      <c r="CE89">
        <v>5.6</v>
      </c>
      <c r="CF89"/>
      <c r="CG89">
        <v>0.3</v>
      </c>
      <c r="CH89"/>
      <c r="CI89"/>
      <c r="CJ89"/>
      <c r="CK89" t="s">
        <v>8820</v>
      </c>
      <c r="CL89"/>
      <c r="CM89"/>
    </row>
    <row r="90" spans="1:91" s="242" customFormat="1" ht="15">
      <c r="A90" s="364" t="s">
        <v>7699</v>
      </c>
      <c r="B90" t="s">
        <v>265</v>
      </c>
      <c r="C90" t="s">
        <v>413</v>
      </c>
      <c r="D90" s="232">
        <v>94</v>
      </c>
      <c r="E90" s="113">
        <v>23</v>
      </c>
      <c r="F90" s="113">
        <v>1</v>
      </c>
      <c r="G90" s="113"/>
      <c r="H90" s="113"/>
      <c r="I90"/>
      <c r="J90" s="112"/>
      <c r="K90" s="224">
        <v>6</v>
      </c>
      <c r="L90" s="390">
        <v>41625</v>
      </c>
      <c r="M90"/>
      <c r="N90" s="224"/>
      <c r="O90"/>
      <c r="P90"/>
      <c r="Q90"/>
      <c r="R90" s="153"/>
      <c r="S90" s="224"/>
      <c r="T90" s="224"/>
      <c r="U90"/>
      <c r="V90"/>
      <c r="W90"/>
      <c r="X90"/>
      <c r="Y90" s="225"/>
      <c r="Z90" s="224"/>
      <c r="AA90" s="226"/>
      <c r="AB90" s="224"/>
      <c r="AC90" s="225"/>
      <c r="AD90" s="224"/>
      <c r="AE90" s="224"/>
      <c r="AF90" s="224"/>
      <c r="AG90"/>
      <c r="AH90"/>
      <c r="AI90">
        <v>130</v>
      </c>
      <c r="AJ90" s="194">
        <v>41785</v>
      </c>
      <c r="AK90"/>
      <c r="AL90"/>
      <c r="AM90"/>
      <c r="AN90"/>
      <c r="AO90"/>
      <c r="AP90"/>
      <c r="AQ90" s="227"/>
      <c r="AR90" s="227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>
        <v>52.3</v>
      </c>
      <c r="BT90"/>
      <c r="BU90">
        <v>16</v>
      </c>
      <c r="BV90"/>
      <c r="BW90" s="229"/>
      <c r="BX90"/>
      <c r="BY90"/>
      <c r="BZ90"/>
      <c r="CA90"/>
      <c r="CB90" s="136"/>
      <c r="CC90"/>
      <c r="CD90"/>
      <c r="CE90">
        <v>6</v>
      </c>
      <c r="CF90"/>
      <c r="CG90">
        <v>0.5</v>
      </c>
      <c r="CH90"/>
      <c r="CI90"/>
      <c r="CJ90"/>
      <c r="CK90" t="s">
        <v>8820</v>
      </c>
      <c r="CL90"/>
      <c r="CM90"/>
    </row>
    <row r="91" spans="1:91" s="242" customFormat="1" ht="15">
      <c r="A91" s="364" t="s">
        <v>7700</v>
      </c>
      <c r="B91" t="s">
        <v>265</v>
      </c>
      <c r="C91" t="s">
        <v>413</v>
      </c>
      <c r="D91">
        <v>95</v>
      </c>
      <c r="E91" s="113">
        <v>31</v>
      </c>
      <c r="F91" s="113">
        <v>2</v>
      </c>
      <c r="G91" s="113"/>
      <c r="H91" s="113"/>
      <c r="I91"/>
      <c r="J91" s="112"/>
      <c r="K91" s="224">
        <v>6</v>
      </c>
      <c r="L91" s="390">
        <v>41625</v>
      </c>
      <c r="M91"/>
      <c r="N91" s="224"/>
      <c r="O91"/>
      <c r="P91"/>
      <c r="Q91"/>
      <c r="R91" s="153"/>
      <c r="S91" s="224"/>
      <c r="T91" s="224"/>
      <c r="U91"/>
      <c r="V91"/>
      <c r="W91"/>
      <c r="X91"/>
      <c r="Y91" s="225"/>
      <c r="Z91" s="224"/>
      <c r="AA91" s="226"/>
      <c r="AB91" s="224"/>
      <c r="AC91" s="225"/>
      <c r="AD91" s="224"/>
      <c r="AE91" s="224"/>
      <c r="AF91" s="224"/>
      <c r="AG91"/>
      <c r="AH91"/>
      <c r="AI91">
        <v>125</v>
      </c>
      <c r="AJ91" s="194">
        <v>41785</v>
      </c>
      <c r="AK91"/>
      <c r="AL91"/>
      <c r="AM91"/>
      <c r="AN91"/>
      <c r="AO91"/>
      <c r="AP91"/>
      <c r="AQ91" s="227"/>
      <c r="AR91" s="227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>
        <v>52.1</v>
      </c>
      <c r="BT91"/>
      <c r="BU91">
        <v>16.600000000000001</v>
      </c>
      <c r="BV91"/>
      <c r="BW91"/>
      <c r="BX91" s="228"/>
      <c r="BY91"/>
      <c r="BZ91"/>
      <c r="CA91"/>
      <c r="CB91" s="136"/>
      <c r="CC91"/>
      <c r="CD91"/>
      <c r="CE91">
        <v>7</v>
      </c>
      <c r="CF91"/>
      <c r="CG91">
        <v>0.1</v>
      </c>
      <c r="CH91"/>
      <c r="CI91"/>
      <c r="CJ91"/>
      <c r="CK91" t="s">
        <v>8820</v>
      </c>
      <c r="CL91"/>
      <c r="CM91"/>
    </row>
    <row r="92" spans="1:91" s="242" customFormat="1" ht="15">
      <c r="A92" s="364" t="s">
        <v>7701</v>
      </c>
      <c r="B92" t="s">
        <v>265</v>
      </c>
      <c r="C92" t="s">
        <v>413</v>
      </c>
      <c r="D92">
        <v>96</v>
      </c>
      <c r="E92" s="113">
        <v>33</v>
      </c>
      <c r="F92" s="113">
        <v>6</v>
      </c>
      <c r="G92" s="113"/>
      <c r="H92" s="113"/>
      <c r="I92"/>
      <c r="J92" s="112"/>
      <c r="K92" s="224">
        <v>7</v>
      </c>
      <c r="L92" s="390">
        <v>41625</v>
      </c>
      <c r="M92"/>
      <c r="N92" s="224"/>
      <c r="O92"/>
      <c r="P92"/>
      <c r="Q92"/>
      <c r="R92" s="153"/>
      <c r="S92" s="224"/>
      <c r="T92" s="224"/>
      <c r="U92"/>
      <c r="V92"/>
      <c r="W92"/>
      <c r="X92"/>
      <c r="Y92" s="225"/>
      <c r="Z92" s="224"/>
      <c r="AA92" s="226"/>
      <c r="AB92" s="224"/>
      <c r="AC92" s="225"/>
      <c r="AD92" s="224"/>
      <c r="AE92" s="224"/>
      <c r="AF92" s="224"/>
      <c r="AG92"/>
      <c r="AH92"/>
      <c r="AI92">
        <v>120</v>
      </c>
      <c r="AJ92" s="194">
        <v>41785</v>
      </c>
      <c r="AK92"/>
      <c r="AL92"/>
      <c r="AM92"/>
      <c r="AN92"/>
      <c r="AO92"/>
      <c r="AP92"/>
      <c r="AQ92" s="227"/>
      <c r="AR92" s="227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>
        <v>54.4</v>
      </c>
      <c r="BT92"/>
      <c r="BU92">
        <v>14.9</v>
      </c>
      <c r="BV92"/>
      <c r="BW92" s="229"/>
      <c r="BX92"/>
      <c r="BY92"/>
      <c r="BZ92"/>
      <c r="CA92"/>
      <c r="CB92" s="136"/>
      <c r="CC92"/>
      <c r="CD92"/>
      <c r="CE92">
        <v>6.4</v>
      </c>
      <c r="CF92"/>
      <c r="CG92">
        <v>0.3</v>
      </c>
      <c r="CH92"/>
      <c r="CI92"/>
      <c r="CJ92"/>
      <c r="CK92" t="s">
        <v>8820</v>
      </c>
      <c r="CL92"/>
      <c r="CM92"/>
    </row>
    <row r="93" spans="1:91" s="242" customFormat="1" ht="15">
      <c r="A93" s="364" t="s">
        <v>7702</v>
      </c>
      <c r="B93" t="s">
        <v>265</v>
      </c>
      <c r="C93" t="s">
        <v>413</v>
      </c>
      <c r="D93" s="232">
        <v>97</v>
      </c>
      <c r="E93" s="113">
        <v>18</v>
      </c>
      <c r="F93" s="113">
        <v>4</v>
      </c>
      <c r="G93" s="113"/>
      <c r="H93" s="113"/>
      <c r="I93"/>
      <c r="J93" s="112"/>
      <c r="K93" s="224">
        <v>6</v>
      </c>
      <c r="L93" s="390">
        <v>41625</v>
      </c>
      <c r="M93"/>
      <c r="N93" s="224"/>
      <c r="O93"/>
      <c r="P93"/>
      <c r="Q93"/>
      <c r="R93" s="153"/>
      <c r="S93" s="224"/>
      <c r="T93" s="224"/>
      <c r="U93"/>
      <c r="V93"/>
      <c r="W93"/>
      <c r="X93"/>
      <c r="Y93" s="225"/>
      <c r="Z93" s="224"/>
      <c r="AA93" s="226"/>
      <c r="AB93" s="224"/>
      <c r="AC93" s="225"/>
      <c r="AD93" s="224"/>
      <c r="AE93" s="224"/>
      <c r="AF93" s="224"/>
      <c r="AG93"/>
      <c r="AH93"/>
      <c r="AI93">
        <v>150</v>
      </c>
      <c r="AJ93" s="194">
        <v>41785</v>
      </c>
      <c r="AK93"/>
      <c r="AL93"/>
      <c r="AM93"/>
      <c r="AN93"/>
      <c r="AO93"/>
      <c r="AP93"/>
      <c r="AQ93" s="227"/>
      <c r="AR93" s="227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>
        <v>53.1</v>
      </c>
      <c r="BT93"/>
      <c r="BU93">
        <v>15.5</v>
      </c>
      <c r="BV93"/>
      <c r="BW93"/>
      <c r="BX93" s="228"/>
      <c r="BY93"/>
      <c r="BZ93"/>
      <c r="CA93"/>
      <c r="CB93" s="136"/>
      <c r="CC93"/>
      <c r="CD93"/>
      <c r="CE93">
        <v>8.9</v>
      </c>
      <c r="CF93"/>
      <c r="CG93">
        <v>0.3</v>
      </c>
      <c r="CH93"/>
      <c r="CI93"/>
      <c r="CJ93"/>
      <c r="CK93" t="s">
        <v>8820</v>
      </c>
      <c r="CL93"/>
      <c r="CM93"/>
    </row>
    <row r="94" spans="1:91" s="242" customFormat="1" ht="15">
      <c r="A94" s="364" t="s">
        <v>7703</v>
      </c>
      <c r="B94" t="s">
        <v>265</v>
      </c>
      <c r="C94" t="s">
        <v>413</v>
      </c>
      <c r="D94">
        <v>98</v>
      </c>
      <c r="E94" s="113">
        <v>1</v>
      </c>
      <c r="F94" s="113">
        <v>4</v>
      </c>
      <c r="G94" s="113"/>
      <c r="H94" s="113"/>
      <c r="I94"/>
      <c r="J94" s="112"/>
      <c r="K94" s="224">
        <v>7</v>
      </c>
      <c r="L94" s="390">
        <v>41625</v>
      </c>
      <c r="M94"/>
      <c r="N94" s="224"/>
      <c r="O94"/>
      <c r="P94"/>
      <c r="Q94"/>
      <c r="R94" s="153"/>
      <c r="S94" s="224"/>
      <c r="T94" s="224"/>
      <c r="U94"/>
      <c r="V94"/>
      <c r="W94"/>
      <c r="X94"/>
      <c r="Y94" s="225"/>
      <c r="Z94" s="224"/>
      <c r="AA94" s="226"/>
      <c r="AB94" s="224"/>
      <c r="AC94" s="225"/>
      <c r="AD94" s="224"/>
      <c r="AE94" s="224"/>
      <c r="AF94" s="224"/>
      <c r="AG94"/>
      <c r="AH94"/>
      <c r="AI94">
        <v>140</v>
      </c>
      <c r="AJ94" s="194">
        <v>41785</v>
      </c>
      <c r="AK94"/>
      <c r="AL94"/>
      <c r="AM94"/>
      <c r="AN94"/>
      <c r="AO94"/>
      <c r="AP94"/>
      <c r="AQ94" s="227"/>
      <c r="AR94" s="227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>
        <v>51.6</v>
      </c>
      <c r="BT94"/>
      <c r="BU94">
        <v>16.100000000000001</v>
      </c>
      <c r="BV94"/>
      <c r="BW94" s="229"/>
      <c r="BX94"/>
      <c r="BY94"/>
      <c r="BZ94"/>
      <c r="CA94"/>
      <c r="CB94" s="136"/>
      <c r="CC94"/>
      <c r="CD94"/>
      <c r="CE94">
        <v>5.4</v>
      </c>
      <c r="CF94"/>
      <c r="CG94">
        <v>0.3</v>
      </c>
      <c r="CH94"/>
      <c r="CI94"/>
      <c r="CJ94"/>
      <c r="CK94" t="s">
        <v>8820</v>
      </c>
      <c r="CL94"/>
      <c r="CM94"/>
    </row>
    <row r="95" spans="1:91" s="242" customFormat="1" ht="15">
      <c r="A95" s="364" t="s">
        <v>7704</v>
      </c>
      <c r="B95" t="s">
        <v>265</v>
      </c>
      <c r="C95" t="s">
        <v>413</v>
      </c>
      <c r="D95" s="232">
        <v>99</v>
      </c>
      <c r="E95" s="113">
        <v>14</v>
      </c>
      <c r="F95" s="113">
        <v>1</v>
      </c>
      <c r="G95" s="113"/>
      <c r="H95" s="113"/>
      <c r="I95"/>
      <c r="J95" s="112"/>
      <c r="K95" s="224">
        <v>6</v>
      </c>
      <c r="L95" s="390">
        <v>41625</v>
      </c>
      <c r="M95"/>
      <c r="N95" s="224"/>
      <c r="O95"/>
      <c r="P95"/>
      <c r="Q95"/>
      <c r="R95" s="153"/>
      <c r="S95" s="224"/>
      <c r="T95" s="224"/>
      <c r="U95"/>
      <c r="V95"/>
      <c r="W95"/>
      <c r="X95"/>
      <c r="Y95" s="225"/>
      <c r="Z95" s="224"/>
      <c r="AA95" s="226"/>
      <c r="AB95" s="224"/>
      <c r="AC95" s="225"/>
      <c r="AD95" s="224"/>
      <c r="AE95" s="224"/>
      <c r="AF95" s="224"/>
      <c r="AG95"/>
      <c r="AH95"/>
      <c r="AI95">
        <v>110</v>
      </c>
      <c r="AJ95" s="194">
        <v>41785</v>
      </c>
      <c r="AK95"/>
      <c r="AL95"/>
      <c r="AM95"/>
      <c r="AN95"/>
      <c r="AO95"/>
      <c r="AP95"/>
      <c r="AQ95" s="227"/>
      <c r="AR95" s="227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>
        <v>51.2</v>
      </c>
      <c r="BT95"/>
      <c r="BU95">
        <v>16.8</v>
      </c>
      <c r="BV95"/>
      <c r="BW95"/>
      <c r="BX95" s="228"/>
      <c r="BY95"/>
      <c r="BZ95"/>
      <c r="CA95"/>
      <c r="CB95" s="136"/>
      <c r="CC95"/>
      <c r="CD95"/>
      <c r="CE95">
        <v>7.6</v>
      </c>
      <c r="CF95"/>
      <c r="CG95">
        <v>0.5</v>
      </c>
      <c r="CH95"/>
      <c r="CI95"/>
      <c r="CJ95"/>
      <c r="CK95" t="s">
        <v>8820</v>
      </c>
      <c r="CL95"/>
      <c r="CM95"/>
    </row>
    <row r="96" spans="1:91" s="242" customFormat="1" ht="15">
      <c r="A96" s="364" t="s">
        <v>7705</v>
      </c>
      <c r="B96" t="s">
        <v>265</v>
      </c>
      <c r="C96" t="s">
        <v>413</v>
      </c>
      <c r="D96" s="232">
        <v>100</v>
      </c>
      <c r="E96" s="113">
        <v>21</v>
      </c>
      <c r="F96" s="113">
        <v>1</v>
      </c>
      <c r="G96" s="113"/>
      <c r="H96" s="113"/>
      <c r="I96"/>
      <c r="J96" s="112"/>
      <c r="K96" s="224">
        <v>6</v>
      </c>
      <c r="L96" s="390">
        <v>41625</v>
      </c>
      <c r="M96"/>
      <c r="N96" s="224"/>
      <c r="O96"/>
      <c r="P96"/>
      <c r="Q96"/>
      <c r="R96" s="153"/>
      <c r="S96" s="224"/>
      <c r="T96" s="224"/>
      <c r="U96"/>
      <c r="V96"/>
      <c r="W96"/>
      <c r="X96"/>
      <c r="Y96" s="225"/>
      <c r="Z96" s="224"/>
      <c r="AA96" s="226"/>
      <c r="AB96" s="224"/>
      <c r="AC96" s="225"/>
      <c r="AD96" s="224"/>
      <c r="AE96" s="224"/>
      <c r="AF96" s="224"/>
      <c r="AG96"/>
      <c r="AH96"/>
      <c r="AI96">
        <v>125</v>
      </c>
      <c r="AJ96" s="194">
        <v>41785</v>
      </c>
      <c r="AK96"/>
      <c r="AL96"/>
      <c r="AM96"/>
      <c r="AN96"/>
      <c r="AO96"/>
      <c r="AP96"/>
      <c r="AQ96" s="227"/>
      <c r="AR96" s="227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>
        <v>52.4</v>
      </c>
      <c r="BT96"/>
      <c r="BU96">
        <v>17.8</v>
      </c>
      <c r="BV96"/>
      <c r="BW96"/>
      <c r="BX96" s="228"/>
      <c r="BY96"/>
      <c r="BZ96"/>
      <c r="CA96"/>
      <c r="CB96" s="136"/>
      <c r="CC96"/>
      <c r="CD96"/>
      <c r="CE96">
        <v>5.0999999999999996</v>
      </c>
      <c r="CF96"/>
      <c r="CG96">
        <v>1.2</v>
      </c>
      <c r="CH96"/>
      <c r="CI96"/>
      <c r="CJ96"/>
      <c r="CK96" t="s">
        <v>8820</v>
      </c>
      <c r="CL96"/>
      <c r="CM96"/>
    </row>
    <row r="97" spans="1:91" s="242" customFormat="1" ht="15">
      <c r="A97" s="364" t="s">
        <v>7706</v>
      </c>
      <c r="B97" t="s">
        <v>265</v>
      </c>
      <c r="C97" t="s">
        <v>413</v>
      </c>
      <c r="D97">
        <v>101</v>
      </c>
      <c r="E97" s="113">
        <v>15</v>
      </c>
      <c r="F97" s="113">
        <v>6</v>
      </c>
      <c r="G97" s="113"/>
      <c r="H97" s="113"/>
      <c r="I97"/>
      <c r="J97" s="112"/>
      <c r="K97" s="224">
        <v>6</v>
      </c>
      <c r="L97" s="390">
        <v>41625</v>
      </c>
      <c r="M97"/>
      <c r="N97" s="224"/>
      <c r="O97"/>
      <c r="P97"/>
      <c r="Q97"/>
      <c r="R97" s="153"/>
      <c r="S97" s="224"/>
      <c r="T97" s="224"/>
      <c r="U97"/>
      <c r="V97"/>
      <c r="W97"/>
      <c r="X97"/>
      <c r="Y97" s="225"/>
      <c r="Z97" s="224"/>
      <c r="AA97" s="226"/>
      <c r="AB97" s="224"/>
      <c r="AC97" s="225"/>
      <c r="AD97" s="224"/>
      <c r="AE97" s="224"/>
      <c r="AF97" s="224"/>
      <c r="AG97"/>
      <c r="AH97"/>
      <c r="AI97">
        <v>115</v>
      </c>
      <c r="AJ97" s="194">
        <v>41785</v>
      </c>
      <c r="AK97"/>
      <c r="AL97"/>
      <c r="AM97"/>
      <c r="AN97"/>
      <c r="AO97"/>
      <c r="AP97"/>
      <c r="AQ97" s="227"/>
      <c r="AR97" s="22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>
        <v>52.6</v>
      </c>
      <c r="BT97"/>
      <c r="BU97">
        <v>16</v>
      </c>
      <c r="BV97"/>
      <c r="BW97" s="229"/>
      <c r="BX97"/>
      <c r="BY97"/>
      <c r="BZ97"/>
      <c r="CA97"/>
      <c r="CB97" s="136"/>
      <c r="CC97"/>
      <c r="CD97"/>
      <c r="CE97">
        <v>7.5</v>
      </c>
      <c r="CF97"/>
      <c r="CG97">
        <v>0.3</v>
      </c>
      <c r="CH97"/>
      <c r="CI97"/>
      <c r="CJ97"/>
      <c r="CK97" t="s">
        <v>8820</v>
      </c>
      <c r="CL97"/>
      <c r="CM97"/>
    </row>
    <row r="98" spans="1:91" s="242" customFormat="1" ht="15">
      <c r="A98" s="364" t="s">
        <v>7707</v>
      </c>
      <c r="B98" t="s">
        <v>265</v>
      </c>
      <c r="C98" t="s">
        <v>413</v>
      </c>
      <c r="D98">
        <v>102</v>
      </c>
      <c r="E98" s="113">
        <v>4</v>
      </c>
      <c r="F98" s="113">
        <v>2</v>
      </c>
      <c r="G98" s="113"/>
      <c r="H98" s="113"/>
      <c r="I98"/>
      <c r="J98" s="112"/>
      <c r="K98" s="224">
        <v>7</v>
      </c>
      <c r="L98" s="390">
        <v>41625</v>
      </c>
      <c r="M98"/>
      <c r="N98" s="224"/>
      <c r="O98"/>
      <c r="P98"/>
      <c r="Q98"/>
      <c r="R98" s="153"/>
      <c r="S98" s="224"/>
      <c r="T98" s="224"/>
      <c r="U98"/>
      <c r="V98"/>
      <c r="W98"/>
      <c r="X98"/>
      <c r="Y98" s="225"/>
      <c r="Z98" s="224"/>
      <c r="AA98" s="226"/>
      <c r="AB98" s="224"/>
      <c r="AC98" s="225"/>
      <c r="AD98" s="224"/>
      <c r="AE98" s="224"/>
      <c r="AF98" s="224"/>
      <c r="AG98"/>
      <c r="AH98"/>
      <c r="AI98">
        <v>120</v>
      </c>
      <c r="AJ98" s="194">
        <v>41785</v>
      </c>
      <c r="AK98"/>
      <c r="AL98"/>
      <c r="AM98"/>
      <c r="AN98"/>
      <c r="AO98"/>
      <c r="AP98"/>
      <c r="AQ98" s="227"/>
      <c r="AR98" s="227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>
        <v>52.4</v>
      </c>
      <c r="BT98"/>
      <c r="BU98">
        <v>17.8</v>
      </c>
      <c r="BV98"/>
      <c r="BW98" s="229"/>
      <c r="BX98"/>
      <c r="BY98"/>
      <c r="BZ98"/>
      <c r="CA98"/>
      <c r="CB98" s="136"/>
      <c r="CC98"/>
      <c r="CD98"/>
      <c r="CE98">
        <v>5.2</v>
      </c>
      <c r="CF98"/>
      <c r="CG98">
        <v>1.2</v>
      </c>
      <c r="CH98"/>
      <c r="CI98"/>
      <c r="CJ98"/>
      <c r="CK98" t="s">
        <v>8820</v>
      </c>
      <c r="CL98"/>
      <c r="CM98"/>
    </row>
    <row r="99" spans="1:91" s="242" customFormat="1" ht="15">
      <c r="A99" s="364" t="s">
        <v>7708</v>
      </c>
      <c r="B99" t="s">
        <v>265</v>
      </c>
      <c r="C99" t="s">
        <v>413</v>
      </c>
      <c r="D99">
        <v>103</v>
      </c>
      <c r="E99" s="113">
        <v>19</v>
      </c>
      <c r="F99" s="113">
        <v>4</v>
      </c>
      <c r="G99" s="113"/>
      <c r="H99" s="113"/>
      <c r="I99"/>
      <c r="J99" s="112"/>
      <c r="K99" s="224">
        <v>6</v>
      </c>
      <c r="L99" s="390">
        <v>41625</v>
      </c>
      <c r="M99"/>
      <c r="N99" s="224"/>
      <c r="O99"/>
      <c r="P99"/>
      <c r="Q99"/>
      <c r="R99" s="153"/>
      <c r="S99" s="224"/>
      <c r="T99" s="224"/>
      <c r="U99"/>
      <c r="V99"/>
      <c r="W99"/>
      <c r="X99"/>
      <c r="Y99" s="225"/>
      <c r="Z99" s="224"/>
      <c r="AA99" s="226"/>
      <c r="AB99" s="224"/>
      <c r="AC99" s="225"/>
      <c r="AD99" s="224"/>
      <c r="AE99" s="224"/>
      <c r="AF99" s="224"/>
      <c r="AG99"/>
      <c r="AH99"/>
      <c r="AI99">
        <v>150</v>
      </c>
      <c r="AJ99" s="194">
        <v>41785</v>
      </c>
      <c r="AK99"/>
      <c r="AL99"/>
      <c r="AM99"/>
      <c r="AN99"/>
      <c r="AO99"/>
      <c r="AP99"/>
      <c r="AQ99" s="227"/>
      <c r="AR99" s="227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>
        <v>52.4</v>
      </c>
      <c r="BT99"/>
      <c r="BU99">
        <v>15.8</v>
      </c>
      <c r="BV99"/>
      <c r="BW99"/>
      <c r="BX99" s="228"/>
      <c r="BY99"/>
      <c r="BZ99"/>
      <c r="CA99"/>
      <c r="CB99" s="136"/>
      <c r="CC99"/>
      <c r="CD99"/>
      <c r="CE99">
        <v>5.9</v>
      </c>
      <c r="CF99"/>
      <c r="CG99">
        <v>0.1</v>
      </c>
      <c r="CH99"/>
      <c r="CI99"/>
      <c r="CJ99"/>
      <c r="CK99" t="s">
        <v>8820</v>
      </c>
      <c r="CL99"/>
      <c r="CM99"/>
    </row>
    <row r="100" spans="1:91" s="242" customFormat="1" ht="15">
      <c r="A100" s="364" t="s">
        <v>7709</v>
      </c>
      <c r="B100" t="s">
        <v>265</v>
      </c>
      <c r="C100" t="s">
        <v>413</v>
      </c>
      <c r="D100">
        <v>104</v>
      </c>
      <c r="E100" s="113">
        <v>4</v>
      </c>
      <c r="F100" s="113">
        <v>3</v>
      </c>
      <c r="G100" s="113"/>
      <c r="H100" s="113"/>
      <c r="I100"/>
      <c r="J100" s="112"/>
      <c r="K100" s="224">
        <v>7</v>
      </c>
      <c r="L100" s="390">
        <v>41625</v>
      </c>
      <c r="M100"/>
      <c r="N100" s="224"/>
      <c r="O100"/>
      <c r="P100"/>
      <c r="Q100"/>
      <c r="R100" s="153"/>
      <c r="S100" s="224"/>
      <c r="T100" s="224"/>
      <c r="U100"/>
      <c r="V100"/>
      <c r="W100"/>
      <c r="X100"/>
      <c r="Y100" s="225"/>
      <c r="Z100" s="224"/>
      <c r="AA100" s="226"/>
      <c r="AB100" s="224"/>
      <c r="AC100" s="225"/>
      <c r="AD100" s="224"/>
      <c r="AE100" s="224"/>
      <c r="AF100" s="224"/>
      <c r="AG100"/>
      <c r="AH100"/>
      <c r="AI100">
        <v>130</v>
      </c>
      <c r="AJ100" s="194">
        <v>41785</v>
      </c>
      <c r="AK100"/>
      <c r="AL100"/>
      <c r="AM100"/>
      <c r="AN100"/>
      <c r="AO100"/>
      <c r="AP100"/>
      <c r="AQ100" s="227"/>
      <c r="AR100" s="227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>
        <v>52.8</v>
      </c>
      <c r="BT100"/>
      <c r="BU100">
        <v>17.100000000000001</v>
      </c>
      <c r="BV100"/>
      <c r="BW100"/>
      <c r="BX100" s="228"/>
      <c r="BY100"/>
      <c r="BZ100"/>
      <c r="CA100"/>
      <c r="CB100" s="136"/>
      <c r="CC100"/>
      <c r="CD100"/>
      <c r="CE100">
        <v>5.0999999999999996</v>
      </c>
      <c r="CF100"/>
      <c r="CG100">
        <v>0.5</v>
      </c>
      <c r="CH100"/>
      <c r="CI100"/>
      <c r="CJ100"/>
      <c r="CK100" t="s">
        <v>8820</v>
      </c>
      <c r="CL100"/>
      <c r="CM100"/>
    </row>
    <row r="101" spans="1:91" s="242" customFormat="1" ht="15">
      <c r="A101" s="364" t="s">
        <v>7710</v>
      </c>
      <c r="B101" t="s">
        <v>265</v>
      </c>
      <c r="C101" t="s">
        <v>413</v>
      </c>
      <c r="D101" s="232">
        <v>105</v>
      </c>
      <c r="E101" s="113">
        <v>6</v>
      </c>
      <c r="F101" s="113">
        <v>2</v>
      </c>
      <c r="G101" s="113"/>
      <c r="H101" s="113"/>
      <c r="I101"/>
      <c r="J101" s="112"/>
      <c r="K101" s="224">
        <v>7</v>
      </c>
      <c r="L101" s="390">
        <v>41625</v>
      </c>
      <c r="M101"/>
      <c r="N101" s="224"/>
      <c r="O101"/>
      <c r="P101"/>
      <c r="Q101"/>
      <c r="R101" s="153"/>
      <c r="S101" s="224"/>
      <c r="T101" s="224"/>
      <c r="U101"/>
      <c r="V101"/>
      <c r="W101"/>
      <c r="X101"/>
      <c r="Y101" s="225"/>
      <c r="Z101" s="224"/>
      <c r="AA101" s="226"/>
      <c r="AB101" s="224"/>
      <c r="AC101" s="225"/>
      <c r="AD101" s="224"/>
      <c r="AE101" s="224"/>
      <c r="AF101" s="224"/>
      <c r="AG101"/>
      <c r="AH101"/>
      <c r="AI101">
        <v>145</v>
      </c>
      <c r="AJ101" s="194">
        <v>41785</v>
      </c>
      <c r="AK101"/>
      <c r="AL101"/>
      <c r="AM101"/>
      <c r="AN101"/>
      <c r="AO101"/>
      <c r="AP101"/>
      <c r="AQ101" s="227"/>
      <c r="AR101" s="227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>
        <v>51.1</v>
      </c>
      <c r="BT101"/>
      <c r="BU101">
        <v>16.8</v>
      </c>
      <c r="BV101"/>
      <c r="BW101"/>
      <c r="BX101" s="228"/>
      <c r="BY101"/>
      <c r="BZ101"/>
      <c r="CA101"/>
      <c r="CB101" s="136"/>
      <c r="CC101"/>
      <c r="CD101"/>
      <c r="CE101">
        <v>5.4</v>
      </c>
      <c r="CF101"/>
      <c r="CG101">
        <v>0.5</v>
      </c>
      <c r="CH101"/>
      <c r="CI101"/>
      <c r="CJ101"/>
      <c r="CK101" t="s">
        <v>8820</v>
      </c>
      <c r="CL101"/>
      <c r="CM101"/>
    </row>
    <row r="102" spans="1:91" s="242" customFormat="1" ht="15">
      <c r="A102" s="364" t="s">
        <v>7711</v>
      </c>
      <c r="B102" t="s">
        <v>265</v>
      </c>
      <c r="C102" t="s">
        <v>413</v>
      </c>
      <c r="D102">
        <v>106</v>
      </c>
      <c r="E102" s="113">
        <v>8</v>
      </c>
      <c r="F102" s="113">
        <v>3</v>
      </c>
      <c r="G102" s="113"/>
      <c r="H102" s="113"/>
      <c r="I102"/>
      <c r="J102" s="112"/>
      <c r="K102" s="224">
        <v>4</v>
      </c>
      <c r="L102" s="390">
        <v>41625</v>
      </c>
      <c r="M102"/>
      <c r="N102" s="224"/>
      <c r="O102"/>
      <c r="P102"/>
      <c r="Q102"/>
      <c r="R102" s="153"/>
      <c r="S102" s="224"/>
      <c r="T102" s="224"/>
      <c r="U102"/>
      <c r="V102"/>
      <c r="W102"/>
      <c r="X102"/>
      <c r="Y102" s="225"/>
      <c r="Z102" s="224"/>
      <c r="AA102" s="226"/>
      <c r="AB102" s="224"/>
      <c r="AC102" s="225"/>
      <c r="AD102" s="224"/>
      <c r="AE102" s="224"/>
      <c r="AF102" s="224"/>
      <c r="AG102"/>
      <c r="AH102"/>
      <c r="AI102">
        <v>150</v>
      </c>
      <c r="AJ102" s="194">
        <v>41785</v>
      </c>
      <c r="AK102"/>
      <c r="AL102"/>
      <c r="AM102"/>
      <c r="AN102"/>
      <c r="AO102"/>
      <c r="AP102"/>
      <c r="AQ102" s="227"/>
      <c r="AR102" s="227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>
        <v>50.1</v>
      </c>
      <c r="BT102"/>
      <c r="BU102">
        <v>15.5</v>
      </c>
      <c r="BV102"/>
      <c r="BW102" s="229"/>
      <c r="BX102"/>
      <c r="BY102"/>
      <c r="BZ102"/>
      <c r="CA102"/>
      <c r="CB102" s="136"/>
      <c r="CC102"/>
      <c r="CD102"/>
      <c r="CE102">
        <v>5.4</v>
      </c>
      <c r="CF102"/>
      <c r="CG102">
        <v>0.3</v>
      </c>
      <c r="CH102"/>
      <c r="CI102"/>
      <c r="CJ102"/>
      <c r="CK102" t="s">
        <v>8820</v>
      </c>
      <c r="CL102"/>
      <c r="CM102"/>
    </row>
    <row r="103" spans="1:91" s="242" customFormat="1" ht="15">
      <c r="A103" s="364" t="s">
        <v>7712</v>
      </c>
      <c r="B103" t="s">
        <v>265</v>
      </c>
      <c r="C103" t="s">
        <v>413</v>
      </c>
      <c r="D103" s="232">
        <v>107</v>
      </c>
      <c r="E103" s="113">
        <v>34</v>
      </c>
      <c r="F103" s="113">
        <v>1</v>
      </c>
      <c r="G103" s="113"/>
      <c r="H103" s="113"/>
      <c r="I103"/>
      <c r="J103" s="112"/>
      <c r="K103" s="224">
        <v>6</v>
      </c>
      <c r="L103" s="390">
        <v>41625</v>
      </c>
      <c r="M103"/>
      <c r="N103" s="224"/>
      <c r="O103"/>
      <c r="P103"/>
      <c r="Q103"/>
      <c r="R103" s="153"/>
      <c r="S103" s="224"/>
      <c r="T103" s="224"/>
      <c r="U103"/>
      <c r="V103"/>
      <c r="W103"/>
      <c r="X103"/>
      <c r="Y103" s="225"/>
      <c r="Z103" s="224"/>
      <c r="AA103" s="226"/>
      <c r="AB103" s="224"/>
      <c r="AC103" s="225"/>
      <c r="AD103" s="224"/>
      <c r="AE103" s="224"/>
      <c r="AF103" s="224"/>
      <c r="AG103"/>
      <c r="AH103"/>
      <c r="AI103">
        <v>130</v>
      </c>
      <c r="AJ103" s="194">
        <v>41785</v>
      </c>
      <c r="AK103"/>
      <c r="AL103"/>
      <c r="AM103"/>
      <c r="AN103"/>
      <c r="AO103"/>
      <c r="AP103"/>
      <c r="AQ103" s="227"/>
      <c r="AR103" s="227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>
        <v>54.3</v>
      </c>
      <c r="BT103"/>
      <c r="BU103">
        <v>15.7</v>
      </c>
      <c r="BV103"/>
      <c r="BW103" s="229"/>
      <c r="BX103"/>
      <c r="BY103"/>
      <c r="BZ103"/>
      <c r="CA103"/>
      <c r="CB103" s="136"/>
      <c r="CC103"/>
      <c r="CD103"/>
      <c r="CE103">
        <v>5.7</v>
      </c>
      <c r="CF103"/>
      <c r="CG103">
        <v>0.8</v>
      </c>
      <c r="CH103"/>
      <c r="CI103"/>
      <c r="CJ103"/>
      <c r="CK103" t="s">
        <v>8820</v>
      </c>
      <c r="CL103"/>
      <c r="CM103"/>
    </row>
    <row r="104" spans="1:91" s="242" customFormat="1" ht="15.75" thickBot="1">
      <c r="A104" s="364" t="s">
        <v>7713</v>
      </c>
      <c r="B104" s="344" t="s">
        <v>265</v>
      </c>
      <c r="C104" s="344" t="s">
        <v>413</v>
      </c>
      <c r="D104" s="232">
        <v>108</v>
      </c>
      <c r="E104" s="113">
        <v>6</v>
      </c>
      <c r="F104" s="113">
        <v>5</v>
      </c>
      <c r="G104" s="113"/>
      <c r="H104" s="113"/>
      <c r="I104"/>
      <c r="J104" s="112"/>
      <c r="K104" s="224">
        <v>6</v>
      </c>
      <c r="L104" s="390">
        <v>41625</v>
      </c>
      <c r="M104"/>
      <c r="N104" s="224"/>
      <c r="O104"/>
      <c r="P104"/>
      <c r="Q104"/>
      <c r="R104" s="153"/>
      <c r="S104" s="224"/>
      <c r="T104" s="224"/>
      <c r="U104"/>
      <c r="V104"/>
      <c r="W104"/>
      <c r="X104"/>
      <c r="Y104" s="225"/>
      <c r="Z104" s="224"/>
      <c r="AA104" s="226"/>
      <c r="AB104" s="224"/>
      <c r="AC104" s="225"/>
      <c r="AD104" s="224"/>
      <c r="AE104" s="224"/>
      <c r="AF104" s="224"/>
      <c r="AG104"/>
      <c r="AH104"/>
      <c r="AI104">
        <v>125</v>
      </c>
      <c r="AJ104" s="194">
        <v>41785</v>
      </c>
      <c r="AK104"/>
      <c r="AL104"/>
      <c r="AM104"/>
      <c r="AN104"/>
      <c r="AO104"/>
      <c r="AP104"/>
      <c r="AQ104" s="227"/>
      <c r="AR104" s="227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>
        <v>51</v>
      </c>
      <c r="BT104"/>
      <c r="BU104">
        <v>16.600000000000001</v>
      </c>
      <c r="BV104"/>
      <c r="BW104"/>
      <c r="BX104" s="228"/>
      <c r="BY104"/>
      <c r="BZ104"/>
      <c r="CA104"/>
      <c r="CB104" s="136"/>
      <c r="CC104"/>
      <c r="CD104"/>
      <c r="CE104">
        <v>5.5</v>
      </c>
      <c r="CF104"/>
      <c r="CG104">
        <v>0.3</v>
      </c>
      <c r="CH104"/>
      <c r="CI104"/>
      <c r="CJ104"/>
      <c r="CK104" t="s">
        <v>8820</v>
      </c>
      <c r="CL104"/>
      <c r="CM104"/>
    </row>
    <row r="105" spans="1:91" s="242" customFormat="1" ht="15">
      <c r="A105" s="364" t="s">
        <v>7714</v>
      </c>
      <c r="B105" t="s">
        <v>265</v>
      </c>
      <c r="C105" t="s">
        <v>413</v>
      </c>
      <c r="D105">
        <v>109</v>
      </c>
      <c r="E105" s="113">
        <v>27</v>
      </c>
      <c r="F105" s="113">
        <v>5</v>
      </c>
      <c r="G105" s="113"/>
      <c r="H105" s="113"/>
      <c r="I105"/>
      <c r="J105" s="112"/>
      <c r="K105" s="224">
        <v>6</v>
      </c>
      <c r="L105" s="390">
        <v>41625</v>
      </c>
      <c r="M105"/>
      <c r="N105" s="224"/>
      <c r="O105"/>
      <c r="P105"/>
      <c r="Q105"/>
      <c r="R105" s="153"/>
      <c r="S105" s="224"/>
      <c r="T105" s="224"/>
      <c r="U105"/>
      <c r="V105"/>
      <c r="W105"/>
      <c r="X105"/>
      <c r="Y105" s="225"/>
      <c r="Z105" s="224"/>
      <c r="AA105" s="226"/>
      <c r="AB105" s="224"/>
      <c r="AC105" s="225"/>
      <c r="AD105" s="224"/>
      <c r="AE105" s="224"/>
      <c r="AF105" s="224"/>
      <c r="AG105"/>
      <c r="AH105"/>
      <c r="AI105">
        <v>130</v>
      </c>
      <c r="AJ105" s="194">
        <v>41785</v>
      </c>
      <c r="AK105"/>
      <c r="AL105"/>
      <c r="AM105"/>
      <c r="AN105"/>
      <c r="AO105"/>
      <c r="AP105"/>
      <c r="AQ105" s="227"/>
      <c r="AR105" s="227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>
        <v>53.9</v>
      </c>
      <c r="BT105"/>
      <c r="BU105">
        <v>13.5</v>
      </c>
      <c r="BV105"/>
      <c r="BW105" s="229"/>
      <c r="BX105"/>
      <c r="BY105"/>
      <c r="BZ105"/>
      <c r="CA105"/>
      <c r="CB105" s="136"/>
      <c r="CC105"/>
      <c r="CD105"/>
      <c r="CE105">
        <v>5.9</v>
      </c>
      <c r="CF105"/>
      <c r="CG105">
        <v>0.1</v>
      </c>
      <c r="CH105"/>
      <c r="CI105"/>
      <c r="CJ105"/>
      <c r="CK105" t="s">
        <v>8820</v>
      </c>
      <c r="CL105"/>
      <c r="CM105"/>
    </row>
    <row r="106" spans="1:91" s="242" customFormat="1" ht="15">
      <c r="A106" s="364" t="s">
        <v>7715</v>
      </c>
      <c r="B106" t="s">
        <v>265</v>
      </c>
      <c r="C106" t="s">
        <v>413</v>
      </c>
      <c r="D106">
        <v>110</v>
      </c>
      <c r="E106" s="113">
        <v>8</v>
      </c>
      <c r="F106" s="113">
        <v>2</v>
      </c>
      <c r="G106" s="113"/>
      <c r="H106" s="113"/>
      <c r="I106"/>
      <c r="J106" s="112"/>
      <c r="K106" s="224">
        <v>6</v>
      </c>
      <c r="L106" s="390">
        <v>41625</v>
      </c>
      <c r="M106"/>
      <c r="N106" s="224"/>
      <c r="O106"/>
      <c r="P106"/>
      <c r="Q106"/>
      <c r="R106" s="153"/>
      <c r="S106" s="224"/>
      <c r="T106" s="224"/>
      <c r="U106"/>
      <c r="V106"/>
      <c r="W106"/>
      <c r="X106"/>
      <c r="Y106" s="225"/>
      <c r="Z106" s="224"/>
      <c r="AA106" s="226"/>
      <c r="AB106" s="224"/>
      <c r="AC106" s="225"/>
      <c r="AD106" s="224"/>
      <c r="AE106" s="224"/>
      <c r="AF106" s="224"/>
      <c r="AG106"/>
      <c r="AH106"/>
      <c r="AI106">
        <v>145</v>
      </c>
      <c r="AJ106" s="194">
        <v>41785</v>
      </c>
      <c r="AK106"/>
      <c r="AL106"/>
      <c r="AM106"/>
      <c r="AN106"/>
      <c r="AO106"/>
      <c r="AP106"/>
      <c r="AQ106" s="227"/>
      <c r="AR106" s="227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>
        <v>52.5</v>
      </c>
      <c r="BT106"/>
      <c r="BU106">
        <v>15.3</v>
      </c>
      <c r="BV106"/>
      <c r="BW106" s="229"/>
      <c r="BX106"/>
      <c r="BY106"/>
      <c r="BZ106"/>
      <c r="CA106"/>
      <c r="CB106" s="136"/>
      <c r="CC106"/>
      <c r="CD106"/>
      <c r="CE106">
        <v>5.3</v>
      </c>
      <c r="CF106"/>
      <c r="CG106">
        <v>0.3</v>
      </c>
      <c r="CH106"/>
      <c r="CI106"/>
      <c r="CJ106"/>
      <c r="CK106" t="s">
        <v>8820</v>
      </c>
      <c r="CL106"/>
      <c r="CM106"/>
    </row>
    <row r="107" spans="1:91" s="242" customFormat="1" ht="15">
      <c r="A107" s="364" t="s">
        <v>7716</v>
      </c>
      <c r="B107" t="s">
        <v>265</v>
      </c>
      <c r="C107" t="s">
        <v>413</v>
      </c>
      <c r="D107">
        <v>111</v>
      </c>
      <c r="E107" s="113">
        <v>33</v>
      </c>
      <c r="F107" s="113">
        <v>1</v>
      </c>
      <c r="G107" s="113"/>
      <c r="H107" s="113"/>
      <c r="I107"/>
      <c r="J107" s="112"/>
      <c r="K107" s="224">
        <v>5</v>
      </c>
      <c r="L107" s="390">
        <v>41625</v>
      </c>
      <c r="M107"/>
      <c r="N107" s="224"/>
      <c r="O107"/>
      <c r="P107"/>
      <c r="Q107"/>
      <c r="R107" s="153"/>
      <c r="S107" s="224"/>
      <c r="T107" s="224"/>
      <c r="U107"/>
      <c r="V107"/>
      <c r="W107"/>
      <c r="X107"/>
      <c r="Y107" s="225"/>
      <c r="Z107" s="224"/>
      <c r="AA107" s="226"/>
      <c r="AB107" s="224"/>
      <c r="AC107" s="225"/>
      <c r="AD107" s="224"/>
      <c r="AE107" s="224"/>
      <c r="AF107" s="224"/>
      <c r="AG107"/>
      <c r="AH107"/>
      <c r="AI107">
        <v>125</v>
      </c>
      <c r="AJ107" s="194">
        <v>41785</v>
      </c>
      <c r="AK107"/>
      <c r="AL107"/>
      <c r="AM107"/>
      <c r="AN107"/>
      <c r="AO107"/>
      <c r="AP107"/>
      <c r="AQ107" s="227"/>
      <c r="AR107" s="22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>
        <v>52</v>
      </c>
      <c r="BT107"/>
      <c r="BU107">
        <v>15.4</v>
      </c>
      <c r="BV107"/>
      <c r="BW107"/>
      <c r="BX107" s="228"/>
      <c r="BY107"/>
      <c r="BZ107"/>
      <c r="CA107"/>
      <c r="CB107" s="136"/>
      <c r="CC107"/>
      <c r="CD107"/>
      <c r="CE107">
        <v>6.4</v>
      </c>
      <c r="CF107"/>
      <c r="CG107">
        <v>0.3</v>
      </c>
      <c r="CH107"/>
      <c r="CI107"/>
      <c r="CJ107"/>
      <c r="CK107" t="s">
        <v>8820</v>
      </c>
      <c r="CL107"/>
      <c r="CM107"/>
    </row>
    <row r="108" spans="1:91" ht="15">
      <c r="A108" s="364" t="s">
        <v>7717</v>
      </c>
      <c r="B108" t="s">
        <v>265</v>
      </c>
      <c r="C108" t="s">
        <v>413</v>
      </c>
      <c r="D108">
        <v>112</v>
      </c>
      <c r="E108" s="113">
        <v>20</v>
      </c>
      <c r="F108" s="113">
        <v>2</v>
      </c>
      <c r="I108"/>
      <c r="K108" s="224">
        <v>7</v>
      </c>
      <c r="L108" s="390">
        <v>41625</v>
      </c>
      <c r="M108"/>
      <c r="N108" s="224"/>
      <c r="O108"/>
      <c r="P108"/>
      <c r="Q108"/>
      <c r="S108" s="224"/>
      <c r="T108" s="224"/>
      <c r="U108"/>
      <c r="V108"/>
      <c r="W108"/>
      <c r="X108"/>
      <c r="Y108" s="225"/>
      <c r="Z108" s="224"/>
      <c r="AA108" s="226"/>
      <c r="AB108" s="224"/>
      <c r="AC108" s="225"/>
      <c r="AD108" s="224"/>
      <c r="AE108" s="224"/>
      <c r="AF108" s="224"/>
      <c r="AG108"/>
      <c r="AH108"/>
      <c r="AI108">
        <v>112</v>
      </c>
      <c r="AJ108" s="194">
        <v>41785</v>
      </c>
      <c r="AK108"/>
      <c r="AL108"/>
      <c r="AM108"/>
      <c r="AN108"/>
      <c r="AO108"/>
      <c r="AP108"/>
      <c r="AQ108" s="227"/>
      <c r="AR108" s="227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>
        <v>51.2</v>
      </c>
      <c r="BT108"/>
      <c r="BU108">
        <v>16.2</v>
      </c>
      <c r="BV108"/>
      <c r="BW108" s="229"/>
      <c r="BX108"/>
      <c r="BY108"/>
      <c r="BZ108"/>
      <c r="CA108"/>
      <c r="CC108"/>
      <c r="CD108"/>
      <c r="CE108">
        <v>5.0999999999999996</v>
      </c>
      <c r="CF108"/>
      <c r="CG108">
        <v>0.3</v>
      </c>
      <c r="CH108"/>
      <c r="CI108"/>
      <c r="CJ108"/>
      <c r="CK108" t="s">
        <v>8820</v>
      </c>
      <c r="CL108"/>
      <c r="CM108"/>
    </row>
    <row r="109" spans="1:91" ht="15">
      <c r="A109" s="364" t="s">
        <v>7718</v>
      </c>
      <c r="B109" s="362" t="s">
        <v>265</v>
      </c>
      <c r="C109" s="362" t="s">
        <v>413</v>
      </c>
      <c r="D109">
        <v>113</v>
      </c>
      <c r="E109" s="113">
        <v>36</v>
      </c>
      <c r="F109" s="113">
        <v>4</v>
      </c>
      <c r="I109"/>
      <c r="K109" s="224">
        <v>6</v>
      </c>
      <c r="L109" s="390">
        <v>41625</v>
      </c>
      <c r="M109"/>
      <c r="N109" s="224"/>
      <c r="O109"/>
      <c r="P109"/>
      <c r="Q109"/>
      <c r="S109" s="224"/>
      <c r="T109" s="224"/>
      <c r="U109"/>
      <c r="V109"/>
      <c r="W109"/>
      <c r="X109"/>
      <c r="Y109" s="225"/>
      <c r="Z109" s="224"/>
      <c r="AA109" s="226"/>
      <c r="AB109" s="224"/>
      <c r="AC109" s="225"/>
      <c r="AD109" s="224"/>
      <c r="AE109" s="224"/>
      <c r="AF109" s="224"/>
      <c r="AG109"/>
      <c r="AH109"/>
      <c r="AI109">
        <v>140</v>
      </c>
      <c r="AJ109" s="194">
        <v>41785</v>
      </c>
      <c r="AK109"/>
      <c r="AL109"/>
      <c r="AM109"/>
      <c r="AN109"/>
      <c r="AO109"/>
      <c r="AP109"/>
      <c r="AQ109" s="227"/>
      <c r="AR109" s="227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>
        <v>53.1</v>
      </c>
      <c r="BT109"/>
      <c r="BU109">
        <v>15.9</v>
      </c>
      <c r="BV109"/>
      <c r="BW109" s="229"/>
      <c r="BX109"/>
      <c r="BY109"/>
      <c r="BZ109"/>
      <c r="CA109"/>
      <c r="CC109"/>
      <c r="CD109"/>
      <c r="CE109">
        <v>6.7</v>
      </c>
      <c r="CF109"/>
      <c r="CG109">
        <v>0.1</v>
      </c>
      <c r="CH109"/>
      <c r="CI109"/>
      <c r="CJ109"/>
      <c r="CK109" t="s">
        <v>8820</v>
      </c>
      <c r="CL109"/>
      <c r="CM109"/>
    </row>
    <row r="110" spans="1:91" ht="15">
      <c r="A110" s="364" t="s">
        <v>7719</v>
      </c>
      <c r="B110" t="s">
        <v>265</v>
      </c>
      <c r="C110" t="s">
        <v>413</v>
      </c>
      <c r="D110">
        <v>114</v>
      </c>
      <c r="E110" s="113">
        <v>18</v>
      </c>
      <c r="F110" s="113">
        <v>5</v>
      </c>
      <c r="G110" s="233"/>
      <c r="H110" s="233"/>
      <c r="I110" s="232"/>
      <c r="J110" s="234"/>
      <c r="K110" s="235">
        <v>6</v>
      </c>
      <c r="L110" s="390">
        <v>41625</v>
      </c>
      <c r="M110" s="232"/>
      <c r="N110" s="235"/>
      <c r="O110" s="232"/>
      <c r="P110" s="232"/>
      <c r="Q110" s="232"/>
      <c r="R110" s="236"/>
      <c r="S110" s="235"/>
      <c r="T110" s="235"/>
      <c r="U110" s="232"/>
      <c r="V110" s="232"/>
      <c r="W110" s="232"/>
      <c r="X110" s="232"/>
      <c r="Y110" s="237"/>
      <c r="Z110" s="235"/>
      <c r="AA110" s="238"/>
      <c r="AB110" s="235"/>
      <c r="AC110" s="237"/>
      <c r="AD110" s="235"/>
      <c r="AE110" s="235"/>
      <c r="AF110" s="235"/>
      <c r="AG110" s="232"/>
      <c r="AH110" s="232"/>
      <c r="AI110" s="232">
        <v>130</v>
      </c>
      <c r="AJ110" s="194">
        <v>41785</v>
      </c>
      <c r="AK110" s="232"/>
      <c r="AL110" s="232"/>
      <c r="AM110" s="232"/>
      <c r="AN110" s="232"/>
      <c r="AO110" s="232"/>
      <c r="AP110" s="232"/>
      <c r="AQ110" s="239"/>
      <c r="AR110" s="23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232"/>
      <c r="BH110" s="232"/>
      <c r="BI110" s="232"/>
      <c r="BJ110" s="232"/>
      <c r="BK110" s="232"/>
      <c r="BL110" s="232"/>
      <c r="BM110" s="232"/>
      <c r="BN110" s="232"/>
      <c r="BO110" s="232"/>
      <c r="BP110" s="232"/>
      <c r="BQ110" s="232"/>
      <c r="BR110" s="232"/>
      <c r="BS110" s="232">
        <v>52.8</v>
      </c>
      <c r="BT110" s="232"/>
      <c r="BU110" s="232">
        <v>15.7</v>
      </c>
      <c r="BV110" s="232"/>
      <c r="BW110" s="240"/>
      <c r="BX110" s="232"/>
      <c r="BY110" s="232"/>
      <c r="BZ110" s="232"/>
      <c r="CA110" s="232"/>
      <c r="CB110" s="241"/>
      <c r="CC110" s="232"/>
      <c r="CD110" s="232"/>
      <c r="CE110" s="232">
        <v>8.6</v>
      </c>
      <c r="CF110" s="232"/>
      <c r="CG110" s="232">
        <v>0.3</v>
      </c>
      <c r="CH110" s="232"/>
      <c r="CI110" s="232"/>
      <c r="CJ110" s="232"/>
      <c r="CK110" t="s">
        <v>8820</v>
      </c>
      <c r="CL110" s="232"/>
      <c r="CM110" s="232"/>
    </row>
    <row r="111" spans="1:91" ht="15">
      <c r="A111" s="364" t="s">
        <v>7720</v>
      </c>
      <c r="B111" t="s">
        <v>265</v>
      </c>
      <c r="C111" t="s">
        <v>413</v>
      </c>
      <c r="D111">
        <v>115</v>
      </c>
      <c r="E111" s="113">
        <v>17</v>
      </c>
      <c r="F111" s="113">
        <v>5</v>
      </c>
      <c r="I111"/>
      <c r="K111" s="224">
        <v>6</v>
      </c>
      <c r="L111" s="390">
        <v>41625</v>
      </c>
      <c r="M111"/>
      <c r="N111" s="224"/>
      <c r="O111"/>
      <c r="P111"/>
      <c r="Q111"/>
      <c r="S111" s="224"/>
      <c r="T111" s="224"/>
      <c r="U111"/>
      <c r="V111"/>
      <c r="W111"/>
      <c r="X111"/>
      <c r="Y111" s="225"/>
      <c r="Z111" s="224"/>
      <c r="AA111" s="226"/>
      <c r="AB111" s="224"/>
      <c r="AC111" s="225"/>
      <c r="AD111" s="224"/>
      <c r="AE111" s="224"/>
      <c r="AF111" s="224"/>
      <c r="AG111"/>
      <c r="AH111"/>
      <c r="AI111">
        <v>145</v>
      </c>
      <c r="AJ111" s="194">
        <v>41785</v>
      </c>
      <c r="AK111"/>
      <c r="AL111"/>
      <c r="AM111"/>
      <c r="AN111"/>
      <c r="AO111"/>
      <c r="AP111"/>
      <c r="AQ111" s="227"/>
      <c r="AR111" s="227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>
        <v>52.7</v>
      </c>
      <c r="BT111"/>
      <c r="BU111">
        <v>14.6</v>
      </c>
      <c r="BV111"/>
      <c r="BW111" s="229"/>
      <c r="BX111"/>
      <c r="BY111"/>
      <c r="BZ111"/>
      <c r="CA111"/>
      <c r="CC111"/>
      <c r="CD111"/>
      <c r="CE111">
        <v>8.6</v>
      </c>
      <c r="CF111"/>
      <c r="CG111">
        <v>0.3</v>
      </c>
      <c r="CH111"/>
      <c r="CI111"/>
      <c r="CJ111"/>
      <c r="CK111" t="s">
        <v>8820</v>
      </c>
      <c r="CL111"/>
      <c r="CM111"/>
    </row>
    <row r="112" spans="1:91" ht="15">
      <c r="A112" s="364" t="s">
        <v>7721</v>
      </c>
      <c r="B112" t="s">
        <v>265</v>
      </c>
      <c r="C112" t="s">
        <v>413</v>
      </c>
      <c r="D112">
        <v>116</v>
      </c>
      <c r="E112" s="113">
        <v>7</v>
      </c>
      <c r="F112" s="113">
        <v>3</v>
      </c>
      <c r="I112"/>
      <c r="K112" s="224">
        <v>5</v>
      </c>
      <c r="L112" s="390">
        <v>41625</v>
      </c>
      <c r="M112"/>
      <c r="N112" s="224"/>
      <c r="O112"/>
      <c r="P112"/>
      <c r="Q112"/>
      <c r="S112" s="224"/>
      <c r="T112" s="224"/>
      <c r="U112"/>
      <c r="V112"/>
      <c r="W112"/>
      <c r="X112"/>
      <c r="Y112" s="225"/>
      <c r="Z112" s="224"/>
      <c r="AA112" s="226"/>
      <c r="AB112" s="224"/>
      <c r="AC112" s="225"/>
      <c r="AD112" s="224"/>
      <c r="AE112" s="224"/>
      <c r="AF112" s="224"/>
      <c r="AG112"/>
      <c r="AH112"/>
      <c r="AI112">
        <v>130</v>
      </c>
      <c r="AJ112" s="194">
        <v>41785</v>
      </c>
      <c r="AK112"/>
      <c r="AL112"/>
      <c r="AM112"/>
      <c r="AN112"/>
      <c r="AO112"/>
      <c r="AP112"/>
      <c r="AQ112" s="227"/>
      <c r="AR112" s="227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>
        <v>52.2</v>
      </c>
      <c r="BT112"/>
      <c r="BU112">
        <v>15.9</v>
      </c>
      <c r="BV112"/>
      <c r="BW112" s="229"/>
      <c r="BX112"/>
      <c r="BY112"/>
      <c r="BZ112"/>
      <c r="CA112"/>
      <c r="CC112"/>
      <c r="CD112"/>
      <c r="CE112">
        <v>5.5</v>
      </c>
      <c r="CF112"/>
      <c r="CG112">
        <v>0.3</v>
      </c>
      <c r="CH112"/>
      <c r="CI112"/>
      <c r="CJ112"/>
      <c r="CK112" t="s">
        <v>8820</v>
      </c>
      <c r="CL112"/>
      <c r="CM112"/>
    </row>
    <row r="113" spans="1:91" ht="15">
      <c r="A113" s="364" t="s">
        <v>7722</v>
      </c>
      <c r="B113" t="s">
        <v>265</v>
      </c>
      <c r="C113" t="s">
        <v>413</v>
      </c>
      <c r="D113">
        <v>117</v>
      </c>
      <c r="E113" s="113">
        <v>3</v>
      </c>
      <c r="F113" s="113">
        <v>2</v>
      </c>
      <c r="I113"/>
      <c r="K113" s="224">
        <v>7</v>
      </c>
      <c r="L113" s="390">
        <v>41625</v>
      </c>
      <c r="M113"/>
      <c r="N113" s="224"/>
      <c r="O113"/>
      <c r="P113"/>
      <c r="Q113"/>
      <c r="S113" s="224"/>
      <c r="T113" s="224"/>
      <c r="U113"/>
      <c r="V113"/>
      <c r="W113"/>
      <c r="X113"/>
      <c r="Y113" s="225"/>
      <c r="Z113" s="224"/>
      <c r="AA113" s="226"/>
      <c r="AB113" s="224"/>
      <c r="AC113" s="225"/>
      <c r="AD113" s="224"/>
      <c r="AE113" s="224"/>
      <c r="AF113" s="224"/>
      <c r="AG113"/>
      <c r="AH113"/>
      <c r="AI113">
        <v>140</v>
      </c>
      <c r="AJ113" s="194">
        <v>41785</v>
      </c>
      <c r="AK113"/>
      <c r="AL113"/>
      <c r="AM113"/>
      <c r="AN113"/>
      <c r="AO113"/>
      <c r="AP113"/>
      <c r="AQ113" s="227"/>
      <c r="AR113" s="227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>
        <v>52.5</v>
      </c>
      <c r="BT113"/>
      <c r="BU113">
        <v>15.9</v>
      </c>
      <c r="BV113"/>
      <c r="BW113"/>
      <c r="BX113" s="228"/>
      <c r="BY113"/>
      <c r="BZ113"/>
      <c r="CA113"/>
      <c r="CC113"/>
      <c r="CD113"/>
      <c r="CE113">
        <v>5.2</v>
      </c>
      <c r="CF113"/>
      <c r="CG113">
        <v>0.1</v>
      </c>
      <c r="CH113"/>
      <c r="CI113"/>
      <c r="CJ113"/>
      <c r="CK113" t="s">
        <v>8820</v>
      </c>
      <c r="CL113"/>
      <c r="CM113"/>
    </row>
    <row r="114" spans="1:91" ht="15">
      <c r="A114" s="364" t="s">
        <v>7723</v>
      </c>
      <c r="B114" t="s">
        <v>265</v>
      </c>
      <c r="C114" t="s">
        <v>413</v>
      </c>
      <c r="D114">
        <v>118</v>
      </c>
      <c r="E114" s="113">
        <v>5</v>
      </c>
      <c r="F114" s="113">
        <v>4</v>
      </c>
      <c r="G114" s="233"/>
      <c r="H114" s="233"/>
      <c r="I114" s="232"/>
      <c r="J114" s="234"/>
      <c r="K114" s="235">
        <v>7</v>
      </c>
      <c r="L114" s="390">
        <v>41625</v>
      </c>
      <c r="M114" s="232"/>
      <c r="N114" s="235"/>
      <c r="O114" s="232"/>
      <c r="P114" s="232"/>
      <c r="Q114" s="232"/>
      <c r="R114" s="236"/>
      <c r="S114" s="235"/>
      <c r="T114" s="235"/>
      <c r="U114" s="232"/>
      <c r="V114" s="232"/>
      <c r="W114" s="232"/>
      <c r="X114" s="232"/>
      <c r="Y114" s="237"/>
      <c r="Z114" s="235"/>
      <c r="AA114" s="238"/>
      <c r="AB114" s="235"/>
      <c r="AC114" s="237"/>
      <c r="AD114" s="235"/>
      <c r="AE114" s="235"/>
      <c r="AF114" s="235"/>
      <c r="AG114" s="232"/>
      <c r="AH114" s="232"/>
      <c r="AI114" s="232">
        <v>140</v>
      </c>
      <c r="AJ114" s="194">
        <v>41785</v>
      </c>
      <c r="AK114" s="232"/>
      <c r="AL114" s="232"/>
      <c r="AM114" s="232"/>
      <c r="AN114" s="232"/>
      <c r="AO114" s="232"/>
      <c r="AP114" s="232"/>
      <c r="AQ114" s="239"/>
      <c r="AR114" s="23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232"/>
      <c r="BH114" s="232"/>
      <c r="BI114" s="232"/>
      <c r="BJ114" s="232"/>
      <c r="BK114" s="232"/>
      <c r="BL114" s="232"/>
      <c r="BM114" s="232"/>
      <c r="BN114" s="232"/>
      <c r="BO114" s="232"/>
      <c r="BP114" s="232"/>
      <c r="BQ114" s="232"/>
      <c r="BR114" s="232"/>
      <c r="BS114" s="232">
        <v>53.3</v>
      </c>
      <c r="BT114" s="232"/>
      <c r="BU114" s="232">
        <v>15.8</v>
      </c>
      <c r="BV114" s="232"/>
      <c r="BW114" s="240"/>
      <c r="BX114" s="232"/>
      <c r="BY114" s="232"/>
      <c r="BZ114" s="232"/>
      <c r="CA114" s="232"/>
      <c r="CB114" s="241"/>
      <c r="CC114" s="232"/>
      <c r="CD114" s="232"/>
      <c r="CE114" s="232">
        <v>5</v>
      </c>
      <c r="CF114" s="232"/>
      <c r="CG114" s="232">
        <v>0.1</v>
      </c>
      <c r="CH114" s="232"/>
      <c r="CI114" s="232"/>
      <c r="CJ114" s="232"/>
      <c r="CK114" t="s">
        <v>8820</v>
      </c>
      <c r="CL114" s="232"/>
      <c r="CM114" s="232"/>
    </row>
    <row r="115" spans="1:91" ht="15">
      <c r="A115" s="364" t="s">
        <v>7724</v>
      </c>
      <c r="B115" t="s">
        <v>265</v>
      </c>
      <c r="C115" t="s">
        <v>413</v>
      </c>
      <c r="D115">
        <v>119</v>
      </c>
      <c r="E115" s="113">
        <v>1</v>
      </c>
      <c r="F115" s="113">
        <v>1</v>
      </c>
      <c r="I115"/>
      <c r="K115" s="224">
        <v>7</v>
      </c>
      <c r="L115" s="390">
        <v>41625</v>
      </c>
      <c r="M115"/>
      <c r="N115" s="224"/>
      <c r="O115"/>
      <c r="P115"/>
      <c r="Q115"/>
      <c r="S115" s="224"/>
      <c r="T115" s="224"/>
      <c r="U115"/>
      <c r="V115"/>
      <c r="W115"/>
      <c r="X115"/>
      <c r="Y115" s="225"/>
      <c r="Z115" s="224"/>
      <c r="AA115" s="226"/>
      <c r="AB115" s="224"/>
      <c r="AC115" s="225"/>
      <c r="AD115" s="224"/>
      <c r="AE115" s="224"/>
      <c r="AF115" s="224"/>
      <c r="AG115"/>
      <c r="AH115"/>
      <c r="AI115">
        <v>140</v>
      </c>
      <c r="AJ115" s="194">
        <v>41785</v>
      </c>
      <c r="AK115"/>
      <c r="AL115"/>
      <c r="AM115"/>
      <c r="AN115"/>
      <c r="AO115"/>
      <c r="AP115"/>
      <c r="AQ115" s="227"/>
      <c r="AR115" s="227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>
        <v>51.8</v>
      </c>
      <c r="BT115"/>
      <c r="BU115">
        <v>14.5</v>
      </c>
      <c r="BV115"/>
      <c r="BW115" s="229"/>
      <c r="BX115"/>
      <c r="BY115"/>
      <c r="BZ115"/>
      <c r="CA115"/>
      <c r="CC115"/>
      <c r="CD115"/>
      <c r="CE115">
        <v>6.1</v>
      </c>
      <c r="CF115"/>
      <c r="CG115">
        <v>0.8</v>
      </c>
      <c r="CH115"/>
      <c r="CI115"/>
      <c r="CJ115"/>
      <c r="CK115" t="s">
        <v>8820</v>
      </c>
      <c r="CL115"/>
      <c r="CM115"/>
    </row>
    <row r="116" spans="1:91" ht="15">
      <c r="A116" s="364" t="s">
        <v>7725</v>
      </c>
      <c r="B116" s="362" t="s">
        <v>265</v>
      </c>
      <c r="C116" s="362" t="s">
        <v>413</v>
      </c>
      <c r="D116">
        <v>120</v>
      </c>
      <c r="E116" s="113">
        <v>36</v>
      </c>
      <c r="F116" s="113">
        <v>2</v>
      </c>
      <c r="I116"/>
      <c r="K116" s="224">
        <v>7</v>
      </c>
      <c r="L116" s="390">
        <v>41625</v>
      </c>
      <c r="M116"/>
      <c r="N116" s="224"/>
      <c r="O116"/>
      <c r="P116"/>
      <c r="Q116"/>
      <c r="S116" s="224"/>
      <c r="T116" s="224"/>
      <c r="U116"/>
      <c r="V116"/>
      <c r="W116"/>
      <c r="X116"/>
      <c r="Y116" s="225"/>
      <c r="Z116" s="224"/>
      <c r="AA116" s="226"/>
      <c r="AB116" s="224"/>
      <c r="AC116" s="225"/>
      <c r="AD116" s="224"/>
      <c r="AE116" s="224"/>
      <c r="AF116" s="224"/>
      <c r="AG116"/>
      <c r="AH116"/>
      <c r="AI116">
        <v>135</v>
      </c>
      <c r="AJ116" s="194">
        <v>41785</v>
      </c>
      <c r="AK116"/>
      <c r="AL116"/>
      <c r="AM116"/>
      <c r="AN116"/>
      <c r="AO116"/>
      <c r="AP116"/>
      <c r="AQ116" s="227"/>
      <c r="AR116" s="227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>
        <v>52.1</v>
      </c>
      <c r="BT116"/>
      <c r="BU116">
        <v>16.600000000000001</v>
      </c>
      <c r="BV116"/>
      <c r="BW116" s="229"/>
      <c r="BX116"/>
      <c r="BY116"/>
      <c r="BZ116"/>
      <c r="CA116"/>
      <c r="CC116"/>
      <c r="CD116"/>
      <c r="CE116">
        <v>6.8</v>
      </c>
      <c r="CF116"/>
      <c r="CG116">
        <v>0.3</v>
      </c>
      <c r="CH116"/>
      <c r="CI116"/>
      <c r="CJ116"/>
      <c r="CK116" t="s">
        <v>8820</v>
      </c>
      <c r="CL116"/>
      <c r="CM116"/>
    </row>
    <row r="117" spans="1:91" ht="15">
      <c r="A117" s="364" t="s">
        <v>7726</v>
      </c>
      <c r="B117" t="s">
        <v>265</v>
      </c>
      <c r="C117" t="s">
        <v>413</v>
      </c>
      <c r="D117">
        <v>121</v>
      </c>
      <c r="E117" s="113">
        <v>30</v>
      </c>
      <c r="F117" s="113">
        <v>3</v>
      </c>
      <c r="I117"/>
      <c r="K117" s="224">
        <v>7</v>
      </c>
      <c r="L117" s="390">
        <v>41625</v>
      </c>
      <c r="M117"/>
      <c r="N117" s="224"/>
      <c r="O117"/>
      <c r="P117"/>
      <c r="Q117"/>
      <c r="S117" s="224"/>
      <c r="T117" s="224"/>
      <c r="U117"/>
      <c r="V117"/>
      <c r="W117"/>
      <c r="X117"/>
      <c r="Y117" s="225"/>
      <c r="Z117" s="224"/>
      <c r="AA117" s="226"/>
      <c r="AB117" s="224"/>
      <c r="AC117" s="225"/>
      <c r="AD117" s="224"/>
      <c r="AE117" s="224"/>
      <c r="AF117" s="224"/>
      <c r="AG117"/>
      <c r="AH117"/>
      <c r="AI117">
        <v>130</v>
      </c>
      <c r="AJ117" s="194">
        <v>41785</v>
      </c>
      <c r="AK117"/>
      <c r="AL117"/>
      <c r="AM117"/>
      <c r="AN117"/>
      <c r="AO117"/>
      <c r="AP117"/>
      <c r="AQ117" s="227"/>
      <c r="AR117" s="22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>
        <v>53.1</v>
      </c>
      <c r="BT117"/>
      <c r="BU117">
        <v>14.3</v>
      </c>
      <c r="BV117"/>
      <c r="BW117" s="229"/>
      <c r="BX117"/>
      <c r="BY117"/>
      <c r="BZ117"/>
      <c r="CA117"/>
      <c r="CC117"/>
      <c r="CD117"/>
      <c r="CE117">
        <v>6.4</v>
      </c>
      <c r="CF117"/>
      <c r="CG117">
        <v>0.1</v>
      </c>
      <c r="CH117"/>
      <c r="CI117"/>
      <c r="CJ117"/>
      <c r="CK117" t="s">
        <v>8820</v>
      </c>
      <c r="CL117"/>
      <c r="CM117"/>
    </row>
    <row r="118" spans="1:91" ht="15">
      <c r="A118" s="364" t="s">
        <v>7727</v>
      </c>
      <c r="B118" t="s">
        <v>265</v>
      </c>
      <c r="C118" t="s">
        <v>413</v>
      </c>
      <c r="D118" s="232">
        <v>122</v>
      </c>
      <c r="E118" s="113">
        <v>16</v>
      </c>
      <c r="F118" s="113">
        <v>2</v>
      </c>
      <c r="G118" s="233"/>
      <c r="H118" s="233"/>
      <c r="I118" s="232"/>
      <c r="J118" s="234"/>
      <c r="K118" s="235">
        <v>7</v>
      </c>
      <c r="L118" s="390">
        <v>41625</v>
      </c>
      <c r="M118" s="232"/>
      <c r="N118" s="235"/>
      <c r="O118" s="232"/>
      <c r="P118" s="232"/>
      <c r="Q118" s="232"/>
      <c r="R118" s="236"/>
      <c r="S118" s="235"/>
      <c r="T118" s="235"/>
      <c r="U118" s="232"/>
      <c r="V118" s="232"/>
      <c r="W118" s="232"/>
      <c r="X118" s="232"/>
      <c r="Y118" s="237"/>
      <c r="Z118" s="235"/>
      <c r="AA118" s="238"/>
      <c r="AB118" s="235"/>
      <c r="AC118" s="237"/>
      <c r="AD118" s="235"/>
      <c r="AE118" s="235"/>
      <c r="AF118" s="235"/>
      <c r="AG118" s="232"/>
      <c r="AH118" s="232"/>
      <c r="AI118" s="232">
        <v>150</v>
      </c>
      <c r="AJ118" s="194">
        <v>41785</v>
      </c>
      <c r="AK118" s="232"/>
      <c r="AL118" s="232"/>
      <c r="AM118" s="232"/>
      <c r="AN118" s="232"/>
      <c r="AO118" s="232"/>
      <c r="AP118" s="232"/>
      <c r="AQ118" s="239"/>
      <c r="AR118" s="23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232"/>
      <c r="BH118" s="232"/>
      <c r="BI118" s="232"/>
      <c r="BJ118" s="232"/>
      <c r="BK118" s="232"/>
      <c r="BL118" s="232"/>
      <c r="BM118" s="232"/>
      <c r="BN118" s="232"/>
      <c r="BO118" s="232"/>
      <c r="BP118" s="232"/>
      <c r="BQ118" s="232"/>
      <c r="BR118" s="232"/>
      <c r="BS118" s="232">
        <v>52.4</v>
      </c>
      <c r="BT118" s="232"/>
      <c r="BU118" s="232">
        <v>15.8</v>
      </c>
      <c r="BV118" s="232"/>
      <c r="BW118" s="240"/>
      <c r="BX118" s="232"/>
      <c r="BY118" s="232"/>
      <c r="BZ118" s="232"/>
      <c r="CA118" s="232"/>
      <c r="CB118" s="241"/>
      <c r="CC118" s="232"/>
      <c r="CD118" s="232"/>
      <c r="CE118" s="232">
        <v>8.3000000000000007</v>
      </c>
      <c r="CF118" s="232"/>
      <c r="CG118" s="232">
        <v>0.3</v>
      </c>
      <c r="CH118" s="232"/>
      <c r="CI118" s="232"/>
      <c r="CJ118" s="232"/>
      <c r="CK118" t="s">
        <v>8820</v>
      </c>
      <c r="CL118" s="232"/>
      <c r="CM118" s="232"/>
    </row>
    <row r="119" spans="1:91" ht="15">
      <c r="A119" s="364" t="s">
        <v>7728</v>
      </c>
      <c r="B119" t="s">
        <v>265</v>
      </c>
      <c r="C119" t="s">
        <v>413</v>
      </c>
      <c r="D119">
        <v>123</v>
      </c>
      <c r="E119" s="113">
        <v>9</v>
      </c>
      <c r="F119" s="113">
        <v>4</v>
      </c>
      <c r="I119"/>
      <c r="K119" s="224">
        <v>7</v>
      </c>
      <c r="L119" s="390">
        <v>41625</v>
      </c>
      <c r="M119"/>
      <c r="N119" s="224"/>
      <c r="O119"/>
      <c r="P119"/>
      <c r="Q119"/>
      <c r="S119" s="224"/>
      <c r="T119" s="224"/>
      <c r="U119"/>
      <c r="V119"/>
      <c r="W119"/>
      <c r="X119"/>
      <c r="Y119" s="225"/>
      <c r="Z119" s="224"/>
      <c r="AA119" s="226"/>
      <c r="AB119" s="224"/>
      <c r="AC119" s="225"/>
      <c r="AD119" s="224"/>
      <c r="AE119" s="224"/>
      <c r="AF119" s="224"/>
      <c r="AG119"/>
      <c r="AH119"/>
      <c r="AI119">
        <v>140</v>
      </c>
      <c r="AJ119" s="194">
        <v>41785</v>
      </c>
      <c r="AK119"/>
      <c r="AL119"/>
      <c r="AM119"/>
      <c r="AN119"/>
      <c r="AO119"/>
      <c r="AP119"/>
      <c r="AQ119" s="227"/>
      <c r="AR119" s="227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>
        <v>53.2</v>
      </c>
      <c r="BT119"/>
      <c r="BU119">
        <v>16.100000000000001</v>
      </c>
      <c r="BV119"/>
      <c r="BW119"/>
      <c r="BX119" s="228"/>
      <c r="BY119"/>
      <c r="BZ119"/>
      <c r="CA119"/>
      <c r="CC119"/>
      <c r="CD119"/>
      <c r="CE119">
        <v>5.4</v>
      </c>
      <c r="CF119"/>
      <c r="CG119">
        <v>0.7</v>
      </c>
      <c r="CH119"/>
      <c r="CI119"/>
      <c r="CJ119"/>
      <c r="CK119" t="s">
        <v>8820</v>
      </c>
      <c r="CL119"/>
      <c r="CM119"/>
    </row>
    <row r="120" spans="1:91" ht="15">
      <c r="A120" s="364" t="s">
        <v>7729</v>
      </c>
      <c r="B120" t="s">
        <v>265</v>
      </c>
      <c r="C120" t="s">
        <v>413</v>
      </c>
      <c r="D120">
        <v>124</v>
      </c>
      <c r="E120" s="113">
        <v>7</v>
      </c>
      <c r="F120" s="113">
        <v>4</v>
      </c>
      <c r="I120"/>
      <c r="K120" s="224">
        <v>6</v>
      </c>
      <c r="L120" s="390">
        <v>41625</v>
      </c>
      <c r="M120"/>
      <c r="N120" s="224"/>
      <c r="O120"/>
      <c r="P120"/>
      <c r="Q120"/>
      <c r="S120" s="224"/>
      <c r="T120" s="224"/>
      <c r="U120"/>
      <c r="V120"/>
      <c r="W120"/>
      <c r="X120"/>
      <c r="Y120" s="225"/>
      <c r="Z120" s="224"/>
      <c r="AA120" s="226"/>
      <c r="AB120" s="224"/>
      <c r="AC120" s="225"/>
      <c r="AD120" s="224"/>
      <c r="AE120" s="224"/>
      <c r="AF120" s="224"/>
      <c r="AG120"/>
      <c r="AH120"/>
      <c r="AI120">
        <v>150</v>
      </c>
      <c r="AJ120" s="194">
        <v>41785</v>
      </c>
      <c r="AK120"/>
      <c r="AL120"/>
      <c r="AM120"/>
      <c r="AN120"/>
      <c r="AO120"/>
      <c r="AP120"/>
      <c r="AQ120" s="227"/>
      <c r="AR120" s="227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>
        <v>51.3</v>
      </c>
      <c r="BT120"/>
      <c r="BU120">
        <v>16.600000000000001</v>
      </c>
      <c r="BV120"/>
      <c r="BW120"/>
      <c r="BX120" s="228"/>
      <c r="BY120"/>
      <c r="BZ120"/>
      <c r="CA120"/>
      <c r="CC120"/>
      <c r="CD120"/>
      <c r="CE120">
        <v>6.4</v>
      </c>
      <c r="CF120"/>
      <c r="CG120">
        <v>0.1</v>
      </c>
      <c r="CH120"/>
      <c r="CI120"/>
      <c r="CJ120"/>
      <c r="CK120" t="s">
        <v>8820</v>
      </c>
      <c r="CL120"/>
      <c r="CM120"/>
    </row>
    <row r="121" spans="1:91" ht="15">
      <c r="A121" s="364" t="s">
        <v>7730</v>
      </c>
      <c r="B121" t="s">
        <v>265</v>
      </c>
      <c r="C121" t="s">
        <v>413</v>
      </c>
      <c r="D121">
        <v>125</v>
      </c>
      <c r="E121" s="113">
        <v>20</v>
      </c>
      <c r="F121" s="113">
        <v>3</v>
      </c>
      <c r="I121"/>
      <c r="K121" s="224">
        <v>7</v>
      </c>
      <c r="L121" s="390">
        <v>41625</v>
      </c>
      <c r="M121"/>
      <c r="N121" s="224"/>
      <c r="O121"/>
      <c r="P121"/>
      <c r="Q121"/>
      <c r="S121" s="224"/>
      <c r="T121" s="224"/>
      <c r="U121"/>
      <c r="V121"/>
      <c r="W121"/>
      <c r="X121"/>
      <c r="Y121" s="225"/>
      <c r="Z121" s="224"/>
      <c r="AA121" s="226"/>
      <c r="AB121" s="224"/>
      <c r="AC121" s="225"/>
      <c r="AD121" s="224"/>
      <c r="AE121" s="224"/>
      <c r="AF121" s="224"/>
      <c r="AG121"/>
      <c r="AH121"/>
      <c r="AI121">
        <v>135</v>
      </c>
      <c r="AJ121" s="194">
        <v>41785</v>
      </c>
      <c r="AK121"/>
      <c r="AL121"/>
      <c r="AM121"/>
      <c r="AN121"/>
      <c r="AO121"/>
      <c r="AP121"/>
      <c r="AQ121" s="227"/>
      <c r="AR121" s="227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>
        <v>52.6</v>
      </c>
      <c r="BT121"/>
      <c r="BU121">
        <v>16.100000000000001</v>
      </c>
      <c r="BV121"/>
      <c r="BW121"/>
      <c r="BX121" s="228"/>
      <c r="BY121"/>
      <c r="BZ121"/>
      <c r="CA121"/>
      <c r="CC121"/>
      <c r="CD121"/>
      <c r="CE121">
        <v>5.6</v>
      </c>
      <c r="CF121"/>
      <c r="CG121">
        <v>0.1</v>
      </c>
      <c r="CH121"/>
      <c r="CI121"/>
      <c r="CJ121"/>
      <c r="CK121" t="s">
        <v>8820</v>
      </c>
      <c r="CL121"/>
      <c r="CM121"/>
    </row>
    <row r="122" spans="1:91" ht="15">
      <c r="A122" s="364" t="s">
        <v>7731</v>
      </c>
      <c r="B122" t="s">
        <v>265</v>
      </c>
      <c r="C122" t="s">
        <v>413</v>
      </c>
      <c r="D122" s="232">
        <v>126</v>
      </c>
      <c r="E122" s="113">
        <v>2</v>
      </c>
      <c r="F122" s="113">
        <v>6</v>
      </c>
      <c r="G122" s="233"/>
      <c r="H122" s="233"/>
      <c r="I122" s="232"/>
      <c r="J122" s="234"/>
      <c r="K122" s="235">
        <v>7</v>
      </c>
      <c r="L122" s="390">
        <v>41625</v>
      </c>
      <c r="M122" s="232"/>
      <c r="N122" s="235"/>
      <c r="O122" s="232"/>
      <c r="P122" s="232"/>
      <c r="Q122" s="232"/>
      <c r="R122" s="236"/>
      <c r="S122" s="235"/>
      <c r="T122" s="235"/>
      <c r="U122" s="232"/>
      <c r="V122" s="232"/>
      <c r="W122" s="232"/>
      <c r="X122" s="232"/>
      <c r="Y122" s="237"/>
      <c r="Z122" s="235"/>
      <c r="AA122" s="238"/>
      <c r="AB122" s="235"/>
      <c r="AC122" s="237"/>
      <c r="AD122" s="235"/>
      <c r="AE122" s="235"/>
      <c r="AF122" s="235"/>
      <c r="AG122" s="232"/>
      <c r="AH122" s="232"/>
      <c r="AI122" s="232">
        <v>135</v>
      </c>
      <c r="AJ122" s="194">
        <v>41785</v>
      </c>
      <c r="AK122" s="232"/>
      <c r="AL122" s="232"/>
      <c r="AM122" s="232"/>
      <c r="AN122" s="232"/>
      <c r="AO122" s="232"/>
      <c r="AP122" s="232"/>
      <c r="AQ122" s="239"/>
      <c r="AR122" s="23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232"/>
      <c r="BH122" s="232"/>
      <c r="BI122" s="232"/>
      <c r="BJ122" s="232"/>
      <c r="BK122" s="232"/>
      <c r="BL122" s="232"/>
      <c r="BM122" s="232"/>
      <c r="BN122" s="232"/>
      <c r="BO122" s="232"/>
      <c r="BP122" s="232"/>
      <c r="BQ122" s="232"/>
      <c r="BR122" s="232"/>
      <c r="BS122" s="232">
        <v>52.4</v>
      </c>
      <c r="BT122" s="232"/>
      <c r="BU122" s="232">
        <v>16.3</v>
      </c>
      <c r="BV122" s="232"/>
      <c r="BW122" s="240"/>
      <c r="BX122" s="232"/>
      <c r="BY122" s="232"/>
      <c r="BZ122" s="232"/>
      <c r="CA122" s="232"/>
      <c r="CB122" s="241"/>
      <c r="CC122" s="232"/>
      <c r="CD122" s="232"/>
      <c r="CE122" s="232">
        <v>4.9000000000000004</v>
      </c>
      <c r="CF122" s="232"/>
      <c r="CG122" s="232">
        <v>0.3</v>
      </c>
      <c r="CH122" s="232"/>
      <c r="CI122" s="232"/>
      <c r="CJ122" s="232"/>
      <c r="CK122" t="s">
        <v>8820</v>
      </c>
      <c r="CL122" s="232"/>
      <c r="CM122" s="232"/>
    </row>
    <row r="123" spans="1:91" ht="15">
      <c r="A123" s="364" t="s">
        <v>7732</v>
      </c>
      <c r="B123" t="s">
        <v>265</v>
      </c>
      <c r="C123" t="s">
        <v>413</v>
      </c>
      <c r="D123">
        <v>127</v>
      </c>
      <c r="E123" s="113">
        <v>35</v>
      </c>
      <c r="F123" s="113">
        <v>4</v>
      </c>
      <c r="I123"/>
      <c r="K123" s="224">
        <v>6</v>
      </c>
      <c r="L123" s="390">
        <v>41625</v>
      </c>
      <c r="M123"/>
      <c r="N123" s="224"/>
      <c r="O123"/>
      <c r="P123"/>
      <c r="Q123"/>
      <c r="S123" s="224"/>
      <c r="T123" s="224"/>
      <c r="U123"/>
      <c r="V123"/>
      <c r="W123"/>
      <c r="X123"/>
      <c r="Y123" s="225"/>
      <c r="Z123" s="224"/>
      <c r="AA123" s="226"/>
      <c r="AB123" s="224"/>
      <c r="AC123" s="225"/>
      <c r="AD123" s="224"/>
      <c r="AE123" s="224"/>
      <c r="AF123" s="224"/>
      <c r="AG123"/>
      <c r="AH123"/>
      <c r="AI123">
        <v>150</v>
      </c>
      <c r="AJ123" s="194">
        <v>41785</v>
      </c>
      <c r="AK123"/>
      <c r="AL123"/>
      <c r="AM123"/>
      <c r="AN123"/>
      <c r="AO123"/>
      <c r="AP123"/>
      <c r="AQ123" s="227"/>
      <c r="AR123" s="227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>
        <v>52.7</v>
      </c>
      <c r="BT123"/>
      <c r="BU123">
        <v>16.2</v>
      </c>
      <c r="BV123"/>
      <c r="BW123"/>
      <c r="BX123" s="228"/>
      <c r="BY123"/>
      <c r="BZ123"/>
      <c r="CA123"/>
      <c r="CC123"/>
      <c r="CD123"/>
      <c r="CE123">
        <v>6.8</v>
      </c>
      <c r="CF123"/>
      <c r="CG123">
        <v>0.1</v>
      </c>
      <c r="CH123"/>
      <c r="CI123"/>
      <c r="CJ123"/>
      <c r="CK123" t="s">
        <v>8820</v>
      </c>
      <c r="CL123"/>
      <c r="CM123"/>
    </row>
    <row r="124" spans="1:91" ht="15">
      <c r="A124" s="364" t="s">
        <v>7733</v>
      </c>
      <c r="B124" t="s">
        <v>265</v>
      </c>
      <c r="C124" t="s">
        <v>413</v>
      </c>
      <c r="D124">
        <v>128</v>
      </c>
      <c r="E124" s="113">
        <v>12</v>
      </c>
      <c r="F124" s="113">
        <v>4</v>
      </c>
      <c r="I124"/>
      <c r="K124" s="224">
        <v>5</v>
      </c>
      <c r="L124" s="390">
        <v>41625</v>
      </c>
      <c r="M124"/>
      <c r="N124" s="224"/>
      <c r="O124"/>
      <c r="P124"/>
      <c r="Q124"/>
      <c r="S124" s="224"/>
      <c r="T124" s="224"/>
      <c r="U124"/>
      <c r="V124"/>
      <c r="W124"/>
      <c r="X124"/>
      <c r="Y124" s="225"/>
      <c r="Z124" s="224"/>
      <c r="AA124" s="226"/>
      <c r="AB124" s="224"/>
      <c r="AC124" s="225"/>
      <c r="AD124" s="224"/>
      <c r="AE124" s="224"/>
      <c r="AF124" s="224"/>
      <c r="AG124"/>
      <c r="AH124"/>
      <c r="AI124">
        <v>130</v>
      </c>
      <c r="AJ124" s="194">
        <v>41785</v>
      </c>
      <c r="AK124"/>
      <c r="AL124"/>
      <c r="AM124"/>
      <c r="AN124"/>
      <c r="AO124"/>
      <c r="AP124"/>
      <c r="AQ124" s="227"/>
      <c r="AR124" s="227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>
        <v>52.8</v>
      </c>
      <c r="BT124"/>
      <c r="BU124">
        <v>15.6</v>
      </c>
      <c r="BV124"/>
      <c r="BW124"/>
      <c r="BX124" s="228"/>
      <c r="BY124"/>
      <c r="BZ124"/>
      <c r="CA124"/>
      <c r="CC124"/>
      <c r="CD124"/>
      <c r="CE124">
        <v>6.4</v>
      </c>
      <c r="CF124"/>
      <c r="CG124">
        <v>0.8</v>
      </c>
      <c r="CH124"/>
      <c r="CI124"/>
      <c r="CJ124"/>
      <c r="CK124" t="s">
        <v>8820</v>
      </c>
      <c r="CL124"/>
      <c r="CM124"/>
    </row>
    <row r="125" spans="1:91" ht="15">
      <c r="A125" s="364" t="s">
        <v>7734</v>
      </c>
      <c r="B125" t="s">
        <v>265</v>
      </c>
      <c r="C125" t="s">
        <v>413</v>
      </c>
      <c r="D125" s="232">
        <v>129</v>
      </c>
      <c r="E125" s="113">
        <v>30</v>
      </c>
      <c r="F125" s="113">
        <v>5</v>
      </c>
      <c r="I125"/>
      <c r="K125" s="224">
        <v>6</v>
      </c>
      <c r="L125" s="390">
        <v>41625</v>
      </c>
      <c r="M125"/>
      <c r="N125" s="224"/>
      <c r="O125"/>
      <c r="P125"/>
      <c r="Q125"/>
      <c r="S125" s="224"/>
      <c r="T125" s="224"/>
      <c r="U125"/>
      <c r="V125"/>
      <c r="W125"/>
      <c r="X125"/>
      <c r="Y125" s="225"/>
      <c r="Z125" s="224"/>
      <c r="AA125" s="226"/>
      <c r="AB125" s="224"/>
      <c r="AC125" s="225"/>
      <c r="AD125" s="224"/>
      <c r="AE125" s="224"/>
      <c r="AF125" s="224"/>
      <c r="AG125"/>
      <c r="AH125"/>
      <c r="AI125">
        <v>135</v>
      </c>
      <c r="AJ125" s="194">
        <v>41785</v>
      </c>
      <c r="AK125"/>
      <c r="AL125"/>
      <c r="AM125"/>
      <c r="AN125"/>
      <c r="AO125"/>
      <c r="AP125"/>
      <c r="AQ125" s="227"/>
      <c r="AR125" s="227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>
        <v>53.3</v>
      </c>
      <c r="BT125"/>
      <c r="BU125">
        <v>14.9</v>
      </c>
      <c r="BV125"/>
      <c r="BW125"/>
      <c r="BX125" s="228"/>
      <c r="BY125"/>
      <c r="BZ125"/>
      <c r="CA125"/>
      <c r="CC125"/>
      <c r="CD125"/>
      <c r="CE125">
        <v>6.2</v>
      </c>
      <c r="CF125"/>
      <c r="CG125">
        <v>0.1</v>
      </c>
      <c r="CH125"/>
      <c r="CI125"/>
      <c r="CJ125"/>
      <c r="CK125" t="s">
        <v>8820</v>
      </c>
      <c r="CL125"/>
      <c r="CM125"/>
    </row>
    <row r="126" spans="1:91" ht="15">
      <c r="A126" s="364" t="s">
        <v>7735</v>
      </c>
      <c r="B126" t="s">
        <v>265</v>
      </c>
      <c r="C126" t="s">
        <v>413</v>
      </c>
      <c r="D126">
        <v>130</v>
      </c>
      <c r="E126" s="113">
        <v>32</v>
      </c>
      <c r="F126" s="113">
        <v>3</v>
      </c>
      <c r="I126"/>
      <c r="K126" s="224">
        <v>6</v>
      </c>
      <c r="L126" s="390">
        <v>41625</v>
      </c>
      <c r="M126"/>
      <c r="N126" s="224"/>
      <c r="O126"/>
      <c r="P126"/>
      <c r="Q126"/>
      <c r="S126" s="224"/>
      <c r="T126" s="224"/>
      <c r="U126"/>
      <c r="V126"/>
      <c r="W126"/>
      <c r="X126"/>
      <c r="Y126" s="225"/>
      <c r="Z126" s="224"/>
      <c r="AA126" s="226"/>
      <c r="AB126" s="224"/>
      <c r="AC126" s="225"/>
      <c r="AD126" s="224"/>
      <c r="AE126" s="224"/>
      <c r="AF126" s="224"/>
      <c r="AG126"/>
      <c r="AH126"/>
      <c r="AI126">
        <v>135</v>
      </c>
      <c r="AJ126" s="194">
        <v>41785</v>
      </c>
      <c r="AK126"/>
      <c r="AL126"/>
      <c r="AM126"/>
      <c r="AN126"/>
      <c r="AO126"/>
      <c r="AP126"/>
      <c r="AQ126" s="227"/>
      <c r="AR126" s="227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>
        <v>52.7</v>
      </c>
      <c r="BT126"/>
      <c r="BU126">
        <v>14.7</v>
      </c>
      <c r="BV126"/>
      <c r="BW126" s="229"/>
      <c r="BX126"/>
      <c r="BY126"/>
      <c r="BZ126"/>
      <c r="CA126"/>
      <c r="CC126"/>
      <c r="CD126"/>
      <c r="CE126">
        <v>7</v>
      </c>
      <c r="CF126"/>
      <c r="CG126">
        <v>0.4</v>
      </c>
      <c r="CH126"/>
      <c r="CI126"/>
      <c r="CJ126"/>
      <c r="CK126" t="s">
        <v>8820</v>
      </c>
      <c r="CL126"/>
      <c r="CM126"/>
    </row>
    <row r="127" spans="1:91" ht="15">
      <c r="A127" s="364" t="s">
        <v>7736</v>
      </c>
      <c r="B127" t="s">
        <v>265</v>
      </c>
      <c r="C127" t="s">
        <v>413</v>
      </c>
      <c r="D127">
        <v>131</v>
      </c>
      <c r="E127" s="113">
        <v>33</v>
      </c>
      <c r="F127" s="113">
        <v>5</v>
      </c>
      <c r="I127"/>
      <c r="K127" s="224">
        <v>8</v>
      </c>
      <c r="L127" s="390">
        <v>41625</v>
      </c>
      <c r="M127"/>
      <c r="N127" s="224"/>
      <c r="O127"/>
      <c r="P127"/>
      <c r="Q127"/>
      <c r="S127" s="224"/>
      <c r="T127" s="224"/>
      <c r="U127"/>
      <c r="V127"/>
      <c r="W127"/>
      <c r="X127"/>
      <c r="Y127" s="225"/>
      <c r="Z127" s="224"/>
      <c r="AA127" s="226"/>
      <c r="AB127" s="224"/>
      <c r="AC127" s="225"/>
      <c r="AD127" s="224"/>
      <c r="AE127" s="224"/>
      <c r="AF127" s="224"/>
      <c r="AG127"/>
      <c r="AH127"/>
      <c r="AI127">
        <v>130</v>
      </c>
      <c r="AJ127" s="194">
        <v>41785</v>
      </c>
      <c r="AK127"/>
      <c r="AL127"/>
      <c r="AM127"/>
      <c r="AN127"/>
      <c r="AO127"/>
      <c r="AP127"/>
      <c r="AQ127" s="227"/>
      <c r="AR127" s="2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>
        <v>53.8</v>
      </c>
      <c r="BT127"/>
      <c r="BU127">
        <v>16.600000000000001</v>
      </c>
      <c r="BV127"/>
      <c r="BW127"/>
      <c r="BX127" s="228"/>
      <c r="BY127"/>
      <c r="BZ127"/>
      <c r="CA127"/>
      <c r="CC127"/>
      <c r="CD127"/>
      <c r="CE127">
        <v>6.2</v>
      </c>
      <c r="CF127"/>
      <c r="CG127">
        <v>0.7</v>
      </c>
      <c r="CH127"/>
      <c r="CI127"/>
      <c r="CJ127"/>
      <c r="CK127" t="s">
        <v>8820</v>
      </c>
      <c r="CL127"/>
      <c r="CM127"/>
    </row>
    <row r="128" spans="1:91" ht="15">
      <c r="A128" s="364" t="s">
        <v>7737</v>
      </c>
      <c r="B128" t="s">
        <v>265</v>
      </c>
      <c r="C128" t="s">
        <v>413</v>
      </c>
      <c r="D128">
        <v>132</v>
      </c>
      <c r="E128" s="113">
        <v>22</v>
      </c>
      <c r="F128" s="113">
        <v>2</v>
      </c>
      <c r="I128"/>
      <c r="K128" s="224">
        <v>7</v>
      </c>
      <c r="L128" s="390">
        <v>41625</v>
      </c>
      <c r="M128"/>
      <c r="N128" s="224"/>
      <c r="O128"/>
      <c r="P128"/>
      <c r="Q128"/>
      <c r="S128" s="224"/>
      <c r="T128" s="224"/>
      <c r="U128"/>
      <c r="V128"/>
      <c r="W128"/>
      <c r="X128"/>
      <c r="Y128" s="225"/>
      <c r="Z128" s="224"/>
      <c r="AA128" s="226"/>
      <c r="AB128" s="224"/>
      <c r="AC128" s="225"/>
      <c r="AD128" s="224"/>
      <c r="AE128" s="224"/>
      <c r="AF128" s="224"/>
      <c r="AG128"/>
      <c r="AH128"/>
      <c r="AI128">
        <v>135</v>
      </c>
      <c r="AJ128" s="194">
        <v>41785</v>
      </c>
      <c r="AK128"/>
      <c r="AL128"/>
      <c r="AM128"/>
      <c r="AN128"/>
      <c r="AO128"/>
      <c r="AP128"/>
      <c r="AQ128" s="227"/>
      <c r="AR128" s="227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>
        <v>55.8</v>
      </c>
      <c r="BT128"/>
      <c r="BU128">
        <v>12.7</v>
      </c>
      <c r="BV128"/>
      <c r="BW128"/>
      <c r="BX128" s="228"/>
      <c r="BY128"/>
      <c r="BZ128"/>
      <c r="CA128"/>
      <c r="CC128"/>
      <c r="CD128"/>
      <c r="CE128">
        <v>5.8</v>
      </c>
      <c r="CF128"/>
      <c r="CG128">
        <v>0.3</v>
      </c>
      <c r="CH128"/>
      <c r="CI128"/>
      <c r="CJ128"/>
      <c r="CK128" t="s">
        <v>8820</v>
      </c>
      <c r="CL128"/>
      <c r="CM128"/>
    </row>
    <row r="129" spans="1:91" ht="15">
      <c r="A129" s="364" t="s">
        <v>7738</v>
      </c>
      <c r="B129" t="s">
        <v>265</v>
      </c>
      <c r="C129" t="s">
        <v>413</v>
      </c>
      <c r="D129">
        <v>133</v>
      </c>
      <c r="E129" s="113">
        <v>7</v>
      </c>
      <c r="F129" s="113">
        <v>2</v>
      </c>
      <c r="G129" s="233"/>
      <c r="H129" s="233"/>
      <c r="I129" s="232"/>
      <c r="J129" s="234"/>
      <c r="K129" s="235">
        <v>7</v>
      </c>
      <c r="L129" s="390">
        <v>41625</v>
      </c>
      <c r="M129" s="232"/>
      <c r="N129" s="235"/>
      <c r="O129" s="232"/>
      <c r="P129" s="232"/>
      <c r="Q129" s="232"/>
      <c r="R129" s="236"/>
      <c r="S129" s="235"/>
      <c r="T129" s="235"/>
      <c r="U129" s="232"/>
      <c r="V129" s="232"/>
      <c r="W129" s="232"/>
      <c r="X129" s="232"/>
      <c r="Y129" s="237"/>
      <c r="Z129" s="235"/>
      <c r="AA129" s="238"/>
      <c r="AB129" s="235"/>
      <c r="AC129" s="237"/>
      <c r="AD129" s="235"/>
      <c r="AE129" s="235"/>
      <c r="AF129" s="235"/>
      <c r="AG129" s="232"/>
      <c r="AH129" s="232"/>
      <c r="AI129" s="232">
        <v>150</v>
      </c>
      <c r="AJ129" s="194">
        <v>41785</v>
      </c>
      <c r="AK129" s="232"/>
      <c r="AL129" s="232"/>
      <c r="AM129" s="232"/>
      <c r="AN129" s="232"/>
      <c r="AO129" s="232"/>
      <c r="AP129" s="232"/>
      <c r="AQ129" s="239"/>
      <c r="AR129" s="23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232"/>
      <c r="BH129" s="232"/>
      <c r="BI129" s="232"/>
      <c r="BJ129" s="232"/>
      <c r="BK129" s="232"/>
      <c r="BL129" s="232"/>
      <c r="BM129" s="232"/>
      <c r="BN129" s="232"/>
      <c r="BO129" s="232"/>
      <c r="BP129" s="232"/>
      <c r="BQ129" s="232"/>
      <c r="BR129" s="232"/>
      <c r="BS129" s="232">
        <v>52.9</v>
      </c>
      <c r="BT129" s="232"/>
      <c r="BU129" s="232">
        <v>14.1</v>
      </c>
      <c r="BV129" s="232"/>
      <c r="BW129" s="240"/>
      <c r="BX129" s="232"/>
      <c r="BY129" s="232"/>
      <c r="BZ129" s="232"/>
      <c r="CA129" s="232"/>
      <c r="CB129" s="241"/>
      <c r="CC129" s="232"/>
      <c r="CD129" s="232"/>
      <c r="CE129" s="232">
        <v>6.8</v>
      </c>
      <c r="CF129" s="232"/>
      <c r="CG129" s="232">
        <v>0.7</v>
      </c>
      <c r="CH129" s="232"/>
      <c r="CI129" s="232"/>
      <c r="CJ129" s="232"/>
      <c r="CK129" t="s">
        <v>8820</v>
      </c>
      <c r="CL129" s="232"/>
      <c r="CM129" s="232"/>
    </row>
    <row r="130" spans="1:91" ht="15">
      <c r="A130" s="364" t="s">
        <v>7739</v>
      </c>
      <c r="B130" t="s">
        <v>265</v>
      </c>
      <c r="C130" t="s">
        <v>413</v>
      </c>
      <c r="D130">
        <v>134</v>
      </c>
      <c r="E130" s="113">
        <v>3</v>
      </c>
      <c r="F130" s="113">
        <v>1</v>
      </c>
      <c r="I130"/>
      <c r="K130" s="224">
        <v>6</v>
      </c>
      <c r="L130" s="390">
        <v>41625</v>
      </c>
      <c r="M130"/>
      <c r="N130" s="224"/>
      <c r="O130"/>
      <c r="P130"/>
      <c r="Q130"/>
      <c r="S130" s="224"/>
      <c r="T130" s="224"/>
      <c r="U130"/>
      <c r="V130"/>
      <c r="W130"/>
      <c r="X130"/>
      <c r="Y130" s="225"/>
      <c r="Z130" s="224"/>
      <c r="AA130" s="226"/>
      <c r="AB130" s="224"/>
      <c r="AC130" s="225"/>
      <c r="AD130" s="224"/>
      <c r="AE130" s="224"/>
      <c r="AF130" s="224"/>
      <c r="AG130"/>
      <c r="AH130"/>
      <c r="AI130">
        <v>150</v>
      </c>
      <c r="AJ130" s="194">
        <v>41785</v>
      </c>
      <c r="AK130"/>
      <c r="AL130"/>
      <c r="AM130"/>
      <c r="AN130"/>
      <c r="AO130"/>
      <c r="AP130"/>
      <c r="AQ130" s="227"/>
      <c r="AR130" s="227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>
        <v>53.9</v>
      </c>
      <c r="BT130"/>
      <c r="BU130">
        <v>14.7</v>
      </c>
      <c r="BV130"/>
      <c r="BW130"/>
      <c r="BX130" s="228"/>
      <c r="BY130"/>
      <c r="BZ130"/>
      <c r="CA130"/>
      <c r="CC130"/>
      <c r="CD130"/>
      <c r="CE130">
        <v>4.7</v>
      </c>
      <c r="CF130"/>
      <c r="CG130">
        <v>0.9</v>
      </c>
      <c r="CH130"/>
      <c r="CI130"/>
      <c r="CJ130"/>
      <c r="CK130" t="s">
        <v>8820</v>
      </c>
      <c r="CL130"/>
      <c r="CM130"/>
    </row>
    <row r="131" spans="1:91" ht="15">
      <c r="A131" s="364" t="s">
        <v>7740</v>
      </c>
      <c r="B131" t="s">
        <v>265</v>
      </c>
      <c r="C131" t="s">
        <v>413</v>
      </c>
      <c r="D131" s="232">
        <v>135</v>
      </c>
      <c r="E131" s="113">
        <v>22</v>
      </c>
      <c r="F131" s="113">
        <v>6</v>
      </c>
      <c r="I131"/>
      <c r="K131" s="224">
        <v>7</v>
      </c>
      <c r="L131" s="390">
        <v>41625</v>
      </c>
      <c r="M131"/>
      <c r="N131" s="224"/>
      <c r="O131"/>
      <c r="P131"/>
      <c r="Q131"/>
      <c r="S131" s="224"/>
      <c r="T131" s="224"/>
      <c r="U131"/>
      <c r="V131"/>
      <c r="W131"/>
      <c r="X131"/>
      <c r="Y131" s="225"/>
      <c r="Z131" s="224"/>
      <c r="AA131" s="226"/>
      <c r="AB131" s="224"/>
      <c r="AC131" s="225"/>
      <c r="AD131" s="224"/>
      <c r="AE131" s="224"/>
      <c r="AF131" s="224"/>
      <c r="AG131"/>
      <c r="AH131"/>
      <c r="AI131">
        <v>145</v>
      </c>
      <c r="AJ131" s="194">
        <v>41785</v>
      </c>
      <c r="AK131"/>
      <c r="AL131"/>
      <c r="AM131"/>
      <c r="AN131"/>
      <c r="AO131"/>
      <c r="AP131"/>
      <c r="AQ131" s="227"/>
      <c r="AR131" s="227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>
        <v>52.4</v>
      </c>
      <c r="BT131"/>
      <c r="BU131">
        <v>16.2</v>
      </c>
      <c r="BV131"/>
      <c r="BW131" s="229"/>
      <c r="BX131"/>
      <c r="BY131"/>
      <c r="BZ131"/>
      <c r="CA131"/>
      <c r="CC131"/>
      <c r="CD131"/>
      <c r="CE131">
        <v>5.8</v>
      </c>
      <c r="CF131"/>
      <c r="CG131">
        <v>0.5</v>
      </c>
      <c r="CH131"/>
      <c r="CI131"/>
      <c r="CJ131"/>
      <c r="CK131" t="s">
        <v>8820</v>
      </c>
      <c r="CL131"/>
      <c r="CM131"/>
    </row>
    <row r="132" spans="1:91" ht="15">
      <c r="A132" s="364" t="s">
        <v>7742</v>
      </c>
      <c r="B132" t="s">
        <v>265</v>
      </c>
      <c r="C132" t="s">
        <v>413</v>
      </c>
      <c r="D132">
        <v>137</v>
      </c>
      <c r="E132" s="113">
        <v>2</v>
      </c>
      <c r="F132" s="113">
        <v>3</v>
      </c>
      <c r="G132" s="233"/>
      <c r="H132" s="233"/>
      <c r="I132" s="232"/>
      <c r="J132" s="234"/>
      <c r="K132" s="235">
        <v>6</v>
      </c>
      <c r="L132" s="390">
        <v>41625</v>
      </c>
      <c r="M132" s="232"/>
      <c r="N132" s="235"/>
      <c r="O132" s="232"/>
      <c r="P132" s="232"/>
      <c r="Q132" s="232"/>
      <c r="R132" s="236"/>
      <c r="S132" s="235"/>
      <c r="T132" s="235"/>
      <c r="U132" s="232"/>
      <c r="V132" s="232"/>
      <c r="W132" s="232"/>
      <c r="X132" s="232"/>
      <c r="Y132" s="237"/>
      <c r="Z132" s="235"/>
      <c r="AA132" s="238"/>
      <c r="AB132" s="235"/>
      <c r="AC132" s="237"/>
      <c r="AD132" s="235"/>
      <c r="AE132" s="235"/>
      <c r="AF132" s="235"/>
      <c r="AG132" s="232"/>
      <c r="AH132" s="232"/>
      <c r="AI132" s="232">
        <v>130</v>
      </c>
      <c r="AJ132" s="194">
        <v>41785</v>
      </c>
      <c r="AK132" s="232"/>
      <c r="AL132" s="232"/>
      <c r="AM132" s="232"/>
      <c r="AN132" s="232"/>
      <c r="AO132" s="232"/>
      <c r="AP132" s="232"/>
      <c r="AQ132" s="239"/>
      <c r="AR132" s="23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232"/>
      <c r="BH132" s="232"/>
      <c r="BI132" s="232"/>
      <c r="BJ132" s="232"/>
      <c r="BK132" s="232"/>
      <c r="BL132" s="232"/>
      <c r="BM132" s="232"/>
      <c r="BN132" s="232"/>
      <c r="BO132" s="232"/>
      <c r="BP132" s="232"/>
      <c r="BQ132" s="232"/>
      <c r="BR132" s="232"/>
      <c r="BS132" s="232">
        <v>53.7</v>
      </c>
      <c r="BT132" s="232"/>
      <c r="BU132" s="232">
        <v>16.3</v>
      </c>
      <c r="BV132" s="232"/>
      <c r="BW132" s="240"/>
      <c r="BX132" s="232"/>
      <c r="BY132" s="232"/>
      <c r="BZ132" s="232"/>
      <c r="CA132" s="232"/>
      <c r="CB132" s="241"/>
      <c r="CC132" s="232"/>
      <c r="CD132" s="232"/>
      <c r="CE132" s="232">
        <v>5.4</v>
      </c>
      <c r="CF132" s="232"/>
      <c r="CG132" s="232">
        <v>0.9</v>
      </c>
      <c r="CH132" s="232"/>
      <c r="CI132" s="232"/>
      <c r="CJ132" s="232"/>
      <c r="CK132" t="s">
        <v>8820</v>
      </c>
      <c r="CL132" s="232"/>
      <c r="CM132" s="232"/>
    </row>
    <row r="133" spans="1:91" ht="15">
      <c r="A133" s="364" t="s">
        <v>7743</v>
      </c>
      <c r="B133" t="s">
        <v>265</v>
      </c>
      <c r="C133" t="s">
        <v>413</v>
      </c>
      <c r="D133">
        <v>138</v>
      </c>
      <c r="E133" s="113">
        <v>20</v>
      </c>
      <c r="F133" s="113">
        <v>5</v>
      </c>
      <c r="G133" s="233"/>
      <c r="H133" s="233"/>
      <c r="I133" s="232"/>
      <c r="J133" s="234"/>
      <c r="K133" s="235">
        <v>7</v>
      </c>
      <c r="L133" s="390">
        <v>41625</v>
      </c>
      <c r="M133" s="232"/>
      <c r="N133" s="235"/>
      <c r="O133" s="232"/>
      <c r="P133" s="232"/>
      <c r="Q133" s="232"/>
      <c r="R133" s="236"/>
      <c r="S133" s="235"/>
      <c r="T133" s="235"/>
      <c r="U133" s="232"/>
      <c r="V133" s="232"/>
      <c r="W133" s="232"/>
      <c r="X133" s="232"/>
      <c r="Y133" s="237"/>
      <c r="Z133" s="235"/>
      <c r="AA133" s="238"/>
      <c r="AB133" s="235"/>
      <c r="AC133" s="237"/>
      <c r="AD133" s="235"/>
      <c r="AE133" s="235"/>
      <c r="AF133" s="235"/>
      <c r="AG133" s="232"/>
      <c r="AH133" s="232"/>
      <c r="AI133" s="232">
        <v>125</v>
      </c>
      <c r="AJ133" s="194">
        <v>41785</v>
      </c>
      <c r="AK133" s="232"/>
      <c r="AL133" s="232"/>
      <c r="AM133" s="232"/>
      <c r="AN133" s="232"/>
      <c r="AO133" s="232"/>
      <c r="AP133" s="232"/>
      <c r="AQ133" s="239"/>
      <c r="AR133" s="23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232"/>
      <c r="BH133" s="232"/>
      <c r="BI133" s="232"/>
      <c r="BJ133" s="232"/>
      <c r="BK133" s="232"/>
      <c r="BL133" s="232"/>
      <c r="BM133" s="232"/>
      <c r="BN133" s="232"/>
      <c r="BO133" s="232"/>
      <c r="BP133" s="232"/>
      <c r="BQ133" s="232"/>
      <c r="BR133" s="232"/>
      <c r="BS133" s="232">
        <v>53.1</v>
      </c>
      <c r="BT133" s="232"/>
      <c r="BU133" s="232">
        <v>14.9</v>
      </c>
      <c r="BV133" s="232"/>
      <c r="BW133" s="232"/>
      <c r="BX133" s="243"/>
      <c r="BY133" s="232"/>
      <c r="BZ133" s="232"/>
      <c r="CA133" s="232"/>
      <c r="CB133" s="241"/>
      <c r="CC133" s="232"/>
      <c r="CD133" s="232"/>
      <c r="CE133" s="232">
        <v>5.7</v>
      </c>
      <c r="CF133" s="232"/>
      <c r="CG133" s="232">
        <v>0.3</v>
      </c>
      <c r="CH133" s="232"/>
      <c r="CI133" s="232"/>
      <c r="CJ133" s="232"/>
      <c r="CK133" t="s">
        <v>8820</v>
      </c>
      <c r="CL133" s="232"/>
      <c r="CM133" s="232"/>
    </row>
    <row r="134" spans="1:91" ht="15">
      <c r="A134" s="364" t="s">
        <v>7744</v>
      </c>
      <c r="B134" t="s">
        <v>265</v>
      </c>
      <c r="C134" t="s">
        <v>413</v>
      </c>
      <c r="D134">
        <v>139</v>
      </c>
      <c r="E134" s="113">
        <v>24</v>
      </c>
      <c r="F134" s="113">
        <v>2</v>
      </c>
      <c r="G134" s="233"/>
      <c r="H134" s="233"/>
      <c r="I134" s="232"/>
      <c r="J134" s="234"/>
      <c r="K134" s="235">
        <v>8</v>
      </c>
      <c r="L134" s="390">
        <v>41625</v>
      </c>
      <c r="M134" s="232"/>
      <c r="N134" s="235"/>
      <c r="O134" s="232"/>
      <c r="P134" s="232"/>
      <c r="Q134" s="232"/>
      <c r="R134" s="236"/>
      <c r="S134" s="235"/>
      <c r="T134" s="235"/>
      <c r="U134" s="232"/>
      <c r="V134" s="232"/>
      <c r="W134" s="232"/>
      <c r="X134" s="232"/>
      <c r="Y134" s="237"/>
      <c r="Z134" s="235"/>
      <c r="AA134" s="238"/>
      <c r="AB134" s="235"/>
      <c r="AC134" s="237"/>
      <c r="AD134" s="235"/>
      <c r="AE134" s="235"/>
      <c r="AF134" s="235"/>
      <c r="AG134" s="232"/>
      <c r="AH134" s="232"/>
      <c r="AI134" s="232">
        <v>165</v>
      </c>
      <c r="AJ134" s="194">
        <v>41785</v>
      </c>
      <c r="AK134" s="232"/>
      <c r="AL134" s="232"/>
      <c r="AM134" s="232"/>
      <c r="AN134" s="232"/>
      <c r="AO134" s="232"/>
      <c r="AP134" s="232"/>
      <c r="AQ134" s="239"/>
      <c r="AR134" s="23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232"/>
      <c r="BH134" s="232"/>
      <c r="BI134" s="232"/>
      <c r="BJ134" s="232"/>
      <c r="BK134" s="232"/>
      <c r="BL134" s="232"/>
      <c r="BM134" s="232"/>
      <c r="BN134" s="232"/>
      <c r="BO134" s="232"/>
      <c r="BP134" s="232"/>
      <c r="BQ134" s="232"/>
      <c r="BR134" s="232"/>
      <c r="BS134" s="232">
        <v>53.8</v>
      </c>
      <c r="BT134" s="232"/>
      <c r="BU134" s="232">
        <v>15.3</v>
      </c>
      <c r="BV134" s="232"/>
      <c r="BW134" s="240"/>
      <c r="BX134" s="232"/>
      <c r="BY134" s="232"/>
      <c r="BZ134" s="232"/>
      <c r="CA134" s="232"/>
      <c r="CB134" s="241"/>
      <c r="CC134" s="232"/>
      <c r="CD134" s="232"/>
      <c r="CE134" s="232">
        <v>6</v>
      </c>
      <c r="CF134" s="232"/>
      <c r="CG134" s="232">
        <v>0.8</v>
      </c>
      <c r="CH134" s="232"/>
      <c r="CI134" s="232"/>
      <c r="CJ134" s="232"/>
      <c r="CK134" t="s">
        <v>8820</v>
      </c>
      <c r="CL134" s="232"/>
      <c r="CM134" s="232"/>
    </row>
    <row r="135" spans="1:91" ht="15">
      <c r="A135" s="364" t="s">
        <v>7745</v>
      </c>
      <c r="B135" t="s">
        <v>265</v>
      </c>
      <c r="C135" t="s">
        <v>413</v>
      </c>
      <c r="D135" s="232">
        <v>140</v>
      </c>
      <c r="E135" s="113">
        <v>24</v>
      </c>
      <c r="F135" s="113">
        <v>6</v>
      </c>
      <c r="G135" s="233"/>
      <c r="H135" s="233"/>
      <c r="I135" s="232"/>
      <c r="J135" s="234"/>
      <c r="K135" s="235">
        <v>7</v>
      </c>
      <c r="L135" s="390">
        <v>41625</v>
      </c>
      <c r="M135" s="232"/>
      <c r="N135" s="235"/>
      <c r="O135" s="232"/>
      <c r="P135" s="232"/>
      <c r="Q135" s="232"/>
      <c r="R135" s="236"/>
      <c r="S135" s="235"/>
      <c r="T135" s="235"/>
      <c r="U135" s="232"/>
      <c r="V135" s="232"/>
      <c r="W135" s="232"/>
      <c r="X135" s="232"/>
      <c r="Y135" s="237"/>
      <c r="Z135" s="235"/>
      <c r="AA135" s="238"/>
      <c r="AB135" s="235"/>
      <c r="AC135" s="237"/>
      <c r="AD135" s="235"/>
      <c r="AE135" s="235"/>
      <c r="AF135" s="235"/>
      <c r="AG135" s="232"/>
      <c r="AH135" s="232"/>
      <c r="AI135" s="232">
        <v>160</v>
      </c>
      <c r="AJ135" s="194">
        <v>41785</v>
      </c>
      <c r="AK135" s="232"/>
      <c r="AL135" s="232"/>
      <c r="AM135" s="232"/>
      <c r="AN135" s="232"/>
      <c r="AO135" s="232"/>
      <c r="AP135" s="232"/>
      <c r="AQ135" s="239"/>
      <c r="AR135" s="23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232"/>
      <c r="BH135" s="232"/>
      <c r="BI135" s="232"/>
      <c r="BJ135" s="232"/>
      <c r="BK135" s="232"/>
      <c r="BL135" s="232"/>
      <c r="BM135" s="232"/>
      <c r="BN135" s="232"/>
      <c r="BO135" s="232"/>
      <c r="BP135" s="232"/>
      <c r="BQ135" s="232"/>
      <c r="BR135" s="232"/>
      <c r="BS135" s="232">
        <v>55.1</v>
      </c>
      <c r="BT135" s="232"/>
      <c r="BU135" s="232">
        <v>14.6</v>
      </c>
      <c r="BV135" s="232"/>
      <c r="BW135" s="232"/>
      <c r="BX135" s="243"/>
      <c r="BY135" s="232"/>
      <c r="BZ135" s="232"/>
      <c r="CA135" s="232"/>
      <c r="CB135" s="241"/>
      <c r="CC135" s="232"/>
      <c r="CD135" s="232"/>
      <c r="CE135" s="232">
        <v>6.5</v>
      </c>
      <c r="CF135" s="232"/>
      <c r="CG135" s="232">
        <v>0.4</v>
      </c>
      <c r="CH135" s="232"/>
      <c r="CI135" s="232"/>
      <c r="CJ135" s="232"/>
      <c r="CK135" t="s">
        <v>8820</v>
      </c>
      <c r="CL135" s="232"/>
      <c r="CM135" s="232"/>
    </row>
    <row r="136" spans="1:91" ht="15">
      <c r="A136" s="364" t="s">
        <v>7746</v>
      </c>
      <c r="B136" t="s">
        <v>265</v>
      </c>
      <c r="C136" t="s">
        <v>413</v>
      </c>
      <c r="D136">
        <v>141</v>
      </c>
      <c r="E136" s="113">
        <v>8</v>
      </c>
      <c r="F136" s="113">
        <v>6</v>
      </c>
      <c r="I136"/>
      <c r="K136" s="224">
        <v>7</v>
      </c>
      <c r="L136" s="390">
        <v>41625</v>
      </c>
      <c r="M136"/>
      <c r="N136" s="224"/>
      <c r="O136"/>
      <c r="P136"/>
      <c r="Q136"/>
      <c r="S136" s="224"/>
      <c r="T136" s="224"/>
      <c r="U136"/>
      <c r="V136"/>
      <c r="W136"/>
      <c r="X136"/>
      <c r="Y136" s="225"/>
      <c r="Z136" s="224"/>
      <c r="AA136" s="226"/>
      <c r="AB136" s="224"/>
      <c r="AC136" s="225"/>
      <c r="AD136" s="224"/>
      <c r="AE136" s="224"/>
      <c r="AF136" s="224"/>
      <c r="AG136"/>
      <c r="AH136"/>
      <c r="AI136">
        <v>160</v>
      </c>
      <c r="AJ136" s="194">
        <v>41785</v>
      </c>
      <c r="AK136"/>
      <c r="AL136"/>
      <c r="AM136"/>
      <c r="AN136"/>
      <c r="AO136"/>
      <c r="AP136"/>
      <c r="AQ136" s="227"/>
      <c r="AR136" s="227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>
        <v>52.9</v>
      </c>
      <c r="BT136"/>
      <c r="BU136">
        <v>16</v>
      </c>
      <c r="BV136"/>
      <c r="BW136"/>
      <c r="BX136" s="228"/>
      <c r="BY136"/>
      <c r="BZ136"/>
      <c r="CA136"/>
      <c r="CC136"/>
      <c r="CD136"/>
      <c r="CE136">
        <v>6.1</v>
      </c>
      <c r="CF136"/>
      <c r="CG136">
        <v>1.6</v>
      </c>
      <c r="CH136"/>
      <c r="CI136"/>
      <c r="CJ136"/>
      <c r="CK136" t="s">
        <v>8820</v>
      </c>
      <c r="CL136"/>
      <c r="CM136"/>
    </row>
    <row r="137" spans="1:91" ht="15">
      <c r="A137" s="364" t="s">
        <v>7747</v>
      </c>
      <c r="B137" t="s">
        <v>265</v>
      </c>
      <c r="C137" t="s">
        <v>413</v>
      </c>
      <c r="D137">
        <v>142</v>
      </c>
      <c r="E137" s="113">
        <v>8</v>
      </c>
      <c r="F137" s="113">
        <v>5</v>
      </c>
      <c r="I137"/>
      <c r="K137" s="224">
        <v>7</v>
      </c>
      <c r="L137" s="390">
        <v>41625</v>
      </c>
      <c r="M137"/>
      <c r="N137" s="224"/>
      <c r="O137"/>
      <c r="P137"/>
      <c r="Q137"/>
      <c r="S137" s="224"/>
      <c r="T137" s="224"/>
      <c r="U137"/>
      <c r="V137"/>
      <c r="W137"/>
      <c r="X137"/>
      <c r="Y137" s="225"/>
      <c r="Z137" s="224"/>
      <c r="AA137" s="226"/>
      <c r="AB137" s="224"/>
      <c r="AC137" s="225"/>
      <c r="AD137" s="224"/>
      <c r="AE137" s="224"/>
      <c r="AF137" s="224"/>
      <c r="AG137"/>
      <c r="AH137"/>
      <c r="AI137">
        <v>160</v>
      </c>
      <c r="AJ137" s="194">
        <v>41785</v>
      </c>
      <c r="AK137"/>
      <c r="AL137"/>
      <c r="AM137"/>
      <c r="AN137"/>
      <c r="AO137"/>
      <c r="AP137"/>
      <c r="AQ137" s="227"/>
      <c r="AR137" s="22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>
        <v>51.6</v>
      </c>
      <c r="BT137"/>
      <c r="BU137">
        <v>16.100000000000001</v>
      </c>
      <c r="BV137"/>
      <c r="BW137"/>
      <c r="BX137" s="228"/>
      <c r="BY137"/>
      <c r="BZ137"/>
      <c r="CA137"/>
      <c r="CC137"/>
      <c r="CD137"/>
      <c r="CE137">
        <v>6.8</v>
      </c>
      <c r="CF137"/>
      <c r="CG137">
        <v>0.5</v>
      </c>
      <c r="CH137"/>
      <c r="CI137"/>
      <c r="CJ137"/>
      <c r="CK137" t="s">
        <v>8820</v>
      </c>
      <c r="CL137"/>
      <c r="CM137"/>
    </row>
    <row r="138" spans="1:91" ht="15">
      <c r="A138" s="364" t="s">
        <v>7750</v>
      </c>
      <c r="B138" t="s">
        <v>265</v>
      </c>
      <c r="C138" t="s">
        <v>413</v>
      </c>
      <c r="D138" s="232">
        <v>145</v>
      </c>
      <c r="E138" s="113">
        <v>22</v>
      </c>
      <c r="F138" s="113">
        <v>5</v>
      </c>
      <c r="I138"/>
      <c r="K138" s="224">
        <v>7</v>
      </c>
      <c r="L138" s="390">
        <v>41625</v>
      </c>
      <c r="M138"/>
      <c r="N138" s="224"/>
      <c r="O138"/>
      <c r="P138"/>
      <c r="Q138"/>
      <c r="S138" s="224"/>
      <c r="T138" s="224"/>
      <c r="U138"/>
      <c r="V138"/>
      <c r="W138"/>
      <c r="X138"/>
      <c r="Y138" s="225"/>
      <c r="Z138" s="224"/>
      <c r="AA138" s="226"/>
      <c r="AB138" s="224"/>
      <c r="AC138" s="225"/>
      <c r="AD138" s="224"/>
      <c r="AE138" s="224"/>
      <c r="AF138" s="224"/>
      <c r="AG138"/>
      <c r="AH138"/>
      <c r="AI138">
        <v>165</v>
      </c>
      <c r="AJ138" s="194">
        <v>41785</v>
      </c>
      <c r="AK138"/>
      <c r="AL138"/>
      <c r="AM138"/>
      <c r="AN138"/>
      <c r="AO138"/>
      <c r="AP138"/>
      <c r="AQ138" s="227"/>
      <c r="AR138" s="227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>
        <v>52.8</v>
      </c>
      <c r="BT138"/>
      <c r="BU138">
        <v>14.3</v>
      </c>
      <c r="BV138"/>
      <c r="BW138"/>
      <c r="BX138" s="228"/>
      <c r="BY138"/>
      <c r="BZ138"/>
      <c r="CA138"/>
      <c r="CC138"/>
      <c r="CD138"/>
      <c r="CE138">
        <v>6.9</v>
      </c>
      <c r="CF138"/>
      <c r="CG138">
        <v>0.4</v>
      </c>
      <c r="CH138"/>
      <c r="CI138"/>
      <c r="CJ138"/>
      <c r="CK138" t="s">
        <v>8820</v>
      </c>
      <c r="CL138"/>
      <c r="CM138"/>
    </row>
    <row r="139" spans="1:91" ht="15">
      <c r="A139" s="364" t="s">
        <v>7751</v>
      </c>
      <c r="B139" t="s">
        <v>265</v>
      </c>
      <c r="C139" t="s">
        <v>413</v>
      </c>
      <c r="D139">
        <v>146</v>
      </c>
      <c r="E139" s="113">
        <v>24</v>
      </c>
      <c r="F139" s="113">
        <v>4</v>
      </c>
      <c r="G139" s="233"/>
      <c r="H139" s="233"/>
      <c r="I139" s="232"/>
      <c r="J139" s="234"/>
      <c r="K139" s="235">
        <v>7</v>
      </c>
      <c r="L139" s="390">
        <v>41625</v>
      </c>
      <c r="M139" s="232"/>
      <c r="N139" s="235"/>
      <c r="O139" s="232"/>
      <c r="P139" s="232"/>
      <c r="Q139" s="232"/>
      <c r="R139" s="236"/>
      <c r="S139" s="235"/>
      <c r="T139" s="235"/>
      <c r="U139" s="232"/>
      <c r="V139" s="232"/>
      <c r="W139" s="232"/>
      <c r="X139" s="232"/>
      <c r="Y139" s="237"/>
      <c r="Z139" s="235"/>
      <c r="AA139" s="238"/>
      <c r="AB139" s="235"/>
      <c r="AC139" s="237"/>
      <c r="AD139" s="235"/>
      <c r="AE139" s="235"/>
      <c r="AF139" s="235"/>
      <c r="AG139" s="232"/>
      <c r="AH139" s="232"/>
      <c r="AI139" s="232">
        <v>140</v>
      </c>
      <c r="AJ139" s="194">
        <v>41785</v>
      </c>
      <c r="AK139" s="232"/>
      <c r="AL139" s="232"/>
      <c r="AM139" s="232"/>
      <c r="AN139" s="232"/>
      <c r="AO139" s="232"/>
      <c r="AP139" s="232"/>
      <c r="AQ139" s="239"/>
      <c r="AR139" s="23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232"/>
      <c r="BH139" s="232"/>
      <c r="BI139" s="232"/>
      <c r="BJ139" s="232"/>
      <c r="BK139" s="232"/>
      <c r="BL139" s="232"/>
      <c r="BM139" s="232"/>
      <c r="BN139" s="232"/>
      <c r="BO139" s="232"/>
      <c r="BP139" s="232"/>
      <c r="BQ139" s="232"/>
      <c r="BR139" s="232"/>
      <c r="BS139" s="232">
        <v>54.4</v>
      </c>
      <c r="BT139" s="232"/>
      <c r="BU139" s="232">
        <v>13</v>
      </c>
      <c r="BV139" s="232"/>
      <c r="BW139" s="240"/>
      <c r="BX139" s="232"/>
      <c r="BY139" s="232"/>
      <c r="BZ139" s="232"/>
      <c r="CA139" s="232"/>
      <c r="CB139" s="241"/>
      <c r="CC139" s="232"/>
      <c r="CD139" s="232"/>
      <c r="CE139" s="232">
        <v>6.8</v>
      </c>
      <c r="CF139" s="232"/>
      <c r="CG139" s="232">
        <v>0.3</v>
      </c>
      <c r="CH139" s="232"/>
      <c r="CI139" s="232"/>
      <c r="CJ139" s="232"/>
      <c r="CK139" t="s">
        <v>8820</v>
      </c>
      <c r="CL139" s="232"/>
      <c r="CM139" s="232"/>
    </row>
    <row r="140" spans="1:91" ht="15">
      <c r="A140" s="364" t="s">
        <v>7752</v>
      </c>
      <c r="B140" t="s">
        <v>265</v>
      </c>
      <c r="C140" t="s">
        <v>413</v>
      </c>
      <c r="D140">
        <v>147</v>
      </c>
      <c r="E140" s="113">
        <v>28</v>
      </c>
      <c r="F140" s="113">
        <v>1</v>
      </c>
      <c r="I140"/>
      <c r="K140" s="224">
        <v>6</v>
      </c>
      <c r="L140" s="390">
        <v>41625</v>
      </c>
      <c r="M140"/>
      <c r="N140" s="224"/>
      <c r="O140"/>
      <c r="P140"/>
      <c r="Q140"/>
      <c r="S140" s="224"/>
      <c r="T140" s="224"/>
      <c r="U140"/>
      <c r="V140"/>
      <c r="W140"/>
      <c r="X140"/>
      <c r="Y140" s="225"/>
      <c r="Z140" s="224"/>
      <c r="AA140" s="226"/>
      <c r="AB140" s="224"/>
      <c r="AC140" s="225"/>
      <c r="AD140" s="224"/>
      <c r="AE140" s="224"/>
      <c r="AF140" s="224"/>
      <c r="AG140"/>
      <c r="AH140"/>
      <c r="AI140">
        <v>120</v>
      </c>
      <c r="AJ140" s="194">
        <v>41785</v>
      </c>
      <c r="AK140"/>
      <c r="AL140"/>
      <c r="AM140"/>
      <c r="AN140"/>
      <c r="AO140"/>
      <c r="AP140"/>
      <c r="AQ140" s="227"/>
      <c r="AR140" s="227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>
        <v>50.3</v>
      </c>
      <c r="BT140"/>
      <c r="BU140">
        <v>18.7</v>
      </c>
      <c r="BV140"/>
      <c r="BW140"/>
      <c r="BX140" s="228"/>
      <c r="BY140"/>
      <c r="BZ140"/>
      <c r="CA140"/>
      <c r="CC140"/>
      <c r="CD140"/>
      <c r="CE140">
        <v>6.6</v>
      </c>
      <c r="CF140"/>
      <c r="CG140">
        <v>0.3</v>
      </c>
      <c r="CH140"/>
      <c r="CI140"/>
      <c r="CJ140"/>
      <c r="CK140" t="s">
        <v>8820</v>
      </c>
      <c r="CL140"/>
      <c r="CM140"/>
    </row>
    <row r="141" spans="1:91" ht="15">
      <c r="A141" s="364" t="s">
        <v>7753</v>
      </c>
      <c r="B141" t="s">
        <v>265</v>
      </c>
      <c r="C141" t="s">
        <v>413</v>
      </c>
      <c r="D141">
        <v>148</v>
      </c>
      <c r="E141" s="113">
        <v>28</v>
      </c>
      <c r="F141" s="113">
        <v>6</v>
      </c>
      <c r="I141"/>
      <c r="K141" s="224">
        <v>7</v>
      </c>
      <c r="L141" s="390">
        <v>41625</v>
      </c>
      <c r="M141"/>
      <c r="N141" s="224"/>
      <c r="O141"/>
      <c r="P141"/>
      <c r="Q141"/>
      <c r="S141" s="224"/>
      <c r="T141" s="224"/>
      <c r="U141"/>
      <c r="V141"/>
      <c r="W141"/>
      <c r="X141"/>
      <c r="Y141" s="225"/>
      <c r="Z141" s="224"/>
      <c r="AA141" s="226"/>
      <c r="AB141" s="224"/>
      <c r="AC141" s="225"/>
      <c r="AD141" s="224"/>
      <c r="AE141" s="224"/>
      <c r="AF141" s="224"/>
      <c r="AG141"/>
      <c r="AH141"/>
      <c r="AI141">
        <v>115</v>
      </c>
      <c r="AJ141" s="194">
        <v>41785</v>
      </c>
      <c r="AK141"/>
      <c r="AL141"/>
      <c r="AM141"/>
      <c r="AN141"/>
      <c r="AO141"/>
      <c r="AP141"/>
      <c r="AQ141" s="227"/>
      <c r="AR141" s="227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>
        <v>55.4</v>
      </c>
      <c r="BT141"/>
      <c r="BU141">
        <v>11.4</v>
      </c>
      <c r="BV141"/>
      <c r="BW141"/>
      <c r="BX141" s="228"/>
      <c r="BY141"/>
      <c r="BZ141"/>
      <c r="CA141"/>
      <c r="CC141"/>
      <c r="CD141"/>
      <c r="CE141">
        <v>6</v>
      </c>
      <c r="CF141"/>
      <c r="CG141">
        <v>0.4</v>
      </c>
      <c r="CH141"/>
      <c r="CI141"/>
      <c r="CJ141"/>
      <c r="CK141" t="s">
        <v>8820</v>
      </c>
      <c r="CL141"/>
      <c r="CM141"/>
    </row>
    <row r="142" spans="1:91" ht="15">
      <c r="A142" s="364" t="s">
        <v>7754</v>
      </c>
      <c r="B142" t="s">
        <v>265</v>
      </c>
      <c r="C142" t="s">
        <v>413</v>
      </c>
      <c r="D142">
        <v>149</v>
      </c>
      <c r="E142" s="113">
        <v>32</v>
      </c>
      <c r="F142" s="113">
        <v>5</v>
      </c>
      <c r="I142"/>
      <c r="K142" s="224">
        <v>7</v>
      </c>
      <c r="L142" s="390">
        <v>41625</v>
      </c>
      <c r="M142"/>
      <c r="N142" s="224"/>
      <c r="O142"/>
      <c r="P142"/>
      <c r="Q142"/>
      <c r="S142" s="224"/>
      <c r="T142" s="224"/>
      <c r="U142"/>
      <c r="V142"/>
      <c r="W142"/>
      <c r="X142"/>
      <c r="Y142" s="225"/>
      <c r="Z142" s="224"/>
      <c r="AA142" s="226"/>
      <c r="AB142" s="224"/>
      <c r="AC142" s="225"/>
      <c r="AD142" s="224"/>
      <c r="AE142" s="224"/>
      <c r="AF142" s="224"/>
      <c r="AG142"/>
      <c r="AH142"/>
      <c r="AI142">
        <v>135</v>
      </c>
      <c r="AJ142" s="194">
        <v>41785</v>
      </c>
      <c r="AK142"/>
      <c r="AL142"/>
      <c r="AM142"/>
      <c r="AN142"/>
      <c r="AO142"/>
      <c r="AP142"/>
      <c r="AQ142" s="227"/>
      <c r="AR142" s="227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>
        <v>53.3</v>
      </c>
      <c r="BT142"/>
      <c r="BU142">
        <v>15.7</v>
      </c>
      <c r="BV142"/>
      <c r="BW142"/>
      <c r="BX142" s="228"/>
      <c r="BY142"/>
      <c r="BZ142"/>
      <c r="CA142"/>
      <c r="CC142"/>
      <c r="CD142"/>
      <c r="CE142">
        <v>6.6</v>
      </c>
      <c r="CF142"/>
      <c r="CG142">
        <v>0.1</v>
      </c>
      <c r="CH142"/>
      <c r="CI142"/>
      <c r="CJ142"/>
      <c r="CK142" t="s">
        <v>8820</v>
      </c>
      <c r="CL142"/>
      <c r="CM142"/>
    </row>
    <row r="143" spans="1:91" ht="15">
      <c r="A143" s="364" t="s">
        <v>7755</v>
      </c>
      <c r="B143" s="362" t="s">
        <v>265</v>
      </c>
      <c r="C143" s="362" t="s">
        <v>413</v>
      </c>
      <c r="D143">
        <v>150</v>
      </c>
      <c r="E143" s="113">
        <v>36</v>
      </c>
      <c r="F143" s="113">
        <v>1</v>
      </c>
      <c r="G143" s="233"/>
      <c r="H143" s="233"/>
      <c r="I143" s="232"/>
      <c r="J143" s="234"/>
      <c r="K143" s="235">
        <v>5</v>
      </c>
      <c r="L143" s="390">
        <v>41625</v>
      </c>
      <c r="M143" s="232"/>
      <c r="N143" s="235"/>
      <c r="O143" s="232"/>
      <c r="P143" s="232"/>
      <c r="Q143" s="232"/>
      <c r="R143" s="236"/>
      <c r="S143" s="235"/>
      <c r="T143" s="235"/>
      <c r="U143" s="232"/>
      <c r="V143" s="232"/>
      <c r="W143" s="232"/>
      <c r="X143" s="232"/>
      <c r="Y143" s="237"/>
      <c r="Z143" s="235"/>
      <c r="AA143" s="238"/>
      <c r="AB143" s="235"/>
      <c r="AC143" s="237"/>
      <c r="AD143" s="235"/>
      <c r="AE143" s="235"/>
      <c r="AF143" s="235"/>
      <c r="AG143" s="232"/>
      <c r="AH143" s="232"/>
      <c r="AI143" s="232">
        <v>130</v>
      </c>
      <c r="AJ143" s="194">
        <v>41785</v>
      </c>
      <c r="AK143" s="232"/>
      <c r="AL143" s="232"/>
      <c r="AM143" s="232"/>
      <c r="AN143" s="232"/>
      <c r="AO143" s="232"/>
      <c r="AP143" s="232"/>
      <c r="AQ143" s="239"/>
      <c r="AR143" s="23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232"/>
      <c r="BH143" s="232"/>
      <c r="BI143" s="232"/>
      <c r="BJ143" s="232"/>
      <c r="BK143" s="232"/>
      <c r="BL143" s="232"/>
      <c r="BM143" s="232"/>
      <c r="BN143" s="232"/>
      <c r="BO143" s="232"/>
      <c r="BP143" s="232"/>
      <c r="BQ143" s="232"/>
      <c r="BR143" s="232"/>
      <c r="BS143" s="232">
        <v>52</v>
      </c>
      <c r="BT143" s="232"/>
      <c r="BU143" s="232">
        <v>16.899999999999999</v>
      </c>
      <c r="BV143" s="232"/>
      <c r="BW143" s="240"/>
      <c r="BX143" s="232"/>
      <c r="BY143" s="232"/>
      <c r="BZ143" s="232"/>
      <c r="CA143" s="232"/>
      <c r="CB143" s="241"/>
      <c r="CC143" s="232"/>
      <c r="CD143" s="232"/>
      <c r="CE143" s="232">
        <v>6.8</v>
      </c>
      <c r="CF143" s="232"/>
      <c r="CG143" s="232">
        <v>1.5</v>
      </c>
      <c r="CH143" s="232"/>
      <c r="CI143" s="232"/>
      <c r="CJ143" s="232"/>
      <c r="CK143" t="s">
        <v>8820</v>
      </c>
      <c r="CL143" s="232"/>
      <c r="CM143" s="232"/>
    </row>
    <row r="144" spans="1:91" ht="15">
      <c r="A144" s="364" t="s">
        <v>7756</v>
      </c>
      <c r="B144" t="s">
        <v>265</v>
      </c>
      <c r="C144" t="s">
        <v>413</v>
      </c>
      <c r="D144" s="232">
        <v>151</v>
      </c>
      <c r="E144" s="113">
        <v>29</v>
      </c>
      <c r="F144" s="113">
        <v>4</v>
      </c>
      <c r="I144"/>
      <c r="K144" s="224">
        <v>7</v>
      </c>
      <c r="L144" s="390">
        <v>41625</v>
      </c>
      <c r="M144"/>
      <c r="N144" s="224"/>
      <c r="O144"/>
      <c r="P144"/>
      <c r="Q144"/>
      <c r="S144" s="224"/>
      <c r="T144" s="224"/>
      <c r="U144"/>
      <c r="V144"/>
      <c r="W144"/>
      <c r="X144"/>
      <c r="Y144" s="225"/>
      <c r="Z144" s="224"/>
      <c r="AA144" s="226"/>
      <c r="AB144" s="224"/>
      <c r="AC144" s="225"/>
      <c r="AD144" s="224"/>
      <c r="AE144" s="224"/>
      <c r="AF144" s="224"/>
      <c r="AG144"/>
      <c r="AH144"/>
      <c r="AI144">
        <v>140</v>
      </c>
      <c r="AJ144" s="194">
        <v>41785</v>
      </c>
      <c r="AK144"/>
      <c r="AL144"/>
      <c r="AM144"/>
      <c r="AN144"/>
      <c r="AO144"/>
      <c r="AP144"/>
      <c r="AQ144" s="227"/>
      <c r="AR144" s="227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>
        <v>52.5</v>
      </c>
      <c r="BT144"/>
      <c r="BU144">
        <v>16.2</v>
      </c>
      <c r="BV144"/>
      <c r="BW144"/>
      <c r="BX144" s="228"/>
      <c r="BY144"/>
      <c r="BZ144"/>
      <c r="CA144"/>
      <c r="CC144"/>
      <c r="CD144"/>
      <c r="CE144">
        <v>6</v>
      </c>
      <c r="CF144"/>
      <c r="CG144">
        <v>0.1</v>
      </c>
      <c r="CH144"/>
      <c r="CI144"/>
      <c r="CJ144"/>
      <c r="CK144" t="s">
        <v>8820</v>
      </c>
      <c r="CL144"/>
      <c r="CM144"/>
    </row>
    <row r="145" spans="1:91" ht="15">
      <c r="A145" s="364" t="s">
        <v>7757</v>
      </c>
      <c r="B145" t="s">
        <v>265</v>
      </c>
      <c r="C145" t="s">
        <v>413</v>
      </c>
      <c r="D145" s="232">
        <v>152</v>
      </c>
      <c r="E145" s="113">
        <v>5</v>
      </c>
      <c r="F145" s="113">
        <v>6</v>
      </c>
      <c r="I145"/>
      <c r="K145" s="224">
        <v>8</v>
      </c>
      <c r="L145" s="390">
        <v>41625</v>
      </c>
      <c r="M145"/>
      <c r="N145" s="224"/>
      <c r="O145"/>
      <c r="P145"/>
      <c r="Q145"/>
      <c r="S145" s="224"/>
      <c r="T145" s="224"/>
      <c r="U145"/>
      <c r="V145"/>
      <c r="W145"/>
      <c r="X145"/>
      <c r="Y145" s="225"/>
      <c r="Z145" s="224"/>
      <c r="AA145" s="226"/>
      <c r="AB145" s="224"/>
      <c r="AC145" s="225"/>
      <c r="AD145" s="224"/>
      <c r="AE145" s="224"/>
      <c r="AF145" s="224"/>
      <c r="AG145"/>
      <c r="AH145"/>
      <c r="AI145">
        <v>160</v>
      </c>
      <c r="AJ145" s="194">
        <v>41785</v>
      </c>
      <c r="AK145"/>
      <c r="AL145"/>
      <c r="AM145"/>
      <c r="AN145"/>
      <c r="AO145"/>
      <c r="AP145"/>
      <c r="AQ145" s="227"/>
      <c r="AR145" s="227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>
        <v>51.6</v>
      </c>
      <c r="BT145"/>
      <c r="BU145">
        <v>15.7</v>
      </c>
      <c r="BV145"/>
      <c r="BW145"/>
      <c r="BX145" s="228"/>
      <c r="BY145"/>
      <c r="BZ145"/>
      <c r="CA145"/>
      <c r="CC145"/>
      <c r="CD145"/>
      <c r="CE145">
        <v>5.3</v>
      </c>
      <c r="CF145"/>
      <c r="CG145">
        <v>0.4</v>
      </c>
      <c r="CH145"/>
      <c r="CI145"/>
      <c r="CJ145"/>
      <c r="CK145" t="s">
        <v>8820</v>
      </c>
      <c r="CL145"/>
      <c r="CM145"/>
    </row>
    <row r="146" spans="1:91" ht="15">
      <c r="A146" s="364" t="s">
        <v>7758</v>
      </c>
      <c r="B146" s="362" t="s">
        <v>265</v>
      </c>
      <c r="C146" s="362" t="s">
        <v>413</v>
      </c>
      <c r="D146">
        <v>153</v>
      </c>
      <c r="E146" s="113">
        <v>36</v>
      </c>
      <c r="F146" s="113">
        <v>3</v>
      </c>
      <c r="I146"/>
      <c r="K146" s="224">
        <v>6</v>
      </c>
      <c r="L146" s="390">
        <v>41625</v>
      </c>
      <c r="M146"/>
      <c r="N146" s="224"/>
      <c r="O146"/>
      <c r="P146"/>
      <c r="Q146"/>
      <c r="S146" s="224"/>
      <c r="T146" s="224"/>
      <c r="U146"/>
      <c r="V146"/>
      <c r="W146"/>
      <c r="X146"/>
      <c r="Y146" s="225"/>
      <c r="Z146" s="224"/>
      <c r="AA146" s="226"/>
      <c r="AB146" s="224"/>
      <c r="AC146" s="225"/>
      <c r="AD146" s="224"/>
      <c r="AE146" s="224"/>
      <c r="AF146" s="224"/>
      <c r="AG146"/>
      <c r="AH146"/>
      <c r="AI146">
        <v>130</v>
      </c>
      <c r="AJ146" s="194">
        <v>41785</v>
      </c>
      <c r="AK146"/>
      <c r="AL146"/>
      <c r="AM146"/>
      <c r="AN146"/>
      <c r="AO146"/>
      <c r="AP146"/>
      <c r="AQ146" s="227"/>
      <c r="AR146" s="227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>
        <v>48.3</v>
      </c>
      <c r="BT146"/>
      <c r="BU146">
        <v>17.399999999999999</v>
      </c>
      <c r="BV146"/>
      <c r="BW146" s="229"/>
      <c r="BX146"/>
      <c r="BY146"/>
      <c r="BZ146"/>
      <c r="CA146"/>
      <c r="CC146"/>
      <c r="CD146"/>
      <c r="CE146">
        <v>7.5</v>
      </c>
      <c r="CF146"/>
      <c r="CG146">
        <v>0.8</v>
      </c>
      <c r="CH146"/>
      <c r="CI146"/>
      <c r="CJ146"/>
      <c r="CK146" t="s">
        <v>8820</v>
      </c>
      <c r="CL146"/>
      <c r="CM146"/>
    </row>
    <row r="147" spans="1:91" ht="15">
      <c r="A147" s="364" t="s">
        <v>7759</v>
      </c>
      <c r="B147" t="s">
        <v>265</v>
      </c>
      <c r="C147" t="s">
        <v>413</v>
      </c>
      <c r="D147">
        <v>154</v>
      </c>
      <c r="E147" s="113">
        <v>8</v>
      </c>
      <c r="F147" s="113">
        <v>4</v>
      </c>
      <c r="G147" s="233"/>
      <c r="H147" s="233"/>
      <c r="I147" s="232"/>
      <c r="J147" s="234"/>
      <c r="K147" s="235">
        <v>7</v>
      </c>
      <c r="L147" s="390">
        <v>41625</v>
      </c>
      <c r="M147" s="232"/>
      <c r="N147" s="235"/>
      <c r="O147" s="232"/>
      <c r="P147" s="232"/>
      <c r="Q147" s="232"/>
      <c r="R147" s="236"/>
      <c r="S147" s="235"/>
      <c r="T147" s="235"/>
      <c r="U147" s="232"/>
      <c r="V147" s="232"/>
      <c r="W147" s="232"/>
      <c r="X147" s="232"/>
      <c r="Y147" s="237"/>
      <c r="Z147" s="235"/>
      <c r="AA147" s="238"/>
      <c r="AB147" s="235"/>
      <c r="AC147" s="237"/>
      <c r="AD147" s="235"/>
      <c r="AE147" s="235"/>
      <c r="AF147" s="235"/>
      <c r="AG147" s="232"/>
      <c r="AH147" s="232"/>
      <c r="AI147" s="232">
        <v>180</v>
      </c>
      <c r="AJ147" s="194">
        <v>41785</v>
      </c>
      <c r="AK147" s="232"/>
      <c r="AL147" s="232"/>
      <c r="AM147" s="232"/>
      <c r="AN147" s="232"/>
      <c r="AO147" s="232"/>
      <c r="AP147" s="232"/>
      <c r="AQ147" s="239"/>
      <c r="AR147" s="23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232"/>
      <c r="BH147" s="232"/>
      <c r="BI147" s="232"/>
      <c r="BJ147" s="232"/>
      <c r="BK147" s="232"/>
      <c r="BL147" s="232"/>
      <c r="BM147" s="232"/>
      <c r="BN147" s="232"/>
      <c r="BO147" s="232"/>
      <c r="BP147" s="232"/>
      <c r="BQ147" s="232"/>
      <c r="BR147" s="232"/>
      <c r="BS147" s="232">
        <v>54.7</v>
      </c>
      <c r="BT147" s="232"/>
      <c r="BU147" s="232">
        <v>14.7</v>
      </c>
      <c r="BV147" s="232"/>
      <c r="BW147" s="240"/>
      <c r="BX147" s="232"/>
      <c r="BY147" s="232"/>
      <c r="BZ147" s="232"/>
      <c r="CA147" s="232"/>
      <c r="CB147" s="241"/>
      <c r="CC147" s="232"/>
      <c r="CD147" s="232"/>
      <c r="CE147" s="232">
        <v>5.9</v>
      </c>
      <c r="CF147" s="232"/>
      <c r="CG147" s="232">
        <v>0.4</v>
      </c>
      <c r="CH147" s="232"/>
      <c r="CI147" s="232"/>
      <c r="CJ147" s="232"/>
      <c r="CK147" t="s">
        <v>8820</v>
      </c>
      <c r="CL147" s="232"/>
      <c r="CM147" s="232"/>
    </row>
    <row r="148" spans="1:91" ht="15">
      <c r="A148" s="364" t="s">
        <v>7760</v>
      </c>
      <c r="B148" t="s">
        <v>265</v>
      </c>
      <c r="C148" t="s">
        <v>413</v>
      </c>
      <c r="D148">
        <v>155</v>
      </c>
      <c r="E148" s="113">
        <v>14</v>
      </c>
      <c r="F148" s="113">
        <v>6</v>
      </c>
      <c r="I148"/>
      <c r="K148" s="224">
        <v>6</v>
      </c>
      <c r="L148" s="390">
        <v>41625</v>
      </c>
      <c r="M148"/>
      <c r="N148" s="224"/>
      <c r="O148"/>
      <c r="P148"/>
      <c r="Q148"/>
      <c r="S148" s="224"/>
      <c r="T148" s="224"/>
      <c r="U148"/>
      <c r="V148"/>
      <c r="W148"/>
      <c r="X148"/>
      <c r="Y148" s="225"/>
      <c r="Z148" s="224"/>
      <c r="AA148" s="226"/>
      <c r="AB148" s="224"/>
      <c r="AC148" s="225"/>
      <c r="AD148" s="224"/>
      <c r="AE148" s="224"/>
      <c r="AF148" s="224"/>
      <c r="AG148"/>
      <c r="AH148"/>
      <c r="AI148">
        <v>110</v>
      </c>
      <c r="AJ148" s="194">
        <v>41785</v>
      </c>
      <c r="AK148"/>
      <c r="AL148"/>
      <c r="AM148"/>
      <c r="AN148"/>
      <c r="AO148"/>
      <c r="AP148"/>
      <c r="AQ148" s="227"/>
      <c r="AR148" s="227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>
        <v>51.9</v>
      </c>
      <c r="BT148"/>
      <c r="BU148">
        <v>15.7</v>
      </c>
      <c r="BV148"/>
      <c r="BW148"/>
      <c r="BX148" s="228"/>
      <c r="BY148"/>
      <c r="BZ148"/>
      <c r="CA148"/>
      <c r="CC148"/>
      <c r="CD148"/>
      <c r="CE148">
        <v>7.7</v>
      </c>
      <c r="CF148"/>
      <c r="CG148">
        <v>0.3</v>
      </c>
      <c r="CH148"/>
      <c r="CI148"/>
      <c r="CJ148"/>
      <c r="CK148" t="s">
        <v>8820</v>
      </c>
      <c r="CL148"/>
      <c r="CM148"/>
    </row>
    <row r="149" spans="1:91" ht="15">
      <c r="A149" s="364" t="s">
        <v>7761</v>
      </c>
      <c r="B149" t="s">
        <v>265</v>
      </c>
      <c r="C149" t="s">
        <v>413</v>
      </c>
      <c r="D149">
        <v>156</v>
      </c>
      <c r="E149" s="113">
        <v>35</v>
      </c>
      <c r="F149" s="113">
        <v>5</v>
      </c>
      <c r="I149"/>
      <c r="K149" s="224">
        <v>6</v>
      </c>
      <c r="L149" s="390">
        <v>41625</v>
      </c>
      <c r="M149"/>
      <c r="N149" s="224"/>
      <c r="O149"/>
      <c r="P149"/>
      <c r="Q149"/>
      <c r="S149" s="224"/>
      <c r="T149" s="224"/>
      <c r="U149"/>
      <c r="V149"/>
      <c r="W149"/>
      <c r="X149"/>
      <c r="Y149" s="225"/>
      <c r="Z149" s="224"/>
      <c r="AA149" s="226"/>
      <c r="AB149" s="224"/>
      <c r="AC149" s="225"/>
      <c r="AD149" s="224"/>
      <c r="AE149" s="224"/>
      <c r="AF149" s="224"/>
      <c r="AG149"/>
      <c r="AH149"/>
      <c r="AI149">
        <v>110</v>
      </c>
      <c r="AJ149" s="194">
        <v>41785</v>
      </c>
      <c r="AK149"/>
      <c r="AL149"/>
      <c r="AM149"/>
      <c r="AN149"/>
      <c r="AO149"/>
      <c r="AP149"/>
      <c r="AQ149" s="227"/>
      <c r="AR149" s="227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>
        <v>53.2</v>
      </c>
      <c r="BT149"/>
      <c r="BU149">
        <v>15.8</v>
      </c>
      <c r="BV149"/>
      <c r="BW149" s="228"/>
      <c r="BX149" s="228"/>
      <c r="BY149"/>
      <c r="BZ149"/>
      <c r="CA149"/>
      <c r="CC149"/>
      <c r="CD149"/>
      <c r="CE149">
        <v>6.4</v>
      </c>
      <c r="CF149"/>
      <c r="CG149">
        <v>0.4</v>
      </c>
      <c r="CH149"/>
      <c r="CI149"/>
      <c r="CJ149"/>
      <c r="CK149" t="s">
        <v>8820</v>
      </c>
      <c r="CL149"/>
      <c r="CM149"/>
    </row>
    <row r="150" spans="1:91" ht="15">
      <c r="A150" s="364" t="s">
        <v>7762</v>
      </c>
      <c r="B150" t="s">
        <v>265</v>
      </c>
      <c r="C150" t="s">
        <v>413</v>
      </c>
      <c r="D150" s="232">
        <v>157</v>
      </c>
      <c r="E150" s="113">
        <v>34</v>
      </c>
      <c r="F150" s="113">
        <v>2</v>
      </c>
      <c r="G150" s="233"/>
      <c r="H150" s="233"/>
      <c r="I150" s="232"/>
      <c r="J150" s="234"/>
      <c r="K150" s="235">
        <v>6</v>
      </c>
      <c r="L150" s="390">
        <v>41625</v>
      </c>
      <c r="M150" s="232"/>
      <c r="N150" s="235"/>
      <c r="O150" s="232"/>
      <c r="P150" s="232"/>
      <c r="Q150" s="232"/>
      <c r="R150" s="236"/>
      <c r="S150" s="235"/>
      <c r="T150" s="235"/>
      <c r="U150" s="232"/>
      <c r="V150" s="232"/>
      <c r="W150" s="232"/>
      <c r="X150" s="232"/>
      <c r="Y150" s="237"/>
      <c r="Z150" s="235"/>
      <c r="AA150" s="238"/>
      <c r="AB150" s="235"/>
      <c r="AC150" s="237"/>
      <c r="AD150" s="235"/>
      <c r="AE150" s="235"/>
      <c r="AF150" s="235"/>
      <c r="AG150" s="232"/>
      <c r="AH150" s="232"/>
      <c r="AI150" s="232">
        <v>135</v>
      </c>
      <c r="AJ150" s="194">
        <v>41785</v>
      </c>
      <c r="AK150" s="232"/>
      <c r="AL150" s="232"/>
      <c r="AM150" s="232"/>
      <c r="AN150" s="232"/>
      <c r="AO150" s="232"/>
      <c r="AP150" s="232"/>
      <c r="AQ150" s="239"/>
      <c r="AR150" s="23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232"/>
      <c r="BH150" s="232"/>
      <c r="BI150" s="232"/>
      <c r="BJ150" s="232"/>
      <c r="BK150" s="232"/>
      <c r="BL150" s="232"/>
      <c r="BM150" s="232"/>
      <c r="BN150" s="232"/>
      <c r="BO150" s="232"/>
      <c r="BP150" s="232"/>
      <c r="BQ150" s="232"/>
      <c r="BR150" s="232"/>
      <c r="BS150" s="232">
        <v>52.9</v>
      </c>
      <c r="BT150" s="232"/>
      <c r="BU150" s="232">
        <v>15.2</v>
      </c>
      <c r="BV150" s="232"/>
      <c r="BW150" s="232"/>
      <c r="BX150" s="232"/>
      <c r="BY150" s="232"/>
      <c r="BZ150" s="232"/>
      <c r="CA150" s="232"/>
      <c r="CB150" s="241"/>
      <c r="CC150" s="232"/>
      <c r="CD150" s="232"/>
      <c r="CE150" s="232">
        <v>6.6</v>
      </c>
      <c r="CF150" s="232"/>
      <c r="CG150" s="232">
        <v>0.4</v>
      </c>
      <c r="CH150" s="232"/>
      <c r="CI150" s="232"/>
      <c r="CJ150" s="232"/>
      <c r="CK150" t="s">
        <v>8820</v>
      </c>
      <c r="CL150" s="232"/>
      <c r="CM150" s="232"/>
    </row>
    <row r="151" spans="1:91" ht="15">
      <c r="A151" s="364" t="s">
        <v>7763</v>
      </c>
      <c r="B151" t="s">
        <v>265</v>
      </c>
      <c r="C151" t="s">
        <v>413</v>
      </c>
      <c r="D151" s="232">
        <v>158</v>
      </c>
      <c r="E151" s="113">
        <v>32</v>
      </c>
      <c r="F151" s="113">
        <v>4</v>
      </c>
      <c r="I151"/>
      <c r="K151" s="224">
        <v>7</v>
      </c>
      <c r="L151" s="390">
        <v>41625</v>
      </c>
      <c r="M151"/>
      <c r="N151" s="224"/>
      <c r="O151"/>
      <c r="P151"/>
      <c r="Q151"/>
      <c r="S151" s="224"/>
      <c r="T151" s="224"/>
      <c r="U151"/>
      <c r="V151"/>
      <c r="W151"/>
      <c r="X151"/>
      <c r="Y151" s="225"/>
      <c r="Z151" s="224"/>
      <c r="AA151" s="226"/>
      <c r="AB151" s="224"/>
      <c r="AC151" s="225"/>
      <c r="AD151" s="224"/>
      <c r="AE151" s="224"/>
      <c r="AF151" s="224"/>
      <c r="AG151"/>
      <c r="AH151"/>
      <c r="AI151">
        <v>140</v>
      </c>
      <c r="AJ151" s="194">
        <v>41785</v>
      </c>
      <c r="AK151"/>
      <c r="AL151"/>
      <c r="AM151"/>
      <c r="AN151"/>
      <c r="AO151"/>
      <c r="AP151"/>
      <c r="AQ151" s="227"/>
      <c r="AR151" s="227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>
        <v>53.6</v>
      </c>
      <c r="BT151"/>
      <c r="BU151">
        <v>14.8</v>
      </c>
      <c r="BV151"/>
      <c r="BW151" s="229"/>
      <c r="BX151"/>
      <c r="BY151"/>
      <c r="BZ151"/>
      <c r="CA151"/>
      <c r="CC151"/>
      <c r="CD151"/>
      <c r="CE151">
        <v>6.6</v>
      </c>
      <c r="CF151"/>
      <c r="CG151">
        <v>0.3</v>
      </c>
      <c r="CH151"/>
      <c r="CI151"/>
      <c r="CJ151"/>
      <c r="CK151" t="s">
        <v>8820</v>
      </c>
      <c r="CL151"/>
      <c r="CM151"/>
    </row>
    <row r="152" spans="1:91" ht="15">
      <c r="A152" s="364" t="s">
        <v>7764</v>
      </c>
      <c r="B152" t="s">
        <v>265</v>
      </c>
      <c r="C152" t="s">
        <v>413</v>
      </c>
      <c r="D152">
        <v>159</v>
      </c>
      <c r="E152" s="113">
        <v>16</v>
      </c>
      <c r="F152" s="113">
        <v>6</v>
      </c>
      <c r="I152"/>
      <c r="K152" s="224">
        <v>6</v>
      </c>
      <c r="L152" s="390">
        <v>41625</v>
      </c>
      <c r="M152"/>
      <c r="N152" s="224"/>
      <c r="O152"/>
      <c r="P152"/>
      <c r="Q152"/>
      <c r="S152" s="224"/>
      <c r="T152" s="224"/>
      <c r="U152"/>
      <c r="V152"/>
      <c r="W152"/>
      <c r="X152"/>
      <c r="Y152" s="225"/>
      <c r="Z152" s="224"/>
      <c r="AA152" s="226"/>
      <c r="AB152" s="224"/>
      <c r="AC152" s="225"/>
      <c r="AD152" s="224"/>
      <c r="AE152" s="224"/>
      <c r="AF152" s="224"/>
      <c r="AG152"/>
      <c r="AH152"/>
      <c r="AI152">
        <v>120</v>
      </c>
      <c r="AJ152" s="194">
        <v>41785</v>
      </c>
      <c r="AK152"/>
      <c r="AL152"/>
      <c r="AM152"/>
      <c r="AN152"/>
      <c r="AO152"/>
      <c r="AP152"/>
      <c r="AQ152" s="227"/>
      <c r="AR152" s="227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>
        <v>54.1</v>
      </c>
      <c r="BT152"/>
      <c r="BU152">
        <v>14</v>
      </c>
      <c r="BV152"/>
      <c r="BW152" s="229"/>
      <c r="BX152"/>
      <c r="BY152"/>
      <c r="BZ152"/>
      <c r="CA152"/>
      <c r="CC152"/>
      <c r="CD152"/>
      <c r="CE152">
        <v>7.6</v>
      </c>
      <c r="CF152"/>
      <c r="CG152">
        <v>0.3</v>
      </c>
      <c r="CH152"/>
      <c r="CI152"/>
      <c r="CJ152"/>
      <c r="CK152" t="s">
        <v>8820</v>
      </c>
      <c r="CL152"/>
      <c r="CM152"/>
    </row>
    <row r="153" spans="1:91" ht="15">
      <c r="A153" s="364" t="s">
        <v>7765</v>
      </c>
      <c r="B153" t="s">
        <v>265</v>
      </c>
      <c r="C153" t="s">
        <v>413</v>
      </c>
      <c r="D153">
        <v>160</v>
      </c>
      <c r="E153" s="113">
        <v>25</v>
      </c>
      <c r="F153" s="113">
        <v>2</v>
      </c>
      <c r="I153"/>
      <c r="K153" s="224">
        <v>7</v>
      </c>
      <c r="L153" s="390">
        <v>41625</v>
      </c>
      <c r="M153"/>
      <c r="N153" s="224"/>
      <c r="O153"/>
      <c r="P153"/>
      <c r="Q153"/>
      <c r="S153" s="224"/>
      <c r="T153" s="224"/>
      <c r="U153"/>
      <c r="V153"/>
      <c r="W153"/>
      <c r="X153"/>
      <c r="Y153" s="225"/>
      <c r="Z153" s="224"/>
      <c r="AA153" s="226"/>
      <c r="AB153" s="224"/>
      <c r="AC153" s="225"/>
      <c r="AD153" s="224"/>
      <c r="AE153" s="224"/>
      <c r="AF153" s="224"/>
      <c r="AG153"/>
      <c r="AH153"/>
      <c r="AI153">
        <v>115</v>
      </c>
      <c r="AJ153" s="194">
        <v>41785</v>
      </c>
      <c r="AK153"/>
      <c r="AL153"/>
      <c r="AM153"/>
      <c r="AN153"/>
      <c r="AO153"/>
      <c r="AP153"/>
      <c r="AQ153" s="227"/>
      <c r="AR153" s="227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>
        <v>52.9</v>
      </c>
      <c r="BT153"/>
      <c r="BU153">
        <v>16.3</v>
      </c>
      <c r="BV153"/>
      <c r="BW153" s="229"/>
      <c r="BX153"/>
      <c r="BY153"/>
      <c r="BZ153"/>
      <c r="CA153"/>
      <c r="CC153"/>
      <c r="CD153"/>
      <c r="CE153">
        <v>5.5</v>
      </c>
      <c r="CF153"/>
      <c r="CG153">
        <v>0.8</v>
      </c>
      <c r="CH153"/>
      <c r="CI153"/>
      <c r="CJ153"/>
      <c r="CK153" t="s">
        <v>8820</v>
      </c>
      <c r="CL153"/>
      <c r="CM153"/>
    </row>
    <row r="154" spans="1:91" ht="15">
      <c r="A154" s="364" t="s">
        <v>7766</v>
      </c>
      <c r="B154" t="s">
        <v>265</v>
      </c>
      <c r="C154" t="s">
        <v>413</v>
      </c>
      <c r="D154">
        <v>161</v>
      </c>
      <c r="E154" s="113">
        <v>15</v>
      </c>
      <c r="F154" s="113">
        <v>1</v>
      </c>
      <c r="I154"/>
      <c r="K154" s="224">
        <v>6</v>
      </c>
      <c r="L154" s="390">
        <v>41625</v>
      </c>
      <c r="M154"/>
      <c r="N154" s="224"/>
      <c r="O154"/>
      <c r="P154"/>
      <c r="Q154"/>
      <c r="S154" s="224"/>
      <c r="T154" s="224"/>
      <c r="U154"/>
      <c r="V154"/>
      <c r="W154"/>
      <c r="X154"/>
      <c r="Y154" s="225"/>
      <c r="Z154" s="224"/>
      <c r="AA154" s="226"/>
      <c r="AB154" s="224"/>
      <c r="AC154" s="225"/>
      <c r="AD154" s="224"/>
      <c r="AE154" s="224"/>
      <c r="AF154" s="224"/>
      <c r="AG154"/>
      <c r="AH154"/>
      <c r="AI154">
        <v>110</v>
      </c>
      <c r="AJ154" s="194">
        <v>41785</v>
      </c>
      <c r="AK154"/>
      <c r="AL154"/>
      <c r="AM154"/>
      <c r="AN154"/>
      <c r="AO154"/>
      <c r="AP154"/>
      <c r="AQ154" s="227"/>
      <c r="AR154" s="227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>
        <v>53</v>
      </c>
      <c r="BT154"/>
      <c r="BU154">
        <v>16.899999999999999</v>
      </c>
      <c r="BV154"/>
      <c r="BW154" s="229"/>
      <c r="BX154"/>
      <c r="BY154"/>
      <c r="BZ154"/>
      <c r="CA154"/>
      <c r="CC154"/>
      <c r="CD154"/>
      <c r="CE154">
        <v>7.4</v>
      </c>
      <c r="CF154"/>
      <c r="CG154">
        <v>0.1</v>
      </c>
      <c r="CH154"/>
      <c r="CI154"/>
      <c r="CJ154"/>
      <c r="CK154" t="s">
        <v>8820</v>
      </c>
      <c r="CL154"/>
      <c r="CM154"/>
    </row>
    <row r="155" spans="1:91" ht="15">
      <c r="A155" s="364" t="s">
        <v>7767</v>
      </c>
      <c r="B155" t="s">
        <v>265</v>
      </c>
      <c r="C155" t="s">
        <v>413</v>
      </c>
      <c r="D155">
        <v>162</v>
      </c>
      <c r="E155" s="113">
        <v>11</v>
      </c>
      <c r="F155" s="113">
        <v>3</v>
      </c>
      <c r="I155"/>
      <c r="K155" s="224">
        <v>7</v>
      </c>
      <c r="L155" s="390">
        <v>41625</v>
      </c>
      <c r="M155"/>
      <c r="N155" s="224"/>
      <c r="O155"/>
      <c r="P155"/>
      <c r="Q155"/>
      <c r="S155" s="224"/>
      <c r="T155" s="224"/>
      <c r="U155"/>
      <c r="V155"/>
      <c r="W155"/>
      <c r="X155"/>
      <c r="Y155" s="225"/>
      <c r="Z155" s="224"/>
      <c r="AA155" s="226"/>
      <c r="AB155" s="224"/>
      <c r="AC155" s="225"/>
      <c r="AD155" s="224"/>
      <c r="AE155" s="224"/>
      <c r="AF155" s="224"/>
      <c r="AG155"/>
      <c r="AH155"/>
      <c r="AI155">
        <v>150</v>
      </c>
      <c r="AJ155" s="194">
        <v>41785</v>
      </c>
      <c r="AK155"/>
      <c r="AL155"/>
      <c r="AM155"/>
      <c r="AN155"/>
      <c r="AO155"/>
      <c r="AP155"/>
      <c r="AQ155" s="227"/>
      <c r="AR155" s="227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>
        <v>52.9</v>
      </c>
      <c r="BT155"/>
      <c r="BU155">
        <v>14.2</v>
      </c>
      <c r="BV155"/>
      <c r="BW155" s="229"/>
      <c r="BX155"/>
      <c r="BY155"/>
      <c r="BZ155"/>
      <c r="CA155"/>
      <c r="CC155"/>
      <c r="CD155"/>
      <c r="CE155">
        <v>5.5</v>
      </c>
      <c r="CF155"/>
      <c r="CG155">
        <v>0.4</v>
      </c>
      <c r="CH155"/>
      <c r="CI155"/>
      <c r="CJ155"/>
      <c r="CK155" t="s">
        <v>8820</v>
      </c>
      <c r="CL155"/>
      <c r="CM155"/>
    </row>
    <row r="156" spans="1:91" ht="15">
      <c r="A156" s="364" t="s">
        <v>7768</v>
      </c>
      <c r="B156" t="s">
        <v>265</v>
      </c>
      <c r="C156" t="s">
        <v>413</v>
      </c>
      <c r="D156">
        <v>163</v>
      </c>
      <c r="E156" s="113">
        <v>11</v>
      </c>
      <c r="F156" s="113">
        <v>5</v>
      </c>
      <c r="I156"/>
      <c r="K156" s="224">
        <v>6</v>
      </c>
      <c r="L156" s="390">
        <v>41625</v>
      </c>
      <c r="M156"/>
      <c r="N156" s="224"/>
      <c r="O156"/>
      <c r="P156"/>
      <c r="Q156"/>
      <c r="S156" s="224"/>
      <c r="T156" s="224"/>
      <c r="U156"/>
      <c r="V156"/>
      <c r="W156"/>
      <c r="X156"/>
      <c r="Y156" s="225"/>
      <c r="Z156" s="224"/>
      <c r="AA156" s="226"/>
      <c r="AB156" s="224"/>
      <c r="AC156" s="225"/>
      <c r="AD156" s="224"/>
      <c r="AE156" s="224"/>
      <c r="AF156" s="224"/>
      <c r="AG156"/>
      <c r="AH156"/>
      <c r="AI156">
        <v>130</v>
      </c>
      <c r="AJ156" s="194">
        <v>41785</v>
      </c>
      <c r="AK156"/>
      <c r="AL156"/>
      <c r="AM156"/>
      <c r="AN156"/>
      <c r="AO156"/>
      <c r="AP156"/>
      <c r="AQ156" s="227"/>
      <c r="AR156" s="227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>
        <v>53.3</v>
      </c>
      <c r="BT156"/>
      <c r="BU156">
        <v>15.4</v>
      </c>
      <c r="BV156"/>
      <c r="BW156"/>
      <c r="BX156" s="228"/>
      <c r="BY156"/>
      <c r="BZ156"/>
      <c r="CA156"/>
      <c r="CC156"/>
      <c r="CD156"/>
      <c r="CE156">
        <v>5.6</v>
      </c>
      <c r="CF156"/>
      <c r="CG156">
        <v>0.3</v>
      </c>
      <c r="CH156"/>
      <c r="CI156"/>
      <c r="CJ156"/>
      <c r="CK156" t="s">
        <v>8820</v>
      </c>
      <c r="CL156"/>
      <c r="CM156"/>
    </row>
    <row r="157" spans="1:91" ht="15">
      <c r="A157" s="364" t="s">
        <v>7769</v>
      </c>
      <c r="B157" t="s">
        <v>265</v>
      </c>
      <c r="C157" t="s">
        <v>413</v>
      </c>
      <c r="D157">
        <v>164</v>
      </c>
      <c r="E157" s="113">
        <v>16</v>
      </c>
      <c r="F157" s="113">
        <v>3</v>
      </c>
      <c r="I157"/>
      <c r="K157" s="224">
        <v>7</v>
      </c>
      <c r="L157" s="390">
        <v>41625</v>
      </c>
      <c r="M157"/>
      <c r="N157" s="224"/>
      <c r="O157"/>
      <c r="P157"/>
      <c r="Q157"/>
      <c r="S157" s="224"/>
      <c r="T157" s="224"/>
      <c r="U157"/>
      <c r="V157"/>
      <c r="W157"/>
      <c r="X157"/>
      <c r="Y157" s="225"/>
      <c r="Z157" s="224"/>
      <c r="AA157" s="226"/>
      <c r="AB157" s="224"/>
      <c r="AC157" s="225"/>
      <c r="AD157" s="224"/>
      <c r="AE157" s="224"/>
      <c r="AF157" s="224"/>
      <c r="AG157"/>
      <c r="AH157"/>
      <c r="AI157">
        <v>120</v>
      </c>
      <c r="AJ157" s="194">
        <v>41785</v>
      </c>
      <c r="AK157"/>
      <c r="AL157"/>
      <c r="AM157"/>
      <c r="AN157"/>
      <c r="AO157"/>
      <c r="AP157"/>
      <c r="AQ157" s="227"/>
      <c r="AR157" s="22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>
        <v>51.7</v>
      </c>
      <c r="BT157"/>
      <c r="BU157">
        <v>15.5</v>
      </c>
      <c r="BV157"/>
      <c r="BW157" s="228"/>
      <c r="BX157" s="228"/>
      <c r="BY157"/>
      <c r="BZ157"/>
      <c r="CA157"/>
      <c r="CC157"/>
      <c r="CD157"/>
      <c r="CE157">
        <v>8.8000000000000007</v>
      </c>
      <c r="CF157"/>
      <c r="CG157">
        <v>0.3</v>
      </c>
      <c r="CH157"/>
      <c r="CI157"/>
      <c r="CJ157"/>
      <c r="CK157" t="s">
        <v>8820</v>
      </c>
      <c r="CL157"/>
      <c r="CM157"/>
    </row>
    <row r="158" spans="1:91" ht="15">
      <c r="A158" s="364" t="s">
        <v>7770</v>
      </c>
      <c r="B158" t="s">
        <v>265</v>
      </c>
      <c r="C158" t="s">
        <v>413</v>
      </c>
      <c r="D158" s="232">
        <v>165</v>
      </c>
      <c r="E158" s="113">
        <v>21</v>
      </c>
      <c r="F158" s="113">
        <v>6</v>
      </c>
      <c r="G158" s="233"/>
      <c r="H158" s="233"/>
      <c r="I158" s="232"/>
      <c r="J158" s="234"/>
      <c r="K158" s="235">
        <v>7</v>
      </c>
      <c r="L158" s="390">
        <v>41625</v>
      </c>
      <c r="M158" s="232"/>
      <c r="N158" s="235"/>
      <c r="O158" s="232"/>
      <c r="P158" s="232"/>
      <c r="Q158" s="232"/>
      <c r="R158" s="236"/>
      <c r="S158" s="235"/>
      <c r="T158" s="235"/>
      <c r="U158" s="232"/>
      <c r="V158" s="232"/>
      <c r="W158" s="232"/>
      <c r="X158" s="232"/>
      <c r="Y158" s="237"/>
      <c r="Z158" s="235"/>
      <c r="AA158" s="238"/>
      <c r="AB158" s="235"/>
      <c r="AC158" s="237"/>
      <c r="AD158" s="235"/>
      <c r="AE158" s="235"/>
      <c r="AF158" s="235"/>
      <c r="AG158" s="232"/>
      <c r="AH158" s="232"/>
      <c r="AI158" s="232">
        <v>125</v>
      </c>
      <c r="AJ158" s="194">
        <v>41785</v>
      </c>
      <c r="AK158" s="232"/>
      <c r="AL158" s="232"/>
      <c r="AM158" s="232"/>
      <c r="AN158" s="232"/>
      <c r="AO158" s="232"/>
      <c r="AP158" s="232"/>
      <c r="AQ158" s="239"/>
      <c r="AR158" s="23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232"/>
      <c r="BH158" s="232"/>
      <c r="BI158" s="232"/>
      <c r="BJ158" s="232"/>
      <c r="BK158" s="232"/>
      <c r="BL158" s="232"/>
      <c r="BM158" s="232"/>
      <c r="BN158" s="232"/>
      <c r="BO158" s="232"/>
      <c r="BP158" s="232"/>
      <c r="BQ158" s="232"/>
      <c r="BR158" s="232"/>
      <c r="BS158" s="232">
        <v>52.2</v>
      </c>
      <c r="BT158" s="232"/>
      <c r="BU158" s="232">
        <v>16.2</v>
      </c>
      <c r="BV158" s="232"/>
      <c r="BW158" s="240"/>
      <c r="BX158" s="232"/>
      <c r="BY158" s="232"/>
      <c r="BZ158" s="232"/>
      <c r="CA158" s="232"/>
      <c r="CB158" s="241"/>
      <c r="CC158" s="232"/>
      <c r="CD158" s="232"/>
      <c r="CE158" s="232">
        <v>5.5</v>
      </c>
      <c r="CF158" s="232"/>
      <c r="CG158" s="232">
        <v>0.1</v>
      </c>
      <c r="CH158" s="232"/>
      <c r="CI158" s="232"/>
      <c r="CJ158" s="232"/>
      <c r="CK158" t="s">
        <v>8820</v>
      </c>
      <c r="CL158" s="232"/>
      <c r="CM158" s="232"/>
    </row>
    <row r="159" spans="1:91" ht="15">
      <c r="A159" s="364" t="s">
        <v>7771</v>
      </c>
      <c r="B159" t="s">
        <v>265</v>
      </c>
      <c r="C159" t="s">
        <v>413</v>
      </c>
      <c r="D159">
        <v>166</v>
      </c>
      <c r="E159" s="113">
        <v>27</v>
      </c>
      <c r="F159" s="113">
        <v>1</v>
      </c>
      <c r="G159" s="233"/>
      <c r="H159" s="233"/>
      <c r="I159" s="232"/>
      <c r="J159" s="234"/>
      <c r="K159" s="235">
        <v>6</v>
      </c>
      <c r="L159" s="390">
        <v>41625</v>
      </c>
      <c r="M159" s="232"/>
      <c r="N159" s="235"/>
      <c r="O159" s="232"/>
      <c r="P159" s="232"/>
      <c r="Q159" s="232"/>
      <c r="R159" s="236"/>
      <c r="S159" s="235"/>
      <c r="T159" s="235"/>
      <c r="U159" s="232"/>
      <c r="V159" s="232"/>
      <c r="W159" s="232"/>
      <c r="X159" s="232"/>
      <c r="Y159" s="237"/>
      <c r="Z159" s="235"/>
      <c r="AA159" s="238"/>
      <c r="AB159" s="235"/>
      <c r="AC159" s="237"/>
      <c r="AD159" s="235"/>
      <c r="AE159" s="235"/>
      <c r="AF159" s="235"/>
      <c r="AG159" s="232"/>
      <c r="AH159" s="232"/>
      <c r="AI159" s="232">
        <v>110</v>
      </c>
      <c r="AJ159" s="194">
        <v>41785</v>
      </c>
      <c r="AK159" s="232"/>
      <c r="AL159" s="232"/>
      <c r="AM159" s="232"/>
      <c r="AN159" s="232"/>
      <c r="AO159" s="232"/>
      <c r="AP159" s="232"/>
      <c r="AQ159" s="239"/>
      <c r="AR159" s="23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232"/>
      <c r="BH159" s="232"/>
      <c r="BI159" s="232"/>
      <c r="BJ159" s="232"/>
      <c r="BK159" s="232"/>
      <c r="BL159" s="232"/>
      <c r="BM159" s="232"/>
      <c r="BN159" s="232"/>
      <c r="BO159" s="232"/>
      <c r="BP159" s="232"/>
      <c r="BQ159" s="232"/>
      <c r="BR159" s="232"/>
      <c r="BS159" s="232">
        <v>52.3</v>
      </c>
      <c r="BT159" s="232"/>
      <c r="BU159" s="232">
        <v>15.4</v>
      </c>
      <c r="BV159" s="232"/>
      <c r="BW159" s="232"/>
      <c r="BX159" s="243"/>
      <c r="BY159" s="232"/>
      <c r="BZ159" s="232"/>
      <c r="CA159" s="232"/>
      <c r="CB159" s="241"/>
      <c r="CC159" s="232"/>
      <c r="CD159" s="232"/>
      <c r="CE159" s="232">
        <v>6.2</v>
      </c>
      <c r="CF159" s="232"/>
      <c r="CG159" s="232">
        <v>0.3</v>
      </c>
      <c r="CH159" s="232"/>
      <c r="CI159" s="232"/>
      <c r="CJ159" s="232"/>
      <c r="CK159" t="s">
        <v>8820</v>
      </c>
      <c r="CL159" s="232"/>
      <c r="CM159" s="232"/>
    </row>
    <row r="160" spans="1:91" ht="15">
      <c r="A160" s="364" t="s">
        <v>7772</v>
      </c>
      <c r="B160" t="s">
        <v>265</v>
      </c>
      <c r="C160" t="s">
        <v>413</v>
      </c>
      <c r="D160">
        <v>167</v>
      </c>
      <c r="E160" s="113">
        <v>9</v>
      </c>
      <c r="F160" s="113">
        <v>1</v>
      </c>
      <c r="I160"/>
      <c r="K160" s="224">
        <v>7</v>
      </c>
      <c r="L160" s="390">
        <v>41625</v>
      </c>
      <c r="M160"/>
      <c r="N160" s="224"/>
      <c r="O160"/>
      <c r="P160"/>
      <c r="Q160"/>
      <c r="S160" s="224"/>
      <c r="T160" s="224"/>
      <c r="U160"/>
      <c r="V160"/>
      <c r="W160"/>
      <c r="X160"/>
      <c r="Y160" s="225"/>
      <c r="Z160" s="224"/>
      <c r="AA160" s="226"/>
      <c r="AB160" s="224"/>
      <c r="AC160" s="225"/>
      <c r="AD160" s="224"/>
      <c r="AE160" s="224"/>
      <c r="AF160" s="224"/>
      <c r="AG160"/>
      <c r="AH160"/>
      <c r="AI160">
        <v>145</v>
      </c>
      <c r="AJ160" s="194">
        <v>41785</v>
      </c>
      <c r="AK160"/>
      <c r="AL160"/>
      <c r="AM160"/>
      <c r="AN160"/>
      <c r="AO160"/>
      <c r="AP160"/>
      <c r="AQ160" s="227"/>
      <c r="AR160" s="227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>
        <v>54.2</v>
      </c>
      <c r="BT160"/>
      <c r="BU160">
        <v>14.2</v>
      </c>
      <c r="BV160"/>
      <c r="BW160" s="229"/>
      <c r="BX160"/>
      <c r="BY160"/>
      <c r="BZ160"/>
      <c r="CA160"/>
      <c r="CC160"/>
      <c r="CD160"/>
      <c r="CE160">
        <v>5.0999999999999996</v>
      </c>
      <c r="CF160"/>
      <c r="CG160">
        <v>0.3</v>
      </c>
      <c r="CH160"/>
      <c r="CI160"/>
      <c r="CJ160"/>
      <c r="CK160" t="s">
        <v>8820</v>
      </c>
      <c r="CL160"/>
      <c r="CM160"/>
    </row>
    <row r="161" spans="1:91" ht="15">
      <c r="A161" s="364" t="s">
        <v>7773</v>
      </c>
      <c r="B161" t="s">
        <v>265</v>
      </c>
      <c r="C161" t="s">
        <v>413</v>
      </c>
      <c r="D161" s="232">
        <v>168</v>
      </c>
      <c r="E161" s="113">
        <v>31</v>
      </c>
      <c r="F161" s="113">
        <v>4</v>
      </c>
      <c r="I161"/>
      <c r="K161" s="224">
        <v>7</v>
      </c>
      <c r="L161" s="390">
        <v>41625</v>
      </c>
      <c r="M161"/>
      <c r="N161" s="224"/>
      <c r="O161"/>
      <c r="P161"/>
      <c r="Q161"/>
      <c r="S161" s="224"/>
      <c r="T161" s="224"/>
      <c r="U161"/>
      <c r="V161"/>
      <c r="W161"/>
      <c r="X161"/>
      <c r="Y161" s="225"/>
      <c r="Z161" s="224"/>
      <c r="AA161" s="226"/>
      <c r="AB161" s="224"/>
      <c r="AC161" s="225"/>
      <c r="AD161" s="224"/>
      <c r="AE161" s="224"/>
      <c r="AF161" s="224"/>
      <c r="AG161"/>
      <c r="AH161"/>
      <c r="AI161">
        <v>150</v>
      </c>
      <c r="AJ161" s="194">
        <v>41785</v>
      </c>
      <c r="AK161"/>
      <c r="AL161"/>
      <c r="AM161"/>
      <c r="AN161"/>
      <c r="AO161"/>
      <c r="AP161"/>
      <c r="AQ161" s="227"/>
      <c r="AR161" s="227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>
        <v>53.7</v>
      </c>
      <c r="BT161"/>
      <c r="BU161">
        <v>14.5</v>
      </c>
      <c r="BV161"/>
      <c r="BW161" s="229"/>
      <c r="BX161"/>
      <c r="BY161"/>
      <c r="BZ161"/>
      <c r="CA161"/>
      <c r="CC161"/>
      <c r="CD161"/>
      <c r="CE161">
        <v>7</v>
      </c>
      <c r="CF161"/>
      <c r="CG161">
        <v>0.3</v>
      </c>
      <c r="CH161"/>
      <c r="CI161"/>
      <c r="CJ161"/>
      <c r="CK161" t="s">
        <v>8820</v>
      </c>
      <c r="CL161"/>
      <c r="CM161"/>
    </row>
    <row r="162" spans="1:91" ht="15">
      <c r="A162" s="364" t="s">
        <v>7774</v>
      </c>
      <c r="B162" t="s">
        <v>265</v>
      </c>
      <c r="C162" t="s">
        <v>413</v>
      </c>
      <c r="D162">
        <v>169</v>
      </c>
      <c r="E162" s="113">
        <v>3</v>
      </c>
      <c r="F162" s="113">
        <v>3</v>
      </c>
      <c r="I162"/>
      <c r="K162" s="224">
        <v>7</v>
      </c>
      <c r="L162" s="390">
        <v>41625</v>
      </c>
      <c r="M162"/>
      <c r="N162" s="224"/>
      <c r="O162"/>
      <c r="P162"/>
      <c r="Q162"/>
      <c r="S162" s="224"/>
      <c r="T162" s="224"/>
      <c r="U162"/>
      <c r="V162"/>
      <c r="W162"/>
      <c r="X162"/>
      <c r="Y162" s="225"/>
      <c r="Z162" s="224"/>
      <c r="AA162" s="226"/>
      <c r="AB162" s="224"/>
      <c r="AC162" s="225"/>
      <c r="AD162" s="224"/>
      <c r="AE162" s="224"/>
      <c r="AF162" s="224"/>
      <c r="AG162"/>
      <c r="AH162"/>
      <c r="AI162">
        <v>140</v>
      </c>
      <c r="AJ162" s="194">
        <v>41785</v>
      </c>
      <c r="AK162"/>
      <c r="AL162"/>
      <c r="AM162"/>
      <c r="AN162"/>
      <c r="AO162"/>
      <c r="AP162"/>
      <c r="AQ162" s="227"/>
      <c r="AR162" s="227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>
        <v>53.6</v>
      </c>
      <c r="BT162"/>
      <c r="BU162">
        <v>14.3</v>
      </c>
      <c r="BV162"/>
      <c r="BW162" s="229"/>
      <c r="BX162"/>
      <c r="BY162"/>
      <c r="BZ162"/>
      <c r="CA162"/>
      <c r="CC162"/>
      <c r="CD162"/>
      <c r="CE162">
        <v>5.3</v>
      </c>
      <c r="CF162"/>
      <c r="CG162">
        <v>0.4</v>
      </c>
      <c r="CH162"/>
      <c r="CI162"/>
      <c r="CJ162"/>
      <c r="CK162" t="s">
        <v>8820</v>
      </c>
      <c r="CL162"/>
      <c r="CM162"/>
    </row>
    <row r="163" spans="1:91" ht="15">
      <c r="A163" s="364" t="s">
        <v>7775</v>
      </c>
      <c r="B163" t="s">
        <v>265</v>
      </c>
      <c r="C163" t="s">
        <v>413</v>
      </c>
      <c r="D163">
        <v>170</v>
      </c>
      <c r="E163" s="113">
        <v>14</v>
      </c>
      <c r="F163" s="113">
        <v>5</v>
      </c>
      <c r="I163"/>
      <c r="K163" s="224">
        <v>5</v>
      </c>
      <c r="L163" s="390">
        <v>41625</v>
      </c>
      <c r="M163"/>
      <c r="N163" s="224"/>
      <c r="O163"/>
      <c r="P163"/>
      <c r="Q163"/>
      <c r="S163" s="224"/>
      <c r="T163" s="224"/>
      <c r="U163"/>
      <c r="V163"/>
      <c r="W163"/>
      <c r="X163"/>
      <c r="Y163" s="225"/>
      <c r="Z163" s="224"/>
      <c r="AA163" s="226"/>
      <c r="AB163" s="224"/>
      <c r="AC163" s="225"/>
      <c r="AD163" s="224"/>
      <c r="AE163" s="224"/>
      <c r="AF163" s="224"/>
      <c r="AG163"/>
      <c r="AH163"/>
      <c r="AI163">
        <v>150</v>
      </c>
      <c r="AJ163" s="194">
        <v>41785</v>
      </c>
      <c r="AK163"/>
      <c r="AL163"/>
      <c r="AM163"/>
      <c r="AN163"/>
      <c r="AO163"/>
      <c r="AP163"/>
      <c r="AQ163" s="227"/>
      <c r="AR163" s="227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>
        <v>53.1</v>
      </c>
      <c r="BT163"/>
      <c r="BU163">
        <v>15.8</v>
      </c>
      <c r="BV163"/>
      <c r="BW163" s="229"/>
      <c r="BX163"/>
      <c r="BY163"/>
      <c r="BZ163"/>
      <c r="CA163"/>
      <c r="CC163"/>
      <c r="CD163"/>
      <c r="CE163">
        <v>6.9</v>
      </c>
      <c r="CF163"/>
      <c r="CG163">
        <v>0.1</v>
      </c>
      <c r="CH163"/>
      <c r="CI163"/>
      <c r="CJ163"/>
      <c r="CK163" t="s">
        <v>8820</v>
      </c>
      <c r="CL163"/>
      <c r="CM163"/>
    </row>
    <row r="164" spans="1:91" ht="15">
      <c r="A164" s="364" t="s">
        <v>7776</v>
      </c>
      <c r="B164" t="s">
        <v>265</v>
      </c>
      <c r="C164" t="s">
        <v>413</v>
      </c>
      <c r="D164">
        <v>171</v>
      </c>
      <c r="E164" s="113">
        <v>4</v>
      </c>
      <c r="F164" s="113">
        <v>6</v>
      </c>
      <c r="I164"/>
      <c r="K164" s="224">
        <v>8</v>
      </c>
      <c r="L164" s="390">
        <v>41625</v>
      </c>
      <c r="M164"/>
      <c r="N164" s="224"/>
      <c r="O164"/>
      <c r="P164"/>
      <c r="Q164"/>
      <c r="S164" s="224"/>
      <c r="T164" s="224"/>
      <c r="U164"/>
      <c r="V164"/>
      <c r="W164"/>
      <c r="X164"/>
      <c r="Y164" s="225"/>
      <c r="Z164" s="224"/>
      <c r="AA164" s="226"/>
      <c r="AB164" s="224"/>
      <c r="AC164" s="225"/>
      <c r="AD164" s="224"/>
      <c r="AE164" s="224"/>
      <c r="AF164" s="224"/>
      <c r="AG164"/>
      <c r="AH164"/>
      <c r="AI164">
        <v>160</v>
      </c>
      <c r="AJ164" s="194">
        <v>41785</v>
      </c>
      <c r="AK164"/>
      <c r="AL164"/>
      <c r="AM164"/>
      <c r="AN164"/>
      <c r="AO164"/>
      <c r="AP164"/>
      <c r="AQ164" s="227"/>
      <c r="AR164" s="227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>
        <v>52.5</v>
      </c>
      <c r="BT164"/>
      <c r="BU164">
        <v>15.5</v>
      </c>
      <c r="BV164"/>
      <c r="BW164"/>
      <c r="BX164" s="228"/>
      <c r="BY164"/>
      <c r="BZ164"/>
      <c r="CA164"/>
      <c r="CC164"/>
      <c r="CD164"/>
      <c r="CE164">
        <v>5.0999999999999996</v>
      </c>
      <c r="CF164"/>
      <c r="CG164">
        <v>0.3</v>
      </c>
      <c r="CH164"/>
      <c r="CI164"/>
      <c r="CJ164"/>
      <c r="CK164" t="s">
        <v>8820</v>
      </c>
      <c r="CL164"/>
      <c r="CM164"/>
    </row>
    <row r="165" spans="1:91" ht="15">
      <c r="A165" s="364" t="s">
        <v>7777</v>
      </c>
      <c r="B165" t="s">
        <v>265</v>
      </c>
      <c r="C165" t="s">
        <v>413</v>
      </c>
      <c r="D165">
        <v>172</v>
      </c>
      <c r="E165" s="113">
        <v>27</v>
      </c>
      <c r="F165" s="113">
        <v>3</v>
      </c>
      <c r="I165"/>
      <c r="K165" s="224">
        <v>6</v>
      </c>
      <c r="L165" s="390">
        <v>41625</v>
      </c>
      <c r="M165"/>
      <c r="N165" s="224"/>
      <c r="O165"/>
      <c r="P165"/>
      <c r="Q165"/>
      <c r="S165" s="224"/>
      <c r="T165" s="224"/>
      <c r="U165"/>
      <c r="V165"/>
      <c r="W165"/>
      <c r="X165"/>
      <c r="Y165" s="225"/>
      <c r="Z165" s="224"/>
      <c r="AA165" s="226"/>
      <c r="AB165" s="224"/>
      <c r="AC165" s="225"/>
      <c r="AD165" s="224"/>
      <c r="AE165" s="224"/>
      <c r="AF165" s="224"/>
      <c r="AG165"/>
      <c r="AH165"/>
      <c r="AI165">
        <v>150</v>
      </c>
      <c r="AJ165" s="194">
        <v>41785</v>
      </c>
      <c r="AK165"/>
      <c r="AL165"/>
      <c r="AM165"/>
      <c r="AN165"/>
      <c r="AO165"/>
      <c r="AP165"/>
      <c r="AQ165" s="227"/>
      <c r="AR165" s="227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>
        <v>52.7</v>
      </c>
      <c r="BT165"/>
      <c r="BU165">
        <v>14.7</v>
      </c>
      <c r="BV165"/>
      <c r="BW165"/>
      <c r="BX165" s="228"/>
      <c r="BY165"/>
      <c r="BZ165"/>
      <c r="CA165"/>
      <c r="CC165"/>
      <c r="CD165"/>
      <c r="CE165">
        <v>5.8</v>
      </c>
      <c r="CF165"/>
      <c r="CG165">
        <v>0.1</v>
      </c>
      <c r="CH165"/>
      <c r="CI165"/>
      <c r="CJ165"/>
      <c r="CK165" t="s">
        <v>8820</v>
      </c>
      <c r="CL165"/>
      <c r="CM165"/>
    </row>
    <row r="166" spans="1:91" ht="15">
      <c r="A166" s="364" t="s">
        <v>7778</v>
      </c>
      <c r="B166" t="s">
        <v>265</v>
      </c>
      <c r="C166" t="s">
        <v>413</v>
      </c>
      <c r="D166">
        <v>173</v>
      </c>
      <c r="E166" s="113">
        <v>29</v>
      </c>
      <c r="F166" s="113">
        <v>6</v>
      </c>
      <c r="I166"/>
      <c r="K166" s="224">
        <v>6</v>
      </c>
      <c r="L166" s="390">
        <v>41625</v>
      </c>
      <c r="M166"/>
      <c r="N166" s="224"/>
      <c r="O166"/>
      <c r="P166"/>
      <c r="Q166"/>
      <c r="S166" s="224"/>
      <c r="T166" s="224"/>
      <c r="U166"/>
      <c r="V166"/>
      <c r="W166"/>
      <c r="X166"/>
      <c r="Y166" s="225"/>
      <c r="Z166" s="224"/>
      <c r="AA166" s="226"/>
      <c r="AB166" s="224"/>
      <c r="AC166" s="225"/>
      <c r="AD166" s="224"/>
      <c r="AE166" s="224"/>
      <c r="AF166" s="224"/>
      <c r="AG166"/>
      <c r="AH166"/>
      <c r="AI166">
        <v>135</v>
      </c>
      <c r="AJ166" s="194">
        <v>41785</v>
      </c>
      <c r="AK166"/>
      <c r="AL166"/>
      <c r="AM166"/>
      <c r="AN166"/>
      <c r="AO166"/>
      <c r="AP166"/>
      <c r="AQ166" s="227"/>
      <c r="AR166" s="227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>
        <v>52.5</v>
      </c>
      <c r="BT166"/>
      <c r="BU166">
        <v>14.7</v>
      </c>
      <c r="BV166"/>
      <c r="BW166" s="229"/>
      <c r="BX166"/>
      <c r="BY166"/>
      <c r="BZ166"/>
      <c r="CA166"/>
      <c r="CC166"/>
      <c r="CD166"/>
      <c r="CE166">
        <v>6.3</v>
      </c>
      <c r="CF166"/>
      <c r="CG166">
        <v>0.3</v>
      </c>
      <c r="CH166"/>
      <c r="CI166"/>
      <c r="CJ166"/>
      <c r="CK166" t="s">
        <v>8820</v>
      </c>
      <c r="CL166"/>
      <c r="CM166"/>
    </row>
    <row r="167" spans="1:91" ht="15">
      <c r="A167" s="364" t="s">
        <v>7780</v>
      </c>
      <c r="B167" t="s">
        <v>265</v>
      </c>
      <c r="C167" t="s">
        <v>413</v>
      </c>
      <c r="D167" s="232">
        <v>175</v>
      </c>
      <c r="E167" s="113">
        <v>17</v>
      </c>
      <c r="F167" s="113">
        <v>3</v>
      </c>
      <c r="I167"/>
      <c r="K167" s="224">
        <v>7</v>
      </c>
      <c r="L167" s="390">
        <v>41625</v>
      </c>
      <c r="M167"/>
      <c r="N167" s="224"/>
      <c r="O167"/>
      <c r="P167"/>
      <c r="Q167"/>
      <c r="S167" s="224"/>
      <c r="T167" s="224"/>
      <c r="U167"/>
      <c r="V167"/>
      <c r="W167"/>
      <c r="X167"/>
      <c r="Y167" s="225"/>
      <c r="Z167" s="224"/>
      <c r="AA167" s="226"/>
      <c r="AB167" s="224"/>
      <c r="AC167" s="225"/>
      <c r="AD167" s="224"/>
      <c r="AE167" s="224"/>
      <c r="AF167" s="224"/>
      <c r="AG167"/>
      <c r="AH167"/>
      <c r="AI167">
        <v>140</v>
      </c>
      <c r="AJ167" s="194">
        <v>41785</v>
      </c>
      <c r="AK167"/>
      <c r="AL167"/>
      <c r="AM167"/>
      <c r="AN167"/>
      <c r="AO167"/>
      <c r="AP167"/>
      <c r="AQ167" s="227"/>
      <c r="AR167" s="22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>
        <v>53</v>
      </c>
      <c r="BT167"/>
      <c r="BU167">
        <v>14.2</v>
      </c>
      <c r="BV167"/>
      <c r="BW167"/>
      <c r="BX167" s="228"/>
      <c r="BY167"/>
      <c r="BZ167"/>
      <c r="CA167"/>
      <c r="CC167"/>
      <c r="CD167"/>
      <c r="CE167">
        <v>8.5</v>
      </c>
      <c r="CF167"/>
      <c r="CG167">
        <v>0.3</v>
      </c>
      <c r="CH167"/>
      <c r="CI167"/>
      <c r="CJ167"/>
      <c r="CK167" t="s">
        <v>8820</v>
      </c>
      <c r="CL167"/>
      <c r="CM167"/>
    </row>
    <row r="168" spans="1:91" ht="15">
      <c r="A168" s="364" t="s">
        <v>7782</v>
      </c>
      <c r="B168" t="s">
        <v>265</v>
      </c>
      <c r="C168" t="s">
        <v>413</v>
      </c>
      <c r="D168">
        <v>177</v>
      </c>
      <c r="E168" s="113">
        <v>33</v>
      </c>
      <c r="F168" s="113">
        <v>4</v>
      </c>
      <c r="I168"/>
      <c r="K168" s="224">
        <v>7</v>
      </c>
      <c r="L168" s="390">
        <v>41625</v>
      </c>
      <c r="M168"/>
      <c r="N168" s="224"/>
      <c r="O168"/>
      <c r="P168"/>
      <c r="Q168"/>
      <c r="S168" s="224"/>
      <c r="T168" s="224"/>
      <c r="U168"/>
      <c r="V168"/>
      <c r="W168"/>
      <c r="X168"/>
      <c r="Y168" s="225"/>
      <c r="Z168" s="224"/>
      <c r="AA168" s="226"/>
      <c r="AB168" s="224"/>
      <c r="AC168" s="225"/>
      <c r="AD168" s="224"/>
      <c r="AE168" s="224"/>
      <c r="AF168" s="224"/>
      <c r="AG168"/>
      <c r="AH168"/>
      <c r="AI168">
        <v>135</v>
      </c>
      <c r="AJ168" s="194">
        <v>41785</v>
      </c>
      <c r="AK168"/>
      <c r="AL168"/>
      <c r="AM168"/>
      <c r="AN168"/>
      <c r="AO168"/>
      <c r="AP168"/>
      <c r="AQ168" s="227"/>
      <c r="AR168" s="227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>
        <v>52.2</v>
      </c>
      <c r="BT168"/>
      <c r="BU168">
        <v>16.3</v>
      </c>
      <c r="BV168"/>
      <c r="BW168"/>
      <c r="BX168" s="228"/>
      <c r="BY168"/>
      <c r="BZ168"/>
      <c r="CA168"/>
      <c r="CC168"/>
      <c r="CD168"/>
      <c r="CE168">
        <v>6</v>
      </c>
      <c r="CF168"/>
      <c r="CG168">
        <v>0.5</v>
      </c>
      <c r="CH168"/>
      <c r="CI168"/>
      <c r="CJ168"/>
      <c r="CK168" t="s">
        <v>8820</v>
      </c>
      <c r="CL168"/>
      <c r="CM168"/>
    </row>
    <row r="169" spans="1:91" ht="15">
      <c r="A169" s="364" t="s">
        <v>7783</v>
      </c>
      <c r="B169" t="s">
        <v>265</v>
      </c>
      <c r="C169" t="s">
        <v>413</v>
      </c>
      <c r="D169">
        <v>178</v>
      </c>
      <c r="E169" s="113">
        <v>10</v>
      </c>
      <c r="F169" s="113">
        <v>1</v>
      </c>
      <c r="G169" s="233"/>
      <c r="H169" s="233"/>
      <c r="I169" s="232"/>
      <c r="J169" s="234"/>
      <c r="K169" s="235">
        <v>6</v>
      </c>
      <c r="L169" s="390">
        <v>41625</v>
      </c>
      <c r="M169" s="232"/>
      <c r="N169" s="235"/>
      <c r="O169" s="232"/>
      <c r="P169" s="232"/>
      <c r="Q169" s="232"/>
      <c r="R169" s="236"/>
      <c r="S169" s="235"/>
      <c r="T169" s="235"/>
      <c r="U169" s="232"/>
      <c r="V169" s="232"/>
      <c r="W169" s="232"/>
      <c r="X169" s="232"/>
      <c r="Y169" s="237"/>
      <c r="Z169" s="235"/>
      <c r="AA169" s="238"/>
      <c r="AB169" s="235"/>
      <c r="AC169" s="237"/>
      <c r="AD169" s="235"/>
      <c r="AE169" s="235"/>
      <c r="AF169" s="235"/>
      <c r="AG169" s="232"/>
      <c r="AH169" s="232"/>
      <c r="AI169" s="232">
        <v>140</v>
      </c>
      <c r="AJ169" s="194">
        <v>41785</v>
      </c>
      <c r="AK169" s="232"/>
      <c r="AL169" s="232"/>
      <c r="AM169" s="232"/>
      <c r="AN169" s="232"/>
      <c r="AO169" s="232"/>
      <c r="AP169" s="232"/>
      <c r="AQ169" s="239"/>
      <c r="AR169" s="23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232"/>
      <c r="BH169" s="232"/>
      <c r="BI169" s="232"/>
      <c r="BJ169" s="232"/>
      <c r="BK169" s="232"/>
      <c r="BL169" s="232"/>
      <c r="BM169" s="232"/>
      <c r="BN169" s="232"/>
      <c r="BO169" s="232"/>
      <c r="BP169" s="232"/>
      <c r="BQ169" s="232"/>
      <c r="BR169" s="232"/>
      <c r="BS169" s="232">
        <v>52.7</v>
      </c>
      <c r="BT169" s="232"/>
      <c r="BU169" s="232">
        <v>16</v>
      </c>
      <c r="BV169" s="232"/>
      <c r="BW169" s="240"/>
      <c r="BX169" s="232"/>
      <c r="BY169" s="232"/>
      <c r="BZ169" s="232"/>
      <c r="CA169" s="232"/>
      <c r="CB169" s="241"/>
      <c r="CC169" s="232"/>
      <c r="CD169" s="232"/>
      <c r="CE169" s="232">
        <v>5.8</v>
      </c>
      <c r="CF169" s="232"/>
      <c r="CG169" s="232">
        <v>0.1</v>
      </c>
      <c r="CH169" s="232"/>
      <c r="CI169" s="232"/>
      <c r="CJ169" s="232"/>
      <c r="CK169" t="s">
        <v>8820</v>
      </c>
      <c r="CL169" s="232"/>
      <c r="CM169" s="232"/>
    </row>
    <row r="170" spans="1:91" ht="15">
      <c r="A170" s="364" t="s">
        <v>7784</v>
      </c>
      <c r="B170" t="s">
        <v>265</v>
      </c>
      <c r="C170" t="s">
        <v>413</v>
      </c>
      <c r="D170">
        <v>179</v>
      </c>
      <c r="E170" s="113">
        <v>14</v>
      </c>
      <c r="F170" s="113">
        <v>3</v>
      </c>
      <c r="I170"/>
      <c r="K170" s="224">
        <v>6</v>
      </c>
      <c r="L170" s="390">
        <v>41625</v>
      </c>
      <c r="M170"/>
      <c r="N170" s="224"/>
      <c r="O170"/>
      <c r="P170"/>
      <c r="Q170"/>
      <c r="S170" s="224"/>
      <c r="T170" s="224"/>
      <c r="U170"/>
      <c r="V170"/>
      <c r="W170"/>
      <c r="X170"/>
      <c r="Y170" s="225"/>
      <c r="Z170" s="224"/>
      <c r="AA170" s="226"/>
      <c r="AB170" s="224"/>
      <c r="AC170" s="225"/>
      <c r="AD170" s="224"/>
      <c r="AE170" s="224"/>
      <c r="AF170" s="224"/>
      <c r="AG170"/>
      <c r="AH170"/>
      <c r="AI170">
        <v>150</v>
      </c>
      <c r="AJ170" s="194">
        <v>41785</v>
      </c>
      <c r="AK170"/>
      <c r="AL170"/>
      <c r="AM170"/>
      <c r="AN170"/>
      <c r="AO170"/>
      <c r="AP170"/>
      <c r="AQ170" s="227"/>
      <c r="AR170" s="227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>
        <v>53.4</v>
      </c>
      <c r="BT170"/>
      <c r="BU170">
        <v>15.7</v>
      </c>
      <c r="BV170"/>
      <c r="BW170" s="229"/>
      <c r="BX170"/>
      <c r="BY170"/>
      <c r="BZ170"/>
      <c r="CA170"/>
      <c r="CC170"/>
      <c r="CD170"/>
      <c r="CE170">
        <v>7.2</v>
      </c>
      <c r="CF170"/>
      <c r="CG170">
        <v>0.1</v>
      </c>
      <c r="CH170"/>
      <c r="CI170"/>
      <c r="CJ170"/>
      <c r="CK170" t="s">
        <v>8820</v>
      </c>
      <c r="CL170"/>
      <c r="CM170"/>
    </row>
    <row r="171" spans="1:91" ht="15.75" thickBot="1">
      <c r="A171" s="364" t="s">
        <v>7785</v>
      </c>
      <c r="B171" s="344" t="s">
        <v>265</v>
      </c>
      <c r="C171" s="344" t="s">
        <v>413</v>
      </c>
      <c r="D171">
        <v>180</v>
      </c>
      <c r="E171" s="113">
        <v>16</v>
      </c>
      <c r="F171" s="113">
        <v>5</v>
      </c>
      <c r="I171"/>
      <c r="K171" s="224">
        <v>4</v>
      </c>
      <c r="L171" s="390">
        <v>41625</v>
      </c>
      <c r="M171"/>
      <c r="N171" s="224"/>
      <c r="O171"/>
      <c r="P171"/>
      <c r="Q171"/>
      <c r="S171" s="224"/>
      <c r="T171" s="224"/>
      <c r="U171"/>
      <c r="V171"/>
      <c r="W171"/>
      <c r="X171"/>
      <c r="Y171" s="225"/>
      <c r="Z171" s="224"/>
      <c r="AA171" s="226"/>
      <c r="AB171" s="224"/>
      <c r="AC171" s="225"/>
      <c r="AD171" s="224"/>
      <c r="AE171" s="224"/>
      <c r="AF171" s="224"/>
      <c r="AG171"/>
      <c r="AH171"/>
      <c r="AI171">
        <v>130</v>
      </c>
      <c r="AJ171" s="194">
        <v>41785</v>
      </c>
      <c r="AK171"/>
      <c r="AL171"/>
      <c r="AM171"/>
      <c r="AN171"/>
      <c r="AO171"/>
      <c r="AP171"/>
      <c r="AQ171" s="227"/>
      <c r="AR171" s="227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>
        <v>53.4</v>
      </c>
      <c r="BT171"/>
      <c r="BU171">
        <v>14.2</v>
      </c>
      <c r="BV171"/>
      <c r="BW171"/>
      <c r="BX171" s="228"/>
      <c r="BY171"/>
      <c r="BZ171"/>
      <c r="CA171"/>
      <c r="CC171"/>
      <c r="CD171"/>
      <c r="CE171">
        <v>7.8</v>
      </c>
      <c r="CF171"/>
      <c r="CG171">
        <v>0.1</v>
      </c>
      <c r="CH171"/>
      <c r="CI171"/>
      <c r="CJ171"/>
      <c r="CK171" t="s">
        <v>8820</v>
      </c>
      <c r="CL171"/>
      <c r="CM171"/>
    </row>
    <row r="172" spans="1:91" ht="15">
      <c r="A172" s="364" t="s">
        <v>7786</v>
      </c>
      <c r="B172" t="s">
        <v>265</v>
      </c>
      <c r="C172" t="s">
        <v>413</v>
      </c>
      <c r="D172">
        <v>181</v>
      </c>
      <c r="E172" s="113">
        <v>6</v>
      </c>
      <c r="F172" s="113">
        <v>3</v>
      </c>
      <c r="I172"/>
      <c r="K172" s="224">
        <v>6</v>
      </c>
      <c r="L172" s="390">
        <v>41625</v>
      </c>
      <c r="M172"/>
      <c r="N172" s="224"/>
      <c r="O172"/>
      <c r="P172"/>
      <c r="Q172"/>
      <c r="S172" s="224"/>
      <c r="T172" s="224"/>
      <c r="U172"/>
      <c r="V172"/>
      <c r="W172"/>
      <c r="X172"/>
      <c r="Y172" s="225"/>
      <c r="Z172" s="224"/>
      <c r="AA172" s="226"/>
      <c r="AB172" s="224"/>
      <c r="AC172" s="225"/>
      <c r="AD172" s="224"/>
      <c r="AE172" s="224"/>
      <c r="AF172" s="224"/>
      <c r="AG172"/>
      <c r="AH172"/>
      <c r="AI172">
        <v>130</v>
      </c>
      <c r="AJ172" s="194">
        <v>41785</v>
      </c>
      <c r="AK172"/>
      <c r="AL172"/>
      <c r="AM172"/>
      <c r="AN172"/>
      <c r="AO172"/>
      <c r="AP172"/>
      <c r="AQ172" s="227"/>
      <c r="AR172" s="227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>
        <v>52.5</v>
      </c>
      <c r="BT172"/>
      <c r="BU172">
        <v>15.3</v>
      </c>
      <c r="BV172"/>
      <c r="BW172"/>
      <c r="BX172" s="228"/>
      <c r="BY172"/>
      <c r="BZ172"/>
      <c r="CA172"/>
      <c r="CC172"/>
      <c r="CD172"/>
      <c r="CE172">
        <v>5.3</v>
      </c>
      <c r="CF172"/>
      <c r="CG172">
        <v>0.4</v>
      </c>
      <c r="CH172"/>
      <c r="CI172"/>
      <c r="CJ172"/>
      <c r="CK172" t="s">
        <v>8820</v>
      </c>
      <c r="CL172"/>
      <c r="CM172"/>
    </row>
    <row r="173" spans="1:91" ht="15">
      <c r="A173" s="364" t="s">
        <v>7787</v>
      </c>
      <c r="B173" t="s">
        <v>265</v>
      </c>
      <c r="C173" t="s">
        <v>413</v>
      </c>
      <c r="D173">
        <v>182</v>
      </c>
      <c r="E173" s="113">
        <v>29</v>
      </c>
      <c r="F173" s="113">
        <v>1</v>
      </c>
      <c r="G173" s="233"/>
      <c r="H173" s="233"/>
      <c r="I173" s="232"/>
      <c r="J173" s="234"/>
      <c r="K173" s="235">
        <v>6</v>
      </c>
      <c r="L173" s="390">
        <v>41625</v>
      </c>
      <c r="M173" s="232"/>
      <c r="N173" s="235"/>
      <c r="O173" s="232"/>
      <c r="P173" s="232"/>
      <c r="Q173" s="232"/>
      <c r="R173" s="236"/>
      <c r="S173" s="235"/>
      <c r="T173" s="235"/>
      <c r="U173" s="232"/>
      <c r="V173" s="232"/>
      <c r="W173" s="232"/>
      <c r="X173" s="232"/>
      <c r="Y173" s="237"/>
      <c r="Z173" s="235"/>
      <c r="AA173" s="238"/>
      <c r="AB173" s="235"/>
      <c r="AC173" s="237"/>
      <c r="AD173" s="235"/>
      <c r="AE173" s="235"/>
      <c r="AF173" s="235"/>
      <c r="AG173" s="232"/>
      <c r="AH173" s="232"/>
      <c r="AI173" s="232">
        <v>115</v>
      </c>
      <c r="AJ173" s="194">
        <v>41785</v>
      </c>
      <c r="AK173" s="232"/>
      <c r="AL173" s="232"/>
      <c r="AM173" s="232"/>
      <c r="AN173" s="232"/>
      <c r="AO173" s="232"/>
      <c r="AP173" s="232"/>
      <c r="AQ173" s="239"/>
      <c r="AR173" s="23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232"/>
      <c r="BH173" s="232"/>
      <c r="BI173" s="232"/>
      <c r="BJ173" s="232"/>
      <c r="BK173" s="232"/>
      <c r="BL173" s="232"/>
      <c r="BM173" s="232"/>
      <c r="BN173" s="232"/>
      <c r="BO173" s="232"/>
      <c r="BP173" s="232"/>
      <c r="BQ173" s="232"/>
      <c r="BR173" s="232"/>
      <c r="BS173" s="232">
        <v>52.6</v>
      </c>
      <c r="BT173" s="232"/>
      <c r="BU173" s="232">
        <v>16.7</v>
      </c>
      <c r="BV173" s="232"/>
      <c r="BW173" s="240"/>
      <c r="BX173" s="232"/>
      <c r="BY173" s="232"/>
      <c r="BZ173" s="232"/>
      <c r="CA173" s="232"/>
      <c r="CB173" s="241"/>
      <c r="CC173" s="232"/>
      <c r="CD173" s="232"/>
      <c r="CE173" s="232">
        <v>6.5</v>
      </c>
      <c r="CF173" s="232"/>
      <c r="CG173" s="232">
        <v>0.3</v>
      </c>
      <c r="CH173" s="232"/>
      <c r="CI173" s="232"/>
      <c r="CJ173" s="232"/>
      <c r="CK173" t="s">
        <v>8820</v>
      </c>
      <c r="CL173" s="232"/>
      <c r="CM173" s="232"/>
    </row>
    <row r="174" spans="1:91" ht="15">
      <c r="A174" s="364" t="s">
        <v>7788</v>
      </c>
      <c r="B174" t="s">
        <v>265</v>
      </c>
      <c r="C174" t="s">
        <v>413</v>
      </c>
      <c r="D174" s="232">
        <v>183</v>
      </c>
      <c r="E174" s="113">
        <v>15</v>
      </c>
      <c r="F174" s="113">
        <v>2</v>
      </c>
      <c r="I174"/>
      <c r="K174" s="224">
        <v>7</v>
      </c>
      <c r="L174" s="390">
        <v>41625</v>
      </c>
      <c r="M174"/>
      <c r="N174" s="224"/>
      <c r="O174"/>
      <c r="P174"/>
      <c r="Q174"/>
      <c r="S174" s="224"/>
      <c r="T174" s="224"/>
      <c r="U174"/>
      <c r="V174"/>
      <c r="W174"/>
      <c r="X174"/>
      <c r="Y174" s="225"/>
      <c r="Z174" s="224"/>
      <c r="AA174" s="226"/>
      <c r="AB174" s="224"/>
      <c r="AC174" s="225"/>
      <c r="AD174" s="224"/>
      <c r="AE174" s="224"/>
      <c r="AF174" s="224"/>
      <c r="AG174"/>
      <c r="AH174"/>
      <c r="AI174">
        <v>130</v>
      </c>
      <c r="AJ174" s="194">
        <v>41785</v>
      </c>
      <c r="AK174"/>
      <c r="AL174"/>
      <c r="AM174"/>
      <c r="AN174"/>
      <c r="AO174"/>
      <c r="AP174"/>
      <c r="AQ174" s="227"/>
      <c r="AR174" s="227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>
        <v>54.2</v>
      </c>
      <c r="BT174"/>
      <c r="BU174">
        <v>15.8</v>
      </c>
      <c r="BV174"/>
      <c r="BW174"/>
      <c r="BX174" s="228"/>
      <c r="BY174"/>
      <c r="BZ174"/>
      <c r="CA174"/>
      <c r="CC174"/>
      <c r="CD174"/>
      <c r="CE174">
        <v>7.3</v>
      </c>
      <c r="CF174"/>
      <c r="CG174">
        <v>0</v>
      </c>
      <c r="CH174"/>
      <c r="CI174"/>
      <c r="CJ174"/>
      <c r="CK174" t="s">
        <v>8820</v>
      </c>
      <c r="CL174"/>
      <c r="CM174"/>
    </row>
    <row r="175" spans="1:91" ht="15">
      <c r="A175" s="364" t="s">
        <v>7789</v>
      </c>
      <c r="B175" t="s">
        <v>265</v>
      </c>
      <c r="C175" t="s">
        <v>413</v>
      </c>
      <c r="D175">
        <v>184</v>
      </c>
      <c r="E175" s="113">
        <v>26</v>
      </c>
      <c r="F175" s="113">
        <v>6</v>
      </c>
      <c r="I175"/>
      <c r="K175" s="224">
        <v>7</v>
      </c>
      <c r="L175" s="390">
        <v>41625</v>
      </c>
      <c r="M175"/>
      <c r="N175" s="224"/>
      <c r="O175"/>
      <c r="P175"/>
      <c r="Q175"/>
      <c r="S175" s="224"/>
      <c r="T175" s="224"/>
      <c r="U175"/>
      <c r="V175"/>
      <c r="W175"/>
      <c r="X175"/>
      <c r="Y175" s="225"/>
      <c r="Z175" s="224"/>
      <c r="AA175" s="226"/>
      <c r="AB175" s="224"/>
      <c r="AC175" s="225"/>
      <c r="AD175" s="224"/>
      <c r="AE175" s="224"/>
      <c r="AF175" s="224"/>
      <c r="AG175"/>
      <c r="AH175"/>
      <c r="AI175">
        <v>125</v>
      </c>
      <c r="AJ175" s="194">
        <v>41785</v>
      </c>
      <c r="AK175"/>
      <c r="AL175"/>
      <c r="AM175"/>
      <c r="AN175"/>
      <c r="AO175"/>
      <c r="AP175"/>
      <c r="AQ175" s="227"/>
      <c r="AR175" s="227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>
        <v>52.4</v>
      </c>
      <c r="BT175"/>
      <c r="BU175">
        <v>16.3</v>
      </c>
      <c r="BV175"/>
      <c r="BW175"/>
      <c r="BX175" s="228"/>
      <c r="BY175"/>
      <c r="BZ175"/>
      <c r="CA175"/>
      <c r="CC175"/>
      <c r="CD175"/>
      <c r="CE175">
        <v>5.8</v>
      </c>
      <c r="CF175"/>
      <c r="CG175">
        <v>0.1</v>
      </c>
      <c r="CH175"/>
      <c r="CI175"/>
      <c r="CJ175"/>
      <c r="CK175" t="s">
        <v>8820</v>
      </c>
      <c r="CL175"/>
      <c r="CM175"/>
    </row>
    <row r="176" spans="1:91" ht="15">
      <c r="A176" s="364" t="s">
        <v>7790</v>
      </c>
      <c r="B176" t="s">
        <v>265</v>
      </c>
      <c r="C176" t="s">
        <v>413</v>
      </c>
      <c r="D176">
        <v>185</v>
      </c>
      <c r="E176" s="113">
        <v>15</v>
      </c>
      <c r="F176" s="113">
        <v>5</v>
      </c>
      <c r="G176" s="233"/>
      <c r="H176" s="233"/>
      <c r="I176" s="232"/>
      <c r="J176" s="234"/>
      <c r="K176" s="235">
        <v>4</v>
      </c>
      <c r="L176" s="390">
        <v>41625</v>
      </c>
      <c r="M176" s="232"/>
      <c r="N176" s="235"/>
      <c r="O176" s="232"/>
      <c r="P176" s="232"/>
      <c r="Q176" s="232"/>
      <c r="R176" s="236"/>
      <c r="S176" s="235"/>
      <c r="T176" s="235"/>
      <c r="U176" s="232"/>
      <c r="V176" s="232"/>
      <c r="W176" s="232"/>
      <c r="X176" s="232"/>
      <c r="Y176" s="237"/>
      <c r="Z176" s="235"/>
      <c r="AA176" s="238"/>
      <c r="AB176" s="235"/>
      <c r="AC176" s="237"/>
      <c r="AD176" s="235"/>
      <c r="AE176" s="235"/>
      <c r="AF176" s="235"/>
      <c r="AG176" s="232"/>
      <c r="AH176" s="232"/>
      <c r="AI176" s="232">
        <v>125</v>
      </c>
      <c r="AJ176" s="194">
        <v>41785</v>
      </c>
      <c r="AK176" s="232"/>
      <c r="AL176" s="232"/>
      <c r="AM176" s="232"/>
      <c r="AN176" s="232"/>
      <c r="AO176" s="232"/>
      <c r="AP176" s="232"/>
      <c r="AQ176" s="239"/>
      <c r="AR176" s="23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232"/>
      <c r="BH176" s="232"/>
      <c r="BI176" s="232"/>
      <c r="BJ176" s="232"/>
      <c r="BK176" s="232"/>
      <c r="BL176" s="232"/>
      <c r="BM176" s="232"/>
      <c r="BN176" s="232"/>
      <c r="BO176" s="232"/>
      <c r="BP176" s="232"/>
      <c r="BQ176" s="232"/>
      <c r="BR176" s="232"/>
      <c r="BS176" s="232">
        <v>53.7</v>
      </c>
      <c r="BT176" s="232"/>
      <c r="BU176" s="232">
        <v>15</v>
      </c>
      <c r="BV176" s="232"/>
      <c r="BW176" s="232"/>
      <c r="BX176" s="243"/>
      <c r="BY176" s="232"/>
      <c r="BZ176" s="232"/>
      <c r="CA176" s="232"/>
      <c r="CB176" s="241"/>
      <c r="CC176" s="232"/>
      <c r="CD176" s="232"/>
      <c r="CE176" s="232">
        <v>6.9</v>
      </c>
      <c r="CF176" s="232"/>
      <c r="CG176" s="232">
        <v>0.1</v>
      </c>
      <c r="CH176" s="232"/>
      <c r="CI176" s="232"/>
      <c r="CJ176" s="232"/>
      <c r="CK176" t="s">
        <v>8820</v>
      </c>
      <c r="CL176" s="232"/>
      <c r="CM176" s="232"/>
    </row>
    <row r="177" spans="1:91" ht="15">
      <c r="A177" s="364" t="s">
        <v>7791</v>
      </c>
      <c r="B177" t="s">
        <v>265</v>
      </c>
      <c r="C177" t="s">
        <v>413</v>
      </c>
      <c r="D177">
        <v>186</v>
      </c>
      <c r="E177" s="113">
        <v>11</v>
      </c>
      <c r="F177" s="113">
        <v>6</v>
      </c>
      <c r="G177" s="233"/>
      <c r="H177" s="233"/>
      <c r="I177" s="232"/>
      <c r="J177" s="234"/>
      <c r="K177" s="235">
        <v>6</v>
      </c>
      <c r="L177" s="390">
        <v>41625</v>
      </c>
      <c r="M177" s="232"/>
      <c r="N177" s="235"/>
      <c r="O177" s="232"/>
      <c r="P177" s="232"/>
      <c r="Q177" s="232"/>
      <c r="R177" s="236"/>
      <c r="S177" s="235"/>
      <c r="T177" s="235"/>
      <c r="U177" s="232"/>
      <c r="V177" s="232"/>
      <c r="W177" s="232"/>
      <c r="X177" s="232"/>
      <c r="Y177" s="237"/>
      <c r="Z177" s="235"/>
      <c r="AA177" s="238"/>
      <c r="AB177" s="235"/>
      <c r="AC177" s="237"/>
      <c r="AD177" s="235"/>
      <c r="AE177" s="235"/>
      <c r="AF177" s="235"/>
      <c r="AG177" s="232"/>
      <c r="AH177" s="232"/>
      <c r="AI177" s="232">
        <v>160</v>
      </c>
      <c r="AJ177" s="194">
        <v>41785</v>
      </c>
      <c r="AK177" s="232"/>
      <c r="AL177" s="232"/>
      <c r="AM177" s="232"/>
      <c r="AN177" s="232"/>
      <c r="AO177" s="232"/>
      <c r="AP177" s="232"/>
      <c r="AQ177" s="239"/>
      <c r="AR177" s="23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232"/>
      <c r="BH177" s="232"/>
      <c r="BI177" s="232"/>
      <c r="BJ177" s="232"/>
      <c r="BK177" s="232"/>
      <c r="BL177" s="232"/>
      <c r="BM177" s="232"/>
      <c r="BN177" s="232"/>
      <c r="BO177" s="232"/>
      <c r="BP177" s="232"/>
      <c r="BQ177" s="232"/>
      <c r="BR177" s="232"/>
      <c r="BS177" s="232">
        <v>52.6</v>
      </c>
      <c r="BT177" s="232"/>
      <c r="BU177" s="232">
        <v>15.9</v>
      </c>
      <c r="BV177" s="232"/>
      <c r="BW177" s="240"/>
      <c r="BX177" s="232"/>
      <c r="BY177" s="232"/>
      <c r="BZ177" s="232"/>
      <c r="CA177" s="232"/>
      <c r="CB177" s="241"/>
      <c r="CC177" s="232"/>
      <c r="CD177" s="232"/>
      <c r="CE177" s="232">
        <v>5.7</v>
      </c>
      <c r="CF177" s="232"/>
      <c r="CG177" s="232">
        <v>0.1</v>
      </c>
      <c r="CH177" s="232"/>
      <c r="CI177" s="232"/>
      <c r="CJ177" s="232"/>
      <c r="CK177" t="s">
        <v>8820</v>
      </c>
      <c r="CL177" s="232"/>
      <c r="CM177" s="232"/>
    </row>
    <row r="178" spans="1:91" ht="15">
      <c r="A178" s="364" t="s">
        <v>7792</v>
      </c>
      <c r="B178" t="s">
        <v>265</v>
      </c>
      <c r="C178" t="s">
        <v>413</v>
      </c>
      <c r="D178">
        <v>187</v>
      </c>
      <c r="E178" s="113">
        <v>4</v>
      </c>
      <c r="F178" s="113">
        <v>1</v>
      </c>
      <c r="I178"/>
      <c r="K178" s="224">
        <v>7</v>
      </c>
      <c r="L178" s="390">
        <v>41625</v>
      </c>
      <c r="M178"/>
      <c r="N178" s="224"/>
      <c r="O178"/>
      <c r="P178"/>
      <c r="Q178"/>
      <c r="S178" s="224"/>
      <c r="T178" s="224"/>
      <c r="U178"/>
      <c r="V178"/>
      <c r="W178"/>
      <c r="X178"/>
      <c r="Y178" s="225"/>
      <c r="Z178" s="224"/>
      <c r="AA178" s="226"/>
      <c r="AB178" s="224"/>
      <c r="AC178" s="225"/>
      <c r="AD178" s="224"/>
      <c r="AE178" s="224"/>
      <c r="AF178" s="224"/>
      <c r="AG178"/>
      <c r="AH178"/>
      <c r="AI178">
        <v>140</v>
      </c>
      <c r="AJ178" s="194">
        <v>41785</v>
      </c>
      <c r="AK178"/>
      <c r="AL178"/>
      <c r="AM178"/>
      <c r="AN178"/>
      <c r="AO178"/>
      <c r="AP178"/>
      <c r="AQ178" s="227"/>
      <c r="AR178" s="227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>
        <v>51.8</v>
      </c>
      <c r="BT178"/>
      <c r="BU178">
        <v>17</v>
      </c>
      <c r="BV178"/>
      <c r="BW178"/>
      <c r="BX178" s="228"/>
      <c r="BY178"/>
      <c r="BZ178"/>
      <c r="CA178"/>
      <c r="CC178"/>
      <c r="CD178"/>
      <c r="CE178">
        <v>5.5</v>
      </c>
      <c r="CF178"/>
      <c r="CG178">
        <v>0.3</v>
      </c>
      <c r="CH178"/>
      <c r="CI178"/>
      <c r="CJ178"/>
      <c r="CK178" t="s">
        <v>8820</v>
      </c>
      <c r="CL178"/>
      <c r="CM178"/>
    </row>
    <row r="179" spans="1:91" ht="15">
      <c r="A179" s="364" t="s">
        <v>7793</v>
      </c>
      <c r="B179" t="s">
        <v>265</v>
      </c>
      <c r="C179" t="s">
        <v>413</v>
      </c>
      <c r="D179">
        <v>188</v>
      </c>
      <c r="E179" s="113">
        <v>12</v>
      </c>
      <c r="F179" s="113">
        <v>1</v>
      </c>
      <c r="I179"/>
      <c r="K179" s="224">
        <v>6</v>
      </c>
      <c r="L179" s="390">
        <v>41625</v>
      </c>
      <c r="M179"/>
      <c r="N179" s="224"/>
      <c r="O179"/>
      <c r="P179"/>
      <c r="Q179"/>
      <c r="S179" s="224"/>
      <c r="T179" s="224"/>
      <c r="U179"/>
      <c r="V179"/>
      <c r="W179"/>
      <c r="X179"/>
      <c r="Y179" s="225"/>
      <c r="Z179" s="224"/>
      <c r="AA179" s="226"/>
      <c r="AB179" s="224"/>
      <c r="AC179" s="225"/>
      <c r="AD179" s="224"/>
      <c r="AE179" s="224"/>
      <c r="AF179" s="224"/>
      <c r="AG179"/>
      <c r="AH179"/>
      <c r="AI179">
        <v>130</v>
      </c>
      <c r="AJ179" s="194">
        <v>41785</v>
      </c>
      <c r="AK179"/>
      <c r="AL179"/>
      <c r="AM179"/>
      <c r="AN179"/>
      <c r="AO179"/>
      <c r="AP179"/>
      <c r="AQ179" s="227"/>
      <c r="AR179" s="227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>
        <v>53.4</v>
      </c>
      <c r="BT179"/>
      <c r="BU179">
        <v>14.8</v>
      </c>
      <c r="BV179"/>
      <c r="BW179"/>
      <c r="BX179" s="228"/>
      <c r="BY179"/>
      <c r="BZ179"/>
      <c r="CA179"/>
      <c r="CC179"/>
      <c r="CD179"/>
      <c r="CE179">
        <v>5.9</v>
      </c>
      <c r="CF179"/>
      <c r="CG179">
        <v>0.3</v>
      </c>
      <c r="CH179"/>
      <c r="CI179"/>
      <c r="CJ179"/>
      <c r="CK179" t="s">
        <v>8820</v>
      </c>
      <c r="CL179"/>
      <c r="CM179"/>
    </row>
    <row r="180" spans="1:91" ht="15">
      <c r="A180" s="364" t="s">
        <v>7794</v>
      </c>
      <c r="B180" t="s">
        <v>265</v>
      </c>
      <c r="C180" t="s">
        <v>413</v>
      </c>
      <c r="D180">
        <v>189</v>
      </c>
      <c r="E180" s="113">
        <v>9</v>
      </c>
      <c r="F180" s="113">
        <v>3</v>
      </c>
      <c r="I180"/>
      <c r="K180" s="224">
        <v>7</v>
      </c>
      <c r="L180" s="390">
        <v>41625</v>
      </c>
      <c r="M180"/>
      <c r="N180" s="224"/>
      <c r="O180"/>
      <c r="P180"/>
      <c r="Q180"/>
      <c r="S180" s="224"/>
      <c r="T180" s="224"/>
      <c r="U180"/>
      <c r="V180"/>
      <c r="W180"/>
      <c r="X180"/>
      <c r="Y180" s="225"/>
      <c r="Z180" s="224"/>
      <c r="AA180" s="226"/>
      <c r="AB180" s="224"/>
      <c r="AC180" s="225"/>
      <c r="AD180" s="224"/>
      <c r="AE180" s="224"/>
      <c r="AF180" s="224"/>
      <c r="AG180"/>
      <c r="AH180"/>
      <c r="AI180">
        <v>155</v>
      </c>
      <c r="AJ180" s="194">
        <v>41785</v>
      </c>
      <c r="AK180"/>
      <c r="AL180"/>
      <c r="AM180"/>
      <c r="AN180"/>
      <c r="AO180"/>
      <c r="AP180"/>
      <c r="AQ180" s="227"/>
      <c r="AR180" s="227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>
        <v>52.4</v>
      </c>
      <c r="BT180"/>
      <c r="BU180">
        <v>16.8</v>
      </c>
      <c r="BV180"/>
      <c r="BW180"/>
      <c r="BX180" s="228"/>
      <c r="BY180"/>
      <c r="BZ180"/>
      <c r="CA180"/>
      <c r="CC180"/>
      <c r="CD180"/>
      <c r="CE180">
        <v>5.4</v>
      </c>
      <c r="CF180"/>
      <c r="CG180">
        <v>0.4</v>
      </c>
      <c r="CH180"/>
      <c r="CI180"/>
      <c r="CJ180"/>
      <c r="CK180" t="s">
        <v>8820</v>
      </c>
      <c r="CL180"/>
      <c r="CM180"/>
    </row>
    <row r="181" spans="1:91" ht="15">
      <c r="A181" s="364" t="s">
        <v>7795</v>
      </c>
      <c r="B181" t="s">
        <v>265</v>
      </c>
      <c r="C181" t="s">
        <v>413</v>
      </c>
      <c r="D181" s="232">
        <v>190</v>
      </c>
      <c r="E181" s="113">
        <v>18</v>
      </c>
      <c r="F181" s="113">
        <v>3</v>
      </c>
      <c r="I181"/>
      <c r="K181" s="224">
        <v>6</v>
      </c>
      <c r="L181" s="390">
        <v>41625</v>
      </c>
      <c r="M181"/>
      <c r="N181" s="224"/>
      <c r="O181"/>
      <c r="P181"/>
      <c r="Q181"/>
      <c r="S181" s="224"/>
      <c r="T181" s="224"/>
      <c r="U181"/>
      <c r="V181"/>
      <c r="W181"/>
      <c r="X181"/>
      <c r="Y181" s="225"/>
      <c r="Z181" s="224"/>
      <c r="AA181" s="226"/>
      <c r="AB181" s="224"/>
      <c r="AC181" s="225"/>
      <c r="AD181" s="224"/>
      <c r="AE181" s="224"/>
      <c r="AF181" s="224"/>
      <c r="AG181"/>
      <c r="AH181"/>
      <c r="AI181">
        <v>135</v>
      </c>
      <c r="AJ181" s="194">
        <v>41785</v>
      </c>
      <c r="AK181"/>
      <c r="AL181"/>
      <c r="AM181"/>
      <c r="AN181"/>
      <c r="AO181"/>
      <c r="AP181"/>
      <c r="AQ181" s="227"/>
      <c r="AR181" s="227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>
        <v>53.3</v>
      </c>
      <c r="BT181"/>
      <c r="BU181">
        <v>15.2</v>
      </c>
      <c r="BV181"/>
      <c r="BW181" s="229"/>
      <c r="BX181"/>
      <c r="BY181"/>
      <c r="BZ181"/>
      <c r="CA181"/>
      <c r="CC181"/>
      <c r="CD181"/>
      <c r="CE181">
        <v>8.5</v>
      </c>
      <c r="CF181"/>
      <c r="CG181">
        <v>0.1</v>
      </c>
      <c r="CH181"/>
      <c r="CI181"/>
      <c r="CJ181"/>
      <c r="CK181" t="s">
        <v>8820</v>
      </c>
      <c r="CL181"/>
      <c r="CM181"/>
    </row>
    <row r="182" spans="1:91" ht="15">
      <c r="A182" s="364" t="s">
        <v>7796</v>
      </c>
      <c r="B182" t="s">
        <v>265</v>
      </c>
      <c r="C182" t="s">
        <v>413</v>
      </c>
      <c r="D182">
        <v>191</v>
      </c>
      <c r="E182" s="113">
        <v>35</v>
      </c>
      <c r="F182" s="113">
        <v>3</v>
      </c>
      <c r="I182"/>
      <c r="K182" s="224">
        <v>6</v>
      </c>
      <c r="L182" s="390">
        <v>41625</v>
      </c>
      <c r="M182"/>
      <c r="N182" s="224"/>
      <c r="O182"/>
      <c r="P182"/>
      <c r="Q182"/>
      <c r="S182" s="224"/>
      <c r="T182" s="224"/>
      <c r="U182"/>
      <c r="V182"/>
      <c r="W182"/>
      <c r="X182"/>
      <c r="Y182" s="225"/>
      <c r="Z182" s="224"/>
      <c r="AA182" s="226"/>
      <c r="AB182" s="224"/>
      <c r="AC182" s="225"/>
      <c r="AD182" s="224"/>
      <c r="AE182" s="224"/>
      <c r="AF182" s="224"/>
      <c r="AG182"/>
      <c r="AH182"/>
      <c r="AI182">
        <v>130</v>
      </c>
      <c r="AJ182" s="194">
        <v>41785</v>
      </c>
      <c r="AK182"/>
      <c r="AL182"/>
      <c r="AM182"/>
      <c r="AN182"/>
      <c r="AO182"/>
      <c r="AP182"/>
      <c r="AQ182" s="227"/>
      <c r="AR182" s="227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>
        <v>54.3</v>
      </c>
      <c r="BT182"/>
      <c r="BU182">
        <v>15.2</v>
      </c>
      <c r="BV182"/>
      <c r="BW182" s="229"/>
      <c r="BX182"/>
      <c r="BY182"/>
      <c r="BZ182"/>
      <c r="CA182"/>
      <c r="CC182"/>
      <c r="CD182"/>
      <c r="CE182">
        <v>6.9</v>
      </c>
      <c r="CF182"/>
      <c r="CG182">
        <v>0.1</v>
      </c>
      <c r="CH182"/>
      <c r="CI182"/>
      <c r="CJ182"/>
      <c r="CK182" t="s">
        <v>8820</v>
      </c>
      <c r="CL182"/>
      <c r="CM182"/>
    </row>
    <row r="183" spans="1:91" ht="15">
      <c r="A183" s="364" t="s">
        <v>7797</v>
      </c>
      <c r="B183" t="s">
        <v>265</v>
      </c>
      <c r="C183" t="s">
        <v>413</v>
      </c>
      <c r="D183" s="232">
        <v>192</v>
      </c>
      <c r="E183" s="113">
        <v>18</v>
      </c>
      <c r="F183" s="113">
        <v>2</v>
      </c>
      <c r="I183"/>
      <c r="K183" s="224">
        <v>7</v>
      </c>
      <c r="L183" s="390">
        <v>41625</v>
      </c>
      <c r="M183"/>
      <c r="N183" s="224"/>
      <c r="O183"/>
      <c r="P183"/>
      <c r="Q183"/>
      <c r="S183" s="224"/>
      <c r="T183" s="224"/>
      <c r="U183"/>
      <c r="V183"/>
      <c r="W183"/>
      <c r="X183"/>
      <c r="Y183" s="225"/>
      <c r="Z183" s="224"/>
      <c r="AA183" s="226"/>
      <c r="AB183" s="224"/>
      <c r="AC183" s="225"/>
      <c r="AD183" s="224"/>
      <c r="AE183" s="224"/>
      <c r="AF183" s="224"/>
      <c r="AG183"/>
      <c r="AH183"/>
      <c r="AI183">
        <v>125</v>
      </c>
      <c r="AJ183" s="194">
        <v>41785</v>
      </c>
      <c r="AK183"/>
      <c r="AL183"/>
      <c r="AM183"/>
      <c r="AN183"/>
      <c r="AO183"/>
      <c r="AP183"/>
      <c r="AQ183" s="227"/>
      <c r="AR183" s="227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>
        <v>53.4</v>
      </c>
      <c r="BT183"/>
      <c r="BU183">
        <v>15</v>
      </c>
      <c r="BV183"/>
      <c r="BW183" s="229"/>
      <c r="BX183"/>
      <c r="BY183"/>
      <c r="BZ183"/>
      <c r="CA183"/>
      <c r="CC183"/>
      <c r="CD183"/>
      <c r="CE183">
        <v>8.3000000000000007</v>
      </c>
      <c r="CF183"/>
      <c r="CG183">
        <v>0.3</v>
      </c>
      <c r="CH183"/>
      <c r="CI183"/>
      <c r="CJ183"/>
      <c r="CK183" t="s">
        <v>8820</v>
      </c>
      <c r="CL183"/>
      <c r="CM183"/>
    </row>
    <row r="184" spans="1:91" ht="15">
      <c r="A184" s="364" t="s">
        <v>7798</v>
      </c>
      <c r="B184" t="s">
        <v>265</v>
      </c>
      <c r="C184" t="s">
        <v>413</v>
      </c>
      <c r="D184">
        <v>193</v>
      </c>
      <c r="E184" s="113">
        <v>25</v>
      </c>
      <c r="F184" s="113">
        <v>5</v>
      </c>
      <c r="G184" s="233"/>
      <c r="H184" s="233"/>
      <c r="I184" s="232"/>
      <c r="J184" s="234"/>
      <c r="K184" s="235">
        <v>7</v>
      </c>
      <c r="L184" s="390">
        <v>41625</v>
      </c>
      <c r="M184" s="232"/>
      <c r="N184" s="235"/>
      <c r="O184" s="232"/>
      <c r="P184" s="232"/>
      <c r="Q184" s="232"/>
      <c r="R184" s="236"/>
      <c r="S184" s="235"/>
      <c r="T184" s="235"/>
      <c r="U184" s="232"/>
      <c r="V184" s="232"/>
      <c r="W184" s="232"/>
      <c r="X184" s="232"/>
      <c r="Y184" s="237"/>
      <c r="Z184" s="235"/>
      <c r="AA184" s="238"/>
      <c r="AB184" s="235"/>
      <c r="AC184" s="237"/>
      <c r="AD184" s="235"/>
      <c r="AE184" s="235"/>
      <c r="AF184" s="235"/>
      <c r="AG184" s="232"/>
      <c r="AH184" s="232"/>
      <c r="AI184" s="232">
        <v>130</v>
      </c>
      <c r="AJ184" s="194">
        <v>41785</v>
      </c>
      <c r="AK184" s="232"/>
      <c r="AL184" s="232"/>
      <c r="AM184" s="232"/>
      <c r="AN184" s="232"/>
      <c r="AO184" s="232"/>
      <c r="AP184" s="232"/>
      <c r="AQ184" s="239"/>
      <c r="AR184" s="23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232"/>
      <c r="BH184" s="232"/>
      <c r="BI184" s="232"/>
      <c r="BJ184" s="232"/>
      <c r="BK184" s="232"/>
      <c r="BL184" s="232"/>
      <c r="BM184" s="232"/>
      <c r="BN184" s="232"/>
      <c r="BO184" s="232"/>
      <c r="BP184" s="232"/>
      <c r="BQ184" s="232"/>
      <c r="BR184" s="232"/>
      <c r="BS184" s="232">
        <v>53.3</v>
      </c>
      <c r="BT184" s="232"/>
      <c r="BU184" s="232">
        <v>16</v>
      </c>
      <c r="BV184" s="232"/>
      <c r="BW184" s="240"/>
      <c r="BX184" s="232"/>
      <c r="BY184" s="232"/>
      <c r="BZ184" s="232"/>
      <c r="CA184" s="232"/>
      <c r="CB184" s="241"/>
      <c r="CC184" s="232"/>
      <c r="CD184" s="232"/>
      <c r="CE184" s="232">
        <v>5.4</v>
      </c>
      <c r="CF184" s="232"/>
      <c r="CG184" s="232">
        <v>0.4</v>
      </c>
      <c r="CH184" s="232"/>
      <c r="CI184" s="232"/>
      <c r="CJ184" s="232"/>
      <c r="CK184" t="s">
        <v>8820</v>
      </c>
      <c r="CL184" s="232"/>
      <c r="CM184" s="232"/>
    </row>
    <row r="185" spans="1:91" ht="15">
      <c r="A185" s="364" t="s">
        <v>7799</v>
      </c>
      <c r="B185" t="s">
        <v>265</v>
      </c>
      <c r="C185" t="s">
        <v>413</v>
      </c>
      <c r="D185">
        <v>194</v>
      </c>
      <c r="E185" s="113">
        <v>16</v>
      </c>
      <c r="F185" s="113">
        <v>1</v>
      </c>
      <c r="I185"/>
      <c r="K185" s="224">
        <v>6</v>
      </c>
      <c r="L185" s="390">
        <v>41625</v>
      </c>
      <c r="M185"/>
      <c r="N185" s="224"/>
      <c r="O185"/>
      <c r="P185"/>
      <c r="Q185"/>
      <c r="S185" s="224"/>
      <c r="T185" s="224"/>
      <c r="U185"/>
      <c r="V185"/>
      <c r="W185"/>
      <c r="X185"/>
      <c r="Y185" s="225"/>
      <c r="Z185" s="224"/>
      <c r="AA185" s="226"/>
      <c r="AB185" s="224"/>
      <c r="AC185" s="225"/>
      <c r="AD185" s="224"/>
      <c r="AE185" s="224"/>
      <c r="AF185" s="224"/>
      <c r="AG185"/>
      <c r="AH185"/>
      <c r="AI185">
        <v>135</v>
      </c>
      <c r="AJ185" s="194">
        <v>41785</v>
      </c>
      <c r="AK185"/>
      <c r="AL185"/>
      <c r="AM185"/>
      <c r="AN185"/>
      <c r="AO185"/>
      <c r="AP185"/>
      <c r="AQ185" s="227"/>
      <c r="AR185" s="227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>
        <v>54.5</v>
      </c>
      <c r="BT185"/>
      <c r="BU185">
        <v>14.1</v>
      </c>
      <c r="BV185"/>
      <c r="BW185"/>
      <c r="BX185" s="228"/>
      <c r="BY185"/>
      <c r="BZ185"/>
      <c r="CA185"/>
      <c r="CC185"/>
      <c r="CD185"/>
      <c r="CE185">
        <v>7.9</v>
      </c>
      <c r="CF185"/>
      <c r="CG185">
        <v>0.1</v>
      </c>
      <c r="CH185"/>
      <c r="CI185"/>
      <c r="CJ185"/>
      <c r="CK185" t="s">
        <v>8820</v>
      </c>
      <c r="CL185"/>
      <c r="CM185"/>
    </row>
    <row r="186" spans="1:91" ht="15">
      <c r="A186" s="364" t="s">
        <v>7800</v>
      </c>
      <c r="B186" t="s">
        <v>265</v>
      </c>
      <c r="C186" t="s">
        <v>413</v>
      </c>
      <c r="D186" s="232">
        <v>195</v>
      </c>
      <c r="E186" s="113">
        <v>10</v>
      </c>
      <c r="F186" s="113">
        <v>3</v>
      </c>
      <c r="I186"/>
      <c r="K186" s="224">
        <v>7</v>
      </c>
      <c r="L186" s="390">
        <v>41625</v>
      </c>
      <c r="M186"/>
      <c r="N186" s="224"/>
      <c r="O186"/>
      <c r="P186"/>
      <c r="Q186"/>
      <c r="S186" s="224"/>
      <c r="T186" s="224"/>
      <c r="U186"/>
      <c r="V186"/>
      <c r="W186"/>
      <c r="X186"/>
      <c r="Y186" s="225"/>
      <c r="Z186" s="224"/>
      <c r="AA186" s="226"/>
      <c r="AB186" s="224"/>
      <c r="AC186" s="225"/>
      <c r="AD186" s="224"/>
      <c r="AE186" s="224"/>
      <c r="AF186" s="224"/>
      <c r="AG186"/>
      <c r="AH186"/>
      <c r="AI186">
        <v>150</v>
      </c>
      <c r="AJ186" s="194">
        <v>41785</v>
      </c>
      <c r="AK186"/>
      <c r="AL186"/>
      <c r="AM186"/>
      <c r="AN186"/>
      <c r="AO186"/>
      <c r="AP186"/>
      <c r="AQ186" s="227"/>
      <c r="AR186" s="227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>
        <v>52.4</v>
      </c>
      <c r="BT186"/>
      <c r="BU186">
        <v>15.5</v>
      </c>
      <c r="BV186"/>
      <c r="BW186"/>
      <c r="BX186" s="228"/>
      <c r="BY186"/>
      <c r="BZ186"/>
      <c r="CA186"/>
      <c r="CC186"/>
      <c r="CD186"/>
      <c r="CE186">
        <v>5.3</v>
      </c>
      <c r="CF186"/>
      <c r="CG186">
        <v>0.4</v>
      </c>
      <c r="CH186"/>
      <c r="CI186"/>
      <c r="CJ186"/>
      <c r="CK186" t="s">
        <v>8820</v>
      </c>
      <c r="CL186"/>
      <c r="CM186"/>
    </row>
    <row r="187" spans="1:91" ht="15">
      <c r="A187" s="364" t="s">
        <v>7801</v>
      </c>
      <c r="B187" t="s">
        <v>265</v>
      </c>
      <c r="C187" t="s">
        <v>413</v>
      </c>
      <c r="D187">
        <v>196</v>
      </c>
      <c r="E187" s="113">
        <v>29</v>
      </c>
      <c r="F187" s="113">
        <v>2</v>
      </c>
      <c r="I187"/>
      <c r="K187" s="224">
        <v>7</v>
      </c>
      <c r="L187" s="390">
        <v>41625</v>
      </c>
      <c r="M187"/>
      <c r="N187" s="224"/>
      <c r="O187"/>
      <c r="P187"/>
      <c r="Q187"/>
      <c r="S187" s="224"/>
      <c r="T187" s="224"/>
      <c r="U187"/>
      <c r="V187"/>
      <c r="W187"/>
      <c r="X187"/>
      <c r="Y187" s="225"/>
      <c r="Z187" s="224"/>
      <c r="AA187" s="226"/>
      <c r="AB187" s="224"/>
      <c r="AC187" s="225"/>
      <c r="AD187" s="224"/>
      <c r="AE187" s="224"/>
      <c r="AF187" s="224"/>
      <c r="AG187"/>
      <c r="AH187"/>
      <c r="AI187">
        <v>135</v>
      </c>
      <c r="AJ187" s="194">
        <v>41785</v>
      </c>
      <c r="AK187"/>
      <c r="AL187"/>
      <c r="AM187"/>
      <c r="AN187"/>
      <c r="AO187"/>
      <c r="AP187"/>
      <c r="AQ187" s="227"/>
      <c r="AR187" s="22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>
        <v>52.8</v>
      </c>
      <c r="BT187"/>
      <c r="BU187">
        <v>15.7</v>
      </c>
      <c r="BV187"/>
      <c r="BW187" s="229"/>
      <c r="BX187"/>
      <c r="BY187"/>
      <c r="BZ187"/>
      <c r="CA187"/>
      <c r="CC187"/>
      <c r="CD187"/>
      <c r="CE187">
        <v>5.5</v>
      </c>
      <c r="CF187"/>
      <c r="CG187">
        <v>0.3</v>
      </c>
      <c r="CH187"/>
      <c r="CI187"/>
      <c r="CJ187"/>
      <c r="CK187" t="s">
        <v>8820</v>
      </c>
      <c r="CL187"/>
      <c r="CM187"/>
    </row>
    <row r="188" spans="1:91" ht="15">
      <c r="A188" s="364" t="s">
        <v>7802</v>
      </c>
      <c r="B188" t="s">
        <v>265</v>
      </c>
      <c r="C188" t="s">
        <v>413</v>
      </c>
      <c r="D188">
        <v>197</v>
      </c>
      <c r="E188" s="113">
        <v>10</v>
      </c>
      <c r="F188" s="113">
        <v>6</v>
      </c>
      <c r="I188"/>
      <c r="K188" s="224">
        <v>7</v>
      </c>
      <c r="L188" s="390">
        <v>41625</v>
      </c>
      <c r="M188"/>
      <c r="N188" s="224"/>
      <c r="O188"/>
      <c r="P188"/>
      <c r="Q188"/>
      <c r="S188" s="224"/>
      <c r="T188" s="224"/>
      <c r="U188"/>
      <c r="V188"/>
      <c r="W188"/>
      <c r="X188"/>
      <c r="Y188" s="225"/>
      <c r="Z188" s="224"/>
      <c r="AA188" s="226"/>
      <c r="AB188" s="224"/>
      <c r="AC188" s="225"/>
      <c r="AD188" s="224"/>
      <c r="AE188" s="224"/>
      <c r="AF188" s="224"/>
      <c r="AG188"/>
      <c r="AH188"/>
      <c r="AI188">
        <v>145</v>
      </c>
      <c r="AJ188" s="194">
        <v>41785</v>
      </c>
      <c r="AK188"/>
      <c r="AL188"/>
      <c r="AM188"/>
      <c r="AN188"/>
      <c r="AO188"/>
      <c r="AP188"/>
      <c r="AQ188" s="227"/>
      <c r="AR188" s="227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>
        <v>52.1</v>
      </c>
      <c r="BT188"/>
      <c r="BU188">
        <v>16.7</v>
      </c>
      <c r="BV188"/>
      <c r="BW188" s="229"/>
      <c r="BX188"/>
      <c r="BY188"/>
      <c r="BZ188"/>
      <c r="CA188"/>
      <c r="CC188"/>
      <c r="CD188"/>
      <c r="CE188">
        <v>5.3</v>
      </c>
      <c r="CF188"/>
      <c r="CG188">
        <v>0.3</v>
      </c>
      <c r="CH188"/>
      <c r="CI188"/>
      <c r="CJ188"/>
      <c r="CK188" t="s">
        <v>8820</v>
      </c>
      <c r="CL188"/>
      <c r="CM188"/>
    </row>
    <row r="189" spans="1:91" ht="15">
      <c r="A189" s="364" t="s">
        <v>7803</v>
      </c>
      <c r="B189" t="s">
        <v>265</v>
      </c>
      <c r="C189" t="s">
        <v>413</v>
      </c>
      <c r="D189" s="232">
        <v>198</v>
      </c>
      <c r="E189" s="113">
        <v>18</v>
      </c>
      <c r="F189" s="113">
        <v>6</v>
      </c>
      <c r="G189" s="233"/>
      <c r="H189" s="233"/>
      <c r="I189" s="232"/>
      <c r="J189" s="234"/>
      <c r="K189" s="235">
        <v>7</v>
      </c>
      <c r="L189" s="390">
        <v>41625</v>
      </c>
      <c r="M189" s="232"/>
      <c r="N189" s="235"/>
      <c r="O189" s="232"/>
      <c r="P189" s="232"/>
      <c r="Q189" s="232"/>
      <c r="R189" s="236"/>
      <c r="S189" s="235"/>
      <c r="T189" s="235"/>
      <c r="U189" s="232"/>
      <c r="V189" s="232"/>
      <c r="W189" s="232"/>
      <c r="X189" s="232"/>
      <c r="Y189" s="237"/>
      <c r="Z189" s="235"/>
      <c r="AA189" s="238"/>
      <c r="AB189" s="235"/>
      <c r="AC189" s="237"/>
      <c r="AD189" s="235"/>
      <c r="AE189" s="235"/>
      <c r="AF189" s="235"/>
      <c r="AG189" s="232"/>
      <c r="AH189" s="232"/>
      <c r="AI189" s="232">
        <v>140</v>
      </c>
      <c r="AJ189" s="194">
        <v>41785</v>
      </c>
      <c r="AK189" s="232"/>
      <c r="AL189" s="232"/>
      <c r="AM189" s="232"/>
      <c r="AN189" s="232"/>
      <c r="AO189" s="232"/>
      <c r="AP189" s="232"/>
      <c r="AQ189" s="239"/>
      <c r="AR189" s="23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232"/>
      <c r="BH189" s="232"/>
      <c r="BI189" s="232"/>
      <c r="BJ189" s="232"/>
      <c r="BK189" s="232"/>
      <c r="BL189" s="232"/>
      <c r="BM189" s="232"/>
      <c r="BN189" s="232"/>
      <c r="BO189" s="232"/>
      <c r="BP189" s="232"/>
      <c r="BQ189" s="232"/>
      <c r="BR189" s="232"/>
      <c r="BS189" s="232">
        <v>54.3</v>
      </c>
      <c r="BT189" s="232"/>
      <c r="BU189" s="232">
        <v>14.3</v>
      </c>
      <c r="BV189" s="232"/>
      <c r="BW189" s="232"/>
      <c r="BX189" s="243"/>
      <c r="BY189" s="232"/>
      <c r="BZ189" s="232"/>
      <c r="CA189" s="232"/>
      <c r="CB189" s="241"/>
      <c r="CC189" s="232"/>
      <c r="CD189" s="232"/>
      <c r="CE189" s="232">
        <v>8.1</v>
      </c>
      <c r="CF189" s="232"/>
      <c r="CG189" s="232">
        <v>0.1</v>
      </c>
      <c r="CH189" s="232"/>
      <c r="CI189" s="232"/>
      <c r="CJ189" s="232"/>
      <c r="CK189" t="s">
        <v>8820</v>
      </c>
      <c r="CL189" s="232"/>
      <c r="CM189" s="232"/>
    </row>
    <row r="190" spans="1:91" ht="15">
      <c r="A190" s="364" t="s">
        <v>7804</v>
      </c>
      <c r="B190" t="s">
        <v>265</v>
      </c>
      <c r="C190" t="s">
        <v>413</v>
      </c>
      <c r="D190">
        <v>199</v>
      </c>
      <c r="E190" s="113">
        <v>20</v>
      </c>
      <c r="F190" s="113">
        <v>4</v>
      </c>
      <c r="I190"/>
      <c r="K190" s="224">
        <v>7</v>
      </c>
      <c r="L190" s="390">
        <v>41625</v>
      </c>
      <c r="M190"/>
      <c r="N190" s="224"/>
      <c r="O190"/>
      <c r="P190"/>
      <c r="Q190"/>
      <c r="S190" s="224"/>
      <c r="T190" s="224"/>
      <c r="U190"/>
      <c r="V190"/>
      <c r="W190"/>
      <c r="X190"/>
      <c r="Y190" s="225"/>
      <c r="Z190" s="224"/>
      <c r="AA190" s="226"/>
      <c r="AB190" s="224"/>
      <c r="AC190" s="225"/>
      <c r="AD190" s="224"/>
      <c r="AE190" s="224"/>
      <c r="AF190" s="224"/>
      <c r="AG190"/>
      <c r="AH190"/>
      <c r="AI190">
        <v>155</v>
      </c>
      <c r="AJ190" s="194">
        <v>41785</v>
      </c>
      <c r="AK190"/>
      <c r="AL190"/>
      <c r="AM190"/>
      <c r="AN190"/>
      <c r="AO190"/>
      <c r="AP190"/>
      <c r="AQ190" s="227"/>
      <c r="AR190" s="227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>
        <v>51.7</v>
      </c>
      <c r="BT190"/>
      <c r="BU190">
        <v>16.3</v>
      </c>
      <c r="BV190"/>
      <c r="BW190" s="229"/>
      <c r="BX190"/>
      <c r="BY190"/>
      <c r="BZ190"/>
      <c r="CA190"/>
      <c r="CC190"/>
      <c r="CD190"/>
      <c r="CE190">
        <v>5.7</v>
      </c>
      <c r="CF190"/>
      <c r="CG190">
        <v>0.3</v>
      </c>
      <c r="CH190"/>
      <c r="CI190"/>
      <c r="CJ190"/>
      <c r="CK190" t="s">
        <v>8820</v>
      </c>
      <c r="CL190"/>
      <c r="CM190"/>
    </row>
    <row r="191" spans="1:91" ht="15">
      <c r="A191" s="364" t="s">
        <v>7805</v>
      </c>
      <c r="B191" t="s">
        <v>265</v>
      </c>
      <c r="C191" t="s">
        <v>413</v>
      </c>
      <c r="D191">
        <v>200</v>
      </c>
      <c r="E191" s="113">
        <v>26</v>
      </c>
      <c r="F191" s="113">
        <v>3</v>
      </c>
      <c r="I191"/>
      <c r="K191" s="224">
        <v>7</v>
      </c>
      <c r="L191" s="390">
        <v>41625</v>
      </c>
      <c r="M191"/>
      <c r="N191" s="224"/>
      <c r="O191"/>
      <c r="P191"/>
      <c r="Q191"/>
      <c r="S191" s="224"/>
      <c r="T191" s="224"/>
      <c r="U191"/>
      <c r="V191"/>
      <c r="W191"/>
      <c r="X191"/>
      <c r="Y191" s="225"/>
      <c r="Z191" s="224"/>
      <c r="AA191" s="226"/>
      <c r="AB191" s="224"/>
      <c r="AC191" s="225"/>
      <c r="AD191" s="224"/>
      <c r="AE191" s="224"/>
      <c r="AF191" s="224"/>
      <c r="AG191"/>
      <c r="AH191"/>
      <c r="AI191">
        <v>130</v>
      </c>
      <c r="AJ191" s="194">
        <v>41785</v>
      </c>
      <c r="AK191"/>
      <c r="AL191"/>
      <c r="AM191"/>
      <c r="AN191"/>
      <c r="AO191"/>
      <c r="AP191"/>
      <c r="AQ191" s="227"/>
      <c r="AR191" s="227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>
        <v>53.9</v>
      </c>
      <c r="BT191"/>
      <c r="BU191">
        <v>13.7</v>
      </c>
      <c r="BV191"/>
      <c r="BW191" s="229"/>
      <c r="BX191"/>
      <c r="BY191"/>
      <c r="BZ191"/>
      <c r="CA191"/>
      <c r="CC191"/>
      <c r="CD191"/>
      <c r="CE191">
        <v>6.4</v>
      </c>
      <c r="CF191"/>
      <c r="CG191">
        <v>0.3</v>
      </c>
      <c r="CH191"/>
      <c r="CI191"/>
      <c r="CJ191"/>
      <c r="CK191" t="s">
        <v>8820</v>
      </c>
      <c r="CL191"/>
      <c r="CM191"/>
    </row>
    <row r="192" spans="1:91" ht="15">
      <c r="A192" s="364" t="s">
        <v>7806</v>
      </c>
      <c r="B192" t="s">
        <v>265</v>
      </c>
      <c r="C192" t="s">
        <v>413</v>
      </c>
      <c r="D192">
        <v>201</v>
      </c>
      <c r="E192" s="113">
        <v>12</v>
      </c>
      <c r="F192" s="113">
        <v>6</v>
      </c>
      <c r="G192" s="233"/>
      <c r="H192" s="233"/>
      <c r="I192" s="232"/>
      <c r="J192" s="234"/>
      <c r="K192" s="235">
        <v>7</v>
      </c>
      <c r="L192" s="390">
        <v>41625</v>
      </c>
      <c r="M192" s="232"/>
      <c r="N192" s="235"/>
      <c r="O192" s="232"/>
      <c r="P192" s="232"/>
      <c r="Q192" s="232"/>
      <c r="R192" s="236"/>
      <c r="S192" s="235"/>
      <c r="T192" s="235"/>
      <c r="U192" s="232"/>
      <c r="V192" s="232"/>
      <c r="W192" s="232"/>
      <c r="X192" s="232"/>
      <c r="Y192" s="237"/>
      <c r="Z192" s="235"/>
      <c r="AA192" s="238"/>
      <c r="AB192" s="235"/>
      <c r="AC192" s="237"/>
      <c r="AD192" s="235"/>
      <c r="AE192" s="235"/>
      <c r="AF192" s="235"/>
      <c r="AG192" s="232"/>
      <c r="AH192" s="232"/>
      <c r="AI192" s="232">
        <v>145</v>
      </c>
      <c r="AJ192" s="194">
        <v>41785</v>
      </c>
      <c r="AK192" s="232"/>
      <c r="AL192" s="232"/>
      <c r="AM192" s="232"/>
      <c r="AN192" s="232"/>
      <c r="AO192" s="232"/>
      <c r="AP192" s="232"/>
      <c r="AQ192" s="239"/>
      <c r="AR192" s="23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232"/>
      <c r="BH192" s="232"/>
      <c r="BI192" s="232"/>
      <c r="BJ192" s="232"/>
      <c r="BK192" s="232"/>
      <c r="BL192" s="232"/>
      <c r="BM192" s="232"/>
      <c r="BN192" s="232"/>
      <c r="BO192" s="232"/>
      <c r="BP192" s="232"/>
      <c r="BQ192" s="232"/>
      <c r="BR192" s="232"/>
      <c r="BS192" s="232">
        <v>51.5</v>
      </c>
      <c r="BT192" s="232"/>
      <c r="BU192" s="232">
        <v>16.2</v>
      </c>
      <c r="BV192" s="232"/>
      <c r="BW192" s="232"/>
      <c r="BX192" s="243"/>
      <c r="BY192" s="232"/>
      <c r="BZ192" s="232"/>
      <c r="CA192" s="232"/>
      <c r="CB192" s="241"/>
      <c r="CC192" s="232"/>
      <c r="CD192" s="232"/>
      <c r="CE192" s="232">
        <v>6.5</v>
      </c>
      <c r="CF192" s="232"/>
      <c r="CG192" s="232">
        <v>0.1</v>
      </c>
      <c r="CH192" s="232"/>
      <c r="CI192" s="232"/>
      <c r="CJ192" s="232"/>
      <c r="CK192" t="s">
        <v>8820</v>
      </c>
      <c r="CL192" s="232"/>
      <c r="CM192" s="232"/>
    </row>
    <row r="193" spans="1:91" ht="15">
      <c r="A193" s="364" t="s">
        <v>7807</v>
      </c>
      <c r="B193" t="s">
        <v>265</v>
      </c>
      <c r="C193" t="s">
        <v>413</v>
      </c>
      <c r="D193">
        <v>202</v>
      </c>
      <c r="E193" s="113">
        <v>17</v>
      </c>
      <c r="F193" s="113">
        <v>4</v>
      </c>
      <c r="G193" s="233"/>
      <c r="H193" s="233"/>
      <c r="I193" s="232"/>
      <c r="J193" s="234"/>
      <c r="K193" s="235">
        <v>7</v>
      </c>
      <c r="L193" s="390">
        <v>41625</v>
      </c>
      <c r="M193" s="232"/>
      <c r="N193" s="235"/>
      <c r="O193" s="232"/>
      <c r="P193" s="232"/>
      <c r="Q193" s="232"/>
      <c r="R193" s="236"/>
      <c r="S193" s="235"/>
      <c r="T193" s="235"/>
      <c r="U193" s="232"/>
      <c r="V193" s="232"/>
      <c r="W193" s="232"/>
      <c r="X193" s="232"/>
      <c r="Y193" s="237"/>
      <c r="Z193" s="235"/>
      <c r="AA193" s="238"/>
      <c r="AB193" s="235"/>
      <c r="AC193" s="237"/>
      <c r="AD193" s="235"/>
      <c r="AE193" s="235"/>
      <c r="AF193" s="235"/>
      <c r="AG193" s="232"/>
      <c r="AH193" s="232"/>
      <c r="AI193" s="232">
        <v>130</v>
      </c>
      <c r="AJ193" s="194">
        <v>41785</v>
      </c>
      <c r="AK193" s="232"/>
      <c r="AL193" s="232"/>
      <c r="AM193" s="232"/>
      <c r="AN193" s="232"/>
      <c r="AO193" s="232"/>
      <c r="AP193" s="232"/>
      <c r="AQ193" s="239"/>
      <c r="AR193" s="23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232"/>
      <c r="BH193" s="232"/>
      <c r="BI193" s="232"/>
      <c r="BJ193" s="232"/>
      <c r="BK193" s="232"/>
      <c r="BL193" s="232"/>
      <c r="BM193" s="232"/>
      <c r="BN193" s="232"/>
      <c r="BO193" s="232"/>
      <c r="BP193" s="232"/>
      <c r="BQ193" s="232"/>
      <c r="BR193" s="232"/>
      <c r="BS193" s="232">
        <v>53.1</v>
      </c>
      <c r="BT193" s="232"/>
      <c r="BU193" s="232">
        <v>13.5</v>
      </c>
      <c r="BV193" s="232"/>
      <c r="BW193" s="240"/>
      <c r="BX193" s="232"/>
      <c r="BY193" s="232"/>
      <c r="BZ193" s="232"/>
      <c r="CA193" s="232"/>
      <c r="CB193" s="241"/>
      <c r="CC193" s="232"/>
      <c r="CD193" s="232"/>
      <c r="CE193" s="232">
        <v>8.8000000000000007</v>
      </c>
      <c r="CF193" s="232"/>
      <c r="CG193" s="232">
        <v>0.1</v>
      </c>
      <c r="CH193" s="232"/>
      <c r="CI193" s="232"/>
      <c r="CJ193" s="232"/>
      <c r="CK193" t="s">
        <v>8820</v>
      </c>
      <c r="CL193" s="232"/>
      <c r="CM193" s="232"/>
    </row>
    <row r="194" spans="1:91" ht="15">
      <c r="A194" s="364" t="s">
        <v>7808</v>
      </c>
      <c r="B194" t="s">
        <v>265</v>
      </c>
      <c r="C194" t="s">
        <v>413</v>
      </c>
      <c r="D194">
        <v>203</v>
      </c>
      <c r="E194" s="113">
        <v>33</v>
      </c>
      <c r="F194" s="113">
        <v>3</v>
      </c>
      <c r="G194" s="233"/>
      <c r="H194" s="233"/>
      <c r="I194" s="232"/>
      <c r="J194" s="234"/>
      <c r="K194" s="235">
        <v>7</v>
      </c>
      <c r="L194" s="390">
        <v>41625</v>
      </c>
      <c r="M194" s="232"/>
      <c r="N194" s="235"/>
      <c r="O194" s="232"/>
      <c r="P194" s="232"/>
      <c r="Q194" s="232"/>
      <c r="R194" s="236"/>
      <c r="S194" s="235"/>
      <c r="T194" s="235"/>
      <c r="U194" s="232"/>
      <c r="V194" s="232"/>
      <c r="W194" s="232"/>
      <c r="X194" s="232"/>
      <c r="Y194" s="237"/>
      <c r="Z194" s="235"/>
      <c r="AA194" s="238"/>
      <c r="AB194" s="235"/>
      <c r="AC194" s="237"/>
      <c r="AD194" s="235"/>
      <c r="AE194" s="235"/>
      <c r="AF194" s="235"/>
      <c r="AG194" s="232"/>
      <c r="AH194" s="232"/>
      <c r="AI194" s="232">
        <v>130</v>
      </c>
      <c r="AJ194" s="194">
        <v>41785</v>
      </c>
      <c r="AK194" s="232"/>
      <c r="AL194" s="232"/>
      <c r="AM194" s="232"/>
      <c r="AN194" s="232"/>
      <c r="AO194" s="232"/>
      <c r="AP194" s="232"/>
      <c r="AQ194" s="239"/>
      <c r="AR194" s="23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232"/>
      <c r="BH194" s="232"/>
      <c r="BI194" s="232"/>
      <c r="BJ194" s="232"/>
      <c r="BK194" s="232"/>
      <c r="BL194" s="232"/>
      <c r="BM194" s="232"/>
      <c r="BN194" s="232"/>
      <c r="BO194" s="232"/>
      <c r="BP194" s="232"/>
      <c r="BQ194" s="232"/>
      <c r="BR194" s="232"/>
      <c r="BS194" s="232">
        <v>54</v>
      </c>
      <c r="BT194" s="232"/>
      <c r="BU194" s="232">
        <v>14.2</v>
      </c>
      <c r="BV194" s="232"/>
      <c r="BW194" s="240"/>
      <c r="BX194" s="232"/>
      <c r="BY194" s="232"/>
      <c r="BZ194" s="232"/>
      <c r="CA194" s="232"/>
      <c r="CB194" s="241"/>
      <c r="CC194" s="232"/>
      <c r="CD194" s="232"/>
      <c r="CE194" s="232">
        <v>5.9</v>
      </c>
      <c r="CF194" s="232"/>
      <c r="CG194" s="232">
        <v>0.3</v>
      </c>
      <c r="CH194" s="232"/>
      <c r="CI194" s="232"/>
      <c r="CJ194" s="232"/>
      <c r="CK194" t="s">
        <v>8820</v>
      </c>
      <c r="CL194" s="232"/>
      <c r="CM194" s="232"/>
    </row>
    <row r="195" spans="1:91" ht="15">
      <c r="A195" s="364" t="s">
        <v>7809</v>
      </c>
      <c r="B195" t="s">
        <v>265</v>
      </c>
      <c r="C195" t="s">
        <v>413</v>
      </c>
      <c r="D195">
        <v>204</v>
      </c>
      <c r="E195" s="113">
        <v>19</v>
      </c>
      <c r="F195" s="113">
        <v>2</v>
      </c>
      <c r="G195" s="233"/>
      <c r="H195" s="233"/>
      <c r="I195" s="232"/>
      <c r="J195" s="234"/>
      <c r="K195" s="235">
        <v>6</v>
      </c>
      <c r="L195" s="390">
        <v>41625</v>
      </c>
      <c r="M195" s="232"/>
      <c r="N195" s="235"/>
      <c r="O195" s="232"/>
      <c r="P195" s="232"/>
      <c r="Q195" s="232"/>
      <c r="R195" s="236"/>
      <c r="S195" s="235"/>
      <c r="T195" s="235"/>
      <c r="U195" s="232"/>
      <c r="V195" s="232"/>
      <c r="W195" s="232"/>
      <c r="X195" s="232"/>
      <c r="Y195" s="237"/>
      <c r="Z195" s="235"/>
      <c r="AA195" s="238"/>
      <c r="AB195" s="235"/>
      <c r="AC195" s="237"/>
      <c r="AD195" s="235"/>
      <c r="AE195" s="235"/>
      <c r="AF195" s="235"/>
      <c r="AG195" s="232"/>
      <c r="AH195" s="232"/>
      <c r="AI195" s="232">
        <v>140</v>
      </c>
      <c r="AJ195" s="194">
        <v>41785</v>
      </c>
      <c r="AK195" s="232"/>
      <c r="AL195" s="232"/>
      <c r="AM195" s="232"/>
      <c r="AN195" s="232"/>
      <c r="AO195" s="232"/>
      <c r="AP195" s="232"/>
      <c r="AQ195" s="239"/>
      <c r="AR195" s="23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232"/>
      <c r="BH195" s="232"/>
      <c r="BI195" s="232"/>
      <c r="BJ195" s="232"/>
      <c r="BK195" s="232"/>
      <c r="BL195" s="232"/>
      <c r="BM195" s="232"/>
      <c r="BN195" s="232"/>
      <c r="BO195" s="232"/>
      <c r="BP195" s="232"/>
      <c r="BQ195" s="232"/>
      <c r="BR195" s="232"/>
      <c r="BS195" s="232">
        <v>51.9</v>
      </c>
      <c r="BT195" s="232"/>
      <c r="BU195" s="232">
        <v>16</v>
      </c>
      <c r="BV195" s="232"/>
      <c r="BW195" s="232"/>
      <c r="BX195" s="243"/>
      <c r="BY195" s="232"/>
      <c r="BZ195" s="232"/>
      <c r="CA195" s="232"/>
      <c r="CB195" s="241"/>
      <c r="CC195" s="232"/>
      <c r="CD195" s="232"/>
      <c r="CE195" s="232">
        <v>5.8</v>
      </c>
      <c r="CF195" s="232"/>
      <c r="CG195" s="232">
        <v>0.3</v>
      </c>
      <c r="CH195" s="232"/>
      <c r="CI195" s="232"/>
      <c r="CJ195" s="232"/>
      <c r="CK195" t="s">
        <v>8820</v>
      </c>
      <c r="CL195" s="232"/>
      <c r="CM195" s="232"/>
    </row>
    <row r="196" spans="1:91" ht="15">
      <c r="A196" s="364" t="s">
        <v>7810</v>
      </c>
      <c r="B196" t="s">
        <v>265</v>
      </c>
      <c r="C196" t="s">
        <v>413</v>
      </c>
      <c r="D196">
        <v>205</v>
      </c>
      <c r="E196" s="113">
        <v>35</v>
      </c>
      <c r="F196" s="113">
        <v>6</v>
      </c>
      <c r="G196" s="233"/>
      <c r="H196" s="233"/>
      <c r="I196" s="232"/>
      <c r="J196" s="234"/>
      <c r="K196" s="235">
        <v>6</v>
      </c>
      <c r="L196" s="390">
        <v>41625</v>
      </c>
      <c r="M196" s="232"/>
      <c r="N196" s="235"/>
      <c r="O196" s="232"/>
      <c r="P196" s="232"/>
      <c r="Q196" s="232"/>
      <c r="R196" s="236"/>
      <c r="S196" s="235"/>
      <c r="T196" s="235"/>
      <c r="U196" s="232"/>
      <c r="V196" s="232"/>
      <c r="W196" s="232"/>
      <c r="X196" s="232"/>
      <c r="Y196" s="237"/>
      <c r="Z196" s="235"/>
      <c r="AA196" s="238"/>
      <c r="AB196" s="235"/>
      <c r="AC196" s="237"/>
      <c r="AD196" s="235"/>
      <c r="AE196" s="235"/>
      <c r="AF196" s="235"/>
      <c r="AG196" s="232"/>
      <c r="AH196" s="232"/>
      <c r="AI196" s="232">
        <v>125</v>
      </c>
      <c r="AJ196" s="194">
        <v>41785</v>
      </c>
      <c r="AK196" s="232"/>
      <c r="AL196" s="232"/>
      <c r="AM196" s="232"/>
      <c r="AN196" s="232"/>
      <c r="AO196" s="232"/>
      <c r="AP196" s="232"/>
      <c r="AQ196" s="239"/>
      <c r="AR196" s="23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232"/>
      <c r="BH196" s="232"/>
      <c r="BI196" s="232"/>
      <c r="BJ196" s="232"/>
      <c r="BK196" s="232"/>
      <c r="BL196" s="232"/>
      <c r="BM196" s="232"/>
      <c r="BN196" s="232"/>
      <c r="BO196" s="232"/>
      <c r="BP196" s="232"/>
      <c r="BQ196" s="232"/>
      <c r="BR196" s="232"/>
      <c r="BS196" s="232">
        <v>52.6</v>
      </c>
      <c r="BT196" s="232"/>
      <c r="BU196" s="232">
        <v>15.7</v>
      </c>
      <c r="BV196" s="232"/>
      <c r="BW196" s="240"/>
      <c r="BX196" s="232"/>
      <c r="BY196" s="232"/>
      <c r="BZ196" s="232"/>
      <c r="CA196" s="232"/>
      <c r="CB196" s="241"/>
      <c r="CC196" s="232"/>
      <c r="CD196" s="232"/>
      <c r="CE196" s="232">
        <v>6.4</v>
      </c>
      <c r="CF196" s="232"/>
      <c r="CG196" s="232">
        <v>0.1</v>
      </c>
      <c r="CH196" s="232"/>
      <c r="CI196" s="232"/>
      <c r="CJ196" s="232"/>
      <c r="CK196" t="s">
        <v>8820</v>
      </c>
      <c r="CL196" s="232"/>
      <c r="CM196" s="232"/>
    </row>
    <row r="197" spans="1:91" ht="15">
      <c r="A197" s="364" t="s">
        <v>7811</v>
      </c>
      <c r="B197" t="s">
        <v>265</v>
      </c>
      <c r="C197" t="s">
        <v>413</v>
      </c>
      <c r="D197">
        <v>206</v>
      </c>
      <c r="E197" s="113">
        <v>23</v>
      </c>
      <c r="F197" s="113">
        <v>5</v>
      </c>
      <c r="I197"/>
      <c r="K197" s="224">
        <v>7</v>
      </c>
      <c r="L197" s="390">
        <v>41625</v>
      </c>
      <c r="M197"/>
      <c r="N197" s="224"/>
      <c r="O197"/>
      <c r="P197"/>
      <c r="Q197"/>
      <c r="S197" s="224"/>
      <c r="T197" s="224"/>
      <c r="U197"/>
      <c r="V197"/>
      <c r="W197"/>
      <c r="X197"/>
      <c r="Y197" s="225"/>
      <c r="Z197" s="224"/>
      <c r="AA197" s="226"/>
      <c r="AB197" s="224"/>
      <c r="AC197" s="225"/>
      <c r="AD197" s="224"/>
      <c r="AE197" s="224"/>
      <c r="AF197" s="224"/>
      <c r="AG197"/>
      <c r="AH197"/>
      <c r="AI197">
        <v>135</v>
      </c>
      <c r="AJ197" s="194">
        <v>41785</v>
      </c>
      <c r="AK197"/>
      <c r="AL197"/>
      <c r="AM197"/>
      <c r="AN197"/>
      <c r="AO197"/>
      <c r="AP197"/>
      <c r="AQ197" s="227"/>
      <c r="AR197" s="22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>
        <v>52.4</v>
      </c>
      <c r="BT197"/>
      <c r="BU197">
        <v>14.7</v>
      </c>
      <c r="BV197"/>
      <c r="BW197" s="229"/>
      <c r="BX197"/>
      <c r="BY197"/>
      <c r="BZ197"/>
      <c r="CA197"/>
      <c r="CC197"/>
      <c r="CD197"/>
      <c r="CE197">
        <v>5.9</v>
      </c>
      <c r="CF197"/>
      <c r="CG197">
        <v>0.3</v>
      </c>
      <c r="CH197"/>
      <c r="CI197"/>
      <c r="CJ197"/>
      <c r="CK197" t="s">
        <v>8820</v>
      </c>
      <c r="CL197"/>
      <c r="CM197"/>
    </row>
    <row r="198" spans="1:91" ht="15">
      <c r="A198" s="364" t="s">
        <v>7887</v>
      </c>
      <c r="B198" t="s">
        <v>265</v>
      </c>
      <c r="C198" t="s">
        <v>413</v>
      </c>
      <c r="D198" s="232">
        <v>207</v>
      </c>
      <c r="E198" s="113">
        <v>25</v>
      </c>
      <c r="F198" s="113">
        <v>6</v>
      </c>
      <c r="I198"/>
      <c r="K198" s="224">
        <v>5</v>
      </c>
      <c r="L198" s="390">
        <v>41625</v>
      </c>
      <c r="M198"/>
      <c r="N198" s="224"/>
      <c r="O198"/>
      <c r="P198"/>
      <c r="Q198"/>
      <c r="S198" s="224"/>
      <c r="T198" s="224"/>
      <c r="U198"/>
      <c r="V198"/>
      <c r="W198"/>
      <c r="X198"/>
      <c r="Y198" s="225"/>
      <c r="Z198" s="224"/>
      <c r="AA198" s="226"/>
      <c r="AB198" s="224"/>
      <c r="AC198" s="225"/>
      <c r="AD198" s="224"/>
      <c r="AE198" s="224"/>
      <c r="AF198" s="224"/>
      <c r="AG198"/>
      <c r="AH198"/>
      <c r="AI198">
        <v>130</v>
      </c>
      <c r="AJ198" s="194">
        <v>41785</v>
      </c>
      <c r="AK198"/>
      <c r="AL198"/>
      <c r="AM198"/>
      <c r="AN198"/>
      <c r="AO198"/>
      <c r="AP198"/>
      <c r="AQ198" s="227"/>
      <c r="AR198" s="227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>
        <v>52.7</v>
      </c>
      <c r="BT198"/>
      <c r="BU198">
        <v>16.399999999999999</v>
      </c>
      <c r="BV198"/>
      <c r="BW198"/>
      <c r="BX198" s="228"/>
      <c r="BY198"/>
      <c r="BZ198"/>
      <c r="CA198"/>
      <c r="CC198"/>
      <c r="CD198"/>
      <c r="CE198">
        <v>5.3</v>
      </c>
      <c r="CF198"/>
      <c r="CG198">
        <v>0.1</v>
      </c>
      <c r="CH198"/>
      <c r="CI198"/>
      <c r="CJ198"/>
      <c r="CK198" t="s">
        <v>8820</v>
      </c>
      <c r="CL198"/>
      <c r="CM198"/>
    </row>
    <row r="199" spans="1:91" ht="15">
      <c r="A199" s="364" t="s">
        <v>7887</v>
      </c>
      <c r="B199" t="s">
        <v>265</v>
      </c>
      <c r="C199" t="s">
        <v>413</v>
      </c>
      <c r="D199">
        <v>208</v>
      </c>
      <c r="E199" s="113">
        <v>11</v>
      </c>
      <c r="F199" s="113">
        <v>4</v>
      </c>
      <c r="I199"/>
      <c r="K199" s="224">
        <v>5</v>
      </c>
      <c r="L199" s="390">
        <v>41625</v>
      </c>
      <c r="M199"/>
      <c r="N199" s="224"/>
      <c r="O199"/>
      <c r="P199"/>
      <c r="Q199"/>
      <c r="S199" s="224"/>
      <c r="T199" s="224"/>
      <c r="U199"/>
      <c r="V199"/>
      <c r="W199"/>
      <c r="X199"/>
      <c r="Y199" s="225"/>
      <c r="Z199" s="224"/>
      <c r="AA199" s="226"/>
      <c r="AB199" s="224"/>
      <c r="AC199" s="225"/>
      <c r="AD199" s="224"/>
      <c r="AE199" s="224"/>
      <c r="AF199" s="224"/>
      <c r="AG199"/>
      <c r="AH199"/>
      <c r="AI199">
        <v>145</v>
      </c>
      <c r="AJ199" s="194">
        <v>41785</v>
      </c>
      <c r="AK199"/>
      <c r="AL199"/>
      <c r="AM199"/>
      <c r="AN199"/>
      <c r="AO199"/>
      <c r="AP199"/>
      <c r="AQ199" s="227"/>
      <c r="AR199" s="227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>
        <v>52.8</v>
      </c>
      <c r="BT199"/>
      <c r="BU199">
        <v>17</v>
      </c>
      <c r="BV199"/>
      <c r="BW199"/>
      <c r="BX199" s="228"/>
      <c r="BY199"/>
      <c r="BZ199"/>
      <c r="CA199"/>
      <c r="CC199"/>
      <c r="CD199"/>
      <c r="CE199">
        <v>5.4</v>
      </c>
      <c r="CF199"/>
      <c r="CG199">
        <v>0.3</v>
      </c>
      <c r="CH199"/>
      <c r="CI199"/>
      <c r="CJ199"/>
      <c r="CK199" t="s">
        <v>8820</v>
      </c>
      <c r="CL199"/>
      <c r="CM199"/>
    </row>
    <row r="200" spans="1:91" ht="15">
      <c r="A200" s="364" t="s">
        <v>7887</v>
      </c>
      <c r="B200" t="s">
        <v>265</v>
      </c>
      <c r="C200" t="s">
        <v>413</v>
      </c>
      <c r="D200" s="232">
        <v>209</v>
      </c>
      <c r="E200" s="113">
        <v>30</v>
      </c>
      <c r="F200" s="113">
        <v>1</v>
      </c>
      <c r="I200"/>
      <c r="K200" s="224">
        <v>6</v>
      </c>
      <c r="L200" s="390">
        <v>41625</v>
      </c>
      <c r="M200"/>
      <c r="N200" s="224"/>
      <c r="O200"/>
      <c r="P200"/>
      <c r="Q200"/>
      <c r="S200" s="224"/>
      <c r="T200" s="224"/>
      <c r="U200"/>
      <c r="V200"/>
      <c r="W200"/>
      <c r="X200"/>
      <c r="Y200" s="225"/>
      <c r="Z200" s="224"/>
      <c r="AA200" s="226"/>
      <c r="AB200" s="224"/>
      <c r="AC200" s="225"/>
      <c r="AD200" s="224"/>
      <c r="AE200" s="224"/>
      <c r="AF200" s="224"/>
      <c r="AG200"/>
      <c r="AH200"/>
      <c r="AI200">
        <v>135</v>
      </c>
      <c r="AJ200" s="194">
        <v>41785</v>
      </c>
      <c r="AK200"/>
      <c r="AL200"/>
      <c r="AM200"/>
      <c r="AN200"/>
      <c r="AO200"/>
      <c r="AP200"/>
      <c r="AQ200" s="227"/>
      <c r="AR200" s="227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>
        <v>52.4</v>
      </c>
      <c r="BT200"/>
      <c r="BU200">
        <v>16.3</v>
      </c>
      <c r="BV200"/>
      <c r="BW200"/>
      <c r="BX200" s="228"/>
      <c r="BY200"/>
      <c r="BZ200"/>
      <c r="CA200"/>
      <c r="CC200"/>
      <c r="CD200"/>
      <c r="CE200">
        <v>6.1</v>
      </c>
      <c r="CF200"/>
      <c r="CG200">
        <v>0.1</v>
      </c>
      <c r="CH200"/>
      <c r="CI200"/>
      <c r="CJ200"/>
      <c r="CK200" t="s">
        <v>8820</v>
      </c>
      <c r="CL200"/>
      <c r="CM200"/>
    </row>
    <row r="201" spans="1:91" ht="15">
      <c r="A201" s="364" t="s">
        <v>7887</v>
      </c>
      <c r="B201" t="s">
        <v>265</v>
      </c>
      <c r="C201" t="s">
        <v>413</v>
      </c>
      <c r="D201">
        <v>210</v>
      </c>
      <c r="E201" s="113">
        <v>22</v>
      </c>
      <c r="F201" s="113">
        <v>3</v>
      </c>
      <c r="I201"/>
      <c r="K201" s="224">
        <v>7</v>
      </c>
      <c r="L201" s="390">
        <v>41625</v>
      </c>
      <c r="M201"/>
      <c r="N201" s="224"/>
      <c r="O201"/>
      <c r="P201"/>
      <c r="Q201"/>
      <c r="S201" s="224"/>
      <c r="T201" s="224"/>
      <c r="U201"/>
      <c r="V201"/>
      <c r="W201"/>
      <c r="X201"/>
      <c r="Y201" s="225"/>
      <c r="Z201" s="224"/>
      <c r="AA201" s="226"/>
      <c r="AB201" s="224"/>
      <c r="AC201" s="225"/>
      <c r="AD201" s="224"/>
      <c r="AE201" s="224"/>
      <c r="AF201" s="224"/>
      <c r="AG201"/>
      <c r="AH201"/>
      <c r="AI201">
        <v>140</v>
      </c>
      <c r="AJ201" s="194">
        <v>41785</v>
      </c>
      <c r="AK201"/>
      <c r="AL201"/>
      <c r="AM201"/>
      <c r="AN201"/>
      <c r="AO201"/>
      <c r="AP201"/>
      <c r="AQ201" s="227"/>
      <c r="AR201" s="227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>
        <v>53.2</v>
      </c>
      <c r="BT201"/>
      <c r="BU201">
        <v>15.9</v>
      </c>
      <c r="BV201"/>
      <c r="BW201" s="229"/>
      <c r="BX201"/>
      <c r="BY201"/>
      <c r="BZ201"/>
      <c r="CA201"/>
      <c r="CC201"/>
      <c r="CD201"/>
      <c r="CE201">
        <v>5.0999999999999996</v>
      </c>
      <c r="CF201"/>
      <c r="CG201">
        <v>0.4</v>
      </c>
      <c r="CH201"/>
      <c r="CI201"/>
      <c r="CJ201"/>
      <c r="CK201" t="s">
        <v>8820</v>
      </c>
      <c r="CL201"/>
      <c r="CM201"/>
    </row>
    <row r="202" spans="1:91" ht="15">
      <c r="A202" s="364" t="s">
        <v>7887</v>
      </c>
      <c r="B202" t="s">
        <v>265</v>
      </c>
      <c r="C202" t="s">
        <v>413</v>
      </c>
      <c r="D202">
        <v>211</v>
      </c>
      <c r="E202" s="113">
        <v>19</v>
      </c>
      <c r="F202" s="113">
        <v>3</v>
      </c>
      <c r="I202"/>
      <c r="K202" s="224">
        <v>6</v>
      </c>
      <c r="L202" s="390">
        <v>41625</v>
      </c>
      <c r="M202"/>
      <c r="N202" s="224"/>
      <c r="O202"/>
      <c r="P202"/>
      <c r="Q202"/>
      <c r="S202" s="224"/>
      <c r="T202" s="224"/>
      <c r="U202"/>
      <c r="V202"/>
      <c r="W202"/>
      <c r="X202"/>
      <c r="Y202" s="225"/>
      <c r="Z202" s="224"/>
      <c r="AA202" s="226"/>
      <c r="AB202" s="224"/>
      <c r="AC202" s="225"/>
      <c r="AD202" s="224"/>
      <c r="AE202" s="224"/>
      <c r="AF202" s="224"/>
      <c r="AG202"/>
      <c r="AH202"/>
      <c r="AI202">
        <v>145</v>
      </c>
      <c r="AJ202" s="194">
        <v>41785</v>
      </c>
      <c r="AK202"/>
      <c r="AL202"/>
      <c r="AM202"/>
      <c r="AN202"/>
      <c r="AO202"/>
      <c r="AP202"/>
      <c r="AQ202" s="227"/>
      <c r="AR202" s="227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>
        <v>53.1</v>
      </c>
      <c r="BT202"/>
      <c r="BU202">
        <v>16.2</v>
      </c>
      <c r="BV202"/>
      <c r="BW202" s="229"/>
      <c r="BX202"/>
      <c r="BY202"/>
      <c r="BZ202"/>
      <c r="CA202"/>
      <c r="CC202"/>
      <c r="CD202"/>
      <c r="CE202">
        <v>5.3</v>
      </c>
      <c r="CF202"/>
      <c r="CG202">
        <v>0.3</v>
      </c>
      <c r="CH202"/>
      <c r="CI202"/>
      <c r="CJ202"/>
      <c r="CK202" t="s">
        <v>8820</v>
      </c>
      <c r="CL202"/>
      <c r="CM202"/>
    </row>
    <row r="203" spans="1:91">
      <c r="A203" s="123" t="s">
        <v>8646</v>
      </c>
      <c r="B203" t="s">
        <v>265</v>
      </c>
      <c r="C203" t="s">
        <v>413</v>
      </c>
      <c r="D203">
        <v>212</v>
      </c>
      <c r="E203" s="113">
        <v>5</v>
      </c>
      <c r="F203" s="113">
        <v>1</v>
      </c>
      <c r="I203"/>
      <c r="K203" s="224">
        <v>7</v>
      </c>
      <c r="L203" s="390">
        <v>41625</v>
      </c>
      <c r="M203"/>
      <c r="N203" s="224"/>
      <c r="O203"/>
      <c r="P203"/>
      <c r="Q203"/>
      <c r="S203" s="224"/>
      <c r="T203" s="224"/>
      <c r="U203"/>
      <c r="V203"/>
      <c r="W203"/>
      <c r="X203"/>
      <c r="Y203" s="225"/>
      <c r="Z203" s="224"/>
      <c r="AA203" s="226"/>
      <c r="AB203" s="224"/>
      <c r="AC203" s="225"/>
      <c r="AD203" s="224"/>
      <c r="AE203" s="224"/>
      <c r="AF203" s="224"/>
      <c r="AG203"/>
      <c r="AH203"/>
      <c r="AI203">
        <v>150</v>
      </c>
      <c r="AJ203" s="194">
        <v>41785</v>
      </c>
      <c r="AK203"/>
      <c r="AL203"/>
      <c r="AM203"/>
      <c r="AN203"/>
      <c r="AO203"/>
      <c r="AP203"/>
      <c r="AQ203" s="227"/>
      <c r="AR203" s="227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>
        <v>53.4</v>
      </c>
      <c r="BT203"/>
      <c r="BU203">
        <v>15.6</v>
      </c>
      <c r="BV203"/>
      <c r="BW203"/>
      <c r="BX203" s="228"/>
      <c r="BY203"/>
      <c r="BZ203"/>
      <c r="CA203"/>
      <c r="CC203"/>
      <c r="CD203"/>
      <c r="CE203">
        <v>5.4</v>
      </c>
      <c r="CF203"/>
      <c r="CG203">
        <v>0.4</v>
      </c>
      <c r="CH203"/>
      <c r="CI203"/>
      <c r="CJ203"/>
      <c r="CK203" t="s">
        <v>8820</v>
      </c>
      <c r="CL203"/>
      <c r="CM203"/>
    </row>
    <row r="204" spans="1:91">
      <c r="A204" s="123" t="s">
        <v>8646</v>
      </c>
      <c r="B204" t="s">
        <v>265</v>
      </c>
      <c r="C204" t="s">
        <v>413</v>
      </c>
      <c r="D204">
        <v>213</v>
      </c>
      <c r="E204" s="113">
        <v>15</v>
      </c>
      <c r="F204" s="113">
        <v>3</v>
      </c>
      <c r="I204"/>
      <c r="K204" s="224">
        <v>7</v>
      </c>
      <c r="L204" s="390">
        <v>41625</v>
      </c>
      <c r="M204"/>
      <c r="N204" s="224"/>
      <c r="O204"/>
      <c r="P204"/>
      <c r="Q204"/>
      <c r="S204" s="224"/>
      <c r="T204" s="224"/>
      <c r="U204"/>
      <c r="V204"/>
      <c r="W204"/>
      <c r="X204"/>
      <c r="Y204" s="225"/>
      <c r="Z204" s="224"/>
      <c r="AA204" s="226"/>
      <c r="AB204" s="224"/>
      <c r="AC204" s="225"/>
      <c r="AD204" s="224"/>
      <c r="AE204" s="224"/>
      <c r="AF204" s="224"/>
      <c r="AG204"/>
      <c r="AH204"/>
      <c r="AI204">
        <v>160</v>
      </c>
      <c r="AJ204" s="194">
        <v>41785</v>
      </c>
      <c r="AK204"/>
      <c r="AL204"/>
      <c r="AM204"/>
      <c r="AN204"/>
      <c r="AO204"/>
      <c r="AP204"/>
      <c r="AQ204" s="227"/>
      <c r="AR204" s="227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>
        <v>54.5</v>
      </c>
      <c r="BT204"/>
      <c r="BU204">
        <v>14.3</v>
      </c>
      <c r="BV204"/>
      <c r="BW204"/>
      <c r="BX204" s="228"/>
      <c r="BY204"/>
      <c r="BZ204"/>
      <c r="CA204"/>
      <c r="CC204"/>
      <c r="CD204"/>
      <c r="CE204">
        <v>7.3</v>
      </c>
      <c r="CF204"/>
      <c r="CG204">
        <v>0.3</v>
      </c>
      <c r="CH204"/>
      <c r="CI204"/>
      <c r="CJ204"/>
      <c r="CK204" t="s">
        <v>8820</v>
      </c>
      <c r="CL204"/>
      <c r="CM204"/>
    </row>
    <row r="205" spans="1:91">
      <c r="A205" s="123" t="s">
        <v>8646</v>
      </c>
      <c r="B205" t="s">
        <v>265</v>
      </c>
      <c r="C205" t="s">
        <v>413</v>
      </c>
      <c r="D205" s="232">
        <v>214</v>
      </c>
      <c r="E205" s="113">
        <v>10</v>
      </c>
      <c r="F205" s="113">
        <v>5</v>
      </c>
      <c r="I205"/>
      <c r="K205" s="224">
        <v>8</v>
      </c>
      <c r="L205" s="390">
        <v>41625</v>
      </c>
      <c r="M205"/>
      <c r="N205" s="224"/>
      <c r="O205"/>
      <c r="P205"/>
      <c r="Q205"/>
      <c r="S205" s="224"/>
      <c r="T205" s="224"/>
      <c r="U205"/>
      <c r="V205"/>
      <c r="W205"/>
      <c r="X205"/>
      <c r="Y205" s="225"/>
      <c r="Z205" s="224"/>
      <c r="AA205" s="226"/>
      <c r="AB205" s="224"/>
      <c r="AC205" s="225"/>
      <c r="AD205" s="224"/>
      <c r="AE205" s="224"/>
      <c r="AF205" s="224"/>
      <c r="AG205"/>
      <c r="AH205"/>
      <c r="AI205">
        <v>160</v>
      </c>
      <c r="AJ205" s="194">
        <v>41785</v>
      </c>
      <c r="AK205"/>
      <c r="AL205"/>
      <c r="AM205"/>
      <c r="AN205"/>
      <c r="AO205"/>
      <c r="AP205"/>
      <c r="AQ205" s="227"/>
      <c r="AR205" s="227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>
        <v>52.9</v>
      </c>
      <c r="BT205"/>
      <c r="BU205">
        <v>15.9</v>
      </c>
      <c r="BV205"/>
      <c r="BW205" s="229"/>
      <c r="BX205"/>
      <c r="BY205"/>
      <c r="BZ205"/>
      <c r="CA205"/>
      <c r="CC205"/>
      <c r="CD205"/>
      <c r="CE205">
        <v>5.4</v>
      </c>
      <c r="CF205"/>
      <c r="CG205">
        <v>0.3</v>
      </c>
      <c r="CH205"/>
      <c r="CI205"/>
      <c r="CJ205"/>
      <c r="CK205" t="s">
        <v>8820</v>
      </c>
      <c r="CL205"/>
      <c r="CM205"/>
    </row>
    <row r="206" spans="1:91">
      <c r="A206" s="123" t="s">
        <v>7888</v>
      </c>
      <c r="B206" t="s">
        <v>265</v>
      </c>
      <c r="C206" t="s">
        <v>413</v>
      </c>
      <c r="D206">
        <v>215</v>
      </c>
      <c r="E206" s="113">
        <v>27</v>
      </c>
      <c r="F206" s="113">
        <v>4</v>
      </c>
      <c r="I206"/>
      <c r="K206" s="224">
        <v>7</v>
      </c>
      <c r="L206" s="390">
        <v>41625</v>
      </c>
      <c r="M206"/>
      <c r="N206" s="224"/>
      <c r="O206"/>
      <c r="P206"/>
      <c r="Q206"/>
      <c r="S206" s="224"/>
      <c r="T206" s="224"/>
      <c r="U206"/>
      <c r="V206"/>
      <c r="W206"/>
      <c r="X206"/>
      <c r="Y206" s="225"/>
      <c r="Z206" s="224"/>
      <c r="AA206" s="226"/>
      <c r="AB206" s="224"/>
      <c r="AC206" s="225"/>
      <c r="AD206" s="224"/>
      <c r="AE206" s="224"/>
      <c r="AF206" s="224"/>
      <c r="AG206"/>
      <c r="AH206"/>
      <c r="AI206">
        <v>150</v>
      </c>
      <c r="AJ206" s="194">
        <v>41785</v>
      </c>
      <c r="AK206"/>
      <c r="AL206"/>
      <c r="AM206"/>
      <c r="AN206"/>
      <c r="AO206"/>
      <c r="AP206"/>
      <c r="AQ206" s="227"/>
      <c r="AR206" s="227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>
        <v>53.9</v>
      </c>
      <c r="BT206"/>
      <c r="BU206">
        <v>13.5</v>
      </c>
      <c r="BV206"/>
      <c r="BW206"/>
      <c r="BX206" s="228"/>
      <c r="BY206"/>
      <c r="BZ206"/>
      <c r="CA206"/>
      <c r="CC206"/>
      <c r="CD206"/>
      <c r="CE206">
        <v>6</v>
      </c>
      <c r="CF206"/>
      <c r="CG206">
        <v>0.4</v>
      </c>
      <c r="CH206"/>
      <c r="CI206"/>
      <c r="CJ206"/>
      <c r="CK206" t="s">
        <v>8820</v>
      </c>
      <c r="CL206"/>
      <c r="CM206"/>
    </row>
    <row r="207" spans="1:91" ht="13.5" thickBot="1">
      <c r="A207" s="123" t="s">
        <v>7888</v>
      </c>
      <c r="B207" s="345" t="s">
        <v>265</v>
      </c>
      <c r="C207" s="345" t="s">
        <v>413</v>
      </c>
      <c r="D207">
        <v>216</v>
      </c>
      <c r="E207" s="113">
        <v>5</v>
      </c>
      <c r="F207" s="113">
        <v>3</v>
      </c>
      <c r="I207"/>
      <c r="K207" s="224">
        <v>7</v>
      </c>
      <c r="L207" s="390">
        <v>41625</v>
      </c>
      <c r="M207"/>
      <c r="N207" s="224"/>
      <c r="O207"/>
      <c r="P207"/>
      <c r="Q207"/>
      <c r="S207" s="224"/>
      <c r="T207" s="224"/>
      <c r="U207"/>
      <c r="V207"/>
      <c r="W207"/>
      <c r="X207"/>
      <c r="Y207" s="225"/>
      <c r="Z207" s="224"/>
      <c r="AA207" s="226"/>
      <c r="AB207" s="224"/>
      <c r="AC207" s="225"/>
      <c r="AD207" s="224"/>
      <c r="AE207" s="224"/>
      <c r="AF207" s="224"/>
      <c r="AG207"/>
      <c r="AH207"/>
      <c r="AI207">
        <v>150</v>
      </c>
      <c r="AJ207" s="194">
        <v>41785</v>
      </c>
      <c r="AK207"/>
      <c r="AL207"/>
      <c r="AM207"/>
      <c r="AN207"/>
      <c r="AO207"/>
      <c r="AP207"/>
      <c r="AQ207" s="227"/>
      <c r="AR207" s="22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>
        <v>53</v>
      </c>
      <c r="BT207"/>
      <c r="BU207">
        <v>15.3</v>
      </c>
      <c r="BV207"/>
      <c r="BW207"/>
      <c r="BX207" s="228"/>
      <c r="BY207"/>
      <c r="BZ207"/>
      <c r="CA207"/>
      <c r="CC207"/>
      <c r="CD207"/>
      <c r="CE207">
        <v>5.2</v>
      </c>
      <c r="CF207"/>
      <c r="CG207">
        <v>0.3</v>
      </c>
      <c r="CH207"/>
      <c r="CI207"/>
      <c r="CJ207"/>
      <c r="CK207" t="s">
        <v>8820</v>
      </c>
      <c r="CL207"/>
      <c r="CM207"/>
    </row>
    <row r="208" spans="1:91" ht="15.75" thickTop="1">
      <c r="A208" s="364" t="s">
        <v>7606</v>
      </c>
      <c r="B208" t="s">
        <v>267</v>
      </c>
      <c r="C208" t="s">
        <v>413</v>
      </c>
      <c r="D208">
        <v>1</v>
      </c>
      <c r="E208" s="113">
        <v>40</v>
      </c>
      <c r="F208" s="113">
        <v>3</v>
      </c>
      <c r="I208"/>
      <c r="K208" s="224">
        <v>7</v>
      </c>
      <c r="L208" s="390">
        <v>41625</v>
      </c>
      <c r="M208"/>
      <c r="N208" s="224"/>
      <c r="O208"/>
      <c r="P208"/>
      <c r="Q208"/>
      <c r="S208" s="224"/>
      <c r="T208" s="224"/>
      <c r="U208"/>
      <c r="V208"/>
      <c r="W208"/>
      <c r="X208"/>
      <c r="Y208" s="225"/>
      <c r="Z208" s="224"/>
      <c r="AA208" s="226"/>
      <c r="AB208" s="224"/>
      <c r="AC208" s="225"/>
      <c r="AD208" s="224"/>
      <c r="AE208" s="224"/>
      <c r="AF208" s="224"/>
      <c r="AG208">
        <v>3.56</v>
      </c>
      <c r="AH208"/>
      <c r="AI208">
        <v>145</v>
      </c>
      <c r="AJ208" s="194">
        <v>41785</v>
      </c>
      <c r="AK208"/>
      <c r="AL208"/>
      <c r="AM208"/>
      <c r="AN208"/>
      <c r="AO208"/>
      <c r="AP208"/>
      <c r="AQ208" s="227"/>
      <c r="AR208" s="227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>
        <v>50.5</v>
      </c>
      <c r="BT208"/>
      <c r="BU208">
        <v>19.27</v>
      </c>
      <c r="BV208"/>
      <c r="BW208"/>
      <c r="BX208" s="228"/>
      <c r="BY208"/>
      <c r="BZ208"/>
      <c r="CA208"/>
      <c r="CC208"/>
      <c r="CD208"/>
      <c r="CE208">
        <v>4.25</v>
      </c>
      <c r="CF208"/>
      <c r="CG208">
        <v>0.17</v>
      </c>
      <c r="CH208"/>
      <c r="CI208"/>
      <c r="CJ208"/>
      <c r="CK208" t="s">
        <v>8820</v>
      </c>
      <c r="CL208"/>
      <c r="CM208"/>
    </row>
    <row r="209" spans="1:91" ht="15">
      <c r="A209" s="364" t="s">
        <v>7607</v>
      </c>
      <c r="B209" t="s">
        <v>267</v>
      </c>
      <c r="C209" t="s">
        <v>413</v>
      </c>
      <c r="D209">
        <v>2</v>
      </c>
      <c r="E209" s="113">
        <v>71</v>
      </c>
      <c r="F209" s="113">
        <v>5</v>
      </c>
      <c r="G209" s="233"/>
      <c r="H209" s="233"/>
      <c r="I209" s="232"/>
      <c r="J209" s="234"/>
      <c r="K209" s="235">
        <v>7</v>
      </c>
      <c r="L209" s="390">
        <v>41625</v>
      </c>
      <c r="M209" s="232"/>
      <c r="N209" s="235"/>
      <c r="O209" s="232"/>
      <c r="P209" s="232"/>
      <c r="Q209" s="232"/>
      <c r="R209" s="236"/>
      <c r="S209" s="235"/>
      <c r="T209" s="235"/>
      <c r="U209" s="232"/>
      <c r="V209" s="232"/>
      <c r="W209" s="232"/>
      <c r="X209" s="232"/>
      <c r="Y209" s="237"/>
      <c r="Z209" s="235"/>
      <c r="AA209" s="238"/>
      <c r="AB209" s="235"/>
      <c r="AC209" s="237"/>
      <c r="AD209" s="235"/>
      <c r="AE209" s="235"/>
      <c r="AF209" s="235"/>
      <c r="AG209" s="232">
        <v>4.6100000000000003</v>
      </c>
      <c r="AH209" s="232"/>
      <c r="AI209" s="232">
        <v>150</v>
      </c>
      <c r="AJ209" s="194">
        <v>41785</v>
      </c>
      <c r="AK209" s="232"/>
      <c r="AL209" s="232"/>
      <c r="AM209" s="232"/>
      <c r="AN209" s="232"/>
      <c r="AO209" s="232"/>
      <c r="AP209" s="232"/>
      <c r="AQ209" s="239"/>
      <c r="AR209" s="23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232"/>
      <c r="BH209" s="232"/>
      <c r="BI209" s="232"/>
      <c r="BJ209" s="232"/>
      <c r="BK209" s="232"/>
      <c r="BL209" s="232"/>
      <c r="BM209" s="232"/>
      <c r="BN209" s="232"/>
      <c r="BO209" s="232"/>
      <c r="BP209" s="232"/>
      <c r="BQ209" s="232"/>
      <c r="BR209" s="232"/>
      <c r="BS209" s="232">
        <v>49.3</v>
      </c>
      <c r="BT209" s="232"/>
      <c r="BU209" s="232">
        <v>20.28</v>
      </c>
      <c r="BV209" s="232"/>
      <c r="BW209" s="232"/>
      <c r="BX209" s="243"/>
      <c r="BY209" s="232"/>
      <c r="BZ209" s="232"/>
      <c r="CA209" s="232"/>
      <c r="CB209" s="241"/>
      <c r="CC209" s="232"/>
      <c r="CD209" s="232"/>
      <c r="CE209" s="232">
        <v>4.88</v>
      </c>
      <c r="CF209" s="232"/>
      <c r="CG209" s="232">
        <v>0.08</v>
      </c>
      <c r="CH209" s="232"/>
      <c r="CI209" s="232"/>
      <c r="CJ209" s="232"/>
      <c r="CK209" t="s">
        <v>8820</v>
      </c>
      <c r="CL209" s="232"/>
      <c r="CM209" s="232"/>
    </row>
    <row r="210" spans="1:91" ht="15">
      <c r="A210" s="364" t="s">
        <v>7608</v>
      </c>
      <c r="B210" t="s">
        <v>267</v>
      </c>
      <c r="C210" t="s">
        <v>413</v>
      </c>
      <c r="D210">
        <v>3</v>
      </c>
      <c r="E210" s="113">
        <v>38</v>
      </c>
      <c r="F210" s="113">
        <v>3</v>
      </c>
      <c r="G210" s="233"/>
      <c r="H210" s="233"/>
      <c r="I210" s="232"/>
      <c r="J210" s="234"/>
      <c r="K210" s="235">
        <v>7</v>
      </c>
      <c r="L210" s="390">
        <v>41625</v>
      </c>
      <c r="M210" s="232"/>
      <c r="N210" s="235"/>
      <c r="O210" s="232"/>
      <c r="P210" s="232"/>
      <c r="Q210" s="232"/>
      <c r="R210" s="236"/>
      <c r="S210" s="235"/>
      <c r="T210" s="235"/>
      <c r="U210" s="232"/>
      <c r="V210" s="232"/>
      <c r="W210" s="232"/>
      <c r="X210" s="232"/>
      <c r="Y210" s="237"/>
      <c r="Z210" s="235"/>
      <c r="AA210" s="238"/>
      <c r="AB210" s="235"/>
      <c r="AC210" s="237"/>
      <c r="AD210" s="235"/>
      <c r="AE210" s="235"/>
      <c r="AF210" s="235"/>
      <c r="AG210" s="232">
        <v>4.26</v>
      </c>
      <c r="AH210" s="232"/>
      <c r="AI210" s="232">
        <v>180</v>
      </c>
      <c r="AJ210" s="194">
        <v>41785</v>
      </c>
      <c r="AK210" s="232"/>
      <c r="AL210" s="232"/>
      <c r="AM210" s="232"/>
      <c r="AN210" s="232"/>
      <c r="AO210" s="232"/>
      <c r="AP210" s="232"/>
      <c r="AQ210" s="239"/>
      <c r="AR210" s="23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232"/>
      <c r="BH210" s="232"/>
      <c r="BI210" s="232"/>
      <c r="BJ210" s="232"/>
      <c r="BK210" s="232"/>
      <c r="BL210" s="232"/>
      <c r="BM210" s="232"/>
      <c r="BN210" s="232"/>
      <c r="BO210" s="232"/>
      <c r="BP210" s="232"/>
      <c r="BQ210" s="232"/>
      <c r="BR210" s="232"/>
      <c r="BS210" s="232">
        <v>50.7</v>
      </c>
      <c r="BT210" s="232"/>
      <c r="BU210" s="232">
        <v>18.739999999999998</v>
      </c>
      <c r="BV210" s="232"/>
      <c r="BW210" s="240"/>
      <c r="BX210" s="232"/>
      <c r="BY210" s="232"/>
      <c r="BZ210" s="232"/>
      <c r="CA210" s="232"/>
      <c r="CB210" s="241"/>
      <c r="CC210" s="232"/>
      <c r="CD210" s="232"/>
      <c r="CE210" s="232">
        <v>4.41</v>
      </c>
      <c r="CF210" s="232"/>
      <c r="CG210" s="232">
        <v>0.5</v>
      </c>
      <c r="CH210" s="232"/>
      <c r="CI210" s="232"/>
      <c r="CJ210" s="232"/>
      <c r="CK210" t="s">
        <v>8820</v>
      </c>
      <c r="CL210" s="232"/>
      <c r="CM210" s="232"/>
    </row>
    <row r="211" spans="1:91" ht="15">
      <c r="A211" s="364" t="s">
        <v>7609</v>
      </c>
      <c r="B211" t="s">
        <v>267</v>
      </c>
      <c r="C211" t="s">
        <v>413</v>
      </c>
      <c r="D211">
        <v>4</v>
      </c>
      <c r="E211" s="113">
        <v>51</v>
      </c>
      <c r="F211" s="113">
        <v>6</v>
      </c>
      <c r="G211" s="233"/>
      <c r="H211" s="233"/>
      <c r="I211" s="232"/>
      <c r="J211" s="234"/>
      <c r="K211" s="235">
        <v>7</v>
      </c>
      <c r="L211" s="390">
        <v>41625</v>
      </c>
      <c r="M211" s="232"/>
      <c r="N211" s="235"/>
      <c r="O211" s="232"/>
      <c r="P211" s="232"/>
      <c r="Q211" s="232"/>
      <c r="R211" s="236"/>
      <c r="S211" s="235"/>
      <c r="T211" s="235"/>
      <c r="U211" s="232"/>
      <c r="V211" s="232"/>
      <c r="W211" s="232"/>
      <c r="X211" s="232"/>
      <c r="Y211" s="237"/>
      <c r="Z211" s="235"/>
      <c r="AA211" s="238"/>
      <c r="AB211" s="235"/>
      <c r="AC211" s="237"/>
      <c r="AD211" s="235"/>
      <c r="AE211" s="235"/>
      <c r="AF211" s="235"/>
      <c r="AG211" s="232">
        <v>4.1100000000000003</v>
      </c>
      <c r="AH211" s="232"/>
      <c r="AI211" s="232">
        <v>150</v>
      </c>
      <c r="AJ211" s="194">
        <v>41785</v>
      </c>
      <c r="AK211" s="232"/>
      <c r="AL211" s="232"/>
      <c r="AM211" s="232"/>
      <c r="AN211" s="232"/>
      <c r="AO211" s="232"/>
      <c r="AP211" s="232"/>
      <c r="AQ211" s="239"/>
      <c r="AR211" s="23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232"/>
      <c r="BH211" s="232"/>
      <c r="BI211" s="232"/>
      <c r="BJ211" s="232"/>
      <c r="BK211" s="232"/>
      <c r="BL211" s="232"/>
      <c r="BM211" s="232"/>
      <c r="BN211" s="232"/>
      <c r="BO211" s="232"/>
      <c r="BP211" s="232"/>
      <c r="BQ211" s="232"/>
      <c r="BR211" s="232"/>
      <c r="BS211" s="232">
        <v>47.9</v>
      </c>
      <c r="BT211" s="232"/>
      <c r="BU211" s="232">
        <v>20.61</v>
      </c>
      <c r="BV211" s="232"/>
      <c r="BW211" s="232"/>
      <c r="BX211" s="243"/>
      <c r="BY211" s="232"/>
      <c r="BZ211" s="232"/>
      <c r="CA211" s="232"/>
      <c r="CB211" s="241"/>
      <c r="CC211" s="232"/>
      <c r="CD211" s="232"/>
      <c r="CE211" s="232">
        <v>4.41</v>
      </c>
      <c r="CF211" s="232"/>
      <c r="CG211" s="232">
        <v>0.5</v>
      </c>
      <c r="CH211" s="232"/>
      <c r="CI211" s="232"/>
      <c r="CJ211" s="232"/>
      <c r="CK211" t="s">
        <v>8820</v>
      </c>
      <c r="CL211" s="232"/>
      <c r="CM211" s="232"/>
    </row>
    <row r="212" spans="1:91" ht="15">
      <c r="A212" s="364" t="s">
        <v>7610</v>
      </c>
      <c r="B212" t="s">
        <v>267</v>
      </c>
      <c r="C212" t="s">
        <v>413</v>
      </c>
      <c r="D212" s="232">
        <v>5</v>
      </c>
      <c r="E212" s="113">
        <v>49</v>
      </c>
      <c r="F212" s="113">
        <v>1</v>
      </c>
      <c r="I212"/>
      <c r="K212" s="224">
        <v>6</v>
      </c>
      <c r="L212" s="390">
        <v>41625</v>
      </c>
      <c r="M212"/>
      <c r="N212" s="224"/>
      <c r="O212"/>
      <c r="P212"/>
      <c r="Q212"/>
      <c r="S212" s="224"/>
      <c r="T212" s="224"/>
      <c r="U212"/>
      <c r="V212"/>
      <c r="W212"/>
      <c r="X212"/>
      <c r="Y212" s="225"/>
      <c r="Z212" s="224"/>
      <c r="AA212" s="226"/>
      <c r="AB212" s="224"/>
      <c r="AC212" s="225"/>
      <c r="AD212" s="224"/>
      <c r="AE212" s="224"/>
      <c r="AF212" s="224"/>
      <c r="AG212">
        <v>4.43</v>
      </c>
      <c r="AH212"/>
      <c r="AI212">
        <v>120</v>
      </c>
      <c r="AJ212" s="194">
        <v>41785</v>
      </c>
      <c r="AK212"/>
      <c r="AL212"/>
      <c r="AM212"/>
      <c r="AN212"/>
      <c r="AO212"/>
      <c r="AP212"/>
      <c r="AQ212" s="227"/>
      <c r="AR212" s="227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>
        <v>51.3</v>
      </c>
      <c r="BT212"/>
      <c r="BU212">
        <v>19.649999999999999</v>
      </c>
      <c r="BV212"/>
      <c r="BW212" s="229"/>
      <c r="BX212"/>
      <c r="BY212"/>
      <c r="BZ212"/>
      <c r="CA212"/>
      <c r="CC212"/>
      <c r="CD212"/>
      <c r="CE212">
        <v>3.74</v>
      </c>
      <c r="CF212"/>
      <c r="CG212">
        <v>0.75</v>
      </c>
      <c r="CH212"/>
      <c r="CI212"/>
      <c r="CJ212"/>
      <c r="CK212" t="s">
        <v>8820</v>
      </c>
      <c r="CL212"/>
      <c r="CM212"/>
    </row>
    <row r="213" spans="1:91" ht="15">
      <c r="A213" s="364" t="s">
        <v>7611</v>
      </c>
      <c r="B213" t="s">
        <v>267</v>
      </c>
      <c r="C213" t="s">
        <v>413</v>
      </c>
      <c r="D213" s="232">
        <v>6</v>
      </c>
      <c r="E213" s="113">
        <v>54</v>
      </c>
      <c r="F213" s="113">
        <v>3</v>
      </c>
      <c r="I213"/>
      <c r="K213" s="224">
        <v>8</v>
      </c>
      <c r="L213" s="390">
        <v>41625</v>
      </c>
      <c r="M213"/>
      <c r="N213" s="224"/>
      <c r="O213"/>
      <c r="P213"/>
      <c r="Q213"/>
      <c r="S213" s="224"/>
      <c r="T213" s="224"/>
      <c r="U213"/>
      <c r="V213"/>
      <c r="W213"/>
      <c r="X213"/>
      <c r="Y213" s="225"/>
      <c r="Z213" s="224"/>
      <c r="AA213" s="226"/>
      <c r="AB213" s="224"/>
      <c r="AC213" s="225"/>
      <c r="AD213" s="224"/>
      <c r="AE213" s="224"/>
      <c r="AF213" s="224"/>
      <c r="AG213">
        <v>4.7</v>
      </c>
      <c r="AH213"/>
      <c r="AI213">
        <v>160</v>
      </c>
      <c r="AJ213" s="194">
        <v>41785</v>
      </c>
      <c r="AK213"/>
      <c r="AL213"/>
      <c r="AM213"/>
      <c r="AN213"/>
      <c r="AO213"/>
      <c r="AP213"/>
      <c r="AQ213" s="227"/>
      <c r="AR213" s="227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>
        <v>51.2</v>
      </c>
      <c r="BT213"/>
      <c r="BU213">
        <v>21.75</v>
      </c>
      <c r="BV213"/>
      <c r="BW213" s="229"/>
      <c r="BX213"/>
      <c r="BY213"/>
      <c r="BZ213"/>
      <c r="CA213"/>
      <c r="CC213"/>
      <c r="CD213"/>
      <c r="CE213">
        <v>3.67</v>
      </c>
      <c r="CF213"/>
      <c r="CG213">
        <v>1.0900000000000001</v>
      </c>
      <c r="CH213"/>
      <c r="CI213"/>
      <c r="CJ213"/>
      <c r="CK213" t="s">
        <v>8820</v>
      </c>
      <c r="CL213"/>
      <c r="CM213"/>
    </row>
    <row r="214" spans="1:91" ht="15">
      <c r="A214" s="364" t="s">
        <v>7612</v>
      </c>
      <c r="B214" t="s">
        <v>267</v>
      </c>
      <c r="C214" t="s">
        <v>413</v>
      </c>
      <c r="D214">
        <v>7</v>
      </c>
      <c r="E214" s="113">
        <v>51</v>
      </c>
      <c r="F214" s="113">
        <v>5</v>
      </c>
      <c r="I214"/>
      <c r="K214" s="224">
        <v>7</v>
      </c>
      <c r="L214" s="390">
        <v>41625</v>
      </c>
      <c r="M214"/>
      <c r="N214" s="224"/>
      <c r="O214"/>
      <c r="P214"/>
      <c r="Q214"/>
      <c r="S214" s="224"/>
      <c r="T214" s="224"/>
      <c r="U214"/>
      <c r="V214"/>
      <c r="W214"/>
      <c r="X214"/>
      <c r="Y214" s="225"/>
      <c r="Z214" s="224"/>
      <c r="AA214" s="226"/>
      <c r="AB214" s="224"/>
      <c r="AC214" s="225"/>
      <c r="AD214" s="224"/>
      <c r="AE214" s="224"/>
      <c r="AF214" s="224"/>
      <c r="AG214">
        <v>5.16</v>
      </c>
      <c r="AH214"/>
      <c r="AI214">
        <v>145</v>
      </c>
      <c r="AJ214" s="194">
        <v>41785</v>
      </c>
      <c r="AK214"/>
      <c r="AL214"/>
      <c r="AM214"/>
      <c r="AN214"/>
      <c r="AO214"/>
      <c r="AP214"/>
      <c r="AQ214" s="227"/>
      <c r="AR214" s="227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>
        <v>46.6</v>
      </c>
      <c r="BT214"/>
      <c r="BU214">
        <v>21.43</v>
      </c>
      <c r="BV214"/>
      <c r="BW214"/>
      <c r="BX214" s="228"/>
      <c r="BY214"/>
      <c r="BZ214"/>
      <c r="CA214"/>
      <c r="CC214"/>
      <c r="CD214"/>
      <c r="CE214">
        <v>4.43</v>
      </c>
      <c r="CF214"/>
      <c r="CG214">
        <v>1.85</v>
      </c>
      <c r="CH214"/>
      <c r="CI214"/>
      <c r="CJ214"/>
      <c r="CK214" t="s">
        <v>8820</v>
      </c>
      <c r="CL214"/>
      <c r="CM214"/>
    </row>
    <row r="215" spans="1:91" ht="15">
      <c r="A215" s="364" t="s">
        <v>7613</v>
      </c>
      <c r="B215" t="s">
        <v>267</v>
      </c>
      <c r="C215" t="s">
        <v>413</v>
      </c>
      <c r="D215">
        <v>8</v>
      </c>
      <c r="E215" s="113">
        <v>50</v>
      </c>
      <c r="F215" s="113">
        <v>4</v>
      </c>
      <c r="I215"/>
      <c r="K215" s="224">
        <v>7</v>
      </c>
      <c r="L215" s="390">
        <v>41625</v>
      </c>
      <c r="M215"/>
      <c r="N215" s="224"/>
      <c r="O215"/>
      <c r="P215"/>
      <c r="Q215"/>
      <c r="S215" s="224"/>
      <c r="T215" s="224"/>
      <c r="U215"/>
      <c r="V215"/>
      <c r="W215"/>
      <c r="X215"/>
      <c r="Y215" s="225"/>
      <c r="Z215" s="224"/>
      <c r="AA215" s="226"/>
      <c r="AB215" s="224"/>
      <c r="AC215" s="225"/>
      <c r="AD215" s="224"/>
      <c r="AE215" s="224"/>
      <c r="AF215" s="224"/>
      <c r="AG215">
        <v>5.75</v>
      </c>
      <c r="AH215"/>
      <c r="AI215">
        <v>140</v>
      </c>
      <c r="AJ215" s="194">
        <v>41785</v>
      </c>
      <c r="AK215"/>
      <c r="AL215"/>
      <c r="AM215"/>
      <c r="AN215"/>
      <c r="AO215"/>
      <c r="AP215"/>
      <c r="AQ215" s="227"/>
      <c r="AR215" s="227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>
        <v>51.1</v>
      </c>
      <c r="BT215"/>
      <c r="BU215">
        <v>20.149999999999999</v>
      </c>
      <c r="BV215"/>
      <c r="BW215" s="229"/>
      <c r="BX215"/>
      <c r="BY215"/>
      <c r="BZ215"/>
      <c r="CA215"/>
      <c r="CC215"/>
      <c r="CD215"/>
      <c r="CE215">
        <v>4.16</v>
      </c>
      <c r="CF215"/>
      <c r="CG215">
        <v>1.18</v>
      </c>
      <c r="CH215"/>
      <c r="CI215"/>
      <c r="CJ215"/>
      <c r="CK215" t="s">
        <v>8820</v>
      </c>
      <c r="CL215"/>
      <c r="CM215"/>
    </row>
    <row r="216" spans="1:91" ht="15">
      <c r="A216" s="364" t="s">
        <v>7614</v>
      </c>
      <c r="B216" t="s">
        <v>267</v>
      </c>
      <c r="C216" t="s">
        <v>413</v>
      </c>
      <c r="D216">
        <v>9</v>
      </c>
      <c r="E216" s="113">
        <v>67</v>
      </c>
      <c r="F216" s="113">
        <v>6</v>
      </c>
      <c r="I216"/>
      <c r="K216" s="224">
        <v>7</v>
      </c>
      <c r="L216" s="390">
        <v>41625</v>
      </c>
      <c r="M216"/>
      <c r="N216" s="224"/>
      <c r="O216"/>
      <c r="P216"/>
      <c r="Q216"/>
      <c r="S216" s="224"/>
      <c r="T216" s="224"/>
      <c r="U216"/>
      <c r="V216"/>
      <c r="W216"/>
      <c r="X216"/>
      <c r="Y216" s="225"/>
      <c r="Z216" s="224"/>
      <c r="AA216" s="226"/>
      <c r="AB216" s="224"/>
      <c r="AC216" s="225"/>
      <c r="AD216" s="224"/>
      <c r="AE216" s="224"/>
      <c r="AF216" s="224"/>
      <c r="AG216">
        <v>4.12</v>
      </c>
      <c r="AH216"/>
      <c r="AI216">
        <v>150</v>
      </c>
      <c r="AJ216" s="194">
        <v>41785</v>
      </c>
      <c r="AK216"/>
      <c r="AL216"/>
      <c r="AM216"/>
      <c r="AN216"/>
      <c r="AO216"/>
      <c r="AP216"/>
      <c r="AQ216" s="227"/>
      <c r="AR216" s="227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>
        <v>48.8</v>
      </c>
      <c r="BT216"/>
      <c r="BU216">
        <v>20.440000000000001</v>
      </c>
      <c r="BV216"/>
      <c r="BW216" s="229"/>
      <c r="BX216"/>
      <c r="BY216"/>
      <c r="BZ216"/>
      <c r="CA216"/>
      <c r="CC216"/>
      <c r="CD216"/>
      <c r="CE216">
        <v>5.09</v>
      </c>
      <c r="CF216"/>
      <c r="CG216">
        <v>0.34</v>
      </c>
      <c r="CH216"/>
      <c r="CI216"/>
      <c r="CJ216"/>
      <c r="CK216" t="s">
        <v>8820</v>
      </c>
      <c r="CL216"/>
      <c r="CM216"/>
    </row>
    <row r="217" spans="1:91" ht="15">
      <c r="A217" s="364" t="s">
        <v>7615</v>
      </c>
      <c r="B217" t="s">
        <v>267</v>
      </c>
      <c r="C217" t="s">
        <v>413</v>
      </c>
      <c r="D217" s="232">
        <v>10</v>
      </c>
      <c r="E217" s="113">
        <v>50</v>
      </c>
      <c r="F217" s="113">
        <v>2</v>
      </c>
      <c r="G217" s="233"/>
      <c r="H217" s="233"/>
      <c r="I217" s="232"/>
      <c r="J217" s="234"/>
      <c r="K217" s="235">
        <v>7</v>
      </c>
      <c r="L217" s="390">
        <v>41625</v>
      </c>
      <c r="M217" s="232"/>
      <c r="N217" s="235"/>
      <c r="O217" s="232"/>
      <c r="P217" s="232"/>
      <c r="Q217" s="232"/>
      <c r="R217" s="236"/>
      <c r="S217" s="235"/>
      <c r="T217" s="235"/>
      <c r="U217" s="232"/>
      <c r="V217" s="232"/>
      <c r="W217" s="232"/>
      <c r="X217" s="232"/>
      <c r="Y217" s="237"/>
      <c r="Z217" s="235"/>
      <c r="AA217" s="238"/>
      <c r="AB217" s="235"/>
      <c r="AC217" s="237"/>
      <c r="AD217" s="235"/>
      <c r="AE217" s="235"/>
      <c r="AF217" s="235"/>
      <c r="AG217" s="232">
        <v>4.07</v>
      </c>
      <c r="AH217" s="232"/>
      <c r="AI217" s="232">
        <v>150</v>
      </c>
      <c r="AJ217" s="194">
        <v>41785</v>
      </c>
      <c r="AK217" s="232"/>
      <c r="AL217" s="232"/>
      <c r="AM217" s="232"/>
      <c r="AN217" s="232"/>
      <c r="AO217" s="232"/>
      <c r="AP217" s="232"/>
      <c r="AQ217" s="239"/>
      <c r="AR217" s="23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232"/>
      <c r="BH217" s="232"/>
      <c r="BI217" s="232"/>
      <c r="BJ217" s="232"/>
      <c r="BK217" s="232"/>
      <c r="BL217" s="232"/>
      <c r="BM217" s="232"/>
      <c r="BN217" s="232"/>
      <c r="BO217" s="232"/>
      <c r="BP217" s="232"/>
      <c r="BQ217" s="232"/>
      <c r="BR217" s="232"/>
      <c r="BS217" s="232">
        <v>50.3</v>
      </c>
      <c r="BT217" s="232"/>
      <c r="BU217" s="232">
        <v>20.14</v>
      </c>
      <c r="BV217" s="232"/>
      <c r="BW217" s="240"/>
      <c r="BX217" s="232"/>
      <c r="BY217" s="232"/>
      <c r="BZ217" s="232"/>
      <c r="CA217" s="232"/>
      <c r="CB217" s="241"/>
      <c r="CC217" s="232"/>
      <c r="CD217" s="232"/>
      <c r="CE217" s="232">
        <v>3.96</v>
      </c>
      <c r="CF217" s="232"/>
      <c r="CG217" s="232">
        <v>0.42</v>
      </c>
      <c r="CH217" s="232"/>
      <c r="CI217" s="232"/>
      <c r="CJ217" s="232"/>
      <c r="CK217" t="s">
        <v>8820</v>
      </c>
      <c r="CL217" s="232"/>
      <c r="CM217" s="232"/>
    </row>
    <row r="218" spans="1:91" ht="15">
      <c r="A218" s="364" t="s">
        <v>7616</v>
      </c>
      <c r="B218" t="s">
        <v>267</v>
      </c>
      <c r="C218" t="s">
        <v>413</v>
      </c>
      <c r="D218">
        <v>11</v>
      </c>
      <c r="E218" s="113">
        <v>64</v>
      </c>
      <c r="F218" s="113">
        <v>3</v>
      </c>
      <c r="I218"/>
      <c r="K218" s="224">
        <v>7</v>
      </c>
      <c r="L218" s="390">
        <v>41625</v>
      </c>
      <c r="M218"/>
      <c r="N218" s="224"/>
      <c r="O218"/>
      <c r="P218"/>
      <c r="Q218"/>
      <c r="S218" s="224"/>
      <c r="T218" s="224"/>
      <c r="U218"/>
      <c r="V218"/>
      <c r="W218"/>
      <c r="X218"/>
      <c r="Y218" s="225"/>
      <c r="Z218" s="224"/>
      <c r="AA218" s="226"/>
      <c r="AB218" s="224"/>
      <c r="AC218" s="225"/>
      <c r="AD218" s="224"/>
      <c r="AE218" s="224"/>
      <c r="AF218" s="224"/>
      <c r="AG218">
        <v>4.09</v>
      </c>
      <c r="AH218"/>
      <c r="AI218">
        <v>140</v>
      </c>
      <c r="AJ218" s="194">
        <v>41785</v>
      </c>
      <c r="AK218"/>
      <c r="AL218"/>
      <c r="AM218"/>
      <c r="AN218"/>
      <c r="AO218"/>
      <c r="AP218"/>
      <c r="AQ218" s="227"/>
      <c r="AR218" s="227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>
        <v>51.6</v>
      </c>
      <c r="BT218"/>
      <c r="BU218">
        <v>19.66</v>
      </c>
      <c r="BV218"/>
      <c r="BW218"/>
      <c r="BX218" s="228"/>
      <c r="BY218"/>
      <c r="BZ218"/>
      <c r="CA218"/>
      <c r="CC218"/>
      <c r="CD218"/>
      <c r="CE218">
        <v>3.83</v>
      </c>
      <c r="CF218"/>
      <c r="CG218">
        <v>0.67</v>
      </c>
      <c r="CH218"/>
      <c r="CI218"/>
      <c r="CJ218"/>
      <c r="CK218" t="s">
        <v>8820</v>
      </c>
      <c r="CL218"/>
      <c r="CM218"/>
    </row>
    <row r="219" spans="1:91" ht="15">
      <c r="A219" s="364" t="s">
        <v>7617</v>
      </c>
      <c r="B219" t="s">
        <v>267</v>
      </c>
      <c r="C219" t="s">
        <v>413</v>
      </c>
      <c r="D219">
        <v>12</v>
      </c>
      <c r="E219" s="113">
        <v>45</v>
      </c>
      <c r="F219" s="113">
        <v>1</v>
      </c>
      <c r="I219"/>
      <c r="K219" s="224">
        <v>7</v>
      </c>
      <c r="L219" s="390">
        <v>41625</v>
      </c>
      <c r="M219"/>
      <c r="N219" s="224"/>
      <c r="O219"/>
      <c r="P219"/>
      <c r="Q219"/>
      <c r="S219" s="224"/>
      <c r="T219" s="224"/>
      <c r="U219"/>
      <c r="V219"/>
      <c r="W219"/>
      <c r="X219"/>
      <c r="Y219" s="225"/>
      <c r="Z219" s="224"/>
      <c r="AA219" s="226"/>
      <c r="AB219" s="224"/>
      <c r="AC219" s="225"/>
      <c r="AD219" s="224"/>
      <c r="AE219" s="224"/>
      <c r="AF219" s="224"/>
      <c r="AG219">
        <v>4.2</v>
      </c>
      <c r="AH219"/>
      <c r="AI219">
        <v>150</v>
      </c>
      <c r="AJ219" s="194">
        <v>41785</v>
      </c>
      <c r="AK219"/>
      <c r="AL219"/>
      <c r="AM219"/>
      <c r="AN219"/>
      <c r="AO219"/>
      <c r="AP219"/>
      <c r="AQ219" s="227"/>
      <c r="AR219" s="227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>
        <v>50.9</v>
      </c>
      <c r="BT219"/>
      <c r="BU219">
        <v>21.01</v>
      </c>
      <c r="BV219"/>
      <c r="BW219"/>
      <c r="BX219" s="228"/>
      <c r="BY219"/>
      <c r="BZ219"/>
      <c r="CA219"/>
      <c r="CC219"/>
      <c r="CD219"/>
      <c r="CE219">
        <v>4.8099999999999996</v>
      </c>
      <c r="CF219"/>
      <c r="CG219">
        <v>0.17</v>
      </c>
      <c r="CH219"/>
      <c r="CI219"/>
      <c r="CJ219"/>
      <c r="CK219" t="s">
        <v>8820</v>
      </c>
      <c r="CL219"/>
      <c r="CM219"/>
    </row>
    <row r="220" spans="1:91" ht="15">
      <c r="A220" s="364" t="s">
        <v>7618</v>
      </c>
      <c r="B220" t="s">
        <v>267</v>
      </c>
      <c r="C220" t="s">
        <v>413</v>
      </c>
      <c r="D220">
        <v>13</v>
      </c>
      <c r="E220" s="113">
        <v>63</v>
      </c>
      <c r="F220" s="113">
        <v>4</v>
      </c>
      <c r="G220" s="233"/>
      <c r="H220" s="233"/>
      <c r="I220" s="232"/>
      <c r="J220" s="234"/>
      <c r="K220" s="235">
        <v>7</v>
      </c>
      <c r="L220" s="390">
        <v>41625</v>
      </c>
      <c r="M220" s="232"/>
      <c r="N220" s="235"/>
      <c r="O220" s="232"/>
      <c r="P220" s="232"/>
      <c r="Q220" s="232"/>
      <c r="R220" s="236"/>
      <c r="S220" s="235"/>
      <c r="T220" s="235"/>
      <c r="U220" s="232"/>
      <c r="V220" s="232"/>
      <c r="W220" s="232"/>
      <c r="X220" s="232"/>
      <c r="Y220" s="237"/>
      <c r="Z220" s="235"/>
      <c r="AA220" s="238"/>
      <c r="AB220" s="235"/>
      <c r="AC220" s="237"/>
      <c r="AD220" s="235"/>
      <c r="AE220" s="235"/>
      <c r="AF220" s="235"/>
      <c r="AG220" s="232">
        <v>4.37</v>
      </c>
      <c r="AH220" s="232"/>
      <c r="AI220" s="232">
        <v>145</v>
      </c>
      <c r="AJ220" s="194">
        <v>41785</v>
      </c>
      <c r="AK220" s="232"/>
      <c r="AL220" s="232"/>
      <c r="AM220" s="232"/>
      <c r="AN220" s="232"/>
      <c r="AO220" s="232"/>
      <c r="AP220" s="232"/>
      <c r="AQ220" s="239"/>
      <c r="AR220" s="23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232"/>
      <c r="BH220" s="232"/>
      <c r="BI220" s="232"/>
      <c r="BJ220" s="232"/>
      <c r="BK220" s="232"/>
      <c r="BL220" s="232"/>
      <c r="BM220" s="232"/>
      <c r="BN220" s="232"/>
      <c r="BO220" s="232"/>
      <c r="BP220" s="232"/>
      <c r="BQ220" s="232"/>
      <c r="BR220" s="232"/>
      <c r="BS220" s="232">
        <v>50.9</v>
      </c>
      <c r="BT220" s="232"/>
      <c r="BU220" s="232">
        <v>21.35</v>
      </c>
      <c r="BV220" s="232"/>
      <c r="BW220" s="240"/>
      <c r="BX220" s="232"/>
      <c r="BY220" s="232"/>
      <c r="BZ220" s="232"/>
      <c r="CA220" s="232"/>
      <c r="CB220" s="241"/>
      <c r="CC220" s="232"/>
      <c r="CD220" s="232"/>
      <c r="CE220" s="232">
        <v>3.86</v>
      </c>
      <c r="CF220" s="232"/>
      <c r="CG220" s="232">
        <v>0.84</v>
      </c>
      <c r="CH220" s="232"/>
      <c r="CI220" s="232"/>
      <c r="CJ220" s="232"/>
      <c r="CK220" t="s">
        <v>8820</v>
      </c>
      <c r="CL220" s="232"/>
      <c r="CM220" s="232"/>
    </row>
    <row r="221" spans="1:91" ht="15">
      <c r="A221" s="364" t="s">
        <v>7619</v>
      </c>
      <c r="B221" t="s">
        <v>267</v>
      </c>
      <c r="C221" t="s">
        <v>413</v>
      </c>
      <c r="D221" s="232">
        <v>14</v>
      </c>
      <c r="E221" s="113">
        <v>62</v>
      </c>
      <c r="F221" s="113">
        <v>5</v>
      </c>
      <c r="I221"/>
      <c r="K221" s="224">
        <v>7</v>
      </c>
      <c r="L221" s="390">
        <v>41625</v>
      </c>
      <c r="M221"/>
      <c r="N221" s="224"/>
      <c r="O221"/>
      <c r="P221"/>
      <c r="Q221"/>
      <c r="S221" s="224"/>
      <c r="T221" s="224"/>
      <c r="U221"/>
      <c r="V221"/>
      <c r="W221"/>
      <c r="X221"/>
      <c r="Y221" s="225"/>
      <c r="Z221" s="224"/>
      <c r="AA221" s="226"/>
      <c r="AB221" s="224"/>
      <c r="AC221" s="225"/>
      <c r="AD221" s="224"/>
      <c r="AE221" s="224"/>
      <c r="AF221" s="224"/>
      <c r="AG221">
        <v>3.62</v>
      </c>
      <c r="AH221"/>
      <c r="AI221">
        <v>105</v>
      </c>
      <c r="AJ221" s="194">
        <v>41785</v>
      </c>
      <c r="AK221"/>
      <c r="AL221"/>
      <c r="AM221"/>
      <c r="AN221"/>
      <c r="AO221"/>
      <c r="AP221"/>
      <c r="AQ221" s="227"/>
      <c r="AR221" s="227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>
        <v>51.8</v>
      </c>
      <c r="BT221"/>
      <c r="BU221">
        <v>19.87</v>
      </c>
      <c r="BV221"/>
      <c r="BW221"/>
      <c r="BX221" s="228"/>
      <c r="BY221"/>
      <c r="BZ221"/>
      <c r="CA221"/>
      <c r="CC221"/>
      <c r="CD221"/>
      <c r="CE221">
        <v>3.33</v>
      </c>
      <c r="CF221"/>
      <c r="CG221">
        <v>1.17</v>
      </c>
      <c r="CH221"/>
      <c r="CI221"/>
      <c r="CJ221"/>
      <c r="CK221" t="s">
        <v>8820</v>
      </c>
      <c r="CL221"/>
      <c r="CM221"/>
    </row>
    <row r="222" spans="1:91" ht="15">
      <c r="A222" s="364" t="s">
        <v>7620</v>
      </c>
      <c r="B222" t="s">
        <v>267</v>
      </c>
      <c r="C222" t="s">
        <v>413</v>
      </c>
      <c r="D222">
        <v>15</v>
      </c>
      <c r="E222" s="113">
        <v>50</v>
      </c>
      <c r="F222" s="113">
        <v>3</v>
      </c>
      <c r="I222"/>
      <c r="K222" s="224">
        <v>6</v>
      </c>
      <c r="L222" s="390">
        <v>41625</v>
      </c>
      <c r="M222"/>
      <c r="N222" s="224"/>
      <c r="O222"/>
      <c r="P222"/>
      <c r="Q222"/>
      <c r="S222" s="224"/>
      <c r="T222" s="224"/>
      <c r="U222"/>
      <c r="V222"/>
      <c r="W222"/>
      <c r="X222"/>
      <c r="Y222" s="225"/>
      <c r="Z222" s="224"/>
      <c r="AA222" s="226"/>
      <c r="AB222" s="224"/>
      <c r="AC222" s="225"/>
      <c r="AD222" s="224"/>
      <c r="AE222" s="224"/>
      <c r="AF222" s="224"/>
      <c r="AG222">
        <v>3.25</v>
      </c>
      <c r="AH222"/>
      <c r="AI222">
        <v>120</v>
      </c>
      <c r="AJ222" s="194">
        <v>41785</v>
      </c>
      <c r="AK222"/>
      <c r="AL222"/>
      <c r="AM222"/>
      <c r="AN222"/>
      <c r="AO222"/>
      <c r="AP222"/>
      <c r="AQ222" s="227"/>
      <c r="AR222" s="227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>
        <v>51.3</v>
      </c>
      <c r="BT222"/>
      <c r="BU222">
        <v>21.61</v>
      </c>
      <c r="BV222"/>
      <c r="BW222"/>
      <c r="BX222" s="228"/>
      <c r="BY222"/>
      <c r="BZ222"/>
      <c r="CA222"/>
      <c r="CC222"/>
      <c r="CD222"/>
      <c r="CE222">
        <v>4.2</v>
      </c>
      <c r="CF222"/>
      <c r="CG222">
        <v>1.89</v>
      </c>
      <c r="CH222"/>
      <c r="CI222"/>
      <c r="CJ222"/>
      <c r="CK222" t="s">
        <v>8820</v>
      </c>
      <c r="CL222"/>
      <c r="CM222"/>
    </row>
    <row r="223" spans="1:91" ht="15">
      <c r="A223" s="364" t="s">
        <v>7622</v>
      </c>
      <c r="B223" t="s">
        <v>267</v>
      </c>
      <c r="C223" t="s">
        <v>413</v>
      </c>
      <c r="D223">
        <v>17</v>
      </c>
      <c r="E223" s="113">
        <v>44</v>
      </c>
      <c r="F223" s="113">
        <v>5</v>
      </c>
      <c r="I223"/>
      <c r="K223" s="224">
        <v>7</v>
      </c>
      <c r="L223" s="390">
        <v>41625</v>
      </c>
      <c r="M223"/>
      <c r="N223" s="224"/>
      <c r="O223"/>
      <c r="P223"/>
      <c r="Q223"/>
      <c r="S223" s="224"/>
      <c r="T223" s="224"/>
      <c r="U223"/>
      <c r="V223"/>
      <c r="W223"/>
      <c r="X223"/>
      <c r="Y223" s="225"/>
      <c r="Z223" s="224"/>
      <c r="AA223" s="226"/>
      <c r="AB223" s="224"/>
      <c r="AC223" s="225"/>
      <c r="AD223" s="224"/>
      <c r="AE223" s="224"/>
      <c r="AF223" s="224"/>
      <c r="AG223">
        <v>4.18</v>
      </c>
      <c r="AH223"/>
      <c r="AI223">
        <v>130</v>
      </c>
      <c r="AJ223" s="194">
        <v>41785</v>
      </c>
      <c r="AK223"/>
      <c r="AL223"/>
      <c r="AM223"/>
      <c r="AN223"/>
      <c r="AO223"/>
      <c r="AP223"/>
      <c r="AQ223" s="227"/>
      <c r="AR223" s="227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>
        <v>49.4</v>
      </c>
      <c r="BT223"/>
      <c r="BU223">
        <v>21.54</v>
      </c>
      <c r="BV223"/>
      <c r="BW223" s="229"/>
      <c r="BX223"/>
      <c r="BY223"/>
      <c r="BZ223"/>
      <c r="CA223"/>
      <c r="CC223"/>
      <c r="CD223"/>
      <c r="CE223">
        <v>6.56</v>
      </c>
      <c r="CF223"/>
      <c r="CG223">
        <v>0.84</v>
      </c>
      <c r="CH223"/>
      <c r="CI223"/>
      <c r="CJ223"/>
      <c r="CK223" t="s">
        <v>8820</v>
      </c>
      <c r="CL223"/>
      <c r="CM223"/>
    </row>
    <row r="224" spans="1:91" ht="15">
      <c r="A224" s="364" t="s">
        <v>7624</v>
      </c>
      <c r="B224" t="s">
        <v>267</v>
      </c>
      <c r="C224" t="s">
        <v>413</v>
      </c>
      <c r="D224">
        <v>19</v>
      </c>
      <c r="E224" s="113">
        <v>71</v>
      </c>
      <c r="F224" s="113">
        <v>4</v>
      </c>
      <c r="I224"/>
      <c r="K224" s="224">
        <v>7</v>
      </c>
      <c r="L224" s="390">
        <v>41625</v>
      </c>
      <c r="M224"/>
      <c r="N224" s="224"/>
      <c r="O224"/>
      <c r="P224"/>
      <c r="Q224"/>
      <c r="S224" s="224"/>
      <c r="T224" s="224"/>
      <c r="U224"/>
      <c r="V224"/>
      <c r="W224"/>
      <c r="X224"/>
      <c r="Y224" s="225"/>
      <c r="Z224" s="224"/>
      <c r="AA224" s="226"/>
      <c r="AB224" s="224"/>
      <c r="AC224" s="225"/>
      <c r="AD224" s="224"/>
      <c r="AE224" s="224"/>
      <c r="AF224" s="224"/>
      <c r="AG224">
        <v>5.39</v>
      </c>
      <c r="AH224"/>
      <c r="AI224">
        <v>170</v>
      </c>
      <c r="AJ224" s="194">
        <v>41785</v>
      </c>
      <c r="AK224"/>
      <c r="AL224"/>
      <c r="AM224"/>
      <c r="AN224"/>
      <c r="AO224"/>
      <c r="AP224"/>
      <c r="AQ224" s="227"/>
      <c r="AR224" s="227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>
        <v>47.5</v>
      </c>
      <c r="BT224"/>
      <c r="BU224">
        <v>22.55</v>
      </c>
      <c r="BV224"/>
      <c r="BW224" s="229"/>
      <c r="BX224"/>
      <c r="BY224"/>
      <c r="BZ224"/>
      <c r="CA224"/>
      <c r="CC224"/>
      <c r="CD224"/>
      <c r="CE224">
        <v>8</v>
      </c>
      <c r="CF224"/>
      <c r="CG224">
        <v>0.93</v>
      </c>
      <c r="CH224"/>
      <c r="CI224"/>
      <c r="CJ224"/>
      <c r="CK224" t="s">
        <v>8820</v>
      </c>
      <c r="CL224"/>
      <c r="CM224"/>
    </row>
    <row r="225" spans="1:91" ht="15">
      <c r="A225" s="364" t="s">
        <v>7625</v>
      </c>
      <c r="B225" t="s">
        <v>267</v>
      </c>
      <c r="C225" t="s">
        <v>413</v>
      </c>
      <c r="D225">
        <v>20</v>
      </c>
      <c r="E225" s="113">
        <v>39</v>
      </c>
      <c r="F225" s="113">
        <v>5</v>
      </c>
      <c r="I225"/>
      <c r="K225" s="224">
        <v>7</v>
      </c>
      <c r="L225" s="390">
        <v>41625</v>
      </c>
      <c r="M225"/>
      <c r="N225" s="224"/>
      <c r="O225"/>
      <c r="P225"/>
      <c r="Q225"/>
      <c r="S225" s="224"/>
      <c r="T225" s="224"/>
      <c r="U225"/>
      <c r="V225"/>
      <c r="W225"/>
      <c r="X225"/>
      <c r="Y225" s="225"/>
      <c r="Z225" s="224"/>
      <c r="AA225" s="226"/>
      <c r="AB225" s="224"/>
      <c r="AC225" s="225"/>
      <c r="AD225" s="224"/>
      <c r="AE225" s="224"/>
      <c r="AF225" s="224"/>
      <c r="AG225">
        <v>3.67</v>
      </c>
      <c r="AH225"/>
      <c r="AI225">
        <v>160</v>
      </c>
      <c r="AJ225" s="194">
        <v>41785</v>
      </c>
      <c r="AK225"/>
      <c r="AL225"/>
      <c r="AM225"/>
      <c r="AN225"/>
      <c r="AO225"/>
      <c r="AP225"/>
      <c r="AQ225" s="227"/>
      <c r="AR225" s="227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>
        <v>50.3</v>
      </c>
      <c r="BT225"/>
      <c r="BU225">
        <v>20.72</v>
      </c>
      <c r="BV225"/>
      <c r="BW225" s="229"/>
      <c r="BX225"/>
      <c r="BY225"/>
      <c r="BZ225"/>
      <c r="CA225"/>
      <c r="CC225"/>
      <c r="CD225"/>
      <c r="CE225">
        <v>4.09</v>
      </c>
      <c r="CF225"/>
      <c r="CG225">
        <v>2.16</v>
      </c>
      <c r="CH225"/>
      <c r="CI225"/>
      <c r="CJ225"/>
      <c r="CK225" t="s">
        <v>8820</v>
      </c>
      <c r="CL225"/>
      <c r="CM225"/>
    </row>
    <row r="226" spans="1:91" ht="15">
      <c r="A226" s="364" t="s">
        <v>7626</v>
      </c>
      <c r="B226" t="s">
        <v>267</v>
      </c>
      <c r="C226" t="s">
        <v>413</v>
      </c>
      <c r="D226">
        <v>21</v>
      </c>
      <c r="E226" s="113">
        <v>43</v>
      </c>
      <c r="F226" s="113">
        <v>5</v>
      </c>
      <c r="I226"/>
      <c r="K226" s="224">
        <v>7</v>
      </c>
      <c r="L226" s="390">
        <v>41625</v>
      </c>
      <c r="M226"/>
      <c r="N226" s="224"/>
      <c r="O226"/>
      <c r="P226"/>
      <c r="Q226"/>
      <c r="S226" s="224"/>
      <c r="T226" s="224"/>
      <c r="U226"/>
      <c r="V226"/>
      <c r="W226"/>
      <c r="X226"/>
      <c r="Y226" s="225"/>
      <c r="Z226" s="224"/>
      <c r="AA226" s="226"/>
      <c r="AB226" s="224"/>
      <c r="AC226" s="225"/>
      <c r="AD226" s="224"/>
      <c r="AE226" s="224"/>
      <c r="AF226" s="224"/>
      <c r="AG226">
        <v>5.2</v>
      </c>
      <c r="AH226"/>
      <c r="AI226">
        <v>160</v>
      </c>
      <c r="AJ226" s="194">
        <v>41785</v>
      </c>
      <c r="AK226"/>
      <c r="AL226"/>
      <c r="AM226"/>
      <c r="AN226"/>
      <c r="AO226"/>
      <c r="AP226"/>
      <c r="AQ226" s="227"/>
      <c r="AR226" s="227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>
        <v>48.7</v>
      </c>
      <c r="BT226"/>
      <c r="BU226">
        <v>20.079999999999998</v>
      </c>
      <c r="BV226"/>
      <c r="BW226" s="229"/>
      <c r="BX226"/>
      <c r="BY226"/>
      <c r="BZ226"/>
      <c r="CA226"/>
      <c r="CC226"/>
      <c r="CD226"/>
      <c r="CE226">
        <v>6.2</v>
      </c>
      <c r="CF226"/>
      <c r="CG226">
        <v>0.52</v>
      </c>
      <c r="CH226"/>
      <c r="CI226"/>
      <c r="CJ226"/>
      <c r="CK226" t="s">
        <v>8820</v>
      </c>
      <c r="CL226"/>
      <c r="CM226"/>
    </row>
    <row r="227" spans="1:91" ht="15">
      <c r="A227" s="364" t="s">
        <v>7627</v>
      </c>
      <c r="B227" t="s">
        <v>267</v>
      </c>
      <c r="C227" t="s">
        <v>413</v>
      </c>
      <c r="D227">
        <v>22</v>
      </c>
      <c r="E227" s="113">
        <v>59</v>
      </c>
      <c r="F227" s="113">
        <v>2</v>
      </c>
      <c r="I227"/>
      <c r="K227" s="224">
        <v>7</v>
      </c>
      <c r="L227" s="390">
        <v>41625</v>
      </c>
      <c r="M227"/>
      <c r="N227" s="224"/>
      <c r="O227"/>
      <c r="P227"/>
      <c r="Q227"/>
      <c r="S227" s="224"/>
      <c r="T227" s="224"/>
      <c r="U227"/>
      <c r="V227"/>
      <c r="W227"/>
      <c r="X227"/>
      <c r="Y227" s="225"/>
      <c r="Z227" s="224"/>
      <c r="AA227" s="226"/>
      <c r="AB227" s="224"/>
      <c r="AC227" s="225"/>
      <c r="AD227" s="224"/>
      <c r="AE227" s="224"/>
      <c r="AF227" s="224"/>
      <c r="AG227">
        <v>3.95</v>
      </c>
      <c r="AH227"/>
      <c r="AI227">
        <v>135</v>
      </c>
      <c r="AJ227" s="194">
        <v>41785</v>
      </c>
      <c r="AK227"/>
      <c r="AL227"/>
      <c r="AM227"/>
      <c r="AN227"/>
      <c r="AO227"/>
      <c r="AP227"/>
      <c r="AQ227" s="227"/>
      <c r="AR227" s="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>
        <v>48.5</v>
      </c>
      <c r="BT227"/>
      <c r="BU227">
        <v>21.49</v>
      </c>
      <c r="BV227"/>
      <c r="BW227"/>
      <c r="BX227" s="228"/>
      <c r="BY227"/>
      <c r="BZ227"/>
      <c r="CA227"/>
      <c r="CC227"/>
      <c r="CD227"/>
      <c r="CE227">
        <v>5.12</v>
      </c>
      <c r="CF227"/>
      <c r="CG227">
        <v>1.1399999999999999</v>
      </c>
      <c r="CH227"/>
      <c r="CI227"/>
      <c r="CJ227"/>
      <c r="CK227" t="s">
        <v>8820</v>
      </c>
      <c r="CL227"/>
      <c r="CM227"/>
    </row>
    <row r="228" spans="1:91" ht="15">
      <c r="A228" s="364" t="s">
        <v>7628</v>
      </c>
      <c r="B228" t="s">
        <v>267</v>
      </c>
      <c r="C228" t="s">
        <v>413</v>
      </c>
      <c r="D228">
        <v>23</v>
      </c>
      <c r="E228" s="113">
        <v>45</v>
      </c>
      <c r="F228" s="113">
        <v>4</v>
      </c>
      <c r="I228"/>
      <c r="K228" s="224">
        <v>7</v>
      </c>
      <c r="L228" s="390">
        <v>41625</v>
      </c>
      <c r="M228"/>
      <c r="N228" s="224"/>
      <c r="O228"/>
      <c r="P228"/>
      <c r="Q228"/>
      <c r="S228" s="224"/>
      <c r="T228" s="224"/>
      <c r="U228"/>
      <c r="V228"/>
      <c r="W228"/>
      <c r="X228"/>
      <c r="Y228" s="225"/>
      <c r="Z228" s="224"/>
      <c r="AA228" s="226"/>
      <c r="AB228" s="224"/>
      <c r="AC228" s="225"/>
      <c r="AD228" s="224"/>
      <c r="AE228" s="224"/>
      <c r="AF228" s="224"/>
      <c r="AG228">
        <v>4.46</v>
      </c>
      <c r="AH228"/>
      <c r="AI228">
        <v>1250</v>
      </c>
      <c r="AJ228" s="194">
        <v>41785</v>
      </c>
      <c r="AK228"/>
      <c r="AL228"/>
      <c r="AM228"/>
      <c r="AN228"/>
      <c r="AO228"/>
      <c r="AP228"/>
      <c r="AQ228" s="227"/>
      <c r="AR228" s="227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>
        <v>50.5</v>
      </c>
      <c r="BT228"/>
      <c r="BU228">
        <v>19.989999999999998</v>
      </c>
      <c r="BV228"/>
      <c r="BW228"/>
      <c r="BX228" s="228"/>
      <c r="BY228"/>
      <c r="BZ228"/>
      <c r="CA228"/>
      <c r="CC228"/>
      <c r="CD228"/>
      <c r="CE228">
        <v>4.84</v>
      </c>
      <c r="CF228"/>
      <c r="CG228">
        <v>0.17</v>
      </c>
      <c r="CH228"/>
      <c r="CI228"/>
      <c r="CJ228"/>
      <c r="CK228" t="s">
        <v>8820</v>
      </c>
      <c r="CL228"/>
      <c r="CM228"/>
    </row>
    <row r="229" spans="1:91" ht="15">
      <c r="A229" s="364" t="s">
        <v>7629</v>
      </c>
      <c r="B229" t="s">
        <v>267</v>
      </c>
      <c r="C229" t="s">
        <v>413</v>
      </c>
      <c r="D229">
        <v>24</v>
      </c>
      <c r="E229" s="113">
        <v>64</v>
      </c>
      <c r="F229" s="113">
        <v>2</v>
      </c>
      <c r="I229"/>
      <c r="K229" s="224">
        <v>6</v>
      </c>
      <c r="L229" s="390">
        <v>41625</v>
      </c>
      <c r="M229"/>
      <c r="N229" s="224"/>
      <c r="O229"/>
      <c r="P229"/>
      <c r="Q229"/>
      <c r="S229" s="224"/>
      <c r="T229" s="224"/>
      <c r="U229"/>
      <c r="V229"/>
      <c r="W229"/>
      <c r="X229"/>
      <c r="Y229" s="225"/>
      <c r="Z229" s="224"/>
      <c r="AA229" s="226"/>
      <c r="AB229" s="224"/>
      <c r="AC229" s="225"/>
      <c r="AD229" s="224"/>
      <c r="AE229" s="224"/>
      <c r="AF229" s="224"/>
      <c r="AG229">
        <v>4.3499999999999996</v>
      </c>
      <c r="AH229"/>
      <c r="AI229">
        <v>145</v>
      </c>
      <c r="AJ229" s="194">
        <v>41785</v>
      </c>
      <c r="AK229"/>
      <c r="AL229"/>
      <c r="AM229"/>
      <c r="AN229"/>
      <c r="AO229"/>
      <c r="AP229"/>
      <c r="AQ229" s="227"/>
      <c r="AR229" s="227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>
        <v>51</v>
      </c>
      <c r="BT229"/>
      <c r="BU229">
        <v>19.48</v>
      </c>
      <c r="BV229"/>
      <c r="BW229"/>
      <c r="BX229" s="228"/>
      <c r="BY229"/>
      <c r="BZ229"/>
      <c r="CA229"/>
      <c r="CC229"/>
      <c r="CD229"/>
      <c r="CE229">
        <v>3.46</v>
      </c>
      <c r="CF229"/>
      <c r="CG229">
        <v>1.05</v>
      </c>
      <c r="CH229"/>
      <c r="CI229"/>
      <c r="CJ229"/>
      <c r="CK229" t="s">
        <v>8820</v>
      </c>
      <c r="CL229"/>
      <c r="CM229"/>
    </row>
    <row r="230" spans="1:91" ht="15">
      <c r="A230" s="364" t="s">
        <v>7630</v>
      </c>
      <c r="B230" t="s">
        <v>267</v>
      </c>
      <c r="C230" t="s">
        <v>413</v>
      </c>
      <c r="D230">
        <v>25</v>
      </c>
      <c r="E230" s="113">
        <v>44</v>
      </c>
      <c r="F230" s="113">
        <v>4</v>
      </c>
      <c r="I230"/>
      <c r="K230" s="224">
        <v>7</v>
      </c>
      <c r="L230" s="390">
        <v>41625</v>
      </c>
      <c r="M230"/>
      <c r="N230" s="224"/>
      <c r="O230"/>
      <c r="P230"/>
      <c r="Q230"/>
      <c r="S230" s="224"/>
      <c r="T230" s="224"/>
      <c r="U230"/>
      <c r="V230"/>
      <c r="W230"/>
      <c r="X230"/>
      <c r="Y230" s="225"/>
      <c r="Z230" s="224"/>
      <c r="AA230" s="226"/>
      <c r="AB230" s="224"/>
      <c r="AC230" s="225"/>
      <c r="AD230" s="224"/>
      <c r="AE230" s="224"/>
      <c r="AF230" s="224"/>
      <c r="AG230">
        <v>3.98</v>
      </c>
      <c r="AH230"/>
      <c r="AI230">
        <v>125</v>
      </c>
      <c r="AJ230" s="194">
        <v>41785</v>
      </c>
      <c r="AK230"/>
      <c r="AL230"/>
      <c r="AM230"/>
      <c r="AN230"/>
      <c r="AO230"/>
      <c r="AP230"/>
      <c r="AQ230" s="227"/>
      <c r="AR230" s="227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>
        <v>49</v>
      </c>
      <c r="BT230"/>
      <c r="BU230">
        <v>21.35</v>
      </c>
      <c r="BV230"/>
      <c r="BW230"/>
      <c r="BX230" s="228"/>
      <c r="BY230"/>
      <c r="BZ230"/>
      <c r="CA230"/>
      <c r="CC230"/>
      <c r="CD230"/>
      <c r="CE230">
        <v>5.35</v>
      </c>
      <c r="CF230"/>
      <c r="CG230">
        <v>1.4</v>
      </c>
      <c r="CH230"/>
      <c r="CI230"/>
      <c r="CJ230"/>
      <c r="CK230" t="s">
        <v>8820</v>
      </c>
      <c r="CL230"/>
      <c r="CM230"/>
    </row>
    <row r="231" spans="1:91" ht="15">
      <c r="A231" s="364" t="s">
        <v>7632</v>
      </c>
      <c r="B231" t="s">
        <v>267</v>
      </c>
      <c r="C231" t="s">
        <v>413</v>
      </c>
      <c r="D231" s="232">
        <v>27</v>
      </c>
      <c r="E231" s="113">
        <v>58</v>
      </c>
      <c r="F231" s="113">
        <v>3</v>
      </c>
      <c r="I231"/>
      <c r="K231" s="224">
        <v>7</v>
      </c>
      <c r="L231" s="390">
        <v>41625</v>
      </c>
      <c r="M231"/>
      <c r="N231" s="224"/>
      <c r="O231"/>
      <c r="P231"/>
      <c r="Q231"/>
      <c r="S231" s="224"/>
      <c r="T231" s="224"/>
      <c r="U231"/>
      <c r="V231"/>
      <c r="W231"/>
      <c r="X231"/>
      <c r="Y231" s="225"/>
      <c r="Z231" s="224"/>
      <c r="AA231" s="226"/>
      <c r="AB231" s="224"/>
      <c r="AC231" s="225"/>
      <c r="AD231" s="224"/>
      <c r="AE231" s="224"/>
      <c r="AF231" s="224"/>
      <c r="AG231">
        <v>4.51</v>
      </c>
      <c r="AH231"/>
      <c r="AI231">
        <v>140</v>
      </c>
      <c r="AJ231" s="194">
        <v>41785</v>
      </c>
      <c r="AK231"/>
      <c r="AL231"/>
      <c r="AM231"/>
      <c r="AN231"/>
      <c r="AO231"/>
      <c r="AP231"/>
      <c r="AQ231" s="227"/>
      <c r="AR231" s="227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>
        <v>47.7</v>
      </c>
      <c r="BT231"/>
      <c r="BU231">
        <v>20.66</v>
      </c>
      <c r="BV231"/>
      <c r="BW231"/>
      <c r="BX231" s="228"/>
      <c r="BY231"/>
      <c r="BZ231"/>
      <c r="CA231"/>
      <c r="CC231"/>
      <c r="CD231"/>
      <c r="CE231">
        <v>4.34</v>
      </c>
      <c r="CF231"/>
      <c r="CG231">
        <v>0.26</v>
      </c>
      <c r="CH231"/>
      <c r="CI231"/>
      <c r="CJ231"/>
      <c r="CK231" t="s">
        <v>8820</v>
      </c>
      <c r="CL231"/>
      <c r="CM231"/>
    </row>
    <row r="232" spans="1:91" ht="15">
      <c r="A232" s="364" t="s">
        <v>7633</v>
      </c>
      <c r="B232" t="s">
        <v>267</v>
      </c>
      <c r="C232" t="s">
        <v>413</v>
      </c>
      <c r="D232">
        <v>28</v>
      </c>
      <c r="E232" s="113">
        <v>40</v>
      </c>
      <c r="F232" s="113">
        <v>4</v>
      </c>
      <c r="I232"/>
      <c r="K232" s="224">
        <v>6</v>
      </c>
      <c r="L232" s="390">
        <v>41625</v>
      </c>
      <c r="M232"/>
      <c r="N232" s="224"/>
      <c r="O232"/>
      <c r="P232"/>
      <c r="Q232"/>
      <c r="S232" s="224"/>
      <c r="T232" s="224"/>
      <c r="U232"/>
      <c r="V232"/>
      <c r="W232"/>
      <c r="X232"/>
      <c r="Y232" s="225"/>
      <c r="Z232" s="224"/>
      <c r="AA232" s="226"/>
      <c r="AB232" s="224"/>
      <c r="AC232" s="225"/>
      <c r="AD232" s="224"/>
      <c r="AE232" s="224"/>
      <c r="AF232" s="224"/>
      <c r="AG232">
        <v>4.6500000000000004</v>
      </c>
      <c r="AH232"/>
      <c r="AI232">
        <v>155</v>
      </c>
      <c r="AJ232" s="194">
        <v>41785</v>
      </c>
      <c r="AK232"/>
      <c r="AL232"/>
      <c r="AM232"/>
      <c r="AN232"/>
      <c r="AO232"/>
      <c r="AP232"/>
      <c r="AQ232" s="227"/>
      <c r="AR232" s="227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>
        <v>50.3</v>
      </c>
      <c r="BT232"/>
      <c r="BU232">
        <v>18.75</v>
      </c>
      <c r="BV232"/>
      <c r="BW232" s="229"/>
      <c r="BX232"/>
      <c r="BY232"/>
      <c r="BZ232"/>
      <c r="CA232"/>
      <c r="CC232"/>
      <c r="CD232"/>
      <c r="CE232">
        <v>4.3099999999999996</v>
      </c>
      <c r="CF232"/>
      <c r="CG232">
        <v>0.09</v>
      </c>
      <c r="CH232"/>
      <c r="CI232"/>
      <c r="CJ232"/>
      <c r="CK232" t="s">
        <v>8820</v>
      </c>
      <c r="CL232"/>
      <c r="CM232"/>
    </row>
    <row r="233" spans="1:91" ht="15">
      <c r="A233" s="364" t="s">
        <v>7634</v>
      </c>
      <c r="B233" t="s">
        <v>267</v>
      </c>
      <c r="C233" t="s">
        <v>413</v>
      </c>
      <c r="D233">
        <v>29</v>
      </c>
      <c r="E233" s="113">
        <v>54</v>
      </c>
      <c r="F233" s="113">
        <v>2</v>
      </c>
      <c r="I233"/>
      <c r="K233" s="224">
        <v>7</v>
      </c>
      <c r="L233" s="390">
        <v>41625</v>
      </c>
      <c r="M233"/>
      <c r="N233" s="224"/>
      <c r="O233"/>
      <c r="P233"/>
      <c r="Q233"/>
      <c r="S233" s="224"/>
      <c r="T233" s="224"/>
      <c r="U233"/>
      <c r="V233"/>
      <c r="W233"/>
      <c r="X233"/>
      <c r="Y233" s="225"/>
      <c r="Z233" s="224"/>
      <c r="AA233" s="226"/>
      <c r="AB233" s="224"/>
      <c r="AC233" s="225"/>
      <c r="AD233" s="224"/>
      <c r="AE233" s="224"/>
      <c r="AF233" s="224"/>
      <c r="AG233">
        <v>4.9400000000000004</v>
      </c>
      <c r="AH233"/>
      <c r="AI233">
        <v>145</v>
      </c>
      <c r="AJ233" s="194">
        <v>41785</v>
      </c>
      <c r="AK233"/>
      <c r="AL233"/>
      <c r="AM233"/>
      <c r="AN233"/>
      <c r="AO233"/>
      <c r="AP233"/>
      <c r="AQ233" s="227"/>
      <c r="AR233" s="227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>
        <v>51.3</v>
      </c>
      <c r="BT233"/>
      <c r="BU233">
        <v>20.2</v>
      </c>
      <c r="BV233"/>
      <c r="BW233" s="229"/>
      <c r="BX233"/>
      <c r="BY233"/>
      <c r="BZ233"/>
      <c r="CA233"/>
      <c r="CC233"/>
      <c r="CD233"/>
      <c r="CE233">
        <v>3.56</v>
      </c>
      <c r="CF233"/>
      <c r="CG233">
        <v>0.62</v>
      </c>
      <c r="CH233"/>
      <c r="CI233"/>
      <c r="CJ233"/>
      <c r="CK233" t="s">
        <v>8820</v>
      </c>
      <c r="CL233"/>
      <c r="CM233"/>
    </row>
    <row r="234" spans="1:91" ht="15">
      <c r="A234" s="364" t="s">
        <v>7635</v>
      </c>
      <c r="B234" s="362" t="s">
        <v>267</v>
      </c>
      <c r="C234" s="362" t="s">
        <v>413</v>
      </c>
      <c r="D234">
        <v>30</v>
      </c>
      <c r="E234" s="113">
        <v>72</v>
      </c>
      <c r="F234" s="113">
        <v>3</v>
      </c>
      <c r="I234"/>
      <c r="K234" s="224">
        <v>7</v>
      </c>
      <c r="L234" s="390">
        <v>41625</v>
      </c>
      <c r="M234"/>
      <c r="N234" s="224"/>
      <c r="O234"/>
      <c r="P234"/>
      <c r="Q234"/>
      <c r="S234" s="224"/>
      <c r="T234" s="224"/>
      <c r="U234"/>
      <c r="V234"/>
      <c r="W234"/>
      <c r="X234"/>
      <c r="Y234" s="225"/>
      <c r="Z234" s="224"/>
      <c r="AA234" s="226"/>
      <c r="AB234" s="224"/>
      <c r="AC234" s="225"/>
      <c r="AD234" s="224"/>
      <c r="AE234" s="224"/>
      <c r="AF234" s="224"/>
      <c r="AG234">
        <v>3.71</v>
      </c>
      <c r="AH234"/>
      <c r="AI234">
        <v>130</v>
      </c>
      <c r="AJ234" s="194">
        <v>41785</v>
      </c>
      <c r="AK234"/>
      <c r="AL234"/>
      <c r="AM234"/>
      <c r="AN234"/>
      <c r="AO234"/>
      <c r="AP234"/>
      <c r="AQ234" s="227"/>
      <c r="AR234" s="227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>
        <v>50.7</v>
      </c>
      <c r="BT234"/>
      <c r="BU234">
        <v>20.32</v>
      </c>
      <c r="BV234"/>
      <c r="BW234" s="229"/>
      <c r="BX234"/>
      <c r="BY234"/>
      <c r="BZ234"/>
      <c r="CA234"/>
      <c r="CC234"/>
      <c r="CD234"/>
      <c r="CE234">
        <v>6.45</v>
      </c>
      <c r="CF234"/>
      <c r="CG234">
        <v>0.61</v>
      </c>
      <c r="CH234"/>
      <c r="CI234"/>
      <c r="CJ234"/>
      <c r="CK234" t="s">
        <v>8820</v>
      </c>
      <c r="CL234"/>
      <c r="CM234"/>
    </row>
    <row r="235" spans="1:91" ht="15">
      <c r="A235" s="364" t="s">
        <v>7636</v>
      </c>
      <c r="B235" t="s">
        <v>267</v>
      </c>
      <c r="C235" t="s">
        <v>413</v>
      </c>
      <c r="D235">
        <v>31</v>
      </c>
      <c r="E235" s="113">
        <v>64</v>
      </c>
      <c r="F235" s="113">
        <v>6</v>
      </c>
      <c r="I235"/>
      <c r="K235" s="224">
        <v>7</v>
      </c>
      <c r="L235" s="390">
        <v>41625</v>
      </c>
      <c r="M235"/>
      <c r="N235" s="224"/>
      <c r="O235"/>
      <c r="P235"/>
      <c r="Q235"/>
      <c r="S235" s="224"/>
      <c r="T235" s="224"/>
      <c r="U235"/>
      <c r="V235"/>
      <c r="W235"/>
      <c r="X235"/>
      <c r="Y235" s="225"/>
      <c r="Z235" s="224"/>
      <c r="AA235" s="226"/>
      <c r="AB235" s="224"/>
      <c r="AC235" s="225"/>
      <c r="AD235" s="224"/>
      <c r="AE235" s="224"/>
      <c r="AF235" s="224"/>
      <c r="AG235">
        <v>4.6399999999999997</v>
      </c>
      <c r="AH235"/>
      <c r="AI235">
        <v>115</v>
      </c>
      <c r="AJ235" s="194">
        <v>41785</v>
      </c>
      <c r="AK235"/>
      <c r="AL235"/>
      <c r="AM235"/>
      <c r="AN235"/>
      <c r="AO235"/>
      <c r="AP235"/>
      <c r="AQ235" s="227"/>
      <c r="AR235" s="227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>
        <v>55.9</v>
      </c>
      <c r="BT235"/>
      <c r="BU235">
        <v>17.899999999999999</v>
      </c>
      <c r="BV235"/>
      <c r="BW235" s="229"/>
      <c r="BX235"/>
      <c r="BY235"/>
      <c r="BZ235"/>
      <c r="CA235"/>
      <c r="CC235"/>
      <c r="CD235"/>
      <c r="CE235">
        <v>3.28</v>
      </c>
      <c r="CF235"/>
      <c r="CG235">
        <v>3.59</v>
      </c>
      <c r="CH235"/>
      <c r="CI235"/>
      <c r="CJ235"/>
      <c r="CK235" t="s">
        <v>8820</v>
      </c>
      <c r="CL235"/>
      <c r="CM235"/>
    </row>
    <row r="236" spans="1:91" ht="15">
      <c r="A236" s="364" t="s">
        <v>7637</v>
      </c>
      <c r="B236" t="s">
        <v>267</v>
      </c>
      <c r="C236" t="s">
        <v>413</v>
      </c>
      <c r="D236">
        <v>32</v>
      </c>
      <c r="E236" s="113">
        <v>48</v>
      </c>
      <c r="F236" s="113">
        <v>1</v>
      </c>
      <c r="I236"/>
      <c r="K236" s="224">
        <v>6</v>
      </c>
      <c r="L236" s="390">
        <v>41625</v>
      </c>
      <c r="M236"/>
      <c r="N236" s="224"/>
      <c r="O236"/>
      <c r="P236"/>
      <c r="Q236"/>
      <c r="S236" s="224"/>
      <c r="T236" s="224"/>
      <c r="U236"/>
      <c r="V236"/>
      <c r="W236"/>
      <c r="X236"/>
      <c r="Y236" s="225"/>
      <c r="Z236" s="224"/>
      <c r="AA236" s="226"/>
      <c r="AB236" s="224"/>
      <c r="AC236" s="225"/>
      <c r="AD236" s="224"/>
      <c r="AE236" s="224"/>
      <c r="AF236" s="224"/>
      <c r="AG236">
        <v>4.1900000000000004</v>
      </c>
      <c r="AH236"/>
      <c r="AI236">
        <v>140</v>
      </c>
      <c r="AJ236" s="194">
        <v>41785</v>
      </c>
      <c r="AK236"/>
      <c r="AL236"/>
      <c r="AM236"/>
      <c r="AN236"/>
      <c r="AO236"/>
      <c r="AP236"/>
      <c r="AQ236" s="227"/>
      <c r="AR236" s="227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>
        <v>54.5</v>
      </c>
      <c r="BT236"/>
      <c r="BU236">
        <v>17.75</v>
      </c>
      <c r="BV236"/>
      <c r="BW236" s="229"/>
      <c r="BX236"/>
      <c r="BY236"/>
      <c r="BZ236"/>
      <c r="CA236"/>
      <c r="CC236"/>
      <c r="CD236"/>
      <c r="CE236">
        <v>5.13</v>
      </c>
      <c r="CF236"/>
      <c r="CG236">
        <v>0.17</v>
      </c>
      <c r="CH236"/>
      <c r="CI236"/>
      <c r="CJ236"/>
      <c r="CK236" t="s">
        <v>8820</v>
      </c>
      <c r="CL236"/>
      <c r="CM236"/>
    </row>
    <row r="237" spans="1:91" ht="15">
      <c r="A237" s="364" t="s">
        <v>7638</v>
      </c>
      <c r="B237" t="s">
        <v>267</v>
      </c>
      <c r="C237" t="s">
        <v>413</v>
      </c>
      <c r="D237">
        <v>33</v>
      </c>
      <c r="E237" s="113">
        <v>53</v>
      </c>
      <c r="F237" s="113">
        <v>1</v>
      </c>
      <c r="G237" s="233"/>
      <c r="H237" s="233"/>
      <c r="I237" s="232"/>
      <c r="J237" s="234"/>
      <c r="K237" s="235">
        <v>6</v>
      </c>
      <c r="L237" s="390">
        <v>41625</v>
      </c>
      <c r="M237" s="232"/>
      <c r="N237" s="235"/>
      <c r="O237" s="232"/>
      <c r="P237" s="232"/>
      <c r="Q237" s="232"/>
      <c r="R237" s="236"/>
      <c r="S237" s="235"/>
      <c r="T237" s="235"/>
      <c r="U237" s="232"/>
      <c r="V237" s="232"/>
      <c r="W237" s="232"/>
      <c r="X237" s="232"/>
      <c r="Y237" s="237"/>
      <c r="Z237" s="235"/>
      <c r="AA237" s="238"/>
      <c r="AB237" s="235"/>
      <c r="AC237" s="237"/>
      <c r="AD237" s="235"/>
      <c r="AE237" s="235"/>
      <c r="AF237" s="235"/>
      <c r="AG237" s="232">
        <v>4.16</v>
      </c>
      <c r="AH237" s="232"/>
      <c r="AI237" s="232">
        <v>120</v>
      </c>
      <c r="AJ237" s="194">
        <v>41785</v>
      </c>
      <c r="AK237" s="232"/>
      <c r="AL237" s="232"/>
      <c r="AM237" s="232"/>
      <c r="AN237" s="232"/>
      <c r="AO237" s="232"/>
      <c r="AP237" s="232"/>
      <c r="AQ237" s="239"/>
      <c r="AR237" s="23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232"/>
      <c r="BH237" s="232"/>
      <c r="BI237" s="232"/>
      <c r="BJ237" s="232"/>
      <c r="BK237" s="232"/>
      <c r="BL237" s="232"/>
      <c r="BM237" s="232"/>
      <c r="BN237" s="232"/>
      <c r="BO237" s="232"/>
      <c r="BP237" s="232"/>
      <c r="BQ237" s="232"/>
      <c r="BR237" s="232"/>
      <c r="BS237" s="232">
        <v>49.3</v>
      </c>
      <c r="BT237" s="232"/>
      <c r="BU237" s="232">
        <v>20.85</v>
      </c>
      <c r="BV237" s="232"/>
      <c r="BW237" s="240"/>
      <c r="BX237" s="232"/>
      <c r="BY237" s="232"/>
      <c r="BZ237" s="232"/>
      <c r="CA237" s="232"/>
      <c r="CB237" s="241"/>
      <c r="CC237" s="232"/>
      <c r="CD237" s="232"/>
      <c r="CE237" s="232">
        <v>3.61</v>
      </c>
      <c r="CF237" s="232"/>
      <c r="CG237" s="232">
        <v>0.61</v>
      </c>
      <c r="CH237" s="232"/>
      <c r="CI237" s="232"/>
      <c r="CJ237" s="232"/>
      <c r="CK237" t="s">
        <v>8820</v>
      </c>
      <c r="CL237" s="232"/>
      <c r="CM237" s="232"/>
    </row>
    <row r="238" spans="1:91" ht="15">
      <c r="A238" s="364" t="s">
        <v>7639</v>
      </c>
      <c r="B238" t="s">
        <v>267</v>
      </c>
      <c r="C238" t="s">
        <v>413</v>
      </c>
      <c r="D238">
        <v>34</v>
      </c>
      <c r="E238" s="113">
        <v>41</v>
      </c>
      <c r="F238" s="113">
        <v>2</v>
      </c>
      <c r="G238" s="233"/>
      <c r="H238" s="233"/>
      <c r="I238" s="232"/>
      <c r="J238" s="234"/>
      <c r="K238" s="235">
        <v>7</v>
      </c>
      <c r="L238" s="390">
        <v>41625</v>
      </c>
      <c r="M238" s="232"/>
      <c r="N238" s="235"/>
      <c r="O238" s="232"/>
      <c r="P238" s="232"/>
      <c r="Q238" s="232"/>
      <c r="R238" s="236"/>
      <c r="S238" s="235"/>
      <c r="T238" s="235"/>
      <c r="U238" s="232"/>
      <c r="V238" s="232"/>
      <c r="W238" s="232"/>
      <c r="X238" s="232"/>
      <c r="Y238" s="237"/>
      <c r="Z238" s="235"/>
      <c r="AA238" s="238"/>
      <c r="AB238" s="235"/>
      <c r="AC238" s="237"/>
      <c r="AD238" s="235"/>
      <c r="AE238" s="235"/>
      <c r="AF238" s="235"/>
      <c r="AG238" s="232">
        <v>4.3600000000000003</v>
      </c>
      <c r="AH238" s="232"/>
      <c r="AI238" s="232">
        <v>130</v>
      </c>
      <c r="AJ238" s="194">
        <v>41785</v>
      </c>
      <c r="AK238" s="232"/>
      <c r="AL238" s="232"/>
      <c r="AM238" s="232"/>
      <c r="AN238" s="232"/>
      <c r="AO238" s="232"/>
      <c r="AP238" s="232"/>
      <c r="AQ238" s="239"/>
      <c r="AR238" s="23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232"/>
      <c r="BH238" s="232"/>
      <c r="BI238" s="232"/>
      <c r="BJ238" s="232"/>
      <c r="BK238" s="232"/>
      <c r="BL238" s="232"/>
      <c r="BM238" s="232"/>
      <c r="BN238" s="232"/>
      <c r="BO238" s="232"/>
      <c r="BP238" s="232"/>
      <c r="BQ238" s="232"/>
      <c r="BR238" s="232"/>
      <c r="BS238" s="232">
        <v>48.8</v>
      </c>
      <c r="BT238" s="232"/>
      <c r="BU238" s="232">
        <v>19.84</v>
      </c>
      <c r="BV238" s="232"/>
      <c r="BW238" s="240"/>
      <c r="BX238" s="232"/>
      <c r="BY238" s="232"/>
      <c r="BZ238" s="232"/>
      <c r="CA238" s="232"/>
      <c r="CB238" s="241"/>
      <c r="CC238" s="232"/>
      <c r="CD238" s="232"/>
      <c r="CE238" s="232">
        <v>4.59</v>
      </c>
      <c r="CF238" s="232"/>
      <c r="CG238" s="232">
        <v>0.18</v>
      </c>
      <c r="CH238" s="232"/>
      <c r="CI238" s="232"/>
      <c r="CJ238" s="232"/>
      <c r="CK238" t="s">
        <v>8820</v>
      </c>
      <c r="CL238" s="232"/>
      <c r="CM238" s="232"/>
    </row>
    <row r="239" spans="1:91" ht="15">
      <c r="A239" s="364" t="s">
        <v>7640</v>
      </c>
      <c r="B239" t="s">
        <v>267</v>
      </c>
      <c r="C239" t="s">
        <v>413</v>
      </c>
      <c r="D239">
        <v>35</v>
      </c>
      <c r="E239" s="113">
        <v>71</v>
      </c>
      <c r="F239" s="113">
        <v>1</v>
      </c>
      <c r="I239"/>
      <c r="K239" s="224">
        <v>6</v>
      </c>
      <c r="L239" s="390">
        <v>41625</v>
      </c>
      <c r="M239"/>
      <c r="N239" s="224"/>
      <c r="O239"/>
      <c r="P239"/>
      <c r="Q239"/>
      <c r="S239" s="224"/>
      <c r="T239" s="224"/>
      <c r="U239"/>
      <c r="V239"/>
      <c r="W239"/>
      <c r="X239"/>
      <c r="Y239" s="225"/>
      <c r="Z239" s="224"/>
      <c r="AA239" s="226"/>
      <c r="AB239" s="224"/>
      <c r="AC239" s="225"/>
      <c r="AD239" s="224"/>
      <c r="AE239" s="224"/>
      <c r="AF239" s="224"/>
      <c r="AG239">
        <v>6.54</v>
      </c>
      <c r="AH239"/>
      <c r="AI239">
        <v>130</v>
      </c>
      <c r="AJ239" s="194">
        <v>41785</v>
      </c>
      <c r="AK239"/>
      <c r="AL239"/>
      <c r="AM239"/>
      <c r="AN239"/>
      <c r="AO239"/>
      <c r="AP239"/>
      <c r="AQ239" s="227"/>
      <c r="AR239" s="227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>
        <v>46</v>
      </c>
      <c r="BT239"/>
      <c r="BU239">
        <v>23.56</v>
      </c>
      <c r="BV239"/>
      <c r="BW239" s="229"/>
      <c r="BX239"/>
      <c r="BY239"/>
      <c r="BZ239"/>
      <c r="CA239"/>
      <c r="CC239"/>
      <c r="CD239"/>
      <c r="CE239">
        <v>6.26</v>
      </c>
      <c r="CF239"/>
      <c r="CG239">
        <v>1.23</v>
      </c>
      <c r="CH239"/>
      <c r="CI239"/>
      <c r="CJ239"/>
      <c r="CK239" t="s">
        <v>8820</v>
      </c>
      <c r="CL239"/>
      <c r="CM239"/>
    </row>
    <row r="240" spans="1:91" ht="15.75" thickBot="1">
      <c r="A240" s="364" t="s">
        <v>7641</v>
      </c>
      <c r="B240" s="343" t="s">
        <v>267</v>
      </c>
      <c r="C240" s="344" t="s">
        <v>413</v>
      </c>
      <c r="D240">
        <v>36</v>
      </c>
      <c r="E240" s="113">
        <v>62</v>
      </c>
      <c r="F240" s="113">
        <v>4</v>
      </c>
      <c r="I240"/>
      <c r="K240" s="224">
        <v>5</v>
      </c>
      <c r="L240" s="390">
        <v>41625</v>
      </c>
      <c r="M240"/>
      <c r="N240" s="224"/>
      <c r="O240"/>
      <c r="P240"/>
      <c r="Q240"/>
      <c r="S240" s="224"/>
      <c r="T240" s="224"/>
      <c r="U240"/>
      <c r="V240"/>
      <c r="W240"/>
      <c r="X240"/>
      <c r="Y240" s="225"/>
      <c r="Z240" s="224"/>
      <c r="AA240" s="226"/>
      <c r="AB240" s="224"/>
      <c r="AC240" s="225"/>
      <c r="AD240" s="224"/>
      <c r="AE240" s="224"/>
      <c r="AF240" s="224"/>
      <c r="AG240">
        <v>3.65</v>
      </c>
      <c r="AH240"/>
      <c r="AI240">
        <v>130</v>
      </c>
      <c r="AJ240" s="194">
        <v>41785</v>
      </c>
      <c r="AK240"/>
      <c r="AL240"/>
      <c r="AM240"/>
      <c r="AN240"/>
      <c r="AO240"/>
      <c r="AP240"/>
      <c r="AQ240" s="227"/>
      <c r="AR240" s="227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>
        <v>52.2</v>
      </c>
      <c r="BT240"/>
      <c r="BU240">
        <v>17.77</v>
      </c>
      <c r="BV240"/>
      <c r="BW240" s="229"/>
      <c r="BX240"/>
      <c r="BY240"/>
      <c r="BZ240"/>
      <c r="CA240"/>
      <c r="CC240"/>
      <c r="CD240"/>
      <c r="CE240">
        <v>3.67</v>
      </c>
      <c r="CF240"/>
      <c r="CG240">
        <v>1.06</v>
      </c>
      <c r="CH240"/>
      <c r="CI240"/>
      <c r="CJ240"/>
      <c r="CK240" t="s">
        <v>8820</v>
      </c>
      <c r="CL240"/>
      <c r="CM240"/>
    </row>
    <row r="241" spans="1:91" ht="15">
      <c r="A241" s="364" t="s">
        <v>7642</v>
      </c>
      <c r="B241" t="s">
        <v>267</v>
      </c>
      <c r="C241" t="s">
        <v>413</v>
      </c>
      <c r="D241" s="232">
        <v>37</v>
      </c>
      <c r="E241" s="113">
        <v>46</v>
      </c>
      <c r="F241" s="113">
        <v>1</v>
      </c>
      <c r="I241"/>
      <c r="K241" s="224">
        <v>7</v>
      </c>
      <c r="L241" s="390">
        <v>41625</v>
      </c>
      <c r="M241"/>
      <c r="N241" s="224"/>
      <c r="O241"/>
      <c r="P241"/>
      <c r="Q241"/>
      <c r="S241" s="224"/>
      <c r="T241" s="224"/>
      <c r="U241"/>
      <c r="V241"/>
      <c r="W241"/>
      <c r="X241"/>
      <c r="Y241" s="225"/>
      <c r="Z241" s="224"/>
      <c r="AA241" s="226"/>
      <c r="AB241" s="224"/>
      <c r="AC241" s="225"/>
      <c r="AD241" s="224"/>
      <c r="AE241" s="224"/>
      <c r="AF241" s="224"/>
      <c r="AG241">
        <v>4.2</v>
      </c>
      <c r="AH241"/>
      <c r="AI241">
        <v>140</v>
      </c>
      <c r="AJ241" s="194">
        <v>41785</v>
      </c>
      <c r="AK241"/>
      <c r="AL241"/>
      <c r="AM241"/>
      <c r="AN241"/>
      <c r="AO241"/>
      <c r="AP241"/>
      <c r="AQ241" s="227"/>
      <c r="AR241" s="227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>
        <v>50.9</v>
      </c>
      <c r="BT241"/>
      <c r="BU241">
        <v>17.61</v>
      </c>
      <c r="BV241"/>
      <c r="BW241" s="229"/>
      <c r="BX241"/>
      <c r="BY241"/>
      <c r="BZ241"/>
      <c r="CA241"/>
      <c r="CC241"/>
      <c r="CD241"/>
      <c r="CE241">
        <v>4.71</v>
      </c>
      <c r="CF241"/>
      <c r="CG241">
        <v>0.09</v>
      </c>
      <c r="CH241"/>
      <c r="CI241"/>
      <c r="CJ241"/>
      <c r="CK241" t="s">
        <v>8820</v>
      </c>
      <c r="CL241"/>
      <c r="CM241"/>
    </row>
    <row r="242" spans="1:91" ht="15">
      <c r="A242" s="364" t="s">
        <v>7643</v>
      </c>
      <c r="B242" t="s">
        <v>267</v>
      </c>
      <c r="C242" t="s">
        <v>413</v>
      </c>
      <c r="D242">
        <v>38</v>
      </c>
      <c r="E242" s="113">
        <v>60</v>
      </c>
      <c r="F242" s="113">
        <v>2</v>
      </c>
      <c r="G242" s="233"/>
      <c r="H242" s="233"/>
      <c r="I242" s="232"/>
      <c r="J242" s="234"/>
      <c r="K242" s="235">
        <v>7</v>
      </c>
      <c r="L242" s="390">
        <v>41625</v>
      </c>
      <c r="M242" s="232"/>
      <c r="N242" s="235"/>
      <c r="O242" s="232"/>
      <c r="P242" s="232"/>
      <c r="Q242" s="232"/>
      <c r="R242" s="236"/>
      <c r="S242" s="235"/>
      <c r="T242" s="235"/>
      <c r="U242" s="232"/>
      <c r="V242" s="232"/>
      <c r="W242" s="232"/>
      <c r="X242" s="232"/>
      <c r="Y242" s="237"/>
      <c r="Z242" s="235"/>
      <c r="AA242" s="238"/>
      <c r="AB242" s="235"/>
      <c r="AC242" s="237"/>
      <c r="AD242" s="235"/>
      <c r="AE242" s="235"/>
      <c r="AF242" s="235"/>
      <c r="AG242" s="232">
        <v>6.56</v>
      </c>
      <c r="AH242" s="232"/>
      <c r="AI242" s="232">
        <v>130</v>
      </c>
      <c r="AJ242" s="194">
        <v>41785</v>
      </c>
      <c r="AK242" s="232"/>
      <c r="AL242" s="232"/>
      <c r="AM242" s="232"/>
      <c r="AN242" s="232"/>
      <c r="AO242" s="232"/>
      <c r="AP242" s="232"/>
      <c r="AQ242" s="239"/>
      <c r="AR242" s="23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232"/>
      <c r="BH242" s="232"/>
      <c r="BI242" s="232"/>
      <c r="BJ242" s="232"/>
      <c r="BK242" s="232"/>
      <c r="BL242" s="232"/>
      <c r="BM242" s="232"/>
      <c r="BN242" s="232"/>
      <c r="BO242" s="232"/>
      <c r="BP242" s="232"/>
      <c r="BQ242" s="232"/>
      <c r="BR242" s="232"/>
      <c r="BS242" s="232">
        <v>46</v>
      </c>
      <c r="BT242" s="232"/>
      <c r="BU242" s="232">
        <v>22.99</v>
      </c>
      <c r="BV242" s="232"/>
      <c r="BW242" s="232"/>
      <c r="BX242" s="243"/>
      <c r="BY242" s="232"/>
      <c r="BZ242" s="232"/>
      <c r="CA242" s="232"/>
      <c r="CB242" s="241"/>
      <c r="CC242" s="232"/>
      <c r="CD242" s="232"/>
      <c r="CE242" s="232">
        <v>4.5199999999999996</v>
      </c>
      <c r="CF242" s="232"/>
      <c r="CG242" s="232">
        <v>0.79</v>
      </c>
      <c r="CH242" s="232"/>
      <c r="CI242" s="232"/>
      <c r="CJ242" s="232"/>
      <c r="CK242" t="s">
        <v>8820</v>
      </c>
      <c r="CL242" s="232"/>
      <c r="CM242" s="232"/>
    </row>
    <row r="243" spans="1:91" ht="15">
      <c r="A243" s="364" t="s">
        <v>7644</v>
      </c>
      <c r="B243" t="s">
        <v>267</v>
      </c>
      <c r="C243" t="s">
        <v>413</v>
      </c>
      <c r="D243" s="232">
        <v>39</v>
      </c>
      <c r="E243" s="113">
        <v>58</v>
      </c>
      <c r="F243" s="113">
        <v>4</v>
      </c>
      <c r="I243"/>
      <c r="K243" s="224">
        <v>7</v>
      </c>
      <c r="L243" s="390">
        <v>41625</v>
      </c>
      <c r="M243"/>
      <c r="N243" s="224"/>
      <c r="O243"/>
      <c r="P243"/>
      <c r="Q243"/>
      <c r="S243" s="224"/>
      <c r="T243" s="224"/>
      <c r="U243"/>
      <c r="V243"/>
      <c r="W243"/>
      <c r="X243"/>
      <c r="Y243" s="225"/>
      <c r="Z243" s="224"/>
      <c r="AA243" s="226"/>
      <c r="AB243" s="224"/>
      <c r="AC243" s="225"/>
      <c r="AD243" s="224"/>
      <c r="AE243" s="224"/>
      <c r="AF243" s="224"/>
      <c r="AG243">
        <v>4.5599999999999996</v>
      </c>
      <c r="AH243"/>
      <c r="AI243">
        <v>165</v>
      </c>
      <c r="AJ243" s="194">
        <v>41785</v>
      </c>
      <c r="AK243"/>
      <c r="AL243"/>
      <c r="AM243"/>
      <c r="AN243"/>
      <c r="AO243"/>
      <c r="AP243"/>
      <c r="AQ243" s="227"/>
      <c r="AR243" s="227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>
        <v>47.3</v>
      </c>
      <c r="BT243"/>
      <c r="BU243">
        <v>20.22</v>
      </c>
      <c r="BV243"/>
      <c r="BW243" s="229"/>
      <c r="BX243"/>
      <c r="BY243"/>
      <c r="BZ243"/>
      <c r="CA243"/>
      <c r="CC243"/>
      <c r="CD243"/>
      <c r="CE243">
        <v>5.18</v>
      </c>
      <c r="CF243"/>
      <c r="CG243">
        <v>1.1399999999999999</v>
      </c>
      <c r="CH243"/>
      <c r="CI243"/>
      <c r="CJ243"/>
      <c r="CK243" t="s">
        <v>8820</v>
      </c>
      <c r="CL243"/>
      <c r="CM243"/>
    </row>
    <row r="244" spans="1:91" ht="15">
      <c r="A244" s="364" t="s">
        <v>7645</v>
      </c>
      <c r="B244" t="s">
        <v>267</v>
      </c>
      <c r="C244" t="s">
        <v>413</v>
      </c>
      <c r="D244">
        <v>40</v>
      </c>
      <c r="E244" s="113">
        <v>52</v>
      </c>
      <c r="F244" s="113">
        <v>5</v>
      </c>
      <c r="I244"/>
      <c r="K244" s="224">
        <v>7</v>
      </c>
      <c r="L244" s="390">
        <v>41625</v>
      </c>
      <c r="M244"/>
      <c r="N244" s="224"/>
      <c r="O244"/>
      <c r="P244"/>
      <c r="Q244"/>
      <c r="S244" s="224"/>
      <c r="T244" s="224"/>
      <c r="U244"/>
      <c r="V244"/>
      <c r="W244"/>
      <c r="X244"/>
      <c r="Y244" s="225"/>
      <c r="Z244" s="224"/>
      <c r="AA244" s="226"/>
      <c r="AB244" s="224"/>
      <c r="AC244" s="225"/>
      <c r="AD244" s="224"/>
      <c r="AE244" s="224"/>
      <c r="AF244" s="224"/>
      <c r="AG244">
        <v>4.87</v>
      </c>
      <c r="AH244"/>
      <c r="AI244">
        <v>110</v>
      </c>
      <c r="AJ244" s="194">
        <v>41785</v>
      </c>
      <c r="AK244"/>
      <c r="AL244"/>
      <c r="AM244"/>
      <c r="AN244"/>
      <c r="AO244"/>
      <c r="AP244"/>
      <c r="AQ244" s="227"/>
      <c r="AR244" s="227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>
        <v>47.5</v>
      </c>
      <c r="BT244"/>
      <c r="BU244">
        <v>19.72</v>
      </c>
      <c r="BV244"/>
      <c r="BW244" s="229"/>
      <c r="BX244"/>
      <c r="BY244"/>
      <c r="BZ244"/>
      <c r="CA244"/>
      <c r="CC244"/>
      <c r="CD244"/>
      <c r="CE244">
        <v>3.97</v>
      </c>
      <c r="CF244"/>
      <c r="CG244">
        <v>2.62</v>
      </c>
      <c r="CH244"/>
      <c r="CI244"/>
      <c r="CJ244"/>
      <c r="CK244" t="s">
        <v>8820</v>
      </c>
      <c r="CL244"/>
      <c r="CM244"/>
    </row>
    <row r="245" spans="1:91" ht="15">
      <c r="A245" s="364" t="s">
        <v>7646</v>
      </c>
      <c r="B245" t="s">
        <v>267</v>
      </c>
      <c r="C245" t="s">
        <v>413</v>
      </c>
      <c r="D245">
        <v>41</v>
      </c>
      <c r="E245" s="113">
        <v>37</v>
      </c>
      <c r="F245" s="113">
        <v>5</v>
      </c>
      <c r="I245"/>
      <c r="K245" s="224">
        <v>6</v>
      </c>
      <c r="L245" s="390">
        <v>41625</v>
      </c>
      <c r="M245"/>
      <c r="N245" s="224"/>
      <c r="O245"/>
      <c r="P245"/>
      <c r="Q245"/>
      <c r="S245" s="224"/>
      <c r="T245" s="224"/>
      <c r="U245"/>
      <c r="V245"/>
      <c r="W245"/>
      <c r="X245"/>
      <c r="Y245" s="225"/>
      <c r="Z245" s="224"/>
      <c r="AA245" s="226"/>
      <c r="AB245" s="224"/>
      <c r="AC245" s="225"/>
      <c r="AD245" s="224"/>
      <c r="AE245" s="224"/>
      <c r="AF245" s="224"/>
      <c r="AG245">
        <v>4.96</v>
      </c>
      <c r="AH245"/>
      <c r="AI245">
        <v>105</v>
      </c>
      <c r="AJ245" s="194">
        <v>41785</v>
      </c>
      <c r="AK245"/>
      <c r="AL245"/>
      <c r="AM245"/>
      <c r="AN245"/>
      <c r="AO245"/>
      <c r="AP245"/>
      <c r="AQ245" s="227"/>
      <c r="AR245" s="227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>
        <v>46.9</v>
      </c>
      <c r="BT245"/>
      <c r="BU245">
        <v>20.8</v>
      </c>
      <c r="BV245"/>
      <c r="BW245" s="229"/>
      <c r="BX245"/>
      <c r="BY245"/>
      <c r="BZ245"/>
      <c r="CA245"/>
      <c r="CC245"/>
      <c r="CD245"/>
      <c r="CE245">
        <v>6.57</v>
      </c>
      <c r="CF245"/>
      <c r="CG245">
        <v>0.17</v>
      </c>
      <c r="CH245"/>
      <c r="CI245"/>
      <c r="CJ245"/>
      <c r="CK245" t="s">
        <v>8820</v>
      </c>
      <c r="CL245"/>
      <c r="CM245"/>
    </row>
    <row r="246" spans="1:91" ht="15">
      <c r="A246" s="364" t="s">
        <v>7648</v>
      </c>
      <c r="B246" t="s">
        <v>267</v>
      </c>
      <c r="C246" t="s">
        <v>413</v>
      </c>
      <c r="D246">
        <v>43</v>
      </c>
      <c r="E246" s="113">
        <v>61</v>
      </c>
      <c r="F246" s="113">
        <v>3</v>
      </c>
      <c r="I246"/>
      <c r="K246" s="224">
        <v>7</v>
      </c>
      <c r="L246" s="390">
        <v>41625</v>
      </c>
      <c r="M246"/>
      <c r="N246" s="224"/>
      <c r="O246"/>
      <c r="P246"/>
      <c r="Q246"/>
      <c r="S246" s="224"/>
      <c r="T246" s="224"/>
      <c r="U246"/>
      <c r="V246"/>
      <c r="W246"/>
      <c r="X246"/>
      <c r="Y246" s="225"/>
      <c r="Z246" s="224"/>
      <c r="AA246" s="226"/>
      <c r="AB246" s="224"/>
      <c r="AC246" s="225"/>
      <c r="AD246" s="224"/>
      <c r="AE246" s="224"/>
      <c r="AF246" s="224"/>
      <c r="AG246">
        <v>3.91</v>
      </c>
      <c r="AH246"/>
      <c r="AI246">
        <v>160</v>
      </c>
      <c r="AJ246" s="194">
        <v>41785</v>
      </c>
      <c r="AK246"/>
      <c r="AL246"/>
      <c r="AM246"/>
      <c r="AN246"/>
      <c r="AO246"/>
      <c r="AP246"/>
      <c r="AQ246" s="227"/>
      <c r="AR246" s="227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>
        <v>52.5</v>
      </c>
      <c r="BT246"/>
      <c r="BU246">
        <v>19.02</v>
      </c>
      <c r="BV246"/>
      <c r="BW246" s="229"/>
      <c r="BX246"/>
      <c r="BY246"/>
      <c r="BZ246"/>
      <c r="CA246"/>
      <c r="CC246"/>
      <c r="CD246"/>
      <c r="CE246">
        <v>4.0999999999999996</v>
      </c>
      <c r="CF246"/>
      <c r="CG246">
        <v>0.43</v>
      </c>
      <c r="CH246"/>
      <c r="CI246"/>
      <c r="CJ246"/>
      <c r="CK246" t="s">
        <v>8820</v>
      </c>
      <c r="CL246"/>
      <c r="CM246"/>
    </row>
    <row r="247" spans="1:91" ht="15">
      <c r="A247" s="364" t="s">
        <v>7649</v>
      </c>
      <c r="B247" t="s">
        <v>267</v>
      </c>
      <c r="C247" t="s">
        <v>413</v>
      </c>
      <c r="D247">
        <v>44</v>
      </c>
      <c r="E247" s="113">
        <v>43</v>
      </c>
      <c r="F247" s="113">
        <v>6</v>
      </c>
      <c r="I247"/>
      <c r="K247" s="224">
        <v>7</v>
      </c>
      <c r="L247" s="390">
        <v>41625</v>
      </c>
      <c r="M247"/>
      <c r="N247" s="224"/>
      <c r="O247"/>
      <c r="P247"/>
      <c r="Q247"/>
      <c r="S247" s="224"/>
      <c r="T247" s="224"/>
      <c r="U247"/>
      <c r="V247"/>
      <c r="W247"/>
      <c r="X247"/>
      <c r="Y247" s="225"/>
      <c r="Z247" s="224"/>
      <c r="AA247" s="226"/>
      <c r="AB247" s="224"/>
      <c r="AC247" s="225"/>
      <c r="AD247" s="224"/>
      <c r="AE247" s="224"/>
      <c r="AF247" s="224"/>
      <c r="AG247">
        <v>3.71</v>
      </c>
      <c r="AH247"/>
      <c r="AI247">
        <v>160</v>
      </c>
      <c r="AJ247" s="194">
        <v>41785</v>
      </c>
      <c r="AK247"/>
      <c r="AL247"/>
      <c r="AM247"/>
      <c r="AN247"/>
      <c r="AO247"/>
      <c r="AP247"/>
      <c r="AQ247" s="227"/>
      <c r="AR247" s="22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>
        <v>46</v>
      </c>
      <c r="BT247"/>
      <c r="BU247">
        <v>21.21</v>
      </c>
      <c r="BV247"/>
      <c r="BW247" s="229"/>
      <c r="BX247"/>
      <c r="BY247"/>
      <c r="BZ247"/>
      <c r="CA247"/>
      <c r="CC247"/>
      <c r="CD247"/>
      <c r="CE247">
        <v>6.34</v>
      </c>
      <c r="CF247"/>
      <c r="CG247">
        <v>0.43</v>
      </c>
      <c r="CH247"/>
      <c r="CI247"/>
      <c r="CJ247"/>
      <c r="CK247" t="s">
        <v>8820</v>
      </c>
      <c r="CL247"/>
      <c r="CM247"/>
    </row>
    <row r="248" spans="1:91" ht="15">
      <c r="A248" s="364" t="s">
        <v>7650</v>
      </c>
      <c r="B248" t="s">
        <v>267</v>
      </c>
      <c r="C248" t="s">
        <v>413</v>
      </c>
      <c r="D248">
        <v>45</v>
      </c>
      <c r="E248" s="113">
        <v>55</v>
      </c>
      <c r="F248" s="113">
        <v>2</v>
      </c>
      <c r="I248"/>
      <c r="K248" s="224">
        <v>6</v>
      </c>
      <c r="L248" s="390">
        <v>41625</v>
      </c>
      <c r="M248"/>
      <c r="N248" s="224"/>
      <c r="O248"/>
      <c r="P248"/>
      <c r="Q248"/>
      <c r="S248" s="224"/>
      <c r="T248" s="224"/>
      <c r="U248"/>
      <c r="V248"/>
      <c r="W248"/>
      <c r="X248"/>
      <c r="Y248" s="225"/>
      <c r="Z248" s="224"/>
      <c r="AA248" s="226"/>
      <c r="AB248" s="224"/>
      <c r="AC248" s="225"/>
      <c r="AD248" s="224"/>
      <c r="AE248" s="224"/>
      <c r="AF248" s="224"/>
      <c r="AG248">
        <v>3.5</v>
      </c>
      <c r="AH248"/>
      <c r="AI248">
        <v>140</v>
      </c>
      <c r="AJ248" s="194">
        <v>41785</v>
      </c>
      <c r="AK248"/>
      <c r="AL248"/>
      <c r="AM248"/>
      <c r="AN248"/>
      <c r="AO248"/>
      <c r="AP248"/>
      <c r="AQ248" s="227"/>
      <c r="AR248" s="227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>
        <v>48.7</v>
      </c>
      <c r="BT248"/>
      <c r="BU248">
        <v>19.3</v>
      </c>
      <c r="BV248"/>
      <c r="BW248" s="229"/>
      <c r="BX248"/>
      <c r="BY248"/>
      <c r="BZ248"/>
      <c r="CA248"/>
      <c r="CC248"/>
      <c r="CD248"/>
      <c r="CE248">
        <v>3.91</v>
      </c>
      <c r="CF248"/>
      <c r="CG248">
        <v>1.61</v>
      </c>
      <c r="CH248"/>
      <c r="CI248"/>
      <c r="CJ248"/>
      <c r="CK248" t="s">
        <v>8820</v>
      </c>
      <c r="CL248"/>
      <c r="CM248"/>
    </row>
    <row r="249" spans="1:91" ht="15">
      <c r="A249" s="364" t="s">
        <v>7651</v>
      </c>
      <c r="B249" t="s">
        <v>267</v>
      </c>
      <c r="C249" t="s">
        <v>413</v>
      </c>
      <c r="D249">
        <v>46</v>
      </c>
      <c r="E249" s="113">
        <v>41</v>
      </c>
      <c r="F249" s="113">
        <v>5</v>
      </c>
      <c r="G249" s="233"/>
      <c r="H249" s="233"/>
      <c r="I249" s="232"/>
      <c r="J249" s="234"/>
      <c r="K249" s="235">
        <v>7</v>
      </c>
      <c r="L249" s="390">
        <v>41625</v>
      </c>
      <c r="M249" s="232"/>
      <c r="N249" s="235"/>
      <c r="O249" s="232"/>
      <c r="P249" s="232"/>
      <c r="Q249" s="232"/>
      <c r="R249" s="236"/>
      <c r="S249" s="235"/>
      <c r="T249" s="235"/>
      <c r="U249" s="232"/>
      <c r="V249" s="232"/>
      <c r="W249" s="232"/>
      <c r="X249" s="232"/>
      <c r="Y249" s="237"/>
      <c r="Z249" s="235"/>
      <c r="AA249" s="238"/>
      <c r="AB249" s="235"/>
      <c r="AC249" s="237"/>
      <c r="AD249" s="235"/>
      <c r="AE249" s="235"/>
      <c r="AF249" s="235"/>
      <c r="AG249" s="232">
        <v>3.82</v>
      </c>
      <c r="AH249" s="232"/>
      <c r="AI249" s="232">
        <v>160</v>
      </c>
      <c r="AJ249" s="194">
        <v>41785</v>
      </c>
      <c r="AK249" s="232"/>
      <c r="AL249" s="232"/>
      <c r="AM249" s="232"/>
      <c r="AN249" s="232"/>
      <c r="AO249" s="232"/>
      <c r="AP249" s="232"/>
      <c r="AQ249" s="239"/>
      <c r="AR249" s="23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232"/>
      <c r="BH249" s="232"/>
      <c r="BI249" s="232"/>
      <c r="BJ249" s="232"/>
      <c r="BK249" s="232"/>
      <c r="BL249" s="232"/>
      <c r="BM249" s="232"/>
      <c r="BN249" s="232"/>
      <c r="BO249" s="232"/>
      <c r="BP249" s="232"/>
      <c r="BQ249" s="232"/>
      <c r="BR249" s="232"/>
      <c r="BS249" s="232">
        <v>43.7</v>
      </c>
      <c r="BT249" s="232"/>
      <c r="BU249" s="232">
        <v>22.06</v>
      </c>
      <c r="BV249" s="232"/>
      <c r="BW249" s="240"/>
      <c r="BX249" s="232"/>
      <c r="BY249" s="232"/>
      <c r="BZ249" s="232"/>
      <c r="CA249" s="232"/>
      <c r="CB249" s="241"/>
      <c r="CC249" s="232"/>
      <c r="CD249" s="232"/>
      <c r="CE249" s="232">
        <v>4.92</v>
      </c>
      <c r="CF249" s="232"/>
      <c r="CG249" s="232">
        <v>0.17</v>
      </c>
      <c r="CH249" s="232"/>
      <c r="CI249" s="232"/>
      <c r="CJ249" s="232"/>
      <c r="CK249" t="s">
        <v>8820</v>
      </c>
      <c r="CL249" s="232"/>
      <c r="CM249" s="232"/>
    </row>
    <row r="250" spans="1:91" ht="15">
      <c r="A250" s="364" t="s">
        <v>7652</v>
      </c>
      <c r="B250" t="s">
        <v>267</v>
      </c>
      <c r="C250" t="s">
        <v>413</v>
      </c>
      <c r="D250">
        <v>47</v>
      </c>
      <c r="E250" s="113">
        <v>64</v>
      </c>
      <c r="F250" s="113">
        <v>5</v>
      </c>
      <c r="I250"/>
      <c r="K250" s="224">
        <v>7</v>
      </c>
      <c r="L250" s="390">
        <v>41625</v>
      </c>
      <c r="M250"/>
      <c r="N250" s="224"/>
      <c r="O250"/>
      <c r="P250"/>
      <c r="Q250"/>
      <c r="S250" s="224"/>
      <c r="T250" s="224"/>
      <c r="U250"/>
      <c r="V250"/>
      <c r="W250"/>
      <c r="X250"/>
      <c r="Y250" s="225"/>
      <c r="Z250" s="224"/>
      <c r="AA250" s="226"/>
      <c r="AB250" s="224"/>
      <c r="AC250" s="225"/>
      <c r="AD250" s="224"/>
      <c r="AE250" s="224"/>
      <c r="AF250" s="224"/>
      <c r="AG250">
        <v>3.82</v>
      </c>
      <c r="AH250"/>
      <c r="AI250">
        <v>105</v>
      </c>
      <c r="AJ250" s="194">
        <v>41785</v>
      </c>
      <c r="AK250"/>
      <c r="AL250"/>
      <c r="AM250"/>
      <c r="AN250"/>
      <c r="AO250"/>
      <c r="AP250"/>
      <c r="AQ250" s="227"/>
      <c r="AR250" s="227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>
        <v>53.1</v>
      </c>
      <c r="BT250"/>
      <c r="BU250">
        <v>18.59</v>
      </c>
      <c r="BV250"/>
      <c r="BW250" s="229"/>
      <c r="BX250"/>
      <c r="BY250"/>
      <c r="BZ250"/>
      <c r="CA250"/>
      <c r="CC250"/>
      <c r="CD250"/>
      <c r="CE250">
        <v>3.93</v>
      </c>
      <c r="CF250"/>
      <c r="CG250">
        <v>1.27</v>
      </c>
      <c r="CH250"/>
      <c r="CI250"/>
      <c r="CJ250"/>
      <c r="CK250" t="s">
        <v>8820</v>
      </c>
      <c r="CL250"/>
      <c r="CM250"/>
    </row>
    <row r="251" spans="1:91" ht="15">
      <c r="A251" s="364" t="s">
        <v>7653</v>
      </c>
      <c r="B251" t="s">
        <v>267</v>
      </c>
      <c r="C251" t="s">
        <v>413</v>
      </c>
      <c r="D251">
        <v>48</v>
      </c>
      <c r="E251" s="113">
        <v>39</v>
      </c>
      <c r="F251" s="113">
        <v>2</v>
      </c>
      <c r="I251"/>
      <c r="K251" s="224">
        <v>7</v>
      </c>
      <c r="L251" s="390">
        <v>41625</v>
      </c>
      <c r="M251"/>
      <c r="N251" s="224"/>
      <c r="O251"/>
      <c r="P251"/>
      <c r="Q251"/>
      <c r="S251" s="224"/>
      <c r="T251" s="224"/>
      <c r="U251"/>
      <c r="V251"/>
      <c r="W251"/>
      <c r="X251"/>
      <c r="Y251" s="225"/>
      <c r="Z251" s="224"/>
      <c r="AA251" s="226"/>
      <c r="AB251" s="224"/>
      <c r="AC251" s="225"/>
      <c r="AD251" s="224"/>
      <c r="AE251" s="224"/>
      <c r="AF251" s="224"/>
      <c r="AG251">
        <v>4.0599999999999996</v>
      </c>
      <c r="AH251"/>
      <c r="AI251">
        <v>150</v>
      </c>
      <c r="AJ251" s="194">
        <v>41785</v>
      </c>
      <c r="AK251"/>
      <c r="AL251"/>
      <c r="AM251"/>
      <c r="AN251"/>
      <c r="AO251"/>
      <c r="AP251"/>
      <c r="AQ251" s="227"/>
      <c r="AR251" s="227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>
        <v>50.1</v>
      </c>
      <c r="BT251"/>
      <c r="BU251">
        <v>18.95</v>
      </c>
      <c r="BV251"/>
      <c r="BW251" s="229"/>
      <c r="BX251"/>
      <c r="BY251"/>
      <c r="BZ251"/>
      <c r="CA251"/>
      <c r="CC251"/>
      <c r="CD251"/>
      <c r="CE251">
        <v>4.53</v>
      </c>
      <c r="CF251"/>
      <c r="CG251">
        <v>0.51</v>
      </c>
      <c r="CH251"/>
      <c r="CI251"/>
      <c r="CJ251"/>
      <c r="CK251" t="s">
        <v>8820</v>
      </c>
      <c r="CL251"/>
      <c r="CM251"/>
    </row>
    <row r="252" spans="1:91" ht="15">
      <c r="A252" s="364" t="s">
        <v>7654</v>
      </c>
      <c r="B252" t="s">
        <v>267</v>
      </c>
      <c r="C252" t="s">
        <v>413</v>
      </c>
      <c r="D252">
        <v>49</v>
      </c>
      <c r="E252" s="113">
        <v>43</v>
      </c>
      <c r="F252" s="113">
        <v>3</v>
      </c>
      <c r="G252" s="233"/>
      <c r="H252" s="233"/>
      <c r="I252" s="232"/>
      <c r="J252" s="234"/>
      <c r="K252" s="235">
        <v>7</v>
      </c>
      <c r="L252" s="390">
        <v>41625</v>
      </c>
      <c r="M252" s="232"/>
      <c r="N252" s="235"/>
      <c r="O252" s="232"/>
      <c r="P252" s="232"/>
      <c r="Q252" s="232"/>
      <c r="R252" s="236"/>
      <c r="S252" s="235"/>
      <c r="T252" s="235"/>
      <c r="U252" s="232"/>
      <c r="V252" s="232"/>
      <c r="W252" s="232"/>
      <c r="X252" s="232"/>
      <c r="Y252" s="237"/>
      <c r="Z252" s="235"/>
      <c r="AA252" s="238"/>
      <c r="AB252" s="235"/>
      <c r="AC252" s="237"/>
      <c r="AD252" s="235"/>
      <c r="AE252" s="235"/>
      <c r="AF252" s="235"/>
      <c r="AG252" s="232">
        <v>4.8499999999999996</v>
      </c>
      <c r="AH252" s="232"/>
      <c r="AI252" s="232">
        <v>130</v>
      </c>
      <c r="AJ252" s="194">
        <v>41785</v>
      </c>
      <c r="AK252" s="232"/>
      <c r="AL252" s="232"/>
      <c r="AM252" s="232"/>
      <c r="AN252" s="232"/>
      <c r="AO252" s="232"/>
      <c r="AP252" s="232"/>
      <c r="AQ252" s="239"/>
      <c r="AR252" s="23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232"/>
      <c r="BH252" s="232"/>
      <c r="BI252" s="232"/>
      <c r="BJ252" s="232"/>
      <c r="BK252" s="232"/>
      <c r="BL252" s="232"/>
      <c r="BM252" s="232"/>
      <c r="BN252" s="232"/>
      <c r="BO252" s="232"/>
      <c r="BP252" s="232"/>
      <c r="BQ252" s="232"/>
      <c r="BR252" s="232"/>
      <c r="BS252" s="232">
        <v>49.9</v>
      </c>
      <c r="BT252" s="232"/>
      <c r="BU252" s="232">
        <v>18.989999999999998</v>
      </c>
      <c r="BV252" s="232"/>
      <c r="BW252" s="240"/>
      <c r="BX252" s="232"/>
      <c r="BY252" s="232"/>
      <c r="BZ252" s="232"/>
      <c r="CA252" s="232"/>
      <c r="CB252" s="241"/>
      <c r="CC252" s="232"/>
      <c r="CD252" s="232"/>
      <c r="CE252" s="232">
        <v>5.88</v>
      </c>
      <c r="CF252" s="232"/>
      <c r="CG252" s="232">
        <v>0.26</v>
      </c>
      <c r="CH252" s="232"/>
      <c r="CI252" s="232"/>
      <c r="CJ252" s="232"/>
      <c r="CK252" t="s">
        <v>8820</v>
      </c>
      <c r="CL252" s="232"/>
      <c r="CM252" s="232"/>
    </row>
    <row r="253" spans="1:91" ht="15">
      <c r="A253" s="364" t="s">
        <v>7655</v>
      </c>
      <c r="B253" t="s">
        <v>267</v>
      </c>
      <c r="C253" t="s">
        <v>413</v>
      </c>
      <c r="D253" s="232">
        <v>50</v>
      </c>
      <c r="E253" s="113">
        <v>65</v>
      </c>
      <c r="F253" s="113">
        <v>2</v>
      </c>
      <c r="G253" s="233"/>
      <c r="H253" s="233"/>
      <c r="I253" s="232"/>
      <c r="J253" s="234"/>
      <c r="K253" s="235">
        <v>7</v>
      </c>
      <c r="L253" s="390">
        <v>41625</v>
      </c>
      <c r="M253" s="232"/>
      <c r="N253" s="235"/>
      <c r="O253" s="232"/>
      <c r="P253" s="232"/>
      <c r="Q253" s="232"/>
      <c r="R253" s="236"/>
      <c r="S253" s="235"/>
      <c r="T253" s="235"/>
      <c r="U253" s="232"/>
      <c r="V253" s="232"/>
      <c r="W253" s="232"/>
      <c r="X253" s="232"/>
      <c r="Y253" s="237"/>
      <c r="Z253" s="235"/>
      <c r="AA253" s="238"/>
      <c r="AB253" s="235"/>
      <c r="AC253" s="237"/>
      <c r="AD253" s="235"/>
      <c r="AE253" s="235"/>
      <c r="AF253" s="235"/>
      <c r="AG253" s="232">
        <v>5.19</v>
      </c>
      <c r="AH253" s="232"/>
      <c r="AI253" s="232">
        <v>145</v>
      </c>
      <c r="AJ253" s="194">
        <v>41785</v>
      </c>
      <c r="AK253" s="232"/>
      <c r="AL253" s="232"/>
      <c r="AM253" s="232"/>
      <c r="AN253" s="232"/>
      <c r="AO253" s="232"/>
      <c r="AP253" s="232"/>
      <c r="AQ253" s="239"/>
      <c r="AR253" s="23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232"/>
      <c r="BH253" s="232"/>
      <c r="BI253" s="232"/>
      <c r="BJ253" s="232"/>
      <c r="BK253" s="232"/>
      <c r="BL253" s="232"/>
      <c r="BM253" s="232"/>
      <c r="BN253" s="232"/>
      <c r="BO253" s="232"/>
      <c r="BP253" s="232"/>
      <c r="BQ253" s="232"/>
      <c r="BR253" s="232"/>
      <c r="BS253" s="232">
        <v>49.2</v>
      </c>
      <c r="BT253" s="232"/>
      <c r="BU253" s="232">
        <v>21.11</v>
      </c>
      <c r="BV253" s="232"/>
      <c r="BW253" s="240"/>
      <c r="BX253" s="232"/>
      <c r="BY253" s="232"/>
      <c r="BZ253" s="232"/>
      <c r="CA253" s="232"/>
      <c r="CB253" s="241"/>
      <c r="CC253" s="232"/>
      <c r="CD253" s="232"/>
      <c r="CE253" s="232">
        <v>4.92</v>
      </c>
      <c r="CF253" s="232"/>
      <c r="CG253" s="232">
        <v>0.42</v>
      </c>
      <c r="CH253" s="232"/>
      <c r="CI253" s="232"/>
      <c r="CJ253" s="232"/>
      <c r="CK253" t="s">
        <v>8820</v>
      </c>
      <c r="CL253" s="232"/>
      <c r="CM253" s="232"/>
    </row>
    <row r="254" spans="1:91" ht="15">
      <c r="A254" s="364" t="s">
        <v>7656</v>
      </c>
      <c r="B254" t="s">
        <v>267</v>
      </c>
      <c r="C254" t="s">
        <v>413</v>
      </c>
      <c r="D254">
        <v>51</v>
      </c>
      <c r="E254" s="113">
        <v>37</v>
      </c>
      <c r="F254" s="113">
        <v>6</v>
      </c>
      <c r="I254"/>
      <c r="K254" s="224">
        <v>7</v>
      </c>
      <c r="L254" s="390">
        <v>41625</v>
      </c>
      <c r="M254"/>
      <c r="N254" s="224"/>
      <c r="O254"/>
      <c r="P254"/>
      <c r="Q254"/>
      <c r="S254" s="224"/>
      <c r="T254" s="224"/>
      <c r="U254"/>
      <c r="V254"/>
      <c r="W254"/>
      <c r="X254"/>
      <c r="Y254" s="225"/>
      <c r="Z254" s="224"/>
      <c r="AA254" s="226"/>
      <c r="AB254" s="224"/>
      <c r="AC254" s="225"/>
      <c r="AD254" s="224"/>
      <c r="AE254" s="224"/>
      <c r="AF254" s="224"/>
      <c r="AG254">
        <v>4.6900000000000004</v>
      </c>
      <c r="AH254"/>
      <c r="AI254">
        <v>135</v>
      </c>
      <c r="AJ254" s="194">
        <v>41785</v>
      </c>
      <c r="AK254"/>
      <c r="AL254"/>
      <c r="AM254"/>
      <c r="AN254"/>
      <c r="AO254"/>
      <c r="AP254"/>
      <c r="AQ254" s="227"/>
      <c r="AR254" s="227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>
        <v>51.3</v>
      </c>
      <c r="BT254"/>
      <c r="BU254">
        <v>16.829999999999998</v>
      </c>
      <c r="BV254"/>
      <c r="BW254" s="229"/>
      <c r="BX254"/>
      <c r="BY254"/>
      <c r="BZ254"/>
      <c r="CA254"/>
      <c r="CC254"/>
      <c r="CD254"/>
      <c r="CE254">
        <v>4.74</v>
      </c>
      <c r="CF254"/>
      <c r="CG254">
        <v>0.34</v>
      </c>
      <c r="CH254"/>
      <c r="CI254"/>
      <c r="CJ254"/>
      <c r="CK254" t="s">
        <v>8820</v>
      </c>
      <c r="CL254"/>
      <c r="CM254"/>
    </row>
    <row r="255" spans="1:91" ht="15">
      <c r="A255" s="364" t="s">
        <v>7658</v>
      </c>
      <c r="B255" t="s">
        <v>267</v>
      </c>
      <c r="C255" t="s">
        <v>413</v>
      </c>
      <c r="D255" s="232">
        <v>53</v>
      </c>
      <c r="E255" s="113">
        <v>49</v>
      </c>
      <c r="F255" s="113">
        <v>2</v>
      </c>
      <c r="I255"/>
      <c r="K255" s="224">
        <v>7</v>
      </c>
      <c r="L255" s="390">
        <v>41625</v>
      </c>
      <c r="M255"/>
      <c r="N255" s="224"/>
      <c r="O255"/>
      <c r="P255"/>
      <c r="Q255"/>
      <c r="S255" s="224"/>
      <c r="T255" s="224"/>
      <c r="U255"/>
      <c r="V255"/>
      <c r="W255"/>
      <c r="X255"/>
      <c r="Y255" s="225"/>
      <c r="Z255" s="224"/>
      <c r="AA255" s="226"/>
      <c r="AB255" s="224"/>
      <c r="AC255" s="225"/>
      <c r="AD255" s="224"/>
      <c r="AE255" s="224"/>
      <c r="AF255" s="224"/>
      <c r="AG255">
        <v>4.3</v>
      </c>
      <c r="AH255"/>
      <c r="AI255">
        <v>140</v>
      </c>
      <c r="AJ255" s="194">
        <v>41785</v>
      </c>
      <c r="AK255"/>
      <c r="AL255"/>
      <c r="AM255"/>
      <c r="AN255"/>
      <c r="AO255"/>
      <c r="AP255"/>
      <c r="AQ255" s="227"/>
      <c r="AR255" s="227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>
        <v>54.8</v>
      </c>
      <c r="BT255"/>
      <c r="BU255">
        <v>16.46</v>
      </c>
      <c r="BV255"/>
      <c r="BW255" s="229"/>
      <c r="BX255"/>
      <c r="BY255"/>
      <c r="BZ255"/>
      <c r="CA255"/>
      <c r="CC255"/>
      <c r="CD255"/>
      <c r="CE255">
        <v>3.78</v>
      </c>
      <c r="CF255"/>
      <c r="CG255">
        <v>0.6</v>
      </c>
      <c r="CH255"/>
      <c r="CI255"/>
      <c r="CJ255"/>
      <c r="CK255" t="s">
        <v>8820</v>
      </c>
      <c r="CL255"/>
      <c r="CM255"/>
    </row>
    <row r="256" spans="1:91" ht="15">
      <c r="A256" s="364" t="s">
        <v>7659</v>
      </c>
      <c r="B256" t="s">
        <v>267</v>
      </c>
      <c r="C256" t="s">
        <v>413</v>
      </c>
      <c r="D256" s="232">
        <v>54</v>
      </c>
      <c r="E256" s="113">
        <v>50</v>
      </c>
      <c r="F256" s="113">
        <v>5</v>
      </c>
      <c r="I256"/>
      <c r="K256" s="224">
        <v>7</v>
      </c>
      <c r="L256" s="390">
        <v>41625</v>
      </c>
      <c r="M256"/>
      <c r="N256" s="224"/>
      <c r="O256"/>
      <c r="P256"/>
      <c r="Q256"/>
      <c r="S256" s="224"/>
      <c r="T256" s="224"/>
      <c r="U256"/>
      <c r="V256"/>
      <c r="W256"/>
      <c r="X256"/>
      <c r="Y256" s="225"/>
      <c r="Z256" s="224"/>
      <c r="AA256" s="226"/>
      <c r="AB256" s="224"/>
      <c r="AC256" s="225"/>
      <c r="AD256" s="224"/>
      <c r="AE256" s="224"/>
      <c r="AF256" s="224"/>
      <c r="AG256">
        <v>3.85</v>
      </c>
      <c r="AH256"/>
      <c r="AI256">
        <v>140</v>
      </c>
      <c r="AJ256" s="194">
        <v>41785</v>
      </c>
      <c r="AK256"/>
      <c r="AL256"/>
      <c r="AM256"/>
      <c r="AN256"/>
      <c r="AO256"/>
      <c r="AP256"/>
      <c r="AQ256" s="227"/>
      <c r="AR256" s="227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>
        <v>50.3</v>
      </c>
      <c r="BT256"/>
      <c r="BU256">
        <v>19.22</v>
      </c>
      <c r="BV256"/>
      <c r="BW256" s="229"/>
      <c r="BX256"/>
      <c r="BY256"/>
      <c r="BZ256"/>
      <c r="CA256"/>
      <c r="CC256"/>
      <c r="CD256"/>
      <c r="CE256">
        <v>4.74</v>
      </c>
      <c r="CF256"/>
      <c r="CG256">
        <v>0.77</v>
      </c>
      <c r="CH256"/>
      <c r="CI256"/>
      <c r="CJ256"/>
      <c r="CK256" t="s">
        <v>8820</v>
      </c>
      <c r="CL256"/>
      <c r="CM256"/>
    </row>
    <row r="257" spans="1:91" ht="15">
      <c r="A257" s="364" t="s">
        <v>7660</v>
      </c>
      <c r="B257" t="s">
        <v>267</v>
      </c>
      <c r="C257" t="s">
        <v>413</v>
      </c>
      <c r="D257">
        <v>55</v>
      </c>
      <c r="E257" s="113">
        <v>69</v>
      </c>
      <c r="F257" s="113">
        <v>3</v>
      </c>
      <c r="I257"/>
      <c r="K257" s="224">
        <v>7</v>
      </c>
      <c r="L257" s="390">
        <v>41625</v>
      </c>
      <c r="M257"/>
      <c r="N257" s="224"/>
      <c r="O257"/>
      <c r="P257"/>
      <c r="Q257"/>
      <c r="S257" s="224"/>
      <c r="T257" s="224"/>
      <c r="U257"/>
      <c r="V257"/>
      <c r="W257"/>
      <c r="X257"/>
      <c r="Y257" s="225"/>
      <c r="Z257" s="224"/>
      <c r="AA257" s="226"/>
      <c r="AB257" s="224"/>
      <c r="AC257" s="225"/>
      <c r="AD257" s="224"/>
      <c r="AE257" s="224"/>
      <c r="AF257" s="224"/>
      <c r="AG257">
        <v>3.84</v>
      </c>
      <c r="AH257"/>
      <c r="AI257">
        <v>140</v>
      </c>
      <c r="AJ257" s="194">
        <v>41785</v>
      </c>
      <c r="AK257"/>
      <c r="AL257"/>
      <c r="AM257"/>
      <c r="AN257"/>
      <c r="AO257"/>
      <c r="AP257"/>
      <c r="AQ257" s="227"/>
      <c r="AR257" s="22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>
        <v>50.3</v>
      </c>
      <c r="BT257"/>
      <c r="BU257">
        <v>17.440000000000001</v>
      </c>
      <c r="BV257"/>
      <c r="BW257" s="229"/>
      <c r="BX257"/>
      <c r="BY257"/>
      <c r="BZ257"/>
      <c r="CA257"/>
      <c r="CC257"/>
      <c r="CD257"/>
      <c r="CE257">
        <v>5.88</v>
      </c>
      <c r="CF257"/>
      <c r="CG257">
        <v>0.26</v>
      </c>
      <c r="CH257"/>
      <c r="CI257"/>
      <c r="CJ257"/>
      <c r="CK257" t="s">
        <v>8820</v>
      </c>
      <c r="CL257"/>
      <c r="CM257"/>
    </row>
    <row r="258" spans="1:91" ht="15">
      <c r="A258" s="364" t="s">
        <v>7661</v>
      </c>
      <c r="B258" t="s">
        <v>267</v>
      </c>
      <c r="C258" t="s">
        <v>413</v>
      </c>
      <c r="D258">
        <v>56</v>
      </c>
      <c r="E258" s="113">
        <v>44</v>
      </c>
      <c r="F258" s="113">
        <v>3</v>
      </c>
      <c r="I258"/>
      <c r="K258" s="224">
        <v>7</v>
      </c>
      <c r="L258" s="390">
        <v>41625</v>
      </c>
      <c r="M258"/>
      <c r="N258" s="224"/>
      <c r="O258"/>
      <c r="P258"/>
      <c r="Q258"/>
      <c r="S258" s="224"/>
      <c r="T258" s="224"/>
      <c r="U258"/>
      <c r="V258"/>
      <c r="W258"/>
      <c r="X258"/>
      <c r="Y258" s="225"/>
      <c r="Z258" s="224"/>
      <c r="AA258" s="226"/>
      <c r="AB258" s="224"/>
      <c r="AC258" s="225"/>
      <c r="AD258" s="224"/>
      <c r="AE258" s="224"/>
      <c r="AF258" s="224"/>
      <c r="AG258">
        <v>3.99</v>
      </c>
      <c r="AH258"/>
      <c r="AI258">
        <v>155</v>
      </c>
      <c r="AJ258" s="194">
        <v>41785</v>
      </c>
      <c r="AK258"/>
      <c r="AL258"/>
      <c r="AM258"/>
      <c r="AN258"/>
      <c r="AO258"/>
      <c r="AP258"/>
      <c r="AQ258" s="227"/>
      <c r="AR258" s="227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>
        <v>52.8</v>
      </c>
      <c r="BT258"/>
      <c r="BU258">
        <v>17.28</v>
      </c>
      <c r="BV258"/>
      <c r="BW258" s="229"/>
      <c r="BX258"/>
      <c r="BY258"/>
      <c r="BZ258"/>
      <c r="CA258"/>
      <c r="CC258"/>
      <c r="CD258"/>
      <c r="CE258">
        <v>5.69</v>
      </c>
      <c r="CF258"/>
      <c r="CG258">
        <v>0.09</v>
      </c>
      <c r="CH258"/>
      <c r="CI258"/>
      <c r="CJ258"/>
      <c r="CK258" t="s">
        <v>8820</v>
      </c>
      <c r="CL258"/>
      <c r="CM258"/>
    </row>
    <row r="259" spans="1:91" ht="15">
      <c r="A259" s="364" t="s">
        <v>7662</v>
      </c>
      <c r="B259" t="s">
        <v>267</v>
      </c>
      <c r="C259" t="s">
        <v>413</v>
      </c>
      <c r="D259">
        <v>57</v>
      </c>
      <c r="E259" s="113">
        <v>39</v>
      </c>
      <c r="F259" s="113">
        <v>4</v>
      </c>
      <c r="I259"/>
      <c r="K259" s="224">
        <v>5</v>
      </c>
      <c r="L259" s="390">
        <v>41625</v>
      </c>
      <c r="M259"/>
      <c r="N259" s="224"/>
      <c r="O259"/>
      <c r="P259"/>
      <c r="Q259"/>
      <c r="S259" s="224"/>
      <c r="T259" s="224"/>
      <c r="U259"/>
      <c r="V259"/>
      <c r="W259"/>
      <c r="X259"/>
      <c r="Y259" s="225"/>
      <c r="Z259" s="224"/>
      <c r="AA259" s="226"/>
      <c r="AB259" s="224"/>
      <c r="AC259" s="225"/>
      <c r="AD259" s="224"/>
      <c r="AE259" s="224"/>
      <c r="AF259" s="224"/>
      <c r="AG259">
        <v>4.1900000000000004</v>
      </c>
      <c r="AH259"/>
      <c r="AI259">
        <v>130</v>
      </c>
      <c r="AJ259" s="194">
        <v>41785</v>
      </c>
      <c r="AK259"/>
      <c r="AL259"/>
      <c r="AM259"/>
      <c r="AN259"/>
      <c r="AO259"/>
      <c r="AP259"/>
      <c r="AQ259" s="227"/>
      <c r="AR259" s="227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>
        <v>51.4</v>
      </c>
      <c r="BT259"/>
      <c r="BU259">
        <v>16.71</v>
      </c>
      <c r="BV259"/>
      <c r="BW259" s="229"/>
      <c r="BX259"/>
      <c r="BY259"/>
      <c r="BZ259"/>
      <c r="CA259"/>
      <c r="CC259"/>
      <c r="CD259"/>
      <c r="CE259">
        <v>5.09</v>
      </c>
      <c r="CF259"/>
      <c r="CG259">
        <v>1.1000000000000001</v>
      </c>
      <c r="CH259"/>
      <c r="CI259"/>
      <c r="CJ259"/>
      <c r="CK259" t="s">
        <v>8820</v>
      </c>
      <c r="CL259"/>
      <c r="CM259"/>
    </row>
    <row r="260" spans="1:91" ht="15">
      <c r="A260" s="364" t="s">
        <v>7663</v>
      </c>
      <c r="B260" t="s">
        <v>267</v>
      </c>
      <c r="C260" t="s">
        <v>413</v>
      </c>
      <c r="D260">
        <v>58</v>
      </c>
      <c r="E260" s="113">
        <v>42</v>
      </c>
      <c r="F260" s="113">
        <v>6</v>
      </c>
      <c r="I260"/>
      <c r="K260" s="224">
        <v>7</v>
      </c>
      <c r="L260" s="390">
        <v>41625</v>
      </c>
      <c r="M260"/>
      <c r="N260" s="224"/>
      <c r="O260"/>
      <c r="P260"/>
      <c r="Q260"/>
      <c r="S260" s="224"/>
      <c r="T260" s="224"/>
      <c r="U260"/>
      <c r="V260"/>
      <c r="W260"/>
      <c r="X260"/>
      <c r="Y260" s="225"/>
      <c r="Z260" s="224"/>
      <c r="AA260" s="226"/>
      <c r="AB260" s="224"/>
      <c r="AC260" s="225"/>
      <c r="AD260" s="224"/>
      <c r="AE260" s="224"/>
      <c r="AF260" s="224"/>
      <c r="AG260">
        <v>3.68</v>
      </c>
      <c r="AH260"/>
      <c r="AI260">
        <v>125</v>
      </c>
      <c r="AJ260" s="194">
        <v>41785</v>
      </c>
      <c r="AK260"/>
      <c r="AL260"/>
      <c r="AM260"/>
      <c r="AN260"/>
      <c r="AO260"/>
      <c r="AP260"/>
      <c r="AQ260" s="227"/>
      <c r="AR260" s="227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>
        <v>50</v>
      </c>
      <c r="BT260"/>
      <c r="BU260">
        <v>18.37</v>
      </c>
      <c r="BV260"/>
      <c r="BW260" s="229"/>
      <c r="BX260"/>
      <c r="BY260"/>
      <c r="BZ260"/>
      <c r="CA260"/>
      <c r="CC260"/>
      <c r="CD260"/>
      <c r="CE260">
        <v>5.13</v>
      </c>
      <c r="CF260"/>
      <c r="CG260">
        <v>0.17</v>
      </c>
      <c r="CH260"/>
      <c r="CI260"/>
      <c r="CJ260"/>
      <c r="CK260" t="s">
        <v>8820</v>
      </c>
      <c r="CL260"/>
      <c r="CM260"/>
    </row>
    <row r="261" spans="1:91" ht="15">
      <c r="A261" s="364" t="s">
        <v>7664</v>
      </c>
      <c r="B261" t="s">
        <v>267</v>
      </c>
      <c r="C261" t="s">
        <v>413</v>
      </c>
      <c r="D261">
        <v>59</v>
      </c>
      <c r="E261" s="113">
        <v>57</v>
      </c>
      <c r="F261" s="113">
        <v>6</v>
      </c>
      <c r="I261"/>
      <c r="K261" s="224">
        <v>6</v>
      </c>
      <c r="L261" s="390">
        <v>41625</v>
      </c>
      <c r="M261"/>
      <c r="N261" s="224"/>
      <c r="O261"/>
      <c r="P261"/>
      <c r="Q261"/>
      <c r="S261" s="224"/>
      <c r="T261" s="224"/>
      <c r="U261"/>
      <c r="V261"/>
      <c r="W261"/>
      <c r="X261"/>
      <c r="Y261" s="225"/>
      <c r="Z261" s="224"/>
      <c r="AA261" s="226"/>
      <c r="AB261" s="224"/>
      <c r="AC261" s="225"/>
      <c r="AD261" s="224"/>
      <c r="AE261" s="224"/>
      <c r="AF261" s="224"/>
      <c r="AG261">
        <v>3.81</v>
      </c>
      <c r="AH261"/>
      <c r="AI261">
        <v>125</v>
      </c>
      <c r="AJ261" s="194">
        <v>41785</v>
      </c>
      <c r="AK261"/>
      <c r="AL261"/>
      <c r="AM261"/>
      <c r="AN261"/>
      <c r="AO261"/>
      <c r="AP261"/>
      <c r="AQ261" s="227"/>
      <c r="AR261" s="227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>
        <v>54</v>
      </c>
      <c r="BT261"/>
      <c r="BU261">
        <v>17.489999999999998</v>
      </c>
      <c r="BV261"/>
      <c r="BW261" s="229"/>
      <c r="BX261"/>
      <c r="BY261"/>
      <c r="BZ261"/>
      <c r="CA261"/>
      <c r="CC261"/>
      <c r="CD261"/>
      <c r="CE261">
        <v>4.22</v>
      </c>
      <c r="CF261"/>
      <c r="CG261">
        <v>0.94</v>
      </c>
      <c r="CH261"/>
      <c r="CI261"/>
      <c r="CJ261"/>
      <c r="CK261" t="s">
        <v>8820</v>
      </c>
      <c r="CL261"/>
      <c r="CM261"/>
    </row>
    <row r="262" spans="1:91" ht="15">
      <c r="A262" s="364" t="s">
        <v>7665</v>
      </c>
      <c r="B262" t="s">
        <v>267</v>
      </c>
      <c r="C262" t="s">
        <v>413</v>
      </c>
      <c r="D262">
        <v>60</v>
      </c>
      <c r="E262" s="113">
        <v>69</v>
      </c>
      <c r="F262" s="113">
        <v>6</v>
      </c>
      <c r="I262"/>
      <c r="K262" s="224">
        <v>7</v>
      </c>
      <c r="L262" s="390">
        <v>41625</v>
      </c>
      <c r="M262"/>
      <c r="N262" s="224"/>
      <c r="O262"/>
      <c r="P262"/>
      <c r="Q262"/>
      <c r="S262" s="224"/>
      <c r="T262" s="224"/>
      <c r="U262"/>
      <c r="V262"/>
      <c r="W262"/>
      <c r="X262"/>
      <c r="Y262" s="225"/>
      <c r="Z262" s="224"/>
      <c r="AA262" s="226"/>
      <c r="AB262" s="224"/>
      <c r="AC262" s="225"/>
      <c r="AD262" s="224"/>
      <c r="AE262" s="224"/>
      <c r="AF262" s="224"/>
      <c r="AG262">
        <v>3.75</v>
      </c>
      <c r="AH262"/>
      <c r="AI262">
        <v>130</v>
      </c>
      <c r="AJ262" s="194">
        <v>41785</v>
      </c>
      <c r="AK262"/>
      <c r="AL262"/>
      <c r="AM262"/>
      <c r="AN262"/>
      <c r="AO262"/>
      <c r="AP262"/>
      <c r="AQ262" s="227"/>
      <c r="AR262" s="227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>
        <v>53</v>
      </c>
      <c r="BT262"/>
      <c r="BU262">
        <v>17.739999999999998</v>
      </c>
      <c r="BV262"/>
      <c r="BW262" s="229"/>
      <c r="BX262"/>
      <c r="BY262"/>
      <c r="BZ262"/>
      <c r="CA262"/>
      <c r="CC262"/>
      <c r="CD262"/>
      <c r="CE262">
        <v>4.6399999999999997</v>
      </c>
      <c r="CF262"/>
      <c r="CG262">
        <v>0.51</v>
      </c>
      <c r="CH262"/>
      <c r="CI262"/>
      <c r="CJ262"/>
      <c r="CK262" t="s">
        <v>8820</v>
      </c>
      <c r="CL262"/>
      <c r="CM262"/>
    </row>
    <row r="263" spans="1:91" ht="15">
      <c r="A263" s="364" t="s">
        <v>7666</v>
      </c>
      <c r="B263" t="s">
        <v>267</v>
      </c>
      <c r="C263" t="s">
        <v>413</v>
      </c>
      <c r="D263">
        <v>61</v>
      </c>
      <c r="E263" s="113">
        <v>56</v>
      </c>
      <c r="F263" s="113">
        <v>5</v>
      </c>
      <c r="I263"/>
      <c r="K263" s="224">
        <v>7</v>
      </c>
      <c r="L263" s="390">
        <v>41625</v>
      </c>
      <c r="M263"/>
      <c r="N263" s="224"/>
      <c r="O263"/>
      <c r="P263"/>
      <c r="Q263"/>
      <c r="S263" s="224"/>
      <c r="T263" s="224"/>
      <c r="U263"/>
      <c r="V263"/>
      <c r="W263"/>
      <c r="X263"/>
      <c r="Y263" s="225"/>
      <c r="Z263" s="224"/>
      <c r="AA263" s="226"/>
      <c r="AB263" s="224"/>
      <c r="AC263" s="225"/>
      <c r="AD263" s="224"/>
      <c r="AE263" s="224"/>
      <c r="AF263" s="224"/>
      <c r="AG263">
        <v>3.97</v>
      </c>
      <c r="AH263"/>
      <c r="AI263">
        <v>130</v>
      </c>
      <c r="AJ263" s="194">
        <v>41785</v>
      </c>
      <c r="AK263"/>
      <c r="AL263"/>
      <c r="AM263"/>
      <c r="AN263"/>
      <c r="AO263"/>
      <c r="AP263"/>
      <c r="AQ263" s="227"/>
      <c r="AR263" s="227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>
        <v>53.9</v>
      </c>
      <c r="BT263"/>
      <c r="BU263">
        <v>16.809999999999999</v>
      </c>
      <c r="BV263"/>
      <c r="BW263" s="229"/>
      <c r="BX263"/>
      <c r="BY263"/>
      <c r="BZ263"/>
      <c r="CA263"/>
      <c r="CC263"/>
      <c r="CD263"/>
      <c r="CE263">
        <v>3.76</v>
      </c>
      <c r="CF263"/>
      <c r="CG263">
        <v>0.6</v>
      </c>
      <c r="CH263"/>
      <c r="CI263"/>
      <c r="CJ263"/>
      <c r="CK263" t="s">
        <v>8820</v>
      </c>
      <c r="CL263"/>
      <c r="CM263"/>
    </row>
    <row r="264" spans="1:91" ht="15">
      <c r="A264" s="364" t="s">
        <v>7667</v>
      </c>
      <c r="B264" t="s">
        <v>267</v>
      </c>
      <c r="C264" t="s">
        <v>413</v>
      </c>
      <c r="D264">
        <v>62</v>
      </c>
      <c r="E264" s="113">
        <v>44</v>
      </c>
      <c r="F264" s="113">
        <v>1</v>
      </c>
      <c r="I264"/>
      <c r="K264" s="224">
        <v>7</v>
      </c>
      <c r="L264" s="390">
        <v>41625</v>
      </c>
      <c r="M264"/>
      <c r="N264" s="224"/>
      <c r="O264"/>
      <c r="P264"/>
      <c r="Q264"/>
      <c r="S264" s="224"/>
      <c r="T264" s="224"/>
      <c r="U264"/>
      <c r="V264"/>
      <c r="W264"/>
      <c r="X264"/>
      <c r="Y264" s="225"/>
      <c r="Z264" s="224"/>
      <c r="AA264" s="226"/>
      <c r="AB264" s="224"/>
      <c r="AC264" s="225"/>
      <c r="AD264" s="224"/>
      <c r="AE264" s="224"/>
      <c r="AF264" s="224"/>
      <c r="AG264">
        <v>3.99</v>
      </c>
      <c r="AH264"/>
      <c r="AI264">
        <v>125</v>
      </c>
      <c r="AJ264" s="194">
        <v>41785</v>
      </c>
      <c r="AK264"/>
      <c r="AL264"/>
      <c r="AM264"/>
      <c r="AN264"/>
      <c r="AO264"/>
      <c r="AP264"/>
      <c r="AQ264" s="227"/>
      <c r="AR264" s="227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>
        <v>48.9</v>
      </c>
      <c r="BT264"/>
      <c r="BU264">
        <v>19.600000000000001</v>
      </c>
      <c r="BV264"/>
      <c r="BW264" s="229"/>
      <c r="BX264"/>
      <c r="BY264"/>
      <c r="BZ264"/>
      <c r="CA264"/>
      <c r="CC264"/>
      <c r="CD264"/>
      <c r="CE264">
        <v>6.62</v>
      </c>
      <c r="CF264"/>
      <c r="CG264">
        <v>0.34</v>
      </c>
      <c r="CH264"/>
      <c r="CI264"/>
      <c r="CJ264"/>
      <c r="CK264" t="s">
        <v>8820</v>
      </c>
      <c r="CL264"/>
      <c r="CM264"/>
    </row>
    <row r="265" spans="1:91" ht="15">
      <c r="A265" s="364" t="s">
        <v>7668</v>
      </c>
      <c r="B265" t="s">
        <v>267</v>
      </c>
      <c r="C265" t="s">
        <v>413</v>
      </c>
      <c r="D265" s="232">
        <v>63</v>
      </c>
      <c r="E265" s="113">
        <v>46</v>
      </c>
      <c r="F265" s="113">
        <v>6</v>
      </c>
      <c r="I265"/>
      <c r="K265" s="224">
        <v>7</v>
      </c>
      <c r="L265" s="390">
        <v>41625</v>
      </c>
      <c r="M265"/>
      <c r="N265" s="224"/>
      <c r="O265"/>
      <c r="P265"/>
      <c r="Q265"/>
      <c r="S265" s="224"/>
      <c r="T265" s="224"/>
      <c r="U265"/>
      <c r="V265"/>
      <c r="W265"/>
      <c r="X265"/>
      <c r="Y265" s="225"/>
      <c r="Z265" s="224"/>
      <c r="AA265" s="226"/>
      <c r="AB265" s="224"/>
      <c r="AC265" s="225"/>
      <c r="AD265" s="224"/>
      <c r="AE265" s="224"/>
      <c r="AF265" s="224"/>
      <c r="AG265">
        <v>4.25</v>
      </c>
      <c r="AH265"/>
      <c r="AI265">
        <v>130</v>
      </c>
      <c r="AJ265" s="194">
        <v>41785</v>
      </c>
      <c r="AK265"/>
      <c r="AL265"/>
      <c r="AM265"/>
      <c r="AN265"/>
      <c r="AO265"/>
      <c r="AP265"/>
      <c r="AQ265" s="227"/>
      <c r="AR265" s="227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>
        <v>53.4</v>
      </c>
      <c r="BT265"/>
      <c r="BU265">
        <v>16.97</v>
      </c>
      <c r="BV265"/>
      <c r="BW265" s="229"/>
      <c r="BX265"/>
      <c r="BY265"/>
      <c r="BZ265"/>
      <c r="CA265"/>
      <c r="CC265"/>
      <c r="CD265"/>
      <c r="CE265">
        <v>4.93</v>
      </c>
      <c r="CF265"/>
      <c r="CG265">
        <v>0.26</v>
      </c>
      <c r="CH265"/>
      <c r="CI265"/>
      <c r="CJ265"/>
      <c r="CK265" t="s">
        <v>8820</v>
      </c>
      <c r="CL265"/>
      <c r="CM265"/>
    </row>
    <row r="266" spans="1:91" ht="15">
      <c r="A266" s="364" t="s">
        <v>7669</v>
      </c>
      <c r="B266" t="s">
        <v>267</v>
      </c>
      <c r="C266" t="s">
        <v>413</v>
      </c>
      <c r="D266" s="232">
        <v>64</v>
      </c>
      <c r="E266" s="113">
        <v>54</v>
      </c>
      <c r="F266" s="113">
        <v>5</v>
      </c>
      <c r="I266"/>
      <c r="K266" s="224">
        <v>7</v>
      </c>
      <c r="L266" s="390">
        <v>41625</v>
      </c>
      <c r="M266"/>
      <c r="N266" s="224"/>
      <c r="O266"/>
      <c r="P266"/>
      <c r="Q266"/>
      <c r="S266" s="224"/>
      <c r="T266" s="224"/>
      <c r="U266"/>
      <c r="V266"/>
      <c r="W266"/>
      <c r="X266"/>
      <c r="Y266" s="225"/>
      <c r="Z266" s="224"/>
      <c r="AA266" s="226"/>
      <c r="AB266" s="224"/>
      <c r="AC266" s="225"/>
      <c r="AD266" s="224"/>
      <c r="AE266" s="224"/>
      <c r="AF266" s="224"/>
      <c r="AG266">
        <v>4.29</v>
      </c>
      <c r="AH266"/>
      <c r="AI266">
        <v>95</v>
      </c>
      <c r="AJ266" s="194">
        <v>41785</v>
      </c>
      <c r="AK266"/>
      <c r="AL266"/>
      <c r="AM266"/>
      <c r="AN266"/>
      <c r="AO266"/>
      <c r="AP266"/>
      <c r="AQ266" s="227"/>
      <c r="AR266" s="227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>
        <v>50.4</v>
      </c>
      <c r="BT266"/>
      <c r="BU266">
        <v>19.22</v>
      </c>
      <c r="BV266"/>
      <c r="BW266" s="229"/>
      <c r="BX266"/>
      <c r="BY266"/>
      <c r="BZ266"/>
      <c r="CA266"/>
      <c r="CC266"/>
      <c r="CD266"/>
      <c r="CE266">
        <v>4.01</v>
      </c>
      <c r="CF266"/>
      <c r="CG266">
        <v>0.85</v>
      </c>
      <c r="CH266"/>
      <c r="CI266"/>
      <c r="CJ266"/>
      <c r="CK266" t="s">
        <v>8820</v>
      </c>
      <c r="CL266"/>
      <c r="CM266"/>
    </row>
    <row r="267" spans="1:91" ht="15">
      <c r="A267" s="364" t="s">
        <v>7670</v>
      </c>
      <c r="B267" t="s">
        <v>267</v>
      </c>
      <c r="C267" t="s">
        <v>413</v>
      </c>
      <c r="D267">
        <v>65</v>
      </c>
      <c r="E267" s="113">
        <v>59</v>
      </c>
      <c r="F267" s="113">
        <v>5</v>
      </c>
      <c r="G267" s="233"/>
      <c r="H267" s="233"/>
      <c r="I267" s="232"/>
      <c r="J267" s="234"/>
      <c r="K267" s="235">
        <v>7</v>
      </c>
      <c r="L267" s="390">
        <v>41625</v>
      </c>
      <c r="M267" s="232"/>
      <c r="N267" s="235"/>
      <c r="O267" s="232"/>
      <c r="P267" s="232"/>
      <c r="Q267" s="232"/>
      <c r="R267" s="236"/>
      <c r="S267" s="235"/>
      <c r="T267" s="235"/>
      <c r="U267" s="232"/>
      <c r="V267" s="232"/>
      <c r="W267" s="232"/>
      <c r="X267" s="232"/>
      <c r="Y267" s="237"/>
      <c r="Z267" s="235"/>
      <c r="AA267" s="238"/>
      <c r="AB267" s="235"/>
      <c r="AC267" s="237"/>
      <c r="AD267" s="235"/>
      <c r="AE267" s="235"/>
      <c r="AF267" s="235"/>
      <c r="AG267" s="232">
        <v>4.63</v>
      </c>
      <c r="AH267" s="232"/>
      <c r="AI267" s="232">
        <v>145</v>
      </c>
      <c r="AJ267" s="194">
        <v>41785</v>
      </c>
      <c r="AK267" s="232"/>
      <c r="AL267" s="232"/>
      <c r="AM267" s="232"/>
      <c r="AN267" s="232"/>
      <c r="AO267" s="232"/>
      <c r="AP267" s="232"/>
      <c r="AQ267" s="239"/>
      <c r="AR267" s="23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232"/>
      <c r="BH267" s="232"/>
      <c r="BI267" s="232"/>
      <c r="BJ267" s="232"/>
      <c r="BK267" s="232"/>
      <c r="BL267" s="232"/>
      <c r="BM267" s="232"/>
      <c r="BN267" s="232"/>
      <c r="BO267" s="232"/>
      <c r="BP267" s="232"/>
      <c r="BQ267" s="232"/>
      <c r="BR267" s="232"/>
      <c r="BS267" s="232">
        <v>53</v>
      </c>
      <c r="BT267" s="232"/>
      <c r="BU267" s="232">
        <v>17.03</v>
      </c>
      <c r="BV267" s="232"/>
      <c r="BW267" s="240"/>
      <c r="BX267" s="232"/>
      <c r="BY267" s="232"/>
      <c r="BZ267" s="232"/>
      <c r="CA267" s="232"/>
      <c r="CB267" s="241"/>
      <c r="CC267" s="232"/>
      <c r="CD267" s="232"/>
      <c r="CE267" s="232">
        <v>4.21</v>
      </c>
      <c r="CF267" s="232"/>
      <c r="CG267" s="232">
        <v>0.85</v>
      </c>
      <c r="CH267" s="232"/>
      <c r="CI267" s="232"/>
      <c r="CJ267" s="232"/>
      <c r="CK267" t="s">
        <v>8820</v>
      </c>
      <c r="CL267" s="232"/>
      <c r="CM267" s="232"/>
    </row>
    <row r="268" spans="1:91" ht="15">
      <c r="A268" s="364" t="s">
        <v>7671</v>
      </c>
      <c r="B268" t="s">
        <v>267</v>
      </c>
      <c r="C268" t="s">
        <v>413</v>
      </c>
      <c r="D268">
        <v>66</v>
      </c>
      <c r="E268" s="113">
        <v>48</v>
      </c>
      <c r="F268" s="113">
        <v>2</v>
      </c>
      <c r="G268" s="233"/>
      <c r="H268" s="233"/>
      <c r="I268" s="232"/>
      <c r="J268" s="234"/>
      <c r="K268" s="235">
        <v>6</v>
      </c>
      <c r="L268" s="390">
        <v>41625</v>
      </c>
      <c r="M268" s="232"/>
      <c r="N268" s="235"/>
      <c r="O268" s="232"/>
      <c r="P268" s="232"/>
      <c r="Q268" s="232"/>
      <c r="R268" s="236"/>
      <c r="S268" s="235"/>
      <c r="T268" s="235"/>
      <c r="U268" s="232"/>
      <c r="V268" s="232"/>
      <c r="W268" s="232"/>
      <c r="X268" s="232"/>
      <c r="Y268" s="237"/>
      <c r="Z268" s="235"/>
      <c r="AA268" s="238"/>
      <c r="AB268" s="235"/>
      <c r="AC268" s="237"/>
      <c r="AD268" s="235"/>
      <c r="AE268" s="235"/>
      <c r="AF268" s="235"/>
      <c r="AG268" s="232">
        <v>4.22</v>
      </c>
      <c r="AH268" s="232"/>
      <c r="AI268" s="232">
        <v>120</v>
      </c>
      <c r="AJ268" s="194">
        <v>41785</v>
      </c>
      <c r="AK268" s="232"/>
      <c r="AL268" s="232"/>
      <c r="AM268" s="232"/>
      <c r="AN268" s="232"/>
      <c r="AO268" s="232"/>
      <c r="AP268" s="232"/>
      <c r="AQ268" s="239"/>
      <c r="AR268" s="23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232"/>
      <c r="BH268" s="232"/>
      <c r="BI268" s="232"/>
      <c r="BJ268" s="232"/>
      <c r="BK268" s="232"/>
      <c r="BL268" s="232"/>
      <c r="BM268" s="232"/>
      <c r="BN268" s="232"/>
      <c r="BO268" s="232"/>
      <c r="BP268" s="232"/>
      <c r="BQ268" s="232"/>
      <c r="BR268" s="232"/>
      <c r="BS268" s="232">
        <v>53.4</v>
      </c>
      <c r="BT268" s="232"/>
      <c r="BU268" s="232">
        <v>17.98</v>
      </c>
      <c r="BV268" s="232"/>
      <c r="BW268" s="240"/>
      <c r="BX268" s="232"/>
      <c r="BY268" s="232"/>
      <c r="BZ268" s="232"/>
      <c r="CA268" s="232"/>
      <c r="CB268" s="241"/>
      <c r="CC268" s="232"/>
      <c r="CD268" s="232"/>
      <c r="CE268" s="232">
        <v>6.05</v>
      </c>
      <c r="CF268" s="232"/>
      <c r="CG268" s="232">
        <v>0.26</v>
      </c>
      <c r="CH268" s="232"/>
      <c r="CI268" s="232"/>
      <c r="CJ268" s="232"/>
      <c r="CK268" t="s">
        <v>8820</v>
      </c>
      <c r="CL268" s="232"/>
      <c r="CM268" s="232"/>
    </row>
    <row r="269" spans="1:91" ht="15">
      <c r="A269" s="364" t="s">
        <v>7672</v>
      </c>
      <c r="B269" t="s">
        <v>267</v>
      </c>
      <c r="C269" t="s">
        <v>413</v>
      </c>
      <c r="D269">
        <v>67</v>
      </c>
      <c r="E269" s="113">
        <v>41</v>
      </c>
      <c r="F269" s="113">
        <v>6</v>
      </c>
      <c r="I269"/>
      <c r="K269" s="224">
        <v>7</v>
      </c>
      <c r="L269" s="390">
        <v>41625</v>
      </c>
      <c r="M269"/>
      <c r="N269" s="224"/>
      <c r="O269"/>
      <c r="P269"/>
      <c r="Q269"/>
      <c r="S269" s="224"/>
      <c r="T269" s="224"/>
      <c r="U269"/>
      <c r="V269"/>
      <c r="W269"/>
      <c r="X269"/>
      <c r="Y269" s="225"/>
      <c r="Z269" s="224"/>
      <c r="AA269" s="226"/>
      <c r="AB269" s="224"/>
      <c r="AC269" s="225"/>
      <c r="AD269" s="224"/>
      <c r="AE269" s="224"/>
      <c r="AF269" s="224"/>
      <c r="AG269">
        <v>4.41</v>
      </c>
      <c r="AH269"/>
      <c r="AI269">
        <v>135</v>
      </c>
      <c r="AJ269" s="194">
        <v>41785</v>
      </c>
      <c r="AK269"/>
      <c r="AL269"/>
      <c r="AM269"/>
      <c r="AN269"/>
      <c r="AO269"/>
      <c r="AP269"/>
      <c r="AQ269" s="227"/>
      <c r="AR269" s="227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>
        <v>52.5</v>
      </c>
      <c r="BT269"/>
      <c r="BU269">
        <v>17.02</v>
      </c>
      <c r="BV269"/>
      <c r="BW269" s="229"/>
      <c r="BX269"/>
      <c r="BY269"/>
      <c r="BZ269"/>
      <c r="CA269"/>
      <c r="CC269"/>
      <c r="CD269"/>
      <c r="CE269">
        <v>4.96</v>
      </c>
      <c r="CF269"/>
      <c r="CG269">
        <v>0.26</v>
      </c>
      <c r="CH269"/>
      <c r="CI269"/>
      <c r="CJ269"/>
      <c r="CK269" t="s">
        <v>8820</v>
      </c>
      <c r="CL269"/>
      <c r="CM269"/>
    </row>
    <row r="270" spans="1:91" ht="15">
      <c r="A270" s="364" t="s">
        <v>7673</v>
      </c>
      <c r="B270" t="s">
        <v>267</v>
      </c>
      <c r="C270" t="s">
        <v>413</v>
      </c>
      <c r="D270">
        <v>68</v>
      </c>
      <c r="E270" s="113">
        <v>54</v>
      </c>
      <c r="F270" s="113">
        <v>6</v>
      </c>
      <c r="I270"/>
      <c r="K270" s="224">
        <v>7</v>
      </c>
      <c r="L270" s="390">
        <v>41625</v>
      </c>
      <c r="M270"/>
      <c r="N270" s="224"/>
      <c r="O270"/>
      <c r="P270"/>
      <c r="Q270"/>
      <c r="S270" s="224"/>
      <c r="T270" s="224"/>
      <c r="U270"/>
      <c r="V270"/>
      <c r="W270"/>
      <c r="X270"/>
      <c r="Y270" s="225"/>
      <c r="Z270" s="224"/>
      <c r="AA270" s="226"/>
      <c r="AB270" s="224"/>
      <c r="AC270" s="225"/>
      <c r="AD270" s="224"/>
      <c r="AE270" s="224"/>
      <c r="AF270" s="224"/>
      <c r="AG270">
        <v>5.0199999999999996</v>
      </c>
      <c r="AH270"/>
      <c r="AI270">
        <v>135</v>
      </c>
      <c r="AJ270" s="194">
        <v>41785</v>
      </c>
      <c r="AK270"/>
      <c r="AL270"/>
      <c r="AM270"/>
      <c r="AN270"/>
      <c r="AO270"/>
      <c r="AP270"/>
      <c r="AQ270" s="227"/>
      <c r="AR270" s="227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>
        <v>52.1</v>
      </c>
      <c r="BT270"/>
      <c r="BU270">
        <v>17.829999999999998</v>
      </c>
      <c r="BV270"/>
      <c r="BW270" s="229"/>
      <c r="BX270"/>
      <c r="BY270"/>
      <c r="BZ270"/>
      <c r="CA270"/>
      <c r="CC270"/>
      <c r="CD270"/>
      <c r="CE270">
        <v>3.92</v>
      </c>
      <c r="CF270"/>
      <c r="CG270">
        <v>0.94</v>
      </c>
      <c r="CH270"/>
      <c r="CI270"/>
      <c r="CJ270"/>
      <c r="CK270" t="s">
        <v>8820</v>
      </c>
      <c r="CL270"/>
      <c r="CM270"/>
    </row>
    <row r="271" spans="1:91" ht="15">
      <c r="A271" s="364" t="s">
        <v>7674</v>
      </c>
      <c r="B271" t="s">
        <v>267</v>
      </c>
      <c r="C271" t="s">
        <v>413</v>
      </c>
      <c r="D271">
        <v>69</v>
      </c>
      <c r="E271" s="113">
        <v>58</v>
      </c>
      <c r="F271" s="113">
        <v>5</v>
      </c>
      <c r="I271"/>
      <c r="K271" s="224">
        <v>7</v>
      </c>
      <c r="L271" s="390">
        <v>41625</v>
      </c>
      <c r="M271"/>
      <c r="N271" s="224"/>
      <c r="O271"/>
      <c r="P271"/>
      <c r="Q271"/>
      <c r="S271" s="224"/>
      <c r="T271" s="224"/>
      <c r="U271"/>
      <c r="V271"/>
      <c r="W271"/>
      <c r="X271"/>
      <c r="Y271" s="225"/>
      <c r="Z271" s="224"/>
      <c r="AA271" s="226"/>
      <c r="AB271" s="224"/>
      <c r="AC271" s="225"/>
      <c r="AD271" s="224"/>
      <c r="AE271" s="224"/>
      <c r="AF271" s="224"/>
      <c r="AG271">
        <v>4.7</v>
      </c>
      <c r="AH271"/>
      <c r="AI271">
        <v>110</v>
      </c>
      <c r="AJ271" s="194">
        <v>41785</v>
      </c>
      <c r="AK271"/>
      <c r="AL271"/>
      <c r="AM271"/>
      <c r="AN271"/>
      <c r="AO271"/>
      <c r="AP271"/>
      <c r="AQ271" s="227"/>
      <c r="AR271" s="227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>
        <v>51.3</v>
      </c>
      <c r="BT271"/>
      <c r="BU271">
        <v>17.96</v>
      </c>
      <c r="BV271"/>
      <c r="BW271" s="229"/>
      <c r="BX271"/>
      <c r="BY271"/>
      <c r="BZ271"/>
      <c r="CA271"/>
      <c r="CC271"/>
      <c r="CD271"/>
      <c r="CE271">
        <v>4.32</v>
      </c>
      <c r="CF271"/>
      <c r="CG271">
        <v>0.59</v>
      </c>
      <c r="CH271"/>
      <c r="CI271"/>
      <c r="CJ271"/>
      <c r="CK271" t="s">
        <v>8820</v>
      </c>
      <c r="CL271"/>
      <c r="CM271"/>
    </row>
    <row r="272" spans="1:91" ht="15">
      <c r="A272" s="364" t="s">
        <v>7675</v>
      </c>
      <c r="B272" t="s">
        <v>267</v>
      </c>
      <c r="C272" t="s">
        <v>413</v>
      </c>
      <c r="D272">
        <v>70</v>
      </c>
      <c r="E272" s="113">
        <v>38</v>
      </c>
      <c r="F272" s="113">
        <v>4</v>
      </c>
      <c r="I272"/>
      <c r="K272" s="224">
        <v>6</v>
      </c>
      <c r="L272" s="390">
        <v>41625</v>
      </c>
      <c r="M272"/>
      <c r="N272" s="224"/>
      <c r="O272"/>
      <c r="P272"/>
      <c r="Q272"/>
      <c r="S272" s="224"/>
      <c r="T272" s="224"/>
      <c r="U272"/>
      <c r="V272"/>
      <c r="W272"/>
      <c r="X272"/>
      <c r="Y272" s="225"/>
      <c r="Z272" s="224"/>
      <c r="AA272" s="226"/>
      <c r="AB272" s="224"/>
      <c r="AC272" s="225"/>
      <c r="AD272" s="224"/>
      <c r="AE272" s="224"/>
      <c r="AF272" s="224"/>
      <c r="AG272">
        <v>4.4000000000000004</v>
      </c>
      <c r="AH272"/>
      <c r="AI272">
        <v>140</v>
      </c>
      <c r="AJ272" s="194">
        <v>41785</v>
      </c>
      <c r="AK272"/>
      <c r="AL272"/>
      <c r="AM272"/>
      <c r="AN272"/>
      <c r="AO272"/>
      <c r="AP272"/>
      <c r="AQ272" s="227"/>
      <c r="AR272" s="227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>
        <v>51.6</v>
      </c>
      <c r="BT272"/>
      <c r="BU272">
        <v>17.88</v>
      </c>
      <c r="BV272"/>
      <c r="BW272" s="229"/>
      <c r="BX272"/>
      <c r="BY272"/>
      <c r="BZ272"/>
      <c r="CA272"/>
      <c r="CC272"/>
      <c r="CD272"/>
      <c r="CE272">
        <v>4.91</v>
      </c>
      <c r="CF272"/>
      <c r="CG272">
        <v>2.8</v>
      </c>
      <c r="CH272"/>
      <c r="CI272"/>
      <c r="CJ272"/>
      <c r="CK272" t="s">
        <v>8820</v>
      </c>
      <c r="CL272"/>
      <c r="CM272"/>
    </row>
    <row r="273" spans="1:91" ht="15">
      <c r="A273" s="364" t="s">
        <v>7676</v>
      </c>
      <c r="B273" t="s">
        <v>267</v>
      </c>
      <c r="C273" t="s">
        <v>413</v>
      </c>
      <c r="D273">
        <v>71</v>
      </c>
      <c r="E273" s="113">
        <v>41</v>
      </c>
      <c r="F273" s="113">
        <v>1</v>
      </c>
      <c r="I273"/>
      <c r="K273" s="224">
        <v>7</v>
      </c>
      <c r="L273" s="390">
        <v>41625</v>
      </c>
      <c r="M273"/>
      <c r="N273" s="224"/>
      <c r="O273"/>
      <c r="P273"/>
      <c r="Q273"/>
      <c r="S273" s="224"/>
      <c r="T273" s="224"/>
      <c r="U273"/>
      <c r="V273"/>
      <c r="W273"/>
      <c r="X273"/>
      <c r="Y273" s="225"/>
      <c r="Z273" s="224"/>
      <c r="AA273" s="226"/>
      <c r="AB273" s="224"/>
      <c r="AC273" s="225"/>
      <c r="AD273" s="224"/>
      <c r="AE273" s="224"/>
      <c r="AF273" s="224"/>
      <c r="AG273">
        <v>4.18</v>
      </c>
      <c r="AH273"/>
      <c r="AI273">
        <v>130</v>
      </c>
      <c r="AJ273" s="194">
        <v>41785</v>
      </c>
      <c r="AK273"/>
      <c r="AL273"/>
      <c r="AM273"/>
      <c r="AN273"/>
      <c r="AO273"/>
      <c r="AP273"/>
      <c r="AQ273" s="227"/>
      <c r="AR273" s="227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>
        <v>51.7</v>
      </c>
      <c r="BT273"/>
      <c r="BU273">
        <v>16.89</v>
      </c>
      <c r="BV273"/>
      <c r="BW273" s="229"/>
      <c r="BX273"/>
      <c r="BY273"/>
      <c r="BZ273"/>
      <c r="CA273"/>
      <c r="CC273"/>
      <c r="CD273"/>
      <c r="CE273">
        <v>4.6399999999999997</v>
      </c>
      <c r="CF273"/>
      <c r="CG273">
        <v>0.09</v>
      </c>
      <c r="CH273"/>
      <c r="CI273"/>
      <c r="CJ273"/>
      <c r="CK273" t="s">
        <v>8820</v>
      </c>
      <c r="CL273"/>
      <c r="CM273"/>
    </row>
    <row r="274" spans="1:91" ht="15.75" thickBot="1">
      <c r="A274" s="364" t="s">
        <v>7677</v>
      </c>
      <c r="B274" s="343" t="s">
        <v>267</v>
      </c>
      <c r="C274" s="344" t="s">
        <v>413</v>
      </c>
      <c r="D274">
        <v>72</v>
      </c>
      <c r="E274" s="113">
        <v>60</v>
      </c>
      <c r="F274" s="113">
        <v>4</v>
      </c>
      <c r="I274"/>
      <c r="K274" s="224">
        <v>7</v>
      </c>
      <c r="L274" s="390">
        <v>41625</v>
      </c>
      <c r="M274"/>
      <c r="N274" s="224"/>
      <c r="O274"/>
      <c r="P274"/>
      <c r="Q274"/>
      <c r="S274" s="224"/>
      <c r="T274" s="224"/>
      <c r="U274"/>
      <c r="V274"/>
      <c r="W274"/>
      <c r="X274"/>
      <c r="Y274" s="225"/>
      <c r="Z274" s="224"/>
      <c r="AA274" s="226"/>
      <c r="AB274" s="224"/>
      <c r="AC274" s="225"/>
      <c r="AD274" s="224"/>
      <c r="AE274" s="224"/>
      <c r="AF274" s="224"/>
      <c r="AG274">
        <v>4.1500000000000004</v>
      </c>
      <c r="AH274"/>
      <c r="AI274">
        <v>135</v>
      </c>
      <c r="AJ274" s="194">
        <v>41785</v>
      </c>
      <c r="AK274"/>
      <c r="AL274"/>
      <c r="AM274"/>
      <c r="AN274"/>
      <c r="AO274"/>
      <c r="AP274"/>
      <c r="AQ274" s="227"/>
      <c r="AR274" s="227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>
        <v>52.3</v>
      </c>
      <c r="BT274"/>
      <c r="BU274">
        <v>18.059999999999999</v>
      </c>
      <c r="BV274"/>
      <c r="BW274" s="229"/>
      <c r="BX274"/>
      <c r="BY274"/>
      <c r="BZ274"/>
      <c r="CA274"/>
      <c r="CC274"/>
      <c r="CD274"/>
      <c r="CE274">
        <v>4.03</v>
      </c>
      <c r="CF274"/>
      <c r="CG274">
        <v>0.85</v>
      </c>
      <c r="CH274"/>
      <c r="CI274"/>
      <c r="CJ274"/>
      <c r="CK274" t="s">
        <v>8820</v>
      </c>
      <c r="CL274"/>
      <c r="CM274"/>
    </row>
    <row r="275" spans="1:91" ht="15">
      <c r="A275" s="364" t="s">
        <v>7678</v>
      </c>
      <c r="B275" s="362" t="s">
        <v>267</v>
      </c>
      <c r="C275" s="362" t="s">
        <v>413</v>
      </c>
      <c r="D275">
        <v>73</v>
      </c>
      <c r="E275" s="113">
        <v>72</v>
      </c>
      <c r="F275" s="113">
        <v>2</v>
      </c>
      <c r="I275"/>
      <c r="K275" s="224">
        <v>7</v>
      </c>
      <c r="L275" s="390">
        <v>41625</v>
      </c>
      <c r="M275"/>
      <c r="N275" s="224"/>
      <c r="O275"/>
      <c r="P275"/>
      <c r="Q275"/>
      <c r="S275" s="224"/>
      <c r="T275" s="224"/>
      <c r="U275"/>
      <c r="V275"/>
      <c r="W275"/>
      <c r="X275"/>
      <c r="Y275" s="225"/>
      <c r="Z275" s="224"/>
      <c r="AA275" s="226"/>
      <c r="AB275" s="224"/>
      <c r="AC275" s="225"/>
      <c r="AD275" s="224"/>
      <c r="AE275" s="224"/>
      <c r="AF275" s="224"/>
      <c r="AG275">
        <v>3.98</v>
      </c>
      <c r="AH275"/>
      <c r="AI275">
        <v>125</v>
      </c>
      <c r="AJ275" s="194">
        <v>41785</v>
      </c>
      <c r="AK275"/>
      <c r="AL275"/>
      <c r="AM275"/>
      <c r="AN275"/>
      <c r="AO275"/>
      <c r="AP275"/>
      <c r="AQ275" s="227"/>
      <c r="AR275" s="227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>
        <v>52.9</v>
      </c>
      <c r="BT275"/>
      <c r="BU275">
        <v>17</v>
      </c>
      <c r="BV275"/>
      <c r="BW275" s="229"/>
      <c r="BX275"/>
      <c r="BY275"/>
      <c r="BZ275"/>
      <c r="CA275"/>
      <c r="CC275"/>
      <c r="CD275"/>
      <c r="CE275">
        <v>8.64</v>
      </c>
      <c r="CF275"/>
      <c r="CG275">
        <v>0.17</v>
      </c>
      <c r="CH275"/>
      <c r="CI275"/>
      <c r="CJ275"/>
      <c r="CK275" t="s">
        <v>8820</v>
      </c>
      <c r="CL275"/>
      <c r="CM275"/>
    </row>
    <row r="276" spans="1:91" ht="15">
      <c r="A276" s="364" t="s">
        <v>7679</v>
      </c>
      <c r="B276" t="s">
        <v>267</v>
      </c>
      <c r="C276" t="s">
        <v>413</v>
      </c>
      <c r="D276" s="232">
        <v>74</v>
      </c>
      <c r="E276" s="113">
        <v>66</v>
      </c>
      <c r="F276" s="113">
        <v>6</v>
      </c>
      <c r="I276"/>
      <c r="K276" s="224">
        <v>7</v>
      </c>
      <c r="L276" s="390">
        <v>41625</v>
      </c>
      <c r="M276"/>
      <c r="N276" s="224"/>
      <c r="O276"/>
      <c r="P276"/>
      <c r="Q276"/>
      <c r="S276" s="224"/>
      <c r="T276" s="224"/>
      <c r="U276"/>
      <c r="V276"/>
      <c r="W276"/>
      <c r="X276"/>
      <c r="Y276" s="225"/>
      <c r="Z276" s="224"/>
      <c r="AA276" s="226"/>
      <c r="AB276" s="224"/>
      <c r="AC276" s="225"/>
      <c r="AD276" s="224"/>
      <c r="AE276" s="224"/>
      <c r="AF276" s="224"/>
      <c r="AG276">
        <v>5.19</v>
      </c>
      <c r="AH276"/>
      <c r="AI276">
        <v>120</v>
      </c>
      <c r="AJ276" s="194">
        <v>41785</v>
      </c>
      <c r="AK276"/>
      <c r="AL276"/>
      <c r="AM276"/>
      <c r="AN276"/>
      <c r="AO276"/>
      <c r="AP276"/>
      <c r="AQ276" s="227"/>
      <c r="AR276" s="227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>
        <v>51.2</v>
      </c>
      <c r="BT276"/>
      <c r="BU276">
        <v>19.68</v>
      </c>
      <c r="BV276"/>
      <c r="BW276" s="229"/>
      <c r="BX276"/>
      <c r="BY276"/>
      <c r="BZ276"/>
      <c r="CA276"/>
      <c r="CC276"/>
      <c r="CD276"/>
      <c r="CE276">
        <v>5.47</v>
      </c>
      <c r="CF276"/>
      <c r="CG276">
        <v>0.17</v>
      </c>
      <c r="CH276"/>
      <c r="CI276"/>
      <c r="CJ276"/>
      <c r="CK276" t="s">
        <v>8820</v>
      </c>
      <c r="CL276"/>
      <c r="CM276"/>
    </row>
    <row r="277" spans="1:91" ht="15">
      <c r="A277" s="364" t="s">
        <v>7680</v>
      </c>
      <c r="B277" t="s">
        <v>267</v>
      </c>
      <c r="C277" t="s">
        <v>413</v>
      </c>
      <c r="D277">
        <v>75</v>
      </c>
      <c r="E277" s="113">
        <v>60</v>
      </c>
      <c r="F277" s="113">
        <v>6</v>
      </c>
      <c r="I277"/>
      <c r="K277" s="224">
        <v>7</v>
      </c>
      <c r="L277" s="390">
        <v>41625</v>
      </c>
      <c r="M277"/>
      <c r="N277" s="224"/>
      <c r="O277"/>
      <c r="P277"/>
      <c r="Q277"/>
      <c r="S277" s="224"/>
      <c r="T277" s="224"/>
      <c r="U277"/>
      <c r="V277"/>
      <c r="W277"/>
      <c r="X277"/>
      <c r="Y277" s="225"/>
      <c r="Z277" s="224"/>
      <c r="AA277" s="226"/>
      <c r="AB277" s="224"/>
      <c r="AC277" s="225"/>
      <c r="AD277" s="224"/>
      <c r="AE277" s="224"/>
      <c r="AF277" s="224"/>
      <c r="AG277">
        <v>4.46</v>
      </c>
      <c r="AH277"/>
      <c r="AI277">
        <v>110</v>
      </c>
      <c r="AJ277" s="194">
        <v>41785</v>
      </c>
      <c r="AK277"/>
      <c r="AL277"/>
      <c r="AM277"/>
      <c r="AN277"/>
      <c r="AO277"/>
      <c r="AP277"/>
      <c r="AQ277" s="227"/>
      <c r="AR277" s="22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>
        <v>51.6</v>
      </c>
      <c r="BT277"/>
      <c r="BU277">
        <v>18.510000000000002</v>
      </c>
      <c r="BV277"/>
      <c r="BW277" s="229"/>
      <c r="BX277"/>
      <c r="BY277"/>
      <c r="BZ277"/>
      <c r="CA277"/>
      <c r="CC277"/>
      <c r="CD277"/>
      <c r="CE277">
        <v>4.32</v>
      </c>
      <c r="CF277"/>
      <c r="CG277">
        <v>0.43</v>
      </c>
      <c r="CH277"/>
      <c r="CI277"/>
      <c r="CJ277"/>
      <c r="CK277" t="s">
        <v>8820</v>
      </c>
      <c r="CL277"/>
      <c r="CM277"/>
    </row>
    <row r="278" spans="1:91" ht="15">
      <c r="A278" s="364" t="s">
        <v>7681</v>
      </c>
      <c r="B278" t="s">
        <v>267</v>
      </c>
      <c r="C278" t="s">
        <v>413</v>
      </c>
      <c r="D278" s="232">
        <v>76</v>
      </c>
      <c r="E278" s="113">
        <v>42</v>
      </c>
      <c r="F278" s="113">
        <v>5</v>
      </c>
      <c r="I278"/>
      <c r="K278" s="224">
        <v>7</v>
      </c>
      <c r="L278" s="390">
        <v>41625</v>
      </c>
      <c r="M278"/>
      <c r="N278" s="224"/>
      <c r="O278"/>
      <c r="P278"/>
      <c r="Q278"/>
      <c r="S278" s="224"/>
      <c r="T278" s="224"/>
      <c r="U278"/>
      <c r="V278"/>
      <c r="W278"/>
      <c r="X278"/>
      <c r="Y278" s="225"/>
      <c r="Z278" s="224"/>
      <c r="AA278" s="226"/>
      <c r="AB278" s="224"/>
      <c r="AC278" s="225"/>
      <c r="AD278" s="224"/>
      <c r="AE278" s="224"/>
      <c r="AF278" s="224"/>
      <c r="AG278">
        <v>3.33</v>
      </c>
      <c r="AH278"/>
      <c r="AI278">
        <v>140</v>
      </c>
      <c r="AJ278" s="194">
        <v>41785</v>
      </c>
      <c r="AK278"/>
      <c r="AL278"/>
      <c r="AM278"/>
      <c r="AN278"/>
      <c r="AO278"/>
      <c r="AP278"/>
      <c r="AQ278" s="227"/>
      <c r="AR278" s="227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>
        <v>52.6</v>
      </c>
      <c r="BT278"/>
      <c r="BU278">
        <v>18.02</v>
      </c>
      <c r="BV278"/>
      <c r="BW278" s="229"/>
      <c r="BX278"/>
      <c r="BY278"/>
      <c r="BZ278"/>
      <c r="CA278"/>
      <c r="CC278"/>
      <c r="CD278"/>
      <c r="CE278">
        <v>4.67</v>
      </c>
      <c r="CF278"/>
      <c r="CG278">
        <v>0.09</v>
      </c>
      <c r="CH278"/>
      <c r="CI278"/>
      <c r="CJ278"/>
      <c r="CK278" t="s">
        <v>8820</v>
      </c>
      <c r="CL278"/>
      <c r="CM278"/>
    </row>
    <row r="279" spans="1:91" ht="15">
      <c r="A279" s="364" t="s">
        <v>7682</v>
      </c>
      <c r="B279" t="s">
        <v>267</v>
      </c>
      <c r="C279" t="s">
        <v>413</v>
      </c>
      <c r="D279" s="232">
        <v>77</v>
      </c>
      <c r="E279" s="113">
        <v>38</v>
      </c>
      <c r="F279" s="113">
        <v>1</v>
      </c>
      <c r="I279"/>
      <c r="K279" s="224">
        <v>6</v>
      </c>
      <c r="L279" s="390">
        <v>41625</v>
      </c>
      <c r="M279"/>
      <c r="N279" s="224"/>
      <c r="O279"/>
      <c r="P279"/>
      <c r="Q279"/>
      <c r="S279" s="224"/>
      <c r="T279" s="224"/>
      <c r="U279"/>
      <c r="V279"/>
      <c r="W279"/>
      <c r="X279"/>
      <c r="Y279" s="225"/>
      <c r="Z279" s="224"/>
      <c r="AA279" s="226"/>
      <c r="AB279" s="224"/>
      <c r="AC279" s="225"/>
      <c r="AD279" s="224"/>
      <c r="AE279" s="224"/>
      <c r="AF279" s="224"/>
      <c r="AG279">
        <v>4.57</v>
      </c>
      <c r="AH279"/>
      <c r="AI279">
        <v>130</v>
      </c>
      <c r="AJ279" s="194">
        <v>41785</v>
      </c>
      <c r="AK279"/>
      <c r="AL279"/>
      <c r="AM279"/>
      <c r="AN279"/>
      <c r="AO279"/>
      <c r="AP279"/>
      <c r="AQ279" s="227"/>
      <c r="AR279" s="227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>
        <v>52.3</v>
      </c>
      <c r="BT279"/>
      <c r="BU279">
        <v>16.43</v>
      </c>
      <c r="BV279"/>
      <c r="BW279" s="229"/>
      <c r="BX279"/>
      <c r="BY279"/>
      <c r="BZ279"/>
      <c r="CA279"/>
      <c r="CC279"/>
      <c r="CD279"/>
      <c r="CE279">
        <v>4.5599999999999996</v>
      </c>
      <c r="CF279"/>
      <c r="CG279">
        <v>0.6</v>
      </c>
      <c r="CH279"/>
      <c r="CI279"/>
      <c r="CJ279"/>
      <c r="CK279" t="s">
        <v>8820</v>
      </c>
      <c r="CL279"/>
      <c r="CM279"/>
    </row>
    <row r="280" spans="1:91" ht="15">
      <c r="A280" s="364" t="s">
        <v>7683</v>
      </c>
      <c r="B280" t="s">
        <v>267</v>
      </c>
      <c r="C280" t="s">
        <v>413</v>
      </c>
      <c r="D280">
        <v>78</v>
      </c>
      <c r="E280" s="113">
        <v>49</v>
      </c>
      <c r="F280" s="113">
        <v>3</v>
      </c>
      <c r="I280"/>
      <c r="K280" s="224">
        <v>6</v>
      </c>
      <c r="L280" s="390">
        <v>41625</v>
      </c>
      <c r="M280"/>
      <c r="N280" s="224"/>
      <c r="O280"/>
      <c r="P280"/>
      <c r="Q280"/>
      <c r="S280" s="224"/>
      <c r="T280" s="224"/>
      <c r="U280"/>
      <c r="V280"/>
      <c r="W280"/>
      <c r="X280"/>
      <c r="Y280" s="225"/>
      <c r="Z280" s="224"/>
      <c r="AA280" s="226"/>
      <c r="AB280" s="224"/>
      <c r="AC280" s="225"/>
      <c r="AD280" s="224"/>
      <c r="AE280" s="224"/>
      <c r="AF280" s="224"/>
      <c r="AG280">
        <v>4.0999999999999996</v>
      </c>
      <c r="AH280"/>
      <c r="AI280">
        <v>130</v>
      </c>
      <c r="AJ280" s="194">
        <v>41785</v>
      </c>
      <c r="AK280"/>
      <c r="AL280"/>
      <c r="AM280"/>
      <c r="AN280"/>
      <c r="AO280"/>
      <c r="AP280"/>
      <c r="AQ280" s="227"/>
      <c r="AR280" s="227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>
        <v>53.2</v>
      </c>
      <c r="BT280"/>
      <c r="BU280">
        <v>17.329999999999998</v>
      </c>
      <c r="BV280"/>
      <c r="BW280" s="229"/>
      <c r="BX280"/>
      <c r="BY280"/>
      <c r="BZ280"/>
      <c r="CA280"/>
      <c r="CC280"/>
      <c r="CD280"/>
      <c r="CE280">
        <v>3.68</v>
      </c>
      <c r="CF280"/>
      <c r="CG280">
        <v>0.93</v>
      </c>
      <c r="CH280"/>
      <c r="CI280"/>
      <c r="CJ280"/>
      <c r="CK280" t="s">
        <v>8820</v>
      </c>
      <c r="CL280"/>
      <c r="CM280"/>
    </row>
    <row r="281" spans="1:91" ht="15">
      <c r="A281" s="364" t="s">
        <v>7684</v>
      </c>
      <c r="B281" t="s">
        <v>267</v>
      </c>
      <c r="C281" t="s">
        <v>413</v>
      </c>
      <c r="D281">
        <v>79</v>
      </c>
      <c r="E281" s="113">
        <v>40</v>
      </c>
      <c r="F281" s="113">
        <v>2</v>
      </c>
      <c r="I281"/>
      <c r="K281" s="224">
        <v>6</v>
      </c>
      <c r="L281" s="390">
        <v>41625</v>
      </c>
      <c r="M281"/>
      <c r="N281" s="224"/>
      <c r="O281"/>
      <c r="P281"/>
      <c r="Q281"/>
      <c r="S281" s="224"/>
      <c r="T281" s="224"/>
      <c r="U281"/>
      <c r="V281"/>
      <c r="W281"/>
      <c r="X281"/>
      <c r="Y281" s="225"/>
      <c r="Z281" s="224"/>
      <c r="AA281" s="226"/>
      <c r="AB281" s="224"/>
      <c r="AC281" s="225"/>
      <c r="AD281" s="224"/>
      <c r="AE281" s="224"/>
      <c r="AF281" s="224"/>
      <c r="AG281">
        <v>3.58</v>
      </c>
      <c r="AH281"/>
      <c r="AI281">
        <v>145</v>
      </c>
      <c r="AJ281" s="194">
        <v>41785</v>
      </c>
      <c r="AK281"/>
      <c r="AL281"/>
      <c r="AM281"/>
      <c r="AN281"/>
      <c r="AO281"/>
      <c r="AP281"/>
      <c r="AQ281" s="227"/>
      <c r="AR281" s="227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>
        <v>53.5</v>
      </c>
      <c r="BT281"/>
      <c r="BU281">
        <v>17</v>
      </c>
      <c r="BV281"/>
      <c r="BW281" s="229"/>
      <c r="BX281"/>
      <c r="BY281"/>
      <c r="BZ281"/>
      <c r="CA281"/>
      <c r="CC281"/>
      <c r="CD281"/>
      <c r="CE281">
        <v>4.17</v>
      </c>
      <c r="CF281"/>
      <c r="CG281">
        <v>0.17</v>
      </c>
      <c r="CH281"/>
      <c r="CI281"/>
      <c r="CJ281"/>
      <c r="CK281" t="s">
        <v>8820</v>
      </c>
      <c r="CL281"/>
      <c r="CM281"/>
    </row>
    <row r="282" spans="1:91" ht="15">
      <c r="A282" s="364" t="s">
        <v>7685</v>
      </c>
      <c r="B282" t="s">
        <v>267</v>
      </c>
      <c r="C282" t="s">
        <v>413</v>
      </c>
      <c r="D282">
        <v>80</v>
      </c>
      <c r="E282" s="113">
        <v>47</v>
      </c>
      <c r="F282" s="113">
        <v>6</v>
      </c>
      <c r="I282"/>
      <c r="K282" s="224">
        <v>7</v>
      </c>
      <c r="L282" s="390">
        <v>41625</v>
      </c>
      <c r="M282"/>
      <c r="N282" s="224"/>
      <c r="O282"/>
      <c r="P282"/>
      <c r="Q282"/>
      <c r="S282" s="224"/>
      <c r="T282" s="224"/>
      <c r="U282"/>
      <c r="V282"/>
      <c r="W282"/>
      <c r="X282"/>
      <c r="Y282" s="225"/>
      <c r="Z282" s="224"/>
      <c r="AA282" s="226"/>
      <c r="AB282" s="224"/>
      <c r="AC282" s="225"/>
      <c r="AD282" s="224"/>
      <c r="AE282" s="224"/>
      <c r="AF282" s="224"/>
      <c r="AG282">
        <v>4.41</v>
      </c>
      <c r="AH282"/>
      <c r="AI282">
        <v>125</v>
      </c>
      <c r="AJ282" s="194">
        <v>41785</v>
      </c>
      <c r="AK282"/>
      <c r="AL282"/>
      <c r="AM282"/>
      <c r="AN282"/>
      <c r="AO282"/>
      <c r="AP282"/>
      <c r="AQ282" s="227"/>
      <c r="AR282" s="227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>
        <v>52.6</v>
      </c>
      <c r="BT282"/>
      <c r="BU282">
        <v>17.79</v>
      </c>
      <c r="BV282"/>
      <c r="BW282" s="229"/>
      <c r="BX282"/>
      <c r="BY282"/>
      <c r="BZ282"/>
      <c r="CA282"/>
      <c r="CC282"/>
      <c r="CD282"/>
      <c r="CE282">
        <v>7.75</v>
      </c>
      <c r="CF282"/>
      <c r="CG282">
        <v>0.51</v>
      </c>
      <c r="CH282"/>
      <c r="CI282"/>
      <c r="CJ282"/>
      <c r="CK282" t="s">
        <v>8820</v>
      </c>
      <c r="CL282"/>
      <c r="CM282"/>
    </row>
    <row r="283" spans="1:91" ht="15">
      <c r="A283" s="364" t="s">
        <v>7686</v>
      </c>
      <c r="B283" t="s">
        <v>267</v>
      </c>
      <c r="C283" t="s">
        <v>413</v>
      </c>
      <c r="D283">
        <v>81</v>
      </c>
      <c r="E283" s="113">
        <v>65</v>
      </c>
      <c r="F283" s="113">
        <v>5</v>
      </c>
      <c r="I283"/>
      <c r="K283" s="224">
        <v>7</v>
      </c>
      <c r="L283" s="390">
        <v>41625</v>
      </c>
      <c r="M283"/>
      <c r="N283" s="224"/>
      <c r="O283"/>
      <c r="P283"/>
      <c r="Q283"/>
      <c r="S283" s="224"/>
      <c r="T283" s="224"/>
      <c r="U283"/>
      <c r="V283"/>
      <c r="W283"/>
      <c r="X283"/>
      <c r="Y283" s="225"/>
      <c r="Z283" s="224"/>
      <c r="AA283" s="226"/>
      <c r="AB283" s="224"/>
      <c r="AC283" s="225"/>
      <c r="AD283" s="224"/>
      <c r="AE283" s="224"/>
      <c r="AF283" s="224"/>
      <c r="AG283">
        <v>4.74</v>
      </c>
      <c r="AH283"/>
      <c r="AI283">
        <v>120</v>
      </c>
      <c r="AJ283" s="194">
        <v>41785</v>
      </c>
      <c r="AK283"/>
      <c r="AL283"/>
      <c r="AM283"/>
      <c r="AN283"/>
      <c r="AO283"/>
      <c r="AP283"/>
      <c r="AQ283" s="227"/>
      <c r="AR283" s="227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>
        <v>51</v>
      </c>
      <c r="BT283"/>
      <c r="BU283">
        <v>18.829999999999998</v>
      </c>
      <c r="BV283"/>
      <c r="BW283" s="229"/>
      <c r="BX283"/>
      <c r="BY283"/>
      <c r="BZ283"/>
      <c r="CA283"/>
      <c r="CC283"/>
      <c r="CD283"/>
      <c r="CE283">
        <v>4.1500000000000004</v>
      </c>
      <c r="CF283"/>
      <c r="CG283">
        <v>0.51</v>
      </c>
      <c r="CH283"/>
      <c r="CI283"/>
      <c r="CJ283"/>
      <c r="CK283" t="s">
        <v>8820</v>
      </c>
      <c r="CL283"/>
      <c r="CM283"/>
    </row>
    <row r="284" spans="1:91" ht="15">
      <c r="A284" s="364" t="s">
        <v>7687</v>
      </c>
      <c r="B284" t="s">
        <v>267</v>
      </c>
      <c r="C284" t="s">
        <v>413</v>
      </c>
      <c r="D284">
        <v>82</v>
      </c>
      <c r="E284" s="113">
        <v>64</v>
      </c>
      <c r="F284" s="113">
        <v>4</v>
      </c>
      <c r="I284"/>
      <c r="K284" s="224">
        <v>7</v>
      </c>
      <c r="L284" s="390">
        <v>41625</v>
      </c>
      <c r="M284"/>
      <c r="N284" s="224"/>
      <c r="O284"/>
      <c r="P284"/>
      <c r="Q284"/>
      <c r="S284" s="224"/>
      <c r="T284" s="224"/>
      <c r="U284"/>
      <c r="V284"/>
      <c r="W284"/>
      <c r="X284"/>
      <c r="Y284" s="225"/>
      <c r="Z284" s="224"/>
      <c r="AA284" s="226"/>
      <c r="AB284" s="224"/>
      <c r="AC284" s="225"/>
      <c r="AD284" s="224"/>
      <c r="AE284" s="224"/>
      <c r="AF284" s="224"/>
      <c r="AG284">
        <v>4.42</v>
      </c>
      <c r="AH284"/>
      <c r="AI284">
        <v>140</v>
      </c>
      <c r="AJ284" s="194">
        <v>41785</v>
      </c>
      <c r="AK284"/>
      <c r="AL284"/>
      <c r="AM284"/>
      <c r="AN284"/>
      <c r="AO284"/>
      <c r="AP284"/>
      <c r="AQ284" s="227"/>
      <c r="AR284" s="227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>
        <v>50.9</v>
      </c>
      <c r="BT284"/>
      <c r="BU284">
        <v>17.649999999999999</v>
      </c>
      <c r="BV284"/>
      <c r="BW284" s="229"/>
      <c r="BX284"/>
      <c r="BY284"/>
      <c r="BZ284"/>
      <c r="CA284"/>
      <c r="CC284"/>
      <c r="CD284"/>
      <c r="CE284">
        <v>4.3</v>
      </c>
      <c r="CF284"/>
      <c r="CG284">
        <v>0.43</v>
      </c>
      <c r="CH284"/>
      <c r="CI284"/>
      <c r="CJ284"/>
      <c r="CK284" t="s">
        <v>8820</v>
      </c>
      <c r="CL284"/>
      <c r="CM284"/>
    </row>
    <row r="285" spans="1:91" ht="15">
      <c r="A285" s="364" t="s">
        <v>7688</v>
      </c>
      <c r="B285" t="s">
        <v>267</v>
      </c>
      <c r="C285" t="s">
        <v>413</v>
      </c>
      <c r="D285">
        <v>83</v>
      </c>
      <c r="E285" s="113">
        <v>53</v>
      </c>
      <c r="F285" s="113">
        <v>3</v>
      </c>
      <c r="I285"/>
      <c r="K285" s="224">
        <v>7</v>
      </c>
      <c r="L285" s="390">
        <v>41625</v>
      </c>
      <c r="M285"/>
      <c r="N285" s="224"/>
      <c r="O285"/>
      <c r="P285"/>
      <c r="Q285"/>
      <c r="S285" s="224"/>
      <c r="T285" s="224"/>
      <c r="U285"/>
      <c r="V285"/>
      <c r="W285"/>
      <c r="X285"/>
      <c r="Y285" s="225"/>
      <c r="Z285" s="224"/>
      <c r="AA285" s="226"/>
      <c r="AB285" s="224"/>
      <c r="AC285" s="225"/>
      <c r="AD285" s="224"/>
      <c r="AE285" s="224"/>
      <c r="AF285" s="224"/>
      <c r="AG285">
        <v>3.81</v>
      </c>
      <c r="AH285"/>
      <c r="AI285">
        <v>130</v>
      </c>
      <c r="AJ285" s="194">
        <v>41785</v>
      </c>
      <c r="AK285"/>
      <c r="AL285"/>
      <c r="AM285"/>
      <c r="AN285"/>
      <c r="AO285"/>
      <c r="AP285"/>
      <c r="AQ285" s="227"/>
      <c r="AR285" s="227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>
        <v>52.3</v>
      </c>
      <c r="BT285"/>
      <c r="BU285">
        <v>18.02</v>
      </c>
      <c r="BV285"/>
      <c r="BW285" s="229"/>
      <c r="BX285"/>
      <c r="BY285"/>
      <c r="BZ285"/>
      <c r="CA285"/>
      <c r="CC285"/>
      <c r="CD285"/>
      <c r="CE285">
        <v>3.72</v>
      </c>
      <c r="CF285"/>
      <c r="CG285">
        <v>0.34</v>
      </c>
      <c r="CH285"/>
      <c r="CI285"/>
      <c r="CJ285"/>
      <c r="CK285" t="s">
        <v>8820</v>
      </c>
      <c r="CL285"/>
      <c r="CM285"/>
    </row>
    <row r="286" spans="1:91" ht="15">
      <c r="A286" s="364" t="s">
        <v>7689</v>
      </c>
      <c r="B286" t="s">
        <v>267</v>
      </c>
      <c r="C286" t="s">
        <v>413</v>
      </c>
      <c r="D286">
        <v>84</v>
      </c>
      <c r="E286" s="113">
        <v>59</v>
      </c>
      <c r="F286" s="113">
        <v>1</v>
      </c>
      <c r="I286"/>
      <c r="K286" s="224">
        <v>7</v>
      </c>
      <c r="L286" s="390">
        <v>41625</v>
      </c>
      <c r="M286"/>
      <c r="N286" s="224"/>
      <c r="O286"/>
      <c r="P286"/>
      <c r="Q286"/>
      <c r="S286" s="224"/>
      <c r="T286" s="224"/>
      <c r="U286"/>
      <c r="V286"/>
      <c r="W286"/>
      <c r="X286"/>
      <c r="Y286" s="225"/>
      <c r="Z286" s="224"/>
      <c r="AA286" s="226"/>
      <c r="AB286" s="224"/>
      <c r="AC286" s="225"/>
      <c r="AD286" s="224"/>
      <c r="AE286" s="224"/>
      <c r="AF286" s="224"/>
      <c r="AG286">
        <v>4.18</v>
      </c>
      <c r="AH286"/>
      <c r="AI286">
        <v>130</v>
      </c>
      <c r="AJ286" s="194">
        <v>41785</v>
      </c>
      <c r="AK286"/>
      <c r="AL286"/>
      <c r="AM286"/>
      <c r="AN286"/>
      <c r="AO286"/>
      <c r="AP286"/>
      <c r="AQ286" s="227"/>
      <c r="AR286" s="227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>
        <v>52.5</v>
      </c>
      <c r="BT286"/>
      <c r="BU286">
        <v>18.09</v>
      </c>
      <c r="BV286"/>
      <c r="BW286" s="229"/>
      <c r="BX286"/>
      <c r="BY286"/>
      <c r="BZ286"/>
      <c r="CA286"/>
      <c r="CC286"/>
      <c r="CD286"/>
      <c r="CE286">
        <v>3.98</v>
      </c>
      <c r="CF286"/>
      <c r="CG286">
        <v>0.77</v>
      </c>
      <c r="CH286"/>
      <c r="CI286"/>
      <c r="CJ286"/>
      <c r="CK286" t="s">
        <v>8820</v>
      </c>
      <c r="CL286"/>
      <c r="CM286"/>
    </row>
    <row r="287" spans="1:91" ht="15">
      <c r="A287" s="364" t="s">
        <v>7690</v>
      </c>
      <c r="B287" t="s">
        <v>267</v>
      </c>
      <c r="C287" t="s">
        <v>413</v>
      </c>
      <c r="D287">
        <v>85</v>
      </c>
      <c r="E287" s="113">
        <v>61</v>
      </c>
      <c r="F287" s="113">
        <v>1</v>
      </c>
      <c r="I287"/>
      <c r="K287" s="224">
        <v>7</v>
      </c>
      <c r="L287" s="390">
        <v>41625</v>
      </c>
      <c r="M287"/>
      <c r="N287" s="224"/>
      <c r="O287"/>
      <c r="P287"/>
      <c r="Q287"/>
      <c r="S287" s="224"/>
      <c r="T287" s="224"/>
      <c r="U287"/>
      <c r="V287"/>
      <c r="W287"/>
      <c r="X287"/>
      <c r="Y287" s="225"/>
      <c r="Z287" s="224"/>
      <c r="AA287" s="226"/>
      <c r="AB287" s="224"/>
      <c r="AC287" s="225"/>
      <c r="AD287" s="224"/>
      <c r="AE287" s="224"/>
      <c r="AF287" s="224"/>
      <c r="AG287">
        <v>3.64</v>
      </c>
      <c r="AH287"/>
      <c r="AI287">
        <v>140</v>
      </c>
      <c r="AJ287" s="194">
        <v>41785</v>
      </c>
      <c r="AK287"/>
      <c r="AL287"/>
      <c r="AM287"/>
      <c r="AN287"/>
      <c r="AO287"/>
      <c r="AP287"/>
      <c r="AQ287" s="227"/>
      <c r="AR287" s="22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>
        <v>52</v>
      </c>
      <c r="BT287"/>
      <c r="BU287">
        <v>16.84</v>
      </c>
      <c r="BV287"/>
      <c r="BW287" s="229"/>
      <c r="BX287"/>
      <c r="BY287"/>
      <c r="BZ287"/>
      <c r="CA287"/>
      <c r="CC287"/>
      <c r="CD287"/>
      <c r="CE287">
        <v>5.34</v>
      </c>
      <c r="CF287"/>
      <c r="CG287">
        <v>0.43</v>
      </c>
      <c r="CH287"/>
      <c r="CI287"/>
      <c r="CJ287"/>
      <c r="CK287" t="s">
        <v>8820</v>
      </c>
      <c r="CL287"/>
      <c r="CM287"/>
    </row>
    <row r="288" spans="1:91" ht="15">
      <c r="A288" s="364" t="s">
        <v>7691</v>
      </c>
      <c r="B288" t="s">
        <v>267</v>
      </c>
      <c r="C288" t="s">
        <v>413</v>
      </c>
      <c r="D288">
        <v>86</v>
      </c>
      <c r="E288" s="113">
        <v>46</v>
      </c>
      <c r="F288" s="113">
        <v>3</v>
      </c>
      <c r="I288"/>
      <c r="K288" s="224">
        <v>7</v>
      </c>
      <c r="L288" s="390">
        <v>41625</v>
      </c>
      <c r="M288"/>
      <c r="N288" s="224"/>
      <c r="O288"/>
      <c r="P288"/>
      <c r="Q288"/>
      <c r="S288" s="224"/>
      <c r="T288" s="224"/>
      <c r="U288"/>
      <c r="V288"/>
      <c r="W288"/>
      <c r="X288"/>
      <c r="Y288" s="225"/>
      <c r="Z288" s="224"/>
      <c r="AA288" s="226"/>
      <c r="AB288" s="224"/>
      <c r="AC288" s="225"/>
      <c r="AD288" s="224"/>
      <c r="AE288" s="224"/>
      <c r="AF288" s="224"/>
      <c r="AG288">
        <v>4.5</v>
      </c>
      <c r="AH288"/>
      <c r="AI288">
        <v>125</v>
      </c>
      <c r="AJ288" s="194">
        <v>41785</v>
      </c>
      <c r="AK288"/>
      <c r="AL288"/>
      <c r="AM288"/>
      <c r="AN288"/>
      <c r="AO288"/>
      <c r="AP288"/>
      <c r="AQ288" s="227"/>
      <c r="AR288" s="227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>
        <v>50.4</v>
      </c>
      <c r="BT288"/>
      <c r="BU288">
        <v>18.989999999999998</v>
      </c>
      <c r="BV288"/>
      <c r="BW288" s="229"/>
      <c r="BX288"/>
      <c r="BY288"/>
      <c r="BZ288"/>
      <c r="CA288"/>
      <c r="CC288"/>
      <c r="CD288"/>
      <c r="CE288">
        <v>5.27</v>
      </c>
      <c r="CF288"/>
      <c r="CG288">
        <v>0.09</v>
      </c>
      <c r="CH288"/>
      <c r="CI288"/>
      <c r="CJ288"/>
      <c r="CK288" t="s">
        <v>8820</v>
      </c>
      <c r="CL288"/>
      <c r="CM288"/>
    </row>
    <row r="289" spans="1:91" ht="15">
      <c r="A289" s="364" t="s">
        <v>7692</v>
      </c>
      <c r="B289" t="s">
        <v>267</v>
      </c>
      <c r="C289" t="s">
        <v>413</v>
      </c>
      <c r="D289">
        <v>87</v>
      </c>
      <c r="E289" s="113">
        <v>64</v>
      </c>
      <c r="F289" s="113">
        <v>1</v>
      </c>
      <c r="I289"/>
      <c r="K289" s="224">
        <v>6</v>
      </c>
      <c r="L289" s="390">
        <v>41625</v>
      </c>
      <c r="M289"/>
      <c r="N289" s="224"/>
      <c r="O289"/>
      <c r="P289"/>
      <c r="Q289"/>
      <c r="S289" s="224"/>
      <c r="T289" s="224"/>
      <c r="U289"/>
      <c r="V289"/>
      <c r="W289"/>
      <c r="X289"/>
      <c r="Y289" s="225"/>
      <c r="Z289" s="224"/>
      <c r="AA289" s="226"/>
      <c r="AB289" s="224"/>
      <c r="AC289" s="225"/>
      <c r="AD289" s="224"/>
      <c r="AE289" s="224"/>
      <c r="AF289" s="224"/>
      <c r="AG289">
        <v>4.38</v>
      </c>
      <c r="AH289"/>
      <c r="AI289">
        <v>115</v>
      </c>
      <c r="AJ289" s="194">
        <v>41785</v>
      </c>
      <c r="AK289"/>
      <c r="AL289"/>
      <c r="AM289"/>
      <c r="AN289"/>
      <c r="AO289"/>
      <c r="AP289"/>
      <c r="AQ289" s="227"/>
      <c r="AR289" s="227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>
        <v>52.6</v>
      </c>
      <c r="BT289"/>
      <c r="BU289">
        <v>17.89</v>
      </c>
      <c r="BV289"/>
      <c r="BW289" s="229"/>
      <c r="BX289"/>
      <c r="BY289"/>
      <c r="BZ289"/>
      <c r="CA289"/>
      <c r="CC289"/>
      <c r="CD289"/>
      <c r="CE289">
        <v>4.07</v>
      </c>
      <c r="CF289"/>
      <c r="CG289">
        <v>0.76</v>
      </c>
      <c r="CH289"/>
      <c r="CI289"/>
      <c r="CJ289"/>
      <c r="CK289" t="s">
        <v>8820</v>
      </c>
      <c r="CL289"/>
      <c r="CM289"/>
    </row>
    <row r="290" spans="1:91" ht="15">
      <c r="A290" s="364" t="s">
        <v>7693</v>
      </c>
      <c r="B290" t="s">
        <v>267</v>
      </c>
      <c r="C290" t="s">
        <v>413</v>
      </c>
      <c r="D290">
        <v>88</v>
      </c>
      <c r="E290" s="113">
        <v>66</v>
      </c>
      <c r="F290" s="113">
        <v>5</v>
      </c>
      <c r="I290"/>
      <c r="K290" s="224">
        <v>7</v>
      </c>
      <c r="L290" s="390">
        <v>41625</v>
      </c>
      <c r="M290"/>
      <c r="N290" s="224"/>
      <c r="O290"/>
      <c r="P290"/>
      <c r="Q290"/>
      <c r="S290" s="224"/>
      <c r="T290" s="224"/>
      <c r="U290"/>
      <c r="V290"/>
      <c r="W290"/>
      <c r="X290"/>
      <c r="Y290" s="225"/>
      <c r="Z290" s="224"/>
      <c r="AA290" s="226"/>
      <c r="AB290" s="224"/>
      <c r="AC290" s="225"/>
      <c r="AD290" s="224"/>
      <c r="AE290" s="224"/>
      <c r="AF290" s="224"/>
      <c r="AG290">
        <v>3.85</v>
      </c>
      <c r="AH290"/>
      <c r="AI290">
        <v>150</v>
      </c>
      <c r="AJ290" s="194">
        <v>41785</v>
      </c>
      <c r="AK290"/>
      <c r="AL290"/>
      <c r="AM290"/>
      <c r="AN290"/>
      <c r="AO290"/>
      <c r="AP290"/>
      <c r="AQ290" s="227"/>
      <c r="AR290" s="227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>
        <v>52.9</v>
      </c>
      <c r="BT290"/>
      <c r="BU290">
        <v>18.149999999999999</v>
      </c>
      <c r="BV290"/>
      <c r="BW290" s="229"/>
      <c r="BX290"/>
      <c r="BY290"/>
      <c r="BZ290"/>
      <c r="CA290"/>
      <c r="CC290"/>
      <c r="CD290"/>
      <c r="CE290">
        <v>4.97</v>
      </c>
      <c r="CF290"/>
      <c r="CG290">
        <v>0.26</v>
      </c>
      <c r="CH290"/>
      <c r="CI290"/>
      <c r="CJ290"/>
      <c r="CK290" t="s">
        <v>8820</v>
      </c>
      <c r="CL290"/>
      <c r="CM290"/>
    </row>
    <row r="291" spans="1:91" ht="15">
      <c r="A291" s="364" t="s">
        <v>7694</v>
      </c>
      <c r="B291" t="s">
        <v>267</v>
      </c>
      <c r="C291" t="s">
        <v>413</v>
      </c>
      <c r="D291">
        <v>89</v>
      </c>
      <c r="E291" s="113">
        <v>70</v>
      </c>
      <c r="F291" s="113">
        <v>2</v>
      </c>
      <c r="I291"/>
      <c r="K291" s="224">
        <v>7</v>
      </c>
      <c r="L291" s="390">
        <v>41625</v>
      </c>
      <c r="M291"/>
      <c r="N291" s="224"/>
      <c r="O291"/>
      <c r="P291"/>
      <c r="Q291"/>
      <c r="S291" s="224"/>
      <c r="T291" s="224"/>
      <c r="U291"/>
      <c r="V291"/>
      <c r="W291"/>
      <c r="X291"/>
      <c r="Y291" s="225"/>
      <c r="Z291" s="224"/>
      <c r="AA291" s="226"/>
      <c r="AB291" s="224"/>
      <c r="AC291" s="225"/>
      <c r="AD291" s="224"/>
      <c r="AE291" s="224"/>
      <c r="AF291" s="224"/>
      <c r="AG291">
        <v>5.04</v>
      </c>
      <c r="AH291"/>
      <c r="AI291">
        <v>130</v>
      </c>
      <c r="AJ291" s="194">
        <v>41785</v>
      </c>
      <c r="AK291"/>
      <c r="AL291"/>
      <c r="AM291"/>
      <c r="AN291"/>
      <c r="AO291"/>
      <c r="AP291"/>
      <c r="AQ291" s="227"/>
      <c r="AR291" s="227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>
        <v>51.3</v>
      </c>
      <c r="BT291"/>
      <c r="BU291">
        <v>17.78</v>
      </c>
      <c r="BV291"/>
      <c r="BW291"/>
      <c r="BX291" s="228"/>
      <c r="BY291"/>
      <c r="BZ291"/>
      <c r="CA291"/>
      <c r="CC291"/>
      <c r="CD291"/>
      <c r="CE291">
        <v>5.09</v>
      </c>
      <c r="CF291"/>
      <c r="CG291">
        <v>0.17</v>
      </c>
      <c r="CH291"/>
      <c r="CI291"/>
      <c r="CJ291"/>
      <c r="CK291" t="s">
        <v>8820</v>
      </c>
      <c r="CL291"/>
      <c r="CM291"/>
    </row>
    <row r="292" spans="1:91" ht="15">
      <c r="A292" s="364" t="s">
        <v>7695</v>
      </c>
      <c r="B292" t="s">
        <v>267</v>
      </c>
      <c r="C292" t="s">
        <v>413</v>
      </c>
      <c r="D292">
        <v>90</v>
      </c>
      <c r="E292" s="113">
        <v>47</v>
      </c>
      <c r="F292" s="113">
        <v>4</v>
      </c>
      <c r="G292" s="233"/>
      <c r="H292" s="233"/>
      <c r="I292" s="232"/>
      <c r="J292" s="234"/>
      <c r="K292" s="235">
        <v>7</v>
      </c>
      <c r="L292" s="390">
        <v>41625</v>
      </c>
      <c r="M292" s="232"/>
      <c r="N292" s="235"/>
      <c r="O292" s="232"/>
      <c r="P292" s="232"/>
      <c r="Q292" s="232"/>
      <c r="R292" s="236"/>
      <c r="S292" s="235"/>
      <c r="T292" s="235"/>
      <c r="U292" s="232"/>
      <c r="V292" s="232"/>
      <c r="W292" s="232"/>
      <c r="X292" s="232"/>
      <c r="Y292" s="237"/>
      <c r="Z292" s="235"/>
      <c r="AA292" s="238"/>
      <c r="AB292" s="235"/>
      <c r="AC292" s="237"/>
      <c r="AD292" s="235"/>
      <c r="AE292" s="235"/>
      <c r="AF292" s="235"/>
      <c r="AG292" s="232">
        <v>4.1500000000000004</v>
      </c>
      <c r="AH292" s="232"/>
      <c r="AI292" s="232">
        <v>120</v>
      </c>
      <c r="AJ292" s="194">
        <v>41785</v>
      </c>
      <c r="AK292" s="232"/>
      <c r="AL292" s="232"/>
      <c r="AM292" s="232"/>
      <c r="AN292" s="232"/>
      <c r="AO292" s="232"/>
      <c r="AP292" s="232"/>
      <c r="AQ292" s="239"/>
      <c r="AR292" s="239"/>
      <c r="AS292" s="232"/>
      <c r="AT292" s="232"/>
      <c r="AU292" s="232"/>
      <c r="AV292" s="232"/>
      <c r="AW292" s="232"/>
      <c r="AX292" s="232"/>
      <c r="AY292" s="232"/>
      <c r="AZ292" s="232"/>
      <c r="BA292" s="232"/>
      <c r="BB292" s="232"/>
      <c r="BC292" s="232"/>
      <c r="BD292" s="232"/>
      <c r="BE292" s="232"/>
      <c r="BF292" s="232"/>
      <c r="BG292" s="232"/>
      <c r="BH292" s="232"/>
      <c r="BI292" s="232"/>
      <c r="BJ292" s="232"/>
      <c r="BK292" s="232"/>
      <c r="BL292" s="232"/>
      <c r="BM292" s="232"/>
      <c r="BN292" s="232"/>
      <c r="BO292" s="232"/>
      <c r="BP292" s="232"/>
      <c r="BQ292" s="232"/>
      <c r="BR292" s="232"/>
      <c r="BS292" s="232">
        <v>51.8</v>
      </c>
      <c r="BT292" s="232"/>
      <c r="BU292" s="232">
        <v>18.04</v>
      </c>
      <c r="BV292" s="232"/>
      <c r="BW292" s="240"/>
      <c r="BX292" s="232"/>
      <c r="BY292" s="232"/>
      <c r="BZ292" s="232"/>
      <c r="CA292" s="232"/>
      <c r="CB292" s="241"/>
      <c r="CC292" s="232"/>
      <c r="CD292" s="232"/>
      <c r="CE292" s="232">
        <v>5.86</v>
      </c>
      <c r="CF292" s="232"/>
      <c r="CG292" s="232">
        <v>0.17</v>
      </c>
      <c r="CH292" s="232"/>
      <c r="CI292" s="232"/>
      <c r="CJ292" s="232"/>
      <c r="CK292" t="s">
        <v>8820</v>
      </c>
      <c r="CL292" s="232"/>
      <c r="CM292" s="232"/>
    </row>
    <row r="293" spans="1:91" ht="15">
      <c r="A293" s="364" t="s">
        <v>7696</v>
      </c>
      <c r="B293" t="s">
        <v>267</v>
      </c>
      <c r="C293" t="s">
        <v>413</v>
      </c>
      <c r="D293" s="232">
        <v>91</v>
      </c>
      <c r="E293" s="113">
        <v>65</v>
      </c>
      <c r="F293" s="113">
        <v>6</v>
      </c>
      <c r="I293"/>
      <c r="K293" s="224">
        <v>6</v>
      </c>
      <c r="L293" s="390">
        <v>41625</v>
      </c>
      <c r="M293"/>
      <c r="N293" s="224"/>
      <c r="O293"/>
      <c r="P293"/>
      <c r="Q293"/>
      <c r="S293" s="224"/>
      <c r="T293" s="224"/>
      <c r="U293"/>
      <c r="V293"/>
      <c r="W293"/>
      <c r="X293"/>
      <c r="Y293" s="225"/>
      <c r="Z293" s="224"/>
      <c r="AA293" s="226"/>
      <c r="AB293" s="224"/>
      <c r="AC293" s="225"/>
      <c r="AD293" s="224"/>
      <c r="AE293" s="224"/>
      <c r="AF293" s="224"/>
      <c r="AG293">
        <v>4.45</v>
      </c>
      <c r="AH293"/>
      <c r="AI293">
        <v>130</v>
      </c>
      <c r="AJ293" s="194">
        <v>41785</v>
      </c>
      <c r="AK293"/>
      <c r="AL293"/>
      <c r="AM293"/>
      <c r="AN293"/>
      <c r="AO293"/>
      <c r="AP293"/>
      <c r="AQ293" s="227"/>
      <c r="AR293" s="227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>
        <v>50.1</v>
      </c>
      <c r="BT293"/>
      <c r="BU293">
        <v>18.53</v>
      </c>
      <c r="BV293"/>
      <c r="BW293" s="229"/>
      <c r="BX293"/>
      <c r="BY293"/>
      <c r="BZ293"/>
      <c r="CA293"/>
      <c r="CC293"/>
      <c r="CD293"/>
      <c r="CE293">
        <v>4.46</v>
      </c>
      <c r="CF293"/>
      <c r="CG293">
        <v>0.51</v>
      </c>
      <c r="CH293"/>
      <c r="CI293"/>
      <c r="CJ293"/>
      <c r="CK293" t="s">
        <v>8820</v>
      </c>
      <c r="CL293"/>
      <c r="CM293"/>
    </row>
    <row r="294" spans="1:91" ht="15">
      <c r="A294" s="364" t="s">
        <v>7697</v>
      </c>
      <c r="B294" t="s">
        <v>267</v>
      </c>
      <c r="C294" t="s">
        <v>413</v>
      </c>
      <c r="D294" s="232">
        <v>92</v>
      </c>
      <c r="E294" s="113">
        <v>57</v>
      </c>
      <c r="F294" s="113">
        <v>3</v>
      </c>
      <c r="I294"/>
      <c r="K294" s="224">
        <v>7</v>
      </c>
      <c r="L294" s="390">
        <v>41625</v>
      </c>
      <c r="M294"/>
      <c r="N294" s="224"/>
      <c r="O294"/>
      <c r="P294"/>
      <c r="Q294"/>
      <c r="S294" s="224"/>
      <c r="T294" s="224"/>
      <c r="U294"/>
      <c r="V294"/>
      <c r="W294"/>
      <c r="X294"/>
      <c r="Y294" s="225"/>
      <c r="Z294" s="224"/>
      <c r="AA294" s="226"/>
      <c r="AB294" s="224"/>
      <c r="AC294" s="225"/>
      <c r="AD294" s="224"/>
      <c r="AE294" s="224"/>
      <c r="AF294" s="224"/>
      <c r="AG294">
        <v>3.88</v>
      </c>
      <c r="AH294"/>
      <c r="AI294">
        <v>135</v>
      </c>
      <c r="AJ294" s="194">
        <v>41785</v>
      </c>
      <c r="AK294"/>
      <c r="AL294"/>
      <c r="AM294"/>
      <c r="AN294"/>
      <c r="AO294"/>
      <c r="AP294"/>
      <c r="AQ294" s="227"/>
      <c r="AR294" s="227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>
        <v>53.1</v>
      </c>
      <c r="BT294"/>
      <c r="BU294">
        <v>17.010000000000002</v>
      </c>
      <c r="BV294"/>
      <c r="BW294" s="229"/>
      <c r="BX294"/>
      <c r="BY294"/>
      <c r="BZ294"/>
      <c r="CA294"/>
      <c r="CC294"/>
      <c r="CD294"/>
      <c r="CE294">
        <v>4.09</v>
      </c>
      <c r="CF294"/>
      <c r="CG294">
        <v>0.6</v>
      </c>
      <c r="CH294"/>
      <c r="CI294"/>
      <c r="CJ294"/>
      <c r="CK294" t="s">
        <v>8820</v>
      </c>
      <c r="CL294"/>
      <c r="CM294"/>
    </row>
    <row r="295" spans="1:91" s="242" customFormat="1" ht="15">
      <c r="A295" s="364" t="s">
        <v>7698</v>
      </c>
      <c r="B295" t="s">
        <v>267</v>
      </c>
      <c r="C295" t="s">
        <v>413</v>
      </c>
      <c r="D295">
        <v>93</v>
      </c>
      <c r="E295" s="113">
        <v>56</v>
      </c>
      <c r="F295" s="113">
        <v>3</v>
      </c>
      <c r="G295" s="233"/>
      <c r="H295" s="233"/>
      <c r="I295" s="232"/>
      <c r="J295" s="234"/>
      <c r="K295" s="235">
        <v>7</v>
      </c>
      <c r="L295" s="390">
        <v>41625</v>
      </c>
      <c r="M295" s="232"/>
      <c r="N295" s="235"/>
      <c r="O295" s="232"/>
      <c r="P295" s="232"/>
      <c r="Q295" s="232"/>
      <c r="R295" s="236"/>
      <c r="S295" s="235"/>
      <c r="T295" s="235"/>
      <c r="U295" s="232"/>
      <c r="V295" s="232"/>
      <c r="W295" s="232"/>
      <c r="X295" s="232"/>
      <c r="Y295" s="237"/>
      <c r="Z295" s="235"/>
      <c r="AA295" s="238"/>
      <c r="AB295" s="235"/>
      <c r="AC295" s="237"/>
      <c r="AD295" s="235"/>
      <c r="AE295" s="235"/>
      <c r="AF295" s="235"/>
      <c r="AG295" s="232">
        <v>4.58</v>
      </c>
      <c r="AH295" s="232"/>
      <c r="AI295" s="232">
        <v>125</v>
      </c>
      <c r="AJ295" s="194">
        <v>41785</v>
      </c>
      <c r="AK295" s="232"/>
      <c r="AL295" s="232"/>
      <c r="AM295" s="232"/>
      <c r="AN295" s="232"/>
      <c r="AO295" s="232"/>
      <c r="AP295" s="232"/>
      <c r="AQ295" s="239"/>
      <c r="AR295" s="239"/>
      <c r="AS295" s="232"/>
      <c r="AT295" s="232"/>
      <c r="AU295" s="232"/>
      <c r="AV295" s="232"/>
      <c r="AW295" s="232"/>
      <c r="AX295" s="232"/>
      <c r="AY295" s="232"/>
      <c r="AZ295" s="232"/>
      <c r="BA295" s="232"/>
      <c r="BB295" s="232"/>
      <c r="BC295" s="232"/>
      <c r="BD295" s="232"/>
      <c r="BE295" s="232"/>
      <c r="BF295" s="232"/>
      <c r="BG295" s="232"/>
      <c r="BH295" s="232"/>
      <c r="BI295" s="232"/>
      <c r="BJ295" s="232"/>
      <c r="BK295" s="232"/>
      <c r="BL295" s="232"/>
      <c r="BM295" s="232"/>
      <c r="BN295" s="232"/>
      <c r="BO295" s="232"/>
      <c r="BP295" s="232"/>
      <c r="BQ295" s="232"/>
      <c r="BR295" s="232"/>
      <c r="BS295" s="232">
        <v>51</v>
      </c>
      <c r="BT295" s="232"/>
      <c r="BU295" s="232">
        <v>15.83</v>
      </c>
      <c r="BV295" s="232"/>
      <c r="BW295" s="240"/>
      <c r="BX295" s="232"/>
      <c r="BY295" s="232"/>
      <c r="BZ295" s="232"/>
      <c r="CA295" s="232"/>
      <c r="CB295" s="241"/>
      <c r="CC295" s="232"/>
      <c r="CD295" s="232"/>
      <c r="CE295" s="232">
        <v>4.0199999999999996</v>
      </c>
      <c r="CF295" s="232"/>
      <c r="CG295" s="232">
        <v>0.6</v>
      </c>
      <c r="CH295" s="232"/>
      <c r="CI295" s="232"/>
      <c r="CJ295" s="232"/>
      <c r="CK295" t="s">
        <v>8820</v>
      </c>
      <c r="CL295" s="232"/>
      <c r="CM295" s="232"/>
    </row>
    <row r="296" spans="1:91" s="242" customFormat="1" ht="15">
      <c r="A296" s="364" t="s">
        <v>7699</v>
      </c>
      <c r="B296" t="s">
        <v>267</v>
      </c>
      <c r="C296" t="s">
        <v>413</v>
      </c>
      <c r="D296">
        <v>94</v>
      </c>
      <c r="E296" s="113">
        <v>50</v>
      </c>
      <c r="F296" s="113">
        <v>1</v>
      </c>
      <c r="G296" s="233"/>
      <c r="H296" s="233"/>
      <c r="I296" s="232"/>
      <c r="J296" s="234"/>
      <c r="K296" s="235">
        <v>6</v>
      </c>
      <c r="L296" s="390">
        <v>41625</v>
      </c>
      <c r="M296" s="232"/>
      <c r="N296" s="235"/>
      <c r="O296" s="232"/>
      <c r="P296" s="232"/>
      <c r="Q296" s="232"/>
      <c r="R296" s="236"/>
      <c r="S296" s="235"/>
      <c r="T296" s="235"/>
      <c r="U296" s="232"/>
      <c r="V296" s="232"/>
      <c r="W296" s="232"/>
      <c r="X296" s="232"/>
      <c r="Y296" s="237"/>
      <c r="Z296" s="235"/>
      <c r="AA296" s="238"/>
      <c r="AB296" s="235"/>
      <c r="AC296" s="237"/>
      <c r="AD296" s="235"/>
      <c r="AE296" s="235"/>
      <c r="AF296" s="235"/>
      <c r="AG296" s="232">
        <v>4.1100000000000003</v>
      </c>
      <c r="AH296" s="232"/>
      <c r="AI296" s="232">
        <v>120</v>
      </c>
      <c r="AJ296" s="194">
        <v>41785</v>
      </c>
      <c r="AK296" s="232"/>
      <c r="AL296" s="232"/>
      <c r="AM296" s="232"/>
      <c r="AN296" s="232"/>
      <c r="AO296" s="232"/>
      <c r="AP296" s="232"/>
      <c r="AQ296" s="239"/>
      <c r="AR296" s="239"/>
      <c r="AS296" s="232"/>
      <c r="AT296" s="232"/>
      <c r="AU296" s="232"/>
      <c r="AV296" s="232"/>
      <c r="AW296" s="232"/>
      <c r="AX296" s="232"/>
      <c r="AY296" s="232"/>
      <c r="AZ296" s="232"/>
      <c r="BA296" s="232"/>
      <c r="BB296" s="232"/>
      <c r="BC296" s="232"/>
      <c r="BD296" s="232"/>
      <c r="BE296" s="232"/>
      <c r="BF296" s="232"/>
      <c r="BG296" s="232"/>
      <c r="BH296" s="232"/>
      <c r="BI296" s="232"/>
      <c r="BJ296" s="232"/>
      <c r="BK296" s="232"/>
      <c r="BL296" s="232"/>
      <c r="BM296" s="232"/>
      <c r="BN296" s="232"/>
      <c r="BO296" s="232"/>
      <c r="BP296" s="232"/>
      <c r="BQ296" s="232"/>
      <c r="BR296" s="232"/>
      <c r="BS296" s="232">
        <v>52.3</v>
      </c>
      <c r="BT296" s="232"/>
      <c r="BU296" s="232">
        <v>18.63</v>
      </c>
      <c r="BV296" s="232"/>
      <c r="BW296" s="240"/>
      <c r="BX296" s="232"/>
      <c r="BY296" s="232"/>
      <c r="BZ296" s="232"/>
      <c r="CA296" s="232"/>
      <c r="CB296" s="241"/>
      <c r="CC296" s="232"/>
      <c r="CD296" s="232"/>
      <c r="CE296" s="232">
        <v>4.3499999999999996</v>
      </c>
      <c r="CF296" s="232"/>
      <c r="CG296" s="232">
        <v>1.02</v>
      </c>
      <c r="CH296" s="232"/>
      <c r="CI296" s="232"/>
      <c r="CJ296" s="232"/>
      <c r="CK296" t="s">
        <v>8820</v>
      </c>
      <c r="CL296" s="232"/>
      <c r="CM296" s="232"/>
    </row>
    <row r="297" spans="1:91" s="242" customFormat="1" ht="15">
      <c r="A297" s="364" t="s">
        <v>7700</v>
      </c>
      <c r="B297" t="s">
        <v>267</v>
      </c>
      <c r="C297" t="s">
        <v>413</v>
      </c>
      <c r="D297">
        <v>95</v>
      </c>
      <c r="E297" s="113">
        <v>45</v>
      </c>
      <c r="F297" s="113">
        <v>3</v>
      </c>
      <c r="G297" s="113"/>
      <c r="H297" s="113"/>
      <c r="I297"/>
      <c r="J297" s="112"/>
      <c r="K297" s="224">
        <v>6</v>
      </c>
      <c r="L297" s="390">
        <v>41625</v>
      </c>
      <c r="M297"/>
      <c r="N297" s="224"/>
      <c r="O297"/>
      <c r="P297"/>
      <c r="Q297"/>
      <c r="R297" s="153"/>
      <c r="S297" s="224"/>
      <c r="T297" s="224"/>
      <c r="U297"/>
      <c r="V297"/>
      <c r="W297"/>
      <c r="X297"/>
      <c r="Y297" s="225"/>
      <c r="Z297" s="224"/>
      <c r="AA297" s="226"/>
      <c r="AB297" s="224"/>
      <c r="AC297" s="225"/>
      <c r="AD297" s="224"/>
      <c r="AE297" s="224"/>
      <c r="AF297" s="224"/>
      <c r="AG297">
        <v>3.55</v>
      </c>
      <c r="AH297"/>
      <c r="AI297">
        <v>125</v>
      </c>
      <c r="AJ297" s="194">
        <v>41785</v>
      </c>
      <c r="AK297"/>
      <c r="AL297"/>
      <c r="AM297"/>
      <c r="AN297"/>
      <c r="AO297"/>
      <c r="AP297"/>
      <c r="AQ297" s="227"/>
      <c r="AR297" s="22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>
        <v>50.7</v>
      </c>
      <c r="BT297"/>
      <c r="BU297">
        <v>17.57</v>
      </c>
      <c r="BV297"/>
      <c r="BW297" s="229"/>
      <c r="BX297"/>
      <c r="BY297"/>
      <c r="BZ297"/>
      <c r="CA297"/>
      <c r="CB297" s="136"/>
      <c r="CC297"/>
      <c r="CD297"/>
      <c r="CE297">
        <v>5.08</v>
      </c>
      <c r="CF297"/>
      <c r="CG297">
        <v>0.26</v>
      </c>
      <c r="CH297"/>
      <c r="CI297"/>
      <c r="CJ297"/>
      <c r="CK297" t="s">
        <v>8820</v>
      </c>
      <c r="CL297"/>
      <c r="CM297"/>
    </row>
    <row r="298" spans="1:91" s="242" customFormat="1" ht="15">
      <c r="A298" s="364" t="s">
        <v>7701</v>
      </c>
      <c r="B298" t="s">
        <v>267</v>
      </c>
      <c r="C298" t="s">
        <v>413</v>
      </c>
      <c r="D298">
        <v>96</v>
      </c>
      <c r="E298" s="113">
        <v>48</v>
      </c>
      <c r="F298" s="113">
        <v>4</v>
      </c>
      <c r="G298" s="113"/>
      <c r="H298" s="113"/>
      <c r="I298"/>
      <c r="J298" s="112"/>
      <c r="K298" s="224">
        <v>7</v>
      </c>
      <c r="L298" s="390">
        <v>41625</v>
      </c>
      <c r="M298"/>
      <c r="N298" s="224"/>
      <c r="O298"/>
      <c r="P298"/>
      <c r="Q298"/>
      <c r="R298" s="153"/>
      <c r="S298" s="224"/>
      <c r="T298" s="224"/>
      <c r="U298"/>
      <c r="V298"/>
      <c r="W298"/>
      <c r="X298"/>
      <c r="Y298" s="225"/>
      <c r="Z298" s="224"/>
      <c r="AA298" s="226"/>
      <c r="AB298" s="224"/>
      <c r="AC298" s="225"/>
      <c r="AD298" s="224"/>
      <c r="AE298" s="224"/>
      <c r="AF298" s="224"/>
      <c r="AG298">
        <v>3.84</v>
      </c>
      <c r="AH298"/>
      <c r="AI298">
        <v>140</v>
      </c>
      <c r="AJ298" s="194">
        <v>41785</v>
      </c>
      <c r="AK298"/>
      <c r="AL298"/>
      <c r="AM298"/>
      <c r="AN298"/>
      <c r="AO298"/>
      <c r="AP298"/>
      <c r="AQ298" s="227"/>
      <c r="AR298" s="227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>
        <v>55.1</v>
      </c>
      <c r="BT298"/>
      <c r="BU298">
        <v>17.260000000000002</v>
      </c>
      <c r="BV298"/>
      <c r="BW298"/>
      <c r="BX298"/>
      <c r="BY298"/>
      <c r="BZ298"/>
      <c r="CA298"/>
      <c r="CB298" s="136"/>
      <c r="CC298"/>
      <c r="CD298"/>
      <c r="CE298">
        <v>5.54</v>
      </c>
      <c r="CF298"/>
      <c r="CG298">
        <v>0.34</v>
      </c>
      <c r="CH298"/>
      <c r="CI298"/>
      <c r="CJ298"/>
      <c r="CK298" t="s">
        <v>8820</v>
      </c>
      <c r="CL298"/>
      <c r="CM298"/>
    </row>
    <row r="299" spans="1:91" ht="15">
      <c r="A299" s="364" t="s">
        <v>7702</v>
      </c>
      <c r="B299" t="s">
        <v>267</v>
      </c>
      <c r="C299" t="s">
        <v>413</v>
      </c>
      <c r="D299">
        <v>97</v>
      </c>
      <c r="E299" s="113">
        <v>51</v>
      </c>
      <c r="F299" s="113">
        <v>1</v>
      </c>
      <c r="I299"/>
      <c r="K299" s="224">
        <v>6</v>
      </c>
      <c r="L299" s="390">
        <v>41625</v>
      </c>
      <c r="M299"/>
      <c r="N299" s="224"/>
      <c r="O299"/>
      <c r="P299"/>
      <c r="Q299"/>
      <c r="S299" s="224"/>
      <c r="T299" s="224"/>
      <c r="U299"/>
      <c r="V299"/>
      <c r="W299"/>
      <c r="X299"/>
      <c r="Y299" s="225"/>
      <c r="Z299" s="224"/>
      <c r="AA299" s="226"/>
      <c r="AB299" s="224"/>
      <c r="AC299" s="225"/>
      <c r="AD299" s="224"/>
      <c r="AE299" s="224"/>
      <c r="AF299" s="224"/>
      <c r="AG299">
        <v>4.08</v>
      </c>
      <c r="AH299"/>
      <c r="AI299">
        <v>125</v>
      </c>
      <c r="AJ299" s="194">
        <v>41785</v>
      </c>
      <c r="AK299"/>
      <c r="AL299"/>
      <c r="AM299"/>
      <c r="AN299"/>
      <c r="AO299"/>
      <c r="AP299"/>
      <c r="AQ299" s="227"/>
      <c r="AR299" s="227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>
        <v>52</v>
      </c>
      <c r="BT299"/>
      <c r="BU299">
        <v>17.920000000000002</v>
      </c>
      <c r="BV299"/>
      <c r="BW299" s="229"/>
      <c r="BX299"/>
      <c r="BY299"/>
      <c r="BZ299"/>
      <c r="CA299"/>
      <c r="CC299"/>
      <c r="CD299"/>
      <c r="CE299">
        <v>4.7699999999999996</v>
      </c>
      <c r="CF299"/>
      <c r="CG299">
        <v>1.28</v>
      </c>
      <c r="CH299"/>
      <c r="CI299"/>
      <c r="CJ299"/>
      <c r="CK299" t="s">
        <v>8820</v>
      </c>
      <c r="CL299"/>
      <c r="CM299"/>
    </row>
    <row r="300" spans="1:91" ht="15">
      <c r="A300" s="364" t="s">
        <v>7703</v>
      </c>
      <c r="B300" t="s">
        <v>267</v>
      </c>
      <c r="C300" t="s">
        <v>413</v>
      </c>
      <c r="D300" s="232">
        <v>98</v>
      </c>
      <c r="E300" s="113">
        <v>54</v>
      </c>
      <c r="F300" s="113">
        <v>4</v>
      </c>
      <c r="I300"/>
      <c r="K300" s="224">
        <v>7</v>
      </c>
      <c r="L300" s="390">
        <v>41625</v>
      </c>
      <c r="M300"/>
      <c r="N300" s="224"/>
      <c r="O300"/>
      <c r="P300"/>
      <c r="Q300"/>
      <c r="S300" s="224"/>
      <c r="T300" s="224"/>
      <c r="U300"/>
      <c r="V300"/>
      <c r="W300"/>
      <c r="X300"/>
      <c r="Y300" s="225"/>
      <c r="Z300" s="224"/>
      <c r="AA300" s="226"/>
      <c r="AB300" s="224"/>
      <c r="AC300" s="225"/>
      <c r="AD300" s="224"/>
      <c r="AE300" s="224"/>
      <c r="AF300" s="224"/>
      <c r="AG300">
        <v>4.08</v>
      </c>
      <c r="AH300"/>
      <c r="AI300">
        <v>140</v>
      </c>
      <c r="AJ300" s="194">
        <v>41785</v>
      </c>
      <c r="AK300"/>
      <c r="AL300"/>
      <c r="AM300"/>
      <c r="AN300"/>
      <c r="AO300"/>
      <c r="AP300"/>
      <c r="AQ300" s="227"/>
      <c r="AR300" s="227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>
        <v>51.7</v>
      </c>
      <c r="BT300"/>
      <c r="BU300">
        <v>16.98</v>
      </c>
      <c r="BV300"/>
      <c r="BW300" s="229"/>
      <c r="BX300"/>
      <c r="BY300"/>
      <c r="BZ300"/>
      <c r="CA300"/>
      <c r="CC300"/>
      <c r="CD300"/>
      <c r="CE300">
        <v>3.58</v>
      </c>
      <c r="CF300"/>
      <c r="CG300">
        <v>0.77</v>
      </c>
      <c r="CH300"/>
      <c r="CI300"/>
      <c r="CJ300"/>
      <c r="CK300" t="s">
        <v>8820</v>
      </c>
      <c r="CL300"/>
      <c r="CM300"/>
    </row>
    <row r="301" spans="1:91" ht="15">
      <c r="A301" s="364" t="s">
        <v>7704</v>
      </c>
      <c r="B301" t="s">
        <v>267</v>
      </c>
      <c r="C301" t="s">
        <v>413</v>
      </c>
      <c r="D301">
        <v>99</v>
      </c>
      <c r="E301" s="113">
        <v>59</v>
      </c>
      <c r="F301" s="113">
        <v>6</v>
      </c>
      <c r="I301"/>
      <c r="K301" s="224">
        <v>7</v>
      </c>
      <c r="L301" s="390">
        <v>41625</v>
      </c>
      <c r="M301"/>
      <c r="N301" s="224"/>
      <c r="O301"/>
      <c r="P301"/>
      <c r="Q301"/>
      <c r="S301" s="224"/>
      <c r="T301" s="224"/>
      <c r="U301"/>
      <c r="V301"/>
      <c r="W301"/>
      <c r="X301"/>
      <c r="Y301" s="225"/>
      <c r="Z301" s="224"/>
      <c r="AA301" s="226"/>
      <c r="AB301" s="224"/>
      <c r="AC301" s="225"/>
      <c r="AD301" s="224"/>
      <c r="AE301" s="224"/>
      <c r="AF301" s="224"/>
      <c r="AG301">
        <v>3.69</v>
      </c>
      <c r="AH301"/>
      <c r="AI301">
        <v>120</v>
      </c>
      <c r="AJ301" s="194">
        <v>41785</v>
      </c>
      <c r="AK301"/>
      <c r="AL301"/>
      <c r="AM301"/>
      <c r="AN301"/>
      <c r="AO301"/>
      <c r="AP301"/>
      <c r="AQ301" s="227"/>
      <c r="AR301" s="227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>
        <v>49.9</v>
      </c>
      <c r="BT301"/>
      <c r="BU301">
        <v>16.579999999999998</v>
      </c>
      <c r="BV301"/>
      <c r="BW301" s="229"/>
      <c r="BX301"/>
      <c r="BY301"/>
      <c r="BZ301"/>
      <c r="CA301"/>
      <c r="CC301"/>
      <c r="CD301"/>
      <c r="CE301">
        <v>3.78</v>
      </c>
      <c r="CF301"/>
      <c r="CG301">
        <v>0.42</v>
      </c>
      <c r="CH301"/>
      <c r="CI301"/>
      <c r="CJ301"/>
      <c r="CK301" t="s">
        <v>8820</v>
      </c>
      <c r="CL301"/>
      <c r="CM301"/>
    </row>
    <row r="302" spans="1:91" ht="15">
      <c r="A302" s="364" t="s">
        <v>7705</v>
      </c>
      <c r="B302" t="s">
        <v>267</v>
      </c>
      <c r="C302" t="s">
        <v>413</v>
      </c>
      <c r="D302">
        <v>100</v>
      </c>
      <c r="E302" s="113">
        <v>68</v>
      </c>
      <c r="F302" s="113">
        <v>5</v>
      </c>
      <c r="I302"/>
      <c r="K302" s="224">
        <v>7</v>
      </c>
      <c r="L302" s="390">
        <v>41625</v>
      </c>
      <c r="M302"/>
      <c r="N302" s="224"/>
      <c r="O302"/>
      <c r="P302"/>
      <c r="Q302"/>
      <c r="S302" s="224"/>
      <c r="T302" s="224"/>
      <c r="U302"/>
      <c r="V302"/>
      <c r="W302"/>
      <c r="X302"/>
      <c r="Y302" s="225"/>
      <c r="Z302" s="224"/>
      <c r="AA302" s="226"/>
      <c r="AB302" s="224"/>
      <c r="AC302" s="225"/>
      <c r="AD302" s="224"/>
      <c r="AE302" s="224"/>
      <c r="AF302" s="224"/>
      <c r="AG302">
        <v>4.3</v>
      </c>
      <c r="AH302"/>
      <c r="AI302">
        <v>155</v>
      </c>
      <c r="AJ302" s="194">
        <v>41785</v>
      </c>
      <c r="AK302"/>
      <c r="AL302"/>
      <c r="AM302"/>
      <c r="AN302"/>
      <c r="AO302"/>
      <c r="AP302"/>
      <c r="AQ302" s="227"/>
      <c r="AR302" s="227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>
        <v>51.4</v>
      </c>
      <c r="BT302"/>
      <c r="BU302">
        <v>19.13</v>
      </c>
      <c r="BV302"/>
      <c r="BW302" s="229"/>
      <c r="BX302"/>
      <c r="BY302"/>
      <c r="BZ302"/>
      <c r="CA302"/>
      <c r="CC302"/>
      <c r="CD302"/>
      <c r="CE302">
        <v>4.8899999999999997</v>
      </c>
      <c r="CF302"/>
      <c r="CG302">
        <v>0.26</v>
      </c>
      <c r="CH302"/>
      <c r="CI302"/>
      <c r="CJ302"/>
      <c r="CK302" t="s">
        <v>8820</v>
      </c>
      <c r="CL302"/>
      <c r="CM302"/>
    </row>
    <row r="303" spans="1:91" s="242" customFormat="1" ht="15">
      <c r="A303" s="364" t="s">
        <v>7706</v>
      </c>
      <c r="B303" s="362" t="s">
        <v>267</v>
      </c>
      <c r="C303" s="362" t="s">
        <v>413</v>
      </c>
      <c r="D303">
        <v>101</v>
      </c>
      <c r="E303" s="113">
        <v>72</v>
      </c>
      <c r="F303" s="113">
        <v>5</v>
      </c>
      <c r="G303" s="113"/>
      <c r="H303" s="113"/>
      <c r="I303"/>
      <c r="J303" s="112"/>
      <c r="K303" s="224">
        <v>7</v>
      </c>
      <c r="L303" s="390">
        <v>41625</v>
      </c>
      <c r="M303"/>
      <c r="N303" s="224"/>
      <c r="O303"/>
      <c r="P303"/>
      <c r="Q303"/>
      <c r="R303" s="153"/>
      <c r="S303" s="224"/>
      <c r="T303" s="224"/>
      <c r="U303"/>
      <c r="V303"/>
      <c r="W303"/>
      <c r="X303"/>
      <c r="Y303" s="225"/>
      <c r="Z303" s="224"/>
      <c r="AA303" s="226"/>
      <c r="AB303" s="224"/>
      <c r="AC303" s="225"/>
      <c r="AD303" s="224"/>
      <c r="AE303" s="224"/>
      <c r="AF303" s="224"/>
      <c r="AG303">
        <v>3.56</v>
      </c>
      <c r="AH303"/>
      <c r="AI303">
        <v>130</v>
      </c>
      <c r="AJ303" s="194">
        <v>41785</v>
      </c>
      <c r="AK303"/>
      <c r="AL303"/>
      <c r="AM303"/>
      <c r="AN303"/>
      <c r="AO303"/>
      <c r="AP303"/>
      <c r="AQ303" s="227"/>
      <c r="AR303" s="227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>
        <v>52.5</v>
      </c>
      <c r="BT303"/>
      <c r="BU303">
        <v>16.829999999999998</v>
      </c>
      <c r="BV303"/>
      <c r="BW303" s="229"/>
      <c r="BX303"/>
      <c r="BY303"/>
      <c r="BZ303"/>
      <c r="CA303"/>
      <c r="CB303" s="136"/>
      <c r="CC303"/>
      <c r="CD303"/>
      <c r="CE303">
        <v>7.47</v>
      </c>
      <c r="CF303"/>
      <c r="CG303">
        <v>0.17</v>
      </c>
      <c r="CH303"/>
      <c r="CI303"/>
      <c r="CJ303"/>
      <c r="CK303" t="s">
        <v>8820</v>
      </c>
      <c r="CL303"/>
      <c r="CM303"/>
    </row>
    <row r="304" spans="1:91" s="242" customFormat="1" ht="15">
      <c r="A304" s="364" t="s">
        <v>7707</v>
      </c>
      <c r="B304" t="s">
        <v>267</v>
      </c>
      <c r="C304" t="s">
        <v>413</v>
      </c>
      <c r="D304">
        <v>102</v>
      </c>
      <c r="E304" s="113">
        <v>67</v>
      </c>
      <c r="F304" s="113">
        <v>4</v>
      </c>
      <c r="G304" s="113"/>
      <c r="H304" s="113"/>
      <c r="I304"/>
      <c r="J304" s="112"/>
      <c r="K304" s="224">
        <v>7</v>
      </c>
      <c r="L304" s="390">
        <v>41625</v>
      </c>
      <c r="M304"/>
      <c r="N304" s="224"/>
      <c r="O304"/>
      <c r="P304"/>
      <c r="Q304"/>
      <c r="R304" s="153"/>
      <c r="S304" s="224"/>
      <c r="T304" s="224"/>
      <c r="U304"/>
      <c r="V304"/>
      <c r="W304"/>
      <c r="X304"/>
      <c r="Y304" s="225"/>
      <c r="Z304" s="224"/>
      <c r="AA304" s="226"/>
      <c r="AB304" s="224"/>
      <c r="AC304" s="225"/>
      <c r="AD304" s="224"/>
      <c r="AE304" s="224"/>
      <c r="AF304" s="224"/>
      <c r="AG304">
        <v>4.66</v>
      </c>
      <c r="AH304"/>
      <c r="AI304">
        <v>125</v>
      </c>
      <c r="AJ304" s="194">
        <v>41785</v>
      </c>
      <c r="AK304"/>
      <c r="AL304"/>
      <c r="AM304"/>
      <c r="AN304"/>
      <c r="AO304"/>
      <c r="AP304"/>
      <c r="AQ304" s="227"/>
      <c r="AR304" s="227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>
        <v>51.4</v>
      </c>
      <c r="BT304"/>
      <c r="BU304">
        <v>19.45</v>
      </c>
      <c r="BV304"/>
      <c r="BW304" s="229"/>
      <c r="BX304"/>
      <c r="BY304"/>
      <c r="BZ304"/>
      <c r="CA304"/>
      <c r="CB304" s="136"/>
      <c r="CC304"/>
      <c r="CD304"/>
      <c r="CE304">
        <v>5.94</v>
      </c>
      <c r="CF304"/>
      <c r="CG304">
        <v>0.25</v>
      </c>
      <c r="CH304"/>
      <c r="CI304"/>
      <c r="CJ304"/>
      <c r="CK304" t="s">
        <v>8820</v>
      </c>
      <c r="CL304"/>
      <c r="CM304"/>
    </row>
    <row r="305" spans="1:91" s="242" customFormat="1" ht="15">
      <c r="A305" s="364" t="s">
        <v>7708</v>
      </c>
      <c r="B305" s="362" t="s">
        <v>267</v>
      </c>
      <c r="C305" s="362" t="s">
        <v>413</v>
      </c>
      <c r="D305">
        <v>103</v>
      </c>
      <c r="E305" s="113">
        <v>72</v>
      </c>
      <c r="F305" s="113">
        <v>6</v>
      </c>
      <c r="G305" s="113"/>
      <c r="H305" s="113"/>
      <c r="I305"/>
      <c r="J305" s="112"/>
      <c r="K305" s="224">
        <v>7</v>
      </c>
      <c r="L305" s="390">
        <v>41625</v>
      </c>
      <c r="M305"/>
      <c r="N305" s="224"/>
      <c r="O305"/>
      <c r="P305"/>
      <c r="Q305"/>
      <c r="R305" s="153"/>
      <c r="S305" s="224"/>
      <c r="T305" s="224"/>
      <c r="U305"/>
      <c r="V305"/>
      <c r="W305"/>
      <c r="X305"/>
      <c r="Y305" s="225"/>
      <c r="Z305" s="224"/>
      <c r="AA305" s="226"/>
      <c r="AB305" s="224"/>
      <c r="AC305" s="225"/>
      <c r="AD305" s="224"/>
      <c r="AE305" s="224"/>
      <c r="AF305" s="224"/>
      <c r="AG305">
        <v>4.46</v>
      </c>
      <c r="AH305"/>
      <c r="AI305">
        <v>140</v>
      </c>
      <c r="AJ305" s="194">
        <v>41785</v>
      </c>
      <c r="AK305"/>
      <c r="AL305"/>
      <c r="AM305"/>
      <c r="AN305"/>
      <c r="AO305"/>
      <c r="AP305"/>
      <c r="AQ305" s="227"/>
      <c r="AR305" s="227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>
        <v>50.7</v>
      </c>
      <c r="BT305"/>
      <c r="BU305">
        <v>19.61</v>
      </c>
      <c r="BV305"/>
      <c r="BW305" s="229"/>
      <c r="BX305"/>
      <c r="BY305"/>
      <c r="BZ305"/>
      <c r="CA305"/>
      <c r="CB305" s="136"/>
      <c r="CC305"/>
      <c r="CD305"/>
      <c r="CE305">
        <v>7.14</v>
      </c>
      <c r="CF305"/>
      <c r="CG305">
        <v>0.09</v>
      </c>
      <c r="CH305"/>
      <c r="CI305"/>
      <c r="CJ305"/>
      <c r="CK305" t="s">
        <v>8820</v>
      </c>
      <c r="CL305"/>
      <c r="CM305"/>
    </row>
    <row r="306" spans="1:91" s="242" customFormat="1" ht="15">
      <c r="A306" s="364" t="s">
        <v>7709</v>
      </c>
      <c r="B306" t="s">
        <v>267</v>
      </c>
      <c r="C306" t="s">
        <v>413</v>
      </c>
      <c r="D306">
        <v>104</v>
      </c>
      <c r="E306" s="113">
        <v>39</v>
      </c>
      <c r="F306" s="113">
        <v>3</v>
      </c>
      <c r="G306" s="113"/>
      <c r="H306" s="113"/>
      <c r="I306"/>
      <c r="J306" s="112"/>
      <c r="K306" s="224">
        <v>6</v>
      </c>
      <c r="L306" s="390">
        <v>41625</v>
      </c>
      <c r="M306"/>
      <c r="N306" s="224"/>
      <c r="O306"/>
      <c r="P306"/>
      <c r="Q306"/>
      <c r="R306" s="153"/>
      <c r="S306" s="224"/>
      <c r="T306" s="224"/>
      <c r="U306"/>
      <c r="V306"/>
      <c r="W306"/>
      <c r="X306"/>
      <c r="Y306" s="225"/>
      <c r="Z306" s="224"/>
      <c r="AA306" s="226"/>
      <c r="AB306" s="224"/>
      <c r="AC306" s="225"/>
      <c r="AD306" s="224"/>
      <c r="AE306" s="224"/>
      <c r="AF306" s="224"/>
      <c r="AG306">
        <v>4.08</v>
      </c>
      <c r="AH306"/>
      <c r="AI306">
        <v>130</v>
      </c>
      <c r="AJ306" s="194">
        <v>41785</v>
      </c>
      <c r="AK306"/>
      <c r="AL306"/>
      <c r="AM306"/>
      <c r="AN306"/>
      <c r="AO306"/>
      <c r="AP306"/>
      <c r="AQ306" s="227"/>
      <c r="AR306" s="227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>
        <v>51.4</v>
      </c>
      <c r="BT306"/>
      <c r="BU306">
        <v>18.02</v>
      </c>
      <c r="BV306"/>
      <c r="BW306" s="229"/>
      <c r="BX306"/>
      <c r="BY306"/>
      <c r="BZ306"/>
      <c r="CA306"/>
      <c r="CB306" s="136"/>
      <c r="CC306"/>
      <c r="CD306"/>
      <c r="CE306">
        <v>4.41</v>
      </c>
      <c r="CF306"/>
      <c r="CG306">
        <v>0.25</v>
      </c>
      <c r="CH306"/>
      <c r="CI306"/>
      <c r="CJ306"/>
      <c r="CK306" t="s">
        <v>8820</v>
      </c>
      <c r="CL306"/>
      <c r="CM306"/>
    </row>
    <row r="307" spans="1:91" ht="15">
      <c r="A307" s="364" t="s">
        <v>7710</v>
      </c>
      <c r="B307" t="s">
        <v>267</v>
      </c>
      <c r="C307" t="s">
        <v>413</v>
      </c>
      <c r="D307">
        <v>105</v>
      </c>
      <c r="E307" s="113">
        <v>71</v>
      </c>
      <c r="F307" s="113">
        <v>2</v>
      </c>
      <c r="I307"/>
      <c r="K307" s="224">
        <v>7</v>
      </c>
      <c r="L307" s="390">
        <v>41625</v>
      </c>
      <c r="M307"/>
      <c r="N307" s="224"/>
      <c r="O307"/>
      <c r="P307"/>
      <c r="Q307"/>
      <c r="S307" s="224"/>
      <c r="T307" s="224"/>
      <c r="U307"/>
      <c r="V307"/>
      <c r="W307"/>
      <c r="X307"/>
      <c r="Y307" s="225"/>
      <c r="Z307" s="224"/>
      <c r="AA307" s="226"/>
      <c r="AB307" s="224"/>
      <c r="AC307" s="225"/>
      <c r="AD307" s="224"/>
      <c r="AE307" s="224"/>
      <c r="AF307" s="224"/>
      <c r="AG307">
        <v>4.4000000000000004</v>
      </c>
      <c r="AH307"/>
      <c r="AI307">
        <v>130</v>
      </c>
      <c r="AJ307" s="194">
        <v>41785</v>
      </c>
      <c r="AK307"/>
      <c r="AL307"/>
      <c r="AM307"/>
      <c r="AN307"/>
      <c r="AO307"/>
      <c r="AP307"/>
      <c r="AQ307" s="227"/>
      <c r="AR307" s="22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>
        <v>51.9</v>
      </c>
      <c r="BT307"/>
      <c r="BU307">
        <v>16.190000000000001</v>
      </c>
      <c r="BV307"/>
      <c r="BW307" s="229"/>
      <c r="BX307"/>
      <c r="BY307"/>
      <c r="BZ307"/>
      <c r="CA307"/>
      <c r="CC307"/>
      <c r="CD307"/>
      <c r="CE307">
        <v>5.18</v>
      </c>
      <c r="CF307"/>
      <c r="CG307">
        <v>0.09</v>
      </c>
      <c r="CH307"/>
      <c r="CI307"/>
      <c r="CJ307"/>
      <c r="CK307" t="s">
        <v>8820</v>
      </c>
      <c r="CL307"/>
      <c r="CM307"/>
    </row>
    <row r="308" spans="1:91" ht="15">
      <c r="A308" s="364" t="s">
        <v>7711</v>
      </c>
      <c r="B308" t="s">
        <v>267</v>
      </c>
      <c r="C308" t="s">
        <v>413</v>
      </c>
      <c r="D308">
        <v>106</v>
      </c>
      <c r="E308" s="113">
        <v>66</v>
      </c>
      <c r="F308" s="113">
        <v>4</v>
      </c>
      <c r="G308" s="233"/>
      <c r="H308" s="233"/>
      <c r="I308" s="232"/>
      <c r="J308" s="234"/>
      <c r="K308" s="235">
        <v>7</v>
      </c>
      <c r="L308" s="390">
        <v>41625</v>
      </c>
      <c r="M308" s="232"/>
      <c r="N308" s="235"/>
      <c r="O308" s="232"/>
      <c r="P308" s="232"/>
      <c r="Q308" s="232"/>
      <c r="R308" s="236"/>
      <c r="S308" s="235"/>
      <c r="T308" s="235"/>
      <c r="U308" s="232"/>
      <c r="V308" s="232"/>
      <c r="W308" s="232"/>
      <c r="X308" s="232"/>
      <c r="Y308" s="237"/>
      <c r="Z308" s="235"/>
      <c r="AA308" s="238"/>
      <c r="AB308" s="235"/>
      <c r="AC308" s="237"/>
      <c r="AD308" s="235"/>
      <c r="AE308" s="235"/>
      <c r="AF308" s="235"/>
      <c r="AG308" s="232">
        <v>3.6</v>
      </c>
      <c r="AH308" s="232"/>
      <c r="AI308" s="232">
        <v>135</v>
      </c>
      <c r="AJ308" s="194">
        <v>41785</v>
      </c>
      <c r="AK308" s="232"/>
      <c r="AL308" s="232"/>
      <c r="AM308" s="232"/>
      <c r="AN308" s="232"/>
      <c r="AO308" s="232"/>
      <c r="AP308" s="232"/>
      <c r="AQ308" s="239"/>
      <c r="AR308" s="239"/>
      <c r="AS308" s="232"/>
      <c r="AT308" s="232"/>
      <c r="AU308" s="232"/>
      <c r="AV308" s="232"/>
      <c r="AW308" s="232"/>
      <c r="AX308" s="232"/>
      <c r="AY308" s="232"/>
      <c r="AZ308" s="232"/>
      <c r="BA308" s="232"/>
      <c r="BB308" s="232"/>
      <c r="BC308" s="232"/>
      <c r="BD308" s="232"/>
      <c r="BE308" s="232"/>
      <c r="BF308" s="232"/>
      <c r="BG308" s="232"/>
      <c r="BH308" s="232"/>
      <c r="BI308" s="232"/>
      <c r="BJ308" s="232"/>
      <c r="BK308" s="232"/>
      <c r="BL308" s="232"/>
      <c r="BM308" s="232"/>
      <c r="BN308" s="232"/>
      <c r="BO308" s="232"/>
      <c r="BP308" s="232"/>
      <c r="BQ308" s="232"/>
      <c r="BR308" s="232"/>
      <c r="BS308" s="232">
        <v>49.3</v>
      </c>
      <c r="BT308" s="232"/>
      <c r="BU308" s="232">
        <v>18.309999999999999</v>
      </c>
      <c r="BV308" s="232"/>
      <c r="BW308" s="232"/>
      <c r="BX308" s="243"/>
      <c r="BY308" s="232"/>
      <c r="BZ308" s="232"/>
      <c r="CA308" s="232"/>
      <c r="CB308" s="241"/>
      <c r="CC308" s="232"/>
      <c r="CD308" s="232"/>
      <c r="CE308" s="232">
        <v>4.53</v>
      </c>
      <c r="CF308" s="232"/>
      <c r="CG308" s="232">
        <v>0.51</v>
      </c>
      <c r="CH308" s="232"/>
      <c r="CI308" s="232"/>
      <c r="CJ308" s="232"/>
      <c r="CK308" t="s">
        <v>8820</v>
      </c>
      <c r="CL308" s="232"/>
      <c r="CM308" s="232"/>
    </row>
    <row r="309" spans="1:91" ht="15">
      <c r="A309" s="364" t="s">
        <v>7712</v>
      </c>
      <c r="B309" t="s">
        <v>267</v>
      </c>
      <c r="C309" t="s">
        <v>413</v>
      </c>
      <c r="D309">
        <v>107</v>
      </c>
      <c r="E309" s="113">
        <v>48</v>
      </c>
      <c r="F309" s="113">
        <v>6</v>
      </c>
      <c r="I309"/>
      <c r="K309" s="224">
        <v>6</v>
      </c>
      <c r="L309" s="390">
        <v>41625</v>
      </c>
      <c r="M309"/>
      <c r="N309" s="224"/>
      <c r="O309"/>
      <c r="P309"/>
      <c r="Q309"/>
      <c r="S309" s="224"/>
      <c r="T309" s="224"/>
      <c r="U309"/>
      <c r="V309"/>
      <c r="W309"/>
      <c r="X309"/>
      <c r="Y309" s="225"/>
      <c r="Z309" s="224"/>
      <c r="AA309" s="226"/>
      <c r="AB309" s="224"/>
      <c r="AC309" s="225"/>
      <c r="AD309" s="224"/>
      <c r="AE309" s="224"/>
      <c r="AF309" s="224"/>
      <c r="AG309">
        <v>4.16</v>
      </c>
      <c r="AH309"/>
      <c r="AI309">
        <v>130</v>
      </c>
      <c r="AJ309" s="194">
        <v>41785</v>
      </c>
      <c r="AK309"/>
      <c r="AL309"/>
      <c r="AM309"/>
      <c r="AN309"/>
      <c r="AO309"/>
      <c r="AP309"/>
      <c r="AQ309" s="227"/>
      <c r="AR309" s="227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>
        <v>55.6</v>
      </c>
      <c r="BT309"/>
      <c r="BU309">
        <v>16.41</v>
      </c>
      <c r="BV309"/>
      <c r="BW309" s="229"/>
      <c r="BX309"/>
      <c r="BY309"/>
      <c r="BZ309"/>
      <c r="CA309"/>
      <c r="CC309"/>
      <c r="CD309"/>
      <c r="CE309">
        <v>6.22</v>
      </c>
      <c r="CF309"/>
      <c r="CG309">
        <v>0.34</v>
      </c>
      <c r="CH309"/>
      <c r="CI309"/>
      <c r="CJ309"/>
      <c r="CK309" t="s">
        <v>8820</v>
      </c>
      <c r="CL309"/>
      <c r="CM309"/>
    </row>
    <row r="310" spans="1:91" ht="15.75" thickBot="1">
      <c r="A310" s="364" t="s">
        <v>7713</v>
      </c>
      <c r="B310" s="344" t="s">
        <v>267</v>
      </c>
      <c r="C310" s="344" t="s">
        <v>413</v>
      </c>
      <c r="D310">
        <v>108</v>
      </c>
      <c r="E310" s="113">
        <v>60</v>
      </c>
      <c r="F310" s="113">
        <v>1</v>
      </c>
      <c r="I310"/>
      <c r="K310" s="224">
        <v>7</v>
      </c>
      <c r="L310" s="390">
        <v>41625</v>
      </c>
      <c r="M310"/>
      <c r="N310" s="224"/>
      <c r="O310"/>
      <c r="P310"/>
      <c r="Q310"/>
      <c r="S310" s="224"/>
      <c r="T310" s="224"/>
      <c r="U310"/>
      <c r="V310"/>
      <c r="W310"/>
      <c r="X310"/>
      <c r="Y310" s="225"/>
      <c r="Z310" s="224"/>
      <c r="AA310" s="226"/>
      <c r="AB310" s="224"/>
      <c r="AC310" s="225"/>
      <c r="AD310" s="224"/>
      <c r="AE310" s="224"/>
      <c r="AF310" s="224"/>
      <c r="AG310">
        <v>3.42</v>
      </c>
      <c r="AH310"/>
      <c r="AI310">
        <v>125</v>
      </c>
      <c r="AJ310" s="194">
        <v>41785</v>
      </c>
      <c r="AK310"/>
      <c r="AL310"/>
      <c r="AM310"/>
      <c r="AN310"/>
      <c r="AO310"/>
      <c r="AP310"/>
      <c r="AQ310" s="227"/>
      <c r="AR310" s="227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>
        <v>51.6</v>
      </c>
      <c r="BT310"/>
      <c r="BU310">
        <v>17.350000000000001</v>
      </c>
      <c r="BV310"/>
      <c r="BW310" s="229"/>
      <c r="BX310"/>
      <c r="BY310"/>
      <c r="BZ310"/>
      <c r="CA310"/>
      <c r="CC310"/>
      <c r="CD310"/>
      <c r="CE310">
        <v>5.13</v>
      </c>
      <c r="CF310"/>
      <c r="CG310">
        <v>0.42</v>
      </c>
      <c r="CH310"/>
      <c r="CI310"/>
      <c r="CJ310"/>
      <c r="CK310" t="s">
        <v>8820</v>
      </c>
      <c r="CL310"/>
      <c r="CM310"/>
    </row>
    <row r="311" spans="1:91" ht="15">
      <c r="A311" s="364" t="s">
        <v>7714</v>
      </c>
      <c r="B311" t="s">
        <v>267</v>
      </c>
      <c r="C311" t="s">
        <v>413</v>
      </c>
      <c r="D311">
        <v>109</v>
      </c>
      <c r="E311" s="113">
        <v>46</v>
      </c>
      <c r="F311" s="113">
        <v>4</v>
      </c>
      <c r="I311"/>
      <c r="K311" s="224">
        <v>7</v>
      </c>
      <c r="L311" s="390">
        <v>41625</v>
      </c>
      <c r="M311"/>
      <c r="N311" s="224"/>
      <c r="O311"/>
      <c r="P311"/>
      <c r="Q311"/>
      <c r="S311" s="224"/>
      <c r="T311" s="224"/>
      <c r="U311"/>
      <c r="V311"/>
      <c r="W311"/>
      <c r="X311"/>
      <c r="Y311" s="225"/>
      <c r="Z311" s="224"/>
      <c r="AA311" s="226"/>
      <c r="AB311" s="224"/>
      <c r="AC311" s="225"/>
      <c r="AD311" s="224"/>
      <c r="AE311" s="224"/>
      <c r="AF311" s="224"/>
      <c r="AG311">
        <v>3.71</v>
      </c>
      <c r="AH311"/>
      <c r="AI311">
        <v>150</v>
      </c>
      <c r="AJ311" s="194">
        <v>41785</v>
      </c>
      <c r="AK311"/>
      <c r="AL311"/>
      <c r="AM311"/>
      <c r="AN311"/>
      <c r="AO311"/>
      <c r="AP311"/>
      <c r="AQ311" s="227"/>
      <c r="AR311" s="227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>
        <v>54.3</v>
      </c>
      <c r="BT311"/>
      <c r="BU311">
        <v>16.23</v>
      </c>
      <c r="BV311"/>
      <c r="BW311" s="229"/>
      <c r="BX311"/>
      <c r="BY311"/>
      <c r="BZ311"/>
      <c r="CA311"/>
      <c r="CC311"/>
      <c r="CD311"/>
      <c r="CE311">
        <v>4.83</v>
      </c>
      <c r="CF311"/>
      <c r="CG311">
        <v>0.17</v>
      </c>
      <c r="CH311"/>
      <c r="CI311"/>
      <c r="CJ311"/>
      <c r="CK311" t="s">
        <v>8820</v>
      </c>
      <c r="CL311"/>
      <c r="CM311"/>
    </row>
    <row r="312" spans="1:91" ht="15">
      <c r="A312" s="364" t="s">
        <v>7715</v>
      </c>
      <c r="B312" t="s">
        <v>267</v>
      </c>
      <c r="C312" t="s">
        <v>413</v>
      </c>
      <c r="D312">
        <v>110</v>
      </c>
      <c r="E312" s="113">
        <v>68</v>
      </c>
      <c r="F312" s="113">
        <v>2</v>
      </c>
      <c r="I312"/>
      <c r="K312" s="224">
        <v>7</v>
      </c>
      <c r="L312" s="390">
        <v>41625</v>
      </c>
      <c r="M312"/>
      <c r="N312" s="224"/>
      <c r="O312"/>
      <c r="P312"/>
      <c r="Q312"/>
      <c r="S312" s="224"/>
      <c r="T312" s="224"/>
      <c r="U312"/>
      <c r="V312"/>
      <c r="W312"/>
      <c r="X312"/>
      <c r="Y312" s="225"/>
      <c r="Z312" s="224"/>
      <c r="AA312" s="226"/>
      <c r="AB312" s="224"/>
      <c r="AC312" s="225"/>
      <c r="AD312" s="224"/>
      <c r="AE312" s="224"/>
      <c r="AF312" s="224"/>
      <c r="AG312">
        <v>4.1399999999999997</v>
      </c>
      <c r="AH312"/>
      <c r="AI312">
        <v>115</v>
      </c>
      <c r="AJ312" s="194">
        <v>41785</v>
      </c>
      <c r="AK312"/>
      <c r="AL312"/>
      <c r="AM312"/>
      <c r="AN312"/>
      <c r="AO312"/>
      <c r="AP312"/>
      <c r="AQ312" s="227"/>
      <c r="AR312" s="227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>
        <v>52.5</v>
      </c>
      <c r="BT312"/>
      <c r="BU312">
        <v>18.420000000000002</v>
      </c>
      <c r="BV312"/>
      <c r="BW312" s="229"/>
      <c r="BX312"/>
      <c r="BY312"/>
      <c r="BZ312"/>
      <c r="CA312"/>
      <c r="CC312"/>
      <c r="CD312"/>
      <c r="CE312">
        <v>4.37</v>
      </c>
      <c r="CF312"/>
      <c r="CG312">
        <v>0.77</v>
      </c>
      <c r="CH312"/>
      <c r="CI312"/>
      <c r="CJ312"/>
      <c r="CK312" t="s">
        <v>8820</v>
      </c>
      <c r="CL312"/>
      <c r="CM312"/>
    </row>
    <row r="313" spans="1:91" ht="15">
      <c r="A313" s="364" t="s">
        <v>7716</v>
      </c>
      <c r="B313" t="s">
        <v>267</v>
      </c>
      <c r="C313" t="s">
        <v>413</v>
      </c>
      <c r="D313">
        <v>111</v>
      </c>
      <c r="E313" s="113">
        <v>66</v>
      </c>
      <c r="F313" s="113">
        <v>1</v>
      </c>
      <c r="I313"/>
      <c r="K313" s="224">
        <v>6</v>
      </c>
      <c r="L313" s="390">
        <v>41625</v>
      </c>
      <c r="M313"/>
      <c r="N313" s="224"/>
      <c r="O313"/>
      <c r="P313"/>
      <c r="Q313"/>
      <c r="S313" s="224"/>
      <c r="T313" s="224"/>
      <c r="U313"/>
      <c r="V313"/>
      <c r="W313"/>
      <c r="X313"/>
      <c r="Y313" s="225"/>
      <c r="Z313" s="224"/>
      <c r="AA313" s="226"/>
      <c r="AB313" s="224"/>
      <c r="AC313" s="225"/>
      <c r="AD313" s="224"/>
      <c r="AE313" s="224"/>
      <c r="AF313" s="224"/>
      <c r="AG313">
        <v>4</v>
      </c>
      <c r="AH313"/>
      <c r="AI313">
        <v>125</v>
      </c>
      <c r="AJ313" s="194">
        <v>41785</v>
      </c>
      <c r="AK313"/>
      <c r="AL313"/>
      <c r="AM313"/>
      <c r="AN313"/>
      <c r="AO313"/>
      <c r="AP313"/>
      <c r="AQ313" s="227"/>
      <c r="AR313" s="227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>
        <v>52.8</v>
      </c>
      <c r="BT313"/>
      <c r="BU313">
        <v>16.93</v>
      </c>
      <c r="BV313"/>
      <c r="BW313" s="229"/>
      <c r="BX313"/>
      <c r="BY313"/>
      <c r="BZ313"/>
      <c r="CA313"/>
      <c r="CC313"/>
      <c r="CD313"/>
      <c r="CE313">
        <v>5.9</v>
      </c>
      <c r="CF313"/>
      <c r="CG313">
        <v>0.34</v>
      </c>
      <c r="CH313"/>
      <c r="CI313"/>
      <c r="CJ313"/>
      <c r="CK313" t="s">
        <v>8820</v>
      </c>
      <c r="CL313"/>
      <c r="CM313"/>
    </row>
    <row r="314" spans="1:91" ht="15">
      <c r="A314" s="364" t="s">
        <v>7717</v>
      </c>
      <c r="B314" t="s">
        <v>267</v>
      </c>
      <c r="C314" t="s">
        <v>413</v>
      </c>
      <c r="D314">
        <v>112</v>
      </c>
      <c r="E314" s="113">
        <v>63</v>
      </c>
      <c r="F314" s="113">
        <v>5</v>
      </c>
      <c r="I314"/>
      <c r="K314" s="224">
        <v>7</v>
      </c>
      <c r="L314" s="390">
        <v>41625</v>
      </c>
      <c r="M314"/>
      <c r="N314" s="224"/>
      <c r="O314"/>
      <c r="P314"/>
      <c r="Q314"/>
      <c r="S314" s="224"/>
      <c r="T314" s="224"/>
      <c r="U314"/>
      <c r="V314"/>
      <c r="W314"/>
      <c r="X314"/>
      <c r="Y314" s="225"/>
      <c r="Z314" s="224"/>
      <c r="AA314" s="226"/>
      <c r="AB314" s="224"/>
      <c r="AC314" s="225"/>
      <c r="AD314" s="224"/>
      <c r="AE314" s="224"/>
      <c r="AF314" s="224"/>
      <c r="AG314">
        <v>4.0999999999999996</v>
      </c>
      <c r="AH314"/>
      <c r="AI314">
        <v>155</v>
      </c>
      <c r="AJ314" s="194">
        <v>41785</v>
      </c>
      <c r="AK314"/>
      <c r="AL314"/>
      <c r="AM314"/>
      <c r="AN314"/>
      <c r="AO314"/>
      <c r="AP314"/>
      <c r="AQ314" s="227"/>
      <c r="AR314" s="227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>
        <v>53.6</v>
      </c>
      <c r="BT314"/>
      <c r="BU314">
        <v>17.43</v>
      </c>
      <c r="BV314"/>
      <c r="BW314" s="229"/>
      <c r="BX314"/>
      <c r="BY314"/>
      <c r="BZ314"/>
      <c r="CA314"/>
      <c r="CC314"/>
      <c r="CD314"/>
      <c r="CE314">
        <v>4.05</v>
      </c>
      <c r="CF314"/>
      <c r="CG314">
        <v>0.17</v>
      </c>
      <c r="CH314"/>
      <c r="CI314"/>
      <c r="CJ314"/>
      <c r="CK314" t="s">
        <v>8820</v>
      </c>
      <c r="CL314"/>
      <c r="CM314"/>
    </row>
    <row r="315" spans="1:91" ht="15">
      <c r="A315" s="364" t="s">
        <v>7718</v>
      </c>
      <c r="B315" t="s">
        <v>267</v>
      </c>
      <c r="C315" t="s">
        <v>413</v>
      </c>
      <c r="D315">
        <v>113</v>
      </c>
      <c r="E315" s="113">
        <v>43</v>
      </c>
      <c r="F315" s="113">
        <v>2</v>
      </c>
      <c r="I315"/>
      <c r="K315" s="224">
        <v>7</v>
      </c>
      <c r="L315" s="390">
        <v>41625</v>
      </c>
      <c r="M315"/>
      <c r="N315" s="224"/>
      <c r="O315"/>
      <c r="P315"/>
      <c r="Q315"/>
      <c r="S315" s="224"/>
      <c r="T315" s="224"/>
      <c r="U315"/>
      <c r="V315"/>
      <c r="W315"/>
      <c r="X315"/>
      <c r="Y315" s="225"/>
      <c r="Z315" s="224"/>
      <c r="AA315" s="226"/>
      <c r="AB315" s="224"/>
      <c r="AC315" s="225"/>
      <c r="AD315" s="224"/>
      <c r="AE315" s="224"/>
      <c r="AF315" s="224"/>
      <c r="AG315">
        <v>3.47</v>
      </c>
      <c r="AH315"/>
      <c r="AI315">
        <v>140</v>
      </c>
      <c r="AJ315" s="194">
        <v>41785</v>
      </c>
      <c r="AK315"/>
      <c r="AL315"/>
      <c r="AM315"/>
      <c r="AN315"/>
      <c r="AO315"/>
      <c r="AP315"/>
      <c r="AQ315" s="227"/>
      <c r="AR315" s="227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>
        <v>52.6</v>
      </c>
      <c r="BT315"/>
      <c r="BU315">
        <v>16.8</v>
      </c>
      <c r="BV315"/>
      <c r="BW315" s="229"/>
      <c r="BX315"/>
      <c r="BY315"/>
      <c r="BZ315"/>
      <c r="CA315"/>
      <c r="CC315"/>
      <c r="CD315"/>
      <c r="CE315">
        <v>5.85</v>
      </c>
      <c r="CF315"/>
      <c r="CG315">
        <v>0.34</v>
      </c>
      <c r="CH315"/>
      <c r="CI315"/>
      <c r="CJ315"/>
      <c r="CK315" t="s">
        <v>8820</v>
      </c>
      <c r="CL315"/>
      <c r="CM315"/>
    </row>
    <row r="316" spans="1:91" ht="15">
      <c r="A316" s="364" t="s">
        <v>7719</v>
      </c>
      <c r="B316" t="s">
        <v>267</v>
      </c>
      <c r="C316" t="s">
        <v>413</v>
      </c>
      <c r="D316">
        <v>114</v>
      </c>
      <c r="E316" s="113">
        <v>68</v>
      </c>
      <c r="F316" s="113">
        <v>3</v>
      </c>
      <c r="G316" s="233"/>
      <c r="H316" s="233"/>
      <c r="I316" s="232"/>
      <c r="J316" s="234"/>
      <c r="K316" s="235">
        <v>7</v>
      </c>
      <c r="L316" s="390">
        <v>41625</v>
      </c>
      <c r="M316" s="232"/>
      <c r="N316" s="235"/>
      <c r="O316" s="232"/>
      <c r="P316" s="232"/>
      <c r="Q316" s="232"/>
      <c r="R316" s="236"/>
      <c r="S316" s="235"/>
      <c r="T316" s="235"/>
      <c r="U316" s="232"/>
      <c r="V316" s="232"/>
      <c r="W316" s="232"/>
      <c r="X316" s="232"/>
      <c r="Y316" s="237"/>
      <c r="Z316" s="235"/>
      <c r="AA316" s="238"/>
      <c r="AB316" s="235"/>
      <c r="AC316" s="237"/>
      <c r="AD316" s="235"/>
      <c r="AE316" s="235"/>
      <c r="AF316" s="235"/>
      <c r="AG316" s="232">
        <v>4.22</v>
      </c>
      <c r="AH316" s="232"/>
      <c r="AI316" s="232">
        <v>140</v>
      </c>
      <c r="AJ316" s="194">
        <v>41785</v>
      </c>
      <c r="AK316" s="232"/>
      <c r="AL316" s="232"/>
      <c r="AM316" s="232"/>
      <c r="AN316" s="232"/>
      <c r="AO316" s="232"/>
      <c r="AP316" s="232"/>
      <c r="AQ316" s="239"/>
      <c r="AR316" s="239"/>
      <c r="AS316" s="232"/>
      <c r="AT316" s="232"/>
      <c r="AU316" s="232"/>
      <c r="AV316" s="232"/>
      <c r="AW316" s="232"/>
      <c r="AX316" s="232"/>
      <c r="AY316" s="232"/>
      <c r="AZ316" s="232"/>
      <c r="BA316" s="232"/>
      <c r="BB316" s="232"/>
      <c r="BC316" s="232"/>
      <c r="BD316" s="232"/>
      <c r="BE316" s="232"/>
      <c r="BF316" s="232"/>
      <c r="BG316" s="232"/>
      <c r="BH316" s="232"/>
      <c r="BI316" s="232"/>
      <c r="BJ316" s="232"/>
      <c r="BK316" s="232"/>
      <c r="BL316" s="232"/>
      <c r="BM316" s="232"/>
      <c r="BN316" s="232"/>
      <c r="BO316" s="232"/>
      <c r="BP316" s="232"/>
      <c r="BQ316" s="232"/>
      <c r="BR316" s="232"/>
      <c r="BS316" s="232">
        <v>51.6</v>
      </c>
      <c r="BT316" s="232"/>
      <c r="BU316" s="232">
        <v>17.79</v>
      </c>
      <c r="BV316" s="232"/>
      <c r="BW316" s="232"/>
      <c r="BX316" s="243"/>
      <c r="BY316" s="232"/>
      <c r="BZ316" s="232"/>
      <c r="CA316" s="232"/>
      <c r="CB316" s="241"/>
      <c r="CC316" s="232"/>
      <c r="CD316" s="232"/>
      <c r="CE316" s="232">
        <v>5.0999999999999996</v>
      </c>
      <c r="CF316" s="232"/>
      <c r="CG316" s="232">
        <v>0.26</v>
      </c>
      <c r="CH316" s="232"/>
      <c r="CI316" s="232"/>
      <c r="CJ316" s="232"/>
      <c r="CK316" t="s">
        <v>8820</v>
      </c>
      <c r="CL316" s="232"/>
      <c r="CM316" s="232"/>
    </row>
    <row r="317" spans="1:91" ht="15">
      <c r="A317" s="364" t="s">
        <v>7720</v>
      </c>
      <c r="B317" t="s">
        <v>267</v>
      </c>
      <c r="C317" t="s">
        <v>413</v>
      </c>
      <c r="D317" s="232">
        <v>115</v>
      </c>
      <c r="E317" s="113">
        <v>49</v>
      </c>
      <c r="F317" s="113">
        <v>5</v>
      </c>
      <c r="I317"/>
      <c r="K317" s="224">
        <v>6</v>
      </c>
      <c r="L317" s="390">
        <v>41625</v>
      </c>
      <c r="M317"/>
      <c r="N317" s="224"/>
      <c r="O317"/>
      <c r="P317"/>
      <c r="Q317"/>
      <c r="S317" s="224"/>
      <c r="T317" s="224"/>
      <c r="U317"/>
      <c r="V317"/>
      <c r="W317"/>
      <c r="X317"/>
      <c r="Y317" s="225"/>
      <c r="Z317" s="224"/>
      <c r="AA317" s="226"/>
      <c r="AB317" s="224"/>
      <c r="AC317" s="225"/>
      <c r="AD317" s="224"/>
      <c r="AE317" s="224"/>
      <c r="AF317" s="224"/>
      <c r="AG317">
        <v>4.18</v>
      </c>
      <c r="AH317"/>
      <c r="AI317">
        <v>140</v>
      </c>
      <c r="AJ317" s="194">
        <v>41785</v>
      </c>
      <c r="AK317"/>
      <c r="AL317"/>
      <c r="AM317"/>
      <c r="AN317"/>
      <c r="AO317"/>
      <c r="AP317"/>
      <c r="AQ317" s="227"/>
      <c r="AR317" s="22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>
        <v>51.8</v>
      </c>
      <c r="BT317"/>
      <c r="BU317">
        <v>16.48</v>
      </c>
      <c r="BV317"/>
      <c r="BW317" s="229"/>
      <c r="BX317"/>
      <c r="BY317"/>
      <c r="BZ317"/>
      <c r="CA317"/>
      <c r="CC317"/>
      <c r="CD317"/>
      <c r="CE317">
        <v>4.0599999999999996</v>
      </c>
      <c r="CF317"/>
      <c r="CG317">
        <v>0.26</v>
      </c>
      <c r="CH317"/>
      <c r="CI317"/>
      <c r="CJ317"/>
      <c r="CK317" t="s">
        <v>8820</v>
      </c>
      <c r="CL317"/>
      <c r="CM317"/>
    </row>
    <row r="318" spans="1:91" s="242" customFormat="1" ht="15">
      <c r="A318" s="364" t="s">
        <v>7721</v>
      </c>
      <c r="B318" t="s">
        <v>267</v>
      </c>
      <c r="C318" t="s">
        <v>413</v>
      </c>
      <c r="D318">
        <v>116</v>
      </c>
      <c r="E318" s="113">
        <v>57</v>
      </c>
      <c r="F318" s="113">
        <v>5</v>
      </c>
      <c r="G318" s="113"/>
      <c r="H318" s="113"/>
      <c r="I318"/>
      <c r="J318" s="112"/>
      <c r="K318" s="224">
        <v>7</v>
      </c>
      <c r="L318" s="390">
        <v>41625</v>
      </c>
      <c r="M318"/>
      <c r="N318" s="224"/>
      <c r="O318"/>
      <c r="P318"/>
      <c r="Q318"/>
      <c r="R318" s="153"/>
      <c r="S318" s="224"/>
      <c r="T318" s="224"/>
      <c r="U318"/>
      <c r="V318"/>
      <c r="W318"/>
      <c r="X318"/>
      <c r="Y318" s="225"/>
      <c r="Z318" s="224"/>
      <c r="AA318" s="226"/>
      <c r="AB318" s="224"/>
      <c r="AC318" s="225"/>
      <c r="AD318" s="224"/>
      <c r="AE318" s="224"/>
      <c r="AF318" s="224"/>
      <c r="AG318">
        <v>3.96</v>
      </c>
      <c r="AH318"/>
      <c r="AI318">
        <v>125</v>
      </c>
      <c r="AJ318" s="194">
        <v>41785</v>
      </c>
      <c r="AK318"/>
      <c r="AL318"/>
      <c r="AM318"/>
      <c r="AN318"/>
      <c r="AO318"/>
      <c r="AP318"/>
      <c r="AQ318" s="227"/>
      <c r="AR318" s="227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>
        <v>52.1</v>
      </c>
      <c r="BT318"/>
      <c r="BU318">
        <v>17.12</v>
      </c>
      <c r="BV318"/>
      <c r="BW318" s="229"/>
      <c r="BX318"/>
      <c r="BY318"/>
      <c r="BZ318"/>
      <c r="CA318"/>
      <c r="CB318" s="136"/>
      <c r="CC318"/>
      <c r="CD318"/>
      <c r="CE318">
        <v>3.35</v>
      </c>
      <c r="CF318"/>
      <c r="CG318">
        <v>0.77</v>
      </c>
      <c r="CH318"/>
      <c r="CI318"/>
      <c r="CJ318"/>
      <c r="CK318" t="s">
        <v>8820</v>
      </c>
      <c r="CL318"/>
      <c r="CM318"/>
    </row>
    <row r="319" spans="1:91" s="242" customFormat="1" ht="15">
      <c r="A319" s="364" t="s">
        <v>7722</v>
      </c>
      <c r="B319" t="s">
        <v>267</v>
      </c>
      <c r="C319" t="s">
        <v>413</v>
      </c>
      <c r="D319">
        <v>117</v>
      </c>
      <c r="E319" s="113">
        <v>59</v>
      </c>
      <c r="F319" s="113">
        <v>4</v>
      </c>
      <c r="G319" s="113"/>
      <c r="H319" s="113"/>
      <c r="I319"/>
      <c r="J319" s="112"/>
      <c r="K319" s="224">
        <v>7</v>
      </c>
      <c r="L319" s="390">
        <v>41625</v>
      </c>
      <c r="M319"/>
      <c r="N319" s="224"/>
      <c r="O319"/>
      <c r="P319"/>
      <c r="Q319"/>
      <c r="R319" s="153"/>
      <c r="S319" s="224"/>
      <c r="T319" s="224"/>
      <c r="U319"/>
      <c r="V319"/>
      <c r="W319"/>
      <c r="X319"/>
      <c r="Y319" s="225"/>
      <c r="Z319" s="224"/>
      <c r="AA319" s="226"/>
      <c r="AB319" s="224"/>
      <c r="AC319" s="225"/>
      <c r="AD319" s="224"/>
      <c r="AE319" s="224"/>
      <c r="AF319" s="224"/>
      <c r="AG319">
        <v>4.42</v>
      </c>
      <c r="AH319"/>
      <c r="AI319">
        <v>140</v>
      </c>
      <c r="AJ319" s="194">
        <v>41785</v>
      </c>
      <c r="AK319"/>
      <c r="AL319"/>
      <c r="AM319"/>
      <c r="AN319"/>
      <c r="AO319"/>
      <c r="AP319"/>
      <c r="AQ319" s="227"/>
      <c r="AR319" s="227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>
        <v>52.8</v>
      </c>
      <c r="BT319"/>
      <c r="BU319">
        <v>16.7</v>
      </c>
      <c r="BV319"/>
      <c r="BW319" s="229"/>
      <c r="BX319"/>
      <c r="BY319"/>
      <c r="BZ319"/>
      <c r="CA319"/>
      <c r="CB319" s="136"/>
      <c r="CC319"/>
      <c r="CD319"/>
      <c r="CE319">
        <v>3.34</v>
      </c>
      <c r="CF319"/>
      <c r="CG319">
        <v>0.85</v>
      </c>
      <c r="CH319"/>
      <c r="CI319"/>
      <c r="CJ319"/>
      <c r="CK319" t="s">
        <v>8820</v>
      </c>
      <c r="CL319"/>
      <c r="CM319"/>
    </row>
    <row r="320" spans="1:91" s="242" customFormat="1" ht="15">
      <c r="A320" s="364" t="s">
        <v>7723</v>
      </c>
      <c r="B320" t="s">
        <v>267</v>
      </c>
      <c r="C320" t="s">
        <v>413</v>
      </c>
      <c r="D320">
        <v>118</v>
      </c>
      <c r="E320" s="113">
        <v>51</v>
      </c>
      <c r="F320" s="113">
        <v>4</v>
      </c>
      <c r="G320" s="113"/>
      <c r="H320" s="113"/>
      <c r="I320"/>
      <c r="J320" s="112"/>
      <c r="K320" s="224">
        <v>7</v>
      </c>
      <c r="L320" s="390">
        <v>41625</v>
      </c>
      <c r="M320"/>
      <c r="N320" s="224"/>
      <c r="O320"/>
      <c r="P320"/>
      <c r="Q320"/>
      <c r="R320" s="153"/>
      <c r="S320" s="224"/>
      <c r="T320" s="224"/>
      <c r="U320"/>
      <c r="V320"/>
      <c r="W320"/>
      <c r="X320"/>
      <c r="Y320" s="225"/>
      <c r="Z320" s="224"/>
      <c r="AA320" s="226"/>
      <c r="AB320" s="224"/>
      <c r="AC320" s="225"/>
      <c r="AD320" s="224"/>
      <c r="AE320" s="224"/>
      <c r="AF320" s="224"/>
      <c r="AG320">
        <v>4.3600000000000003</v>
      </c>
      <c r="AH320"/>
      <c r="AI320">
        <v>150</v>
      </c>
      <c r="AJ320" s="194">
        <v>41785</v>
      </c>
      <c r="AK320"/>
      <c r="AL320"/>
      <c r="AM320"/>
      <c r="AN320"/>
      <c r="AO320"/>
      <c r="AP320"/>
      <c r="AQ320" s="227"/>
      <c r="AR320" s="227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>
        <v>51.3</v>
      </c>
      <c r="BT320"/>
      <c r="BU320">
        <v>17.87</v>
      </c>
      <c r="BV320"/>
      <c r="BW320" s="229"/>
      <c r="BX320"/>
      <c r="BY320"/>
      <c r="BZ320"/>
      <c r="CA320"/>
      <c r="CB320" s="136"/>
      <c r="CC320"/>
      <c r="CD320"/>
      <c r="CE320">
        <v>4.37</v>
      </c>
      <c r="CF320"/>
      <c r="CG320">
        <v>0.25</v>
      </c>
      <c r="CH320"/>
      <c r="CI320"/>
      <c r="CJ320"/>
      <c r="CK320" t="s">
        <v>8820</v>
      </c>
      <c r="CL320"/>
      <c r="CM320"/>
    </row>
    <row r="321" spans="1:91" s="242" customFormat="1" ht="15">
      <c r="A321" s="364" t="s">
        <v>7724</v>
      </c>
      <c r="B321" t="s">
        <v>267</v>
      </c>
      <c r="C321" t="s">
        <v>413</v>
      </c>
      <c r="D321">
        <v>119</v>
      </c>
      <c r="E321" s="113">
        <v>65</v>
      </c>
      <c r="F321" s="113">
        <v>4</v>
      </c>
      <c r="G321" s="113"/>
      <c r="H321" s="113"/>
      <c r="I321"/>
      <c r="J321" s="112"/>
      <c r="K321" s="224">
        <v>6</v>
      </c>
      <c r="L321" s="390">
        <v>41625</v>
      </c>
      <c r="M321"/>
      <c r="N321" s="224"/>
      <c r="O321"/>
      <c r="P321"/>
      <c r="Q321"/>
      <c r="R321" s="153"/>
      <c r="S321" s="224"/>
      <c r="T321" s="224"/>
      <c r="U321"/>
      <c r="V321"/>
      <c r="W321"/>
      <c r="X321"/>
      <c r="Y321" s="225"/>
      <c r="Z321" s="224"/>
      <c r="AA321" s="226"/>
      <c r="AB321" s="224"/>
      <c r="AC321" s="225"/>
      <c r="AD321" s="224"/>
      <c r="AE321" s="224"/>
      <c r="AF321" s="224"/>
      <c r="AG321">
        <v>3.8</v>
      </c>
      <c r="AH321"/>
      <c r="AI321">
        <v>145</v>
      </c>
      <c r="AJ321" s="194">
        <v>41785</v>
      </c>
      <c r="AK321"/>
      <c r="AL321"/>
      <c r="AM321"/>
      <c r="AN321"/>
      <c r="AO321"/>
      <c r="AP321"/>
      <c r="AQ321" s="227"/>
      <c r="AR321" s="227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>
        <v>51.8</v>
      </c>
      <c r="BT321"/>
      <c r="BU321">
        <v>17.21</v>
      </c>
      <c r="BV321"/>
      <c r="BW321" s="229"/>
      <c r="BX321"/>
      <c r="BY321"/>
      <c r="BZ321"/>
      <c r="CA321"/>
      <c r="CB321" s="136"/>
      <c r="CC321"/>
      <c r="CD321"/>
      <c r="CE321">
        <v>4.0999999999999996</v>
      </c>
      <c r="CF321"/>
      <c r="CG321">
        <v>0.42</v>
      </c>
      <c r="CH321"/>
      <c r="CI321"/>
      <c r="CJ321"/>
      <c r="CK321" t="s">
        <v>8820</v>
      </c>
      <c r="CL321"/>
      <c r="CM321"/>
    </row>
    <row r="322" spans="1:91" s="242" customFormat="1" ht="15">
      <c r="A322" s="364" t="s">
        <v>7725</v>
      </c>
      <c r="B322" t="s">
        <v>267</v>
      </c>
      <c r="C322" t="s">
        <v>413</v>
      </c>
      <c r="D322" s="232">
        <v>120</v>
      </c>
      <c r="E322" s="113">
        <v>46</v>
      </c>
      <c r="F322" s="113">
        <v>2</v>
      </c>
      <c r="G322" s="113"/>
      <c r="H322" s="113"/>
      <c r="I322"/>
      <c r="J322" s="112"/>
      <c r="K322" s="224">
        <v>7</v>
      </c>
      <c r="L322" s="390">
        <v>41625</v>
      </c>
      <c r="M322"/>
      <c r="N322" s="224"/>
      <c r="O322"/>
      <c r="P322"/>
      <c r="Q322"/>
      <c r="R322" s="153"/>
      <c r="S322" s="224"/>
      <c r="T322" s="224"/>
      <c r="U322"/>
      <c r="V322"/>
      <c r="W322"/>
      <c r="X322"/>
      <c r="Y322" s="225"/>
      <c r="Z322" s="224"/>
      <c r="AA322" s="226"/>
      <c r="AB322" s="224"/>
      <c r="AC322" s="225"/>
      <c r="AD322" s="224"/>
      <c r="AE322" s="224"/>
      <c r="AF322" s="224"/>
      <c r="AG322">
        <v>4.33</v>
      </c>
      <c r="AH322"/>
      <c r="AI322">
        <v>130</v>
      </c>
      <c r="AJ322" s="194">
        <v>41785</v>
      </c>
      <c r="AK322"/>
      <c r="AL322"/>
      <c r="AM322"/>
      <c r="AN322"/>
      <c r="AO322"/>
      <c r="AP322"/>
      <c r="AQ322" s="227"/>
      <c r="AR322" s="227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>
        <v>51.2</v>
      </c>
      <c r="BT322"/>
      <c r="BU322">
        <v>17.63</v>
      </c>
      <c r="BV322"/>
      <c r="BW322" s="229"/>
      <c r="BX322"/>
      <c r="BY322"/>
      <c r="BZ322"/>
      <c r="CA322"/>
      <c r="CB322" s="136"/>
      <c r="CC322"/>
      <c r="CD322"/>
      <c r="CE322">
        <v>4.97</v>
      </c>
      <c r="CF322"/>
      <c r="CG322">
        <v>0</v>
      </c>
      <c r="CH322"/>
      <c r="CI322"/>
      <c r="CJ322"/>
      <c r="CK322" t="s">
        <v>8820</v>
      </c>
      <c r="CL322"/>
      <c r="CM322"/>
    </row>
    <row r="323" spans="1:91" s="242" customFormat="1" ht="15">
      <c r="A323" s="364" t="s">
        <v>7726</v>
      </c>
      <c r="B323" t="s">
        <v>267</v>
      </c>
      <c r="C323" t="s">
        <v>413</v>
      </c>
      <c r="D323">
        <v>121</v>
      </c>
      <c r="E323" s="113">
        <v>55</v>
      </c>
      <c r="F323" s="113">
        <v>5</v>
      </c>
      <c r="G323" s="113"/>
      <c r="H323" s="113"/>
      <c r="I323"/>
      <c r="J323" s="112"/>
      <c r="K323" s="224">
        <v>7</v>
      </c>
      <c r="L323" s="390">
        <v>41625</v>
      </c>
      <c r="M323"/>
      <c r="N323" s="224"/>
      <c r="O323"/>
      <c r="P323"/>
      <c r="Q323"/>
      <c r="R323" s="153"/>
      <c r="S323" s="224"/>
      <c r="T323" s="224"/>
      <c r="U323"/>
      <c r="V323"/>
      <c r="W323"/>
      <c r="X323"/>
      <c r="Y323" s="225"/>
      <c r="Z323" s="224"/>
      <c r="AA323" s="226"/>
      <c r="AB323" s="224"/>
      <c r="AC323" s="225"/>
      <c r="AD323" s="224"/>
      <c r="AE323" s="224"/>
      <c r="AF323" s="224"/>
      <c r="AG323">
        <v>3.48</v>
      </c>
      <c r="AH323"/>
      <c r="AI323">
        <v>115</v>
      </c>
      <c r="AJ323" s="194">
        <v>41785</v>
      </c>
      <c r="AK323"/>
      <c r="AL323"/>
      <c r="AM323"/>
      <c r="AN323"/>
      <c r="AO323"/>
      <c r="AP323"/>
      <c r="AQ323" s="227"/>
      <c r="AR323" s="227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>
        <v>51.8</v>
      </c>
      <c r="BT323"/>
      <c r="BU323">
        <v>17.059999999999999</v>
      </c>
      <c r="BV323"/>
      <c r="BW323" s="229"/>
      <c r="BX323"/>
      <c r="BY323"/>
      <c r="BZ323"/>
      <c r="CA323"/>
      <c r="CB323" s="136"/>
      <c r="CC323"/>
      <c r="CD323"/>
      <c r="CE323">
        <v>3.89</v>
      </c>
      <c r="CF323"/>
      <c r="CG323">
        <v>0.77</v>
      </c>
      <c r="CH323"/>
      <c r="CI323"/>
      <c r="CJ323"/>
      <c r="CK323" t="s">
        <v>8820</v>
      </c>
      <c r="CL323"/>
      <c r="CM323"/>
    </row>
    <row r="324" spans="1:91" s="242" customFormat="1" ht="15">
      <c r="A324" s="364" t="s">
        <v>7727</v>
      </c>
      <c r="B324" s="362" t="s">
        <v>267</v>
      </c>
      <c r="C324" s="362" t="s">
        <v>413</v>
      </c>
      <c r="D324">
        <v>122</v>
      </c>
      <c r="E324" s="113">
        <v>72</v>
      </c>
      <c r="F324" s="113">
        <v>1</v>
      </c>
      <c r="G324" s="113"/>
      <c r="H324" s="113"/>
      <c r="I324"/>
      <c r="J324" s="112"/>
      <c r="K324" s="224">
        <v>7</v>
      </c>
      <c r="L324" s="390">
        <v>41625</v>
      </c>
      <c r="M324"/>
      <c r="N324" s="224"/>
      <c r="O324"/>
      <c r="P324"/>
      <c r="Q324"/>
      <c r="R324" s="153"/>
      <c r="S324" s="224"/>
      <c r="T324" s="224"/>
      <c r="U324"/>
      <c r="V324"/>
      <c r="W324"/>
      <c r="X324"/>
      <c r="Y324" s="225"/>
      <c r="Z324" s="224"/>
      <c r="AA324" s="226"/>
      <c r="AB324" s="224"/>
      <c r="AC324" s="225"/>
      <c r="AD324" s="224"/>
      <c r="AE324" s="224"/>
      <c r="AF324" s="224"/>
      <c r="AG324">
        <v>3.83</v>
      </c>
      <c r="AH324"/>
      <c r="AI324">
        <v>130</v>
      </c>
      <c r="AJ324" s="194">
        <v>41785</v>
      </c>
      <c r="AK324"/>
      <c r="AL324"/>
      <c r="AM324"/>
      <c r="AN324"/>
      <c r="AO324"/>
      <c r="AP324"/>
      <c r="AQ324" s="227"/>
      <c r="AR324" s="227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>
        <v>50.4</v>
      </c>
      <c r="BT324"/>
      <c r="BU324">
        <v>18.71</v>
      </c>
      <c r="BV324"/>
      <c r="BW324" s="229"/>
      <c r="BX324"/>
      <c r="BY324"/>
      <c r="BZ324"/>
      <c r="CA324"/>
      <c r="CB324" s="136"/>
      <c r="CC324"/>
      <c r="CD324"/>
      <c r="CE324">
        <v>7.55</v>
      </c>
      <c r="CF324"/>
      <c r="CG324">
        <v>0.09</v>
      </c>
      <c r="CH324"/>
      <c r="CI324"/>
      <c r="CJ324"/>
      <c r="CK324" t="s">
        <v>8820</v>
      </c>
      <c r="CL324"/>
      <c r="CM324"/>
    </row>
    <row r="325" spans="1:91" s="242" customFormat="1" ht="15">
      <c r="A325" s="364" t="s">
        <v>7728</v>
      </c>
      <c r="B325" t="s">
        <v>267</v>
      </c>
      <c r="C325" t="s">
        <v>413</v>
      </c>
      <c r="D325" s="232">
        <v>123</v>
      </c>
      <c r="E325" s="113">
        <v>57</v>
      </c>
      <c r="F325" s="113">
        <v>4</v>
      </c>
      <c r="G325" s="113"/>
      <c r="H325" s="113"/>
      <c r="I325"/>
      <c r="J325" s="112"/>
      <c r="K325" s="224">
        <v>7</v>
      </c>
      <c r="L325" s="390">
        <v>41625</v>
      </c>
      <c r="M325"/>
      <c r="N325" s="224"/>
      <c r="O325"/>
      <c r="P325"/>
      <c r="Q325"/>
      <c r="R325" s="153"/>
      <c r="S325" s="224"/>
      <c r="T325" s="224"/>
      <c r="U325"/>
      <c r="V325"/>
      <c r="W325"/>
      <c r="X325"/>
      <c r="Y325" s="225"/>
      <c r="Z325" s="224"/>
      <c r="AA325" s="226"/>
      <c r="AB325" s="224"/>
      <c r="AC325" s="225"/>
      <c r="AD325" s="224"/>
      <c r="AE325" s="224"/>
      <c r="AF325" s="224"/>
      <c r="AG325">
        <v>3.99</v>
      </c>
      <c r="AH325"/>
      <c r="AI325">
        <v>135</v>
      </c>
      <c r="AJ325" s="194">
        <v>41785</v>
      </c>
      <c r="AK325"/>
      <c r="AL325"/>
      <c r="AM325"/>
      <c r="AN325"/>
      <c r="AO325"/>
      <c r="AP325"/>
      <c r="AQ325" s="227"/>
      <c r="AR325" s="227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>
        <v>54.6</v>
      </c>
      <c r="BT325"/>
      <c r="BU325">
        <v>17.239999999999998</v>
      </c>
      <c r="BV325"/>
      <c r="BW325" s="229"/>
      <c r="BX325"/>
      <c r="BY325"/>
      <c r="BZ325"/>
      <c r="CA325"/>
      <c r="CB325" s="136"/>
      <c r="CC325"/>
      <c r="CD325"/>
      <c r="CE325">
        <v>3.43</v>
      </c>
      <c r="CF325"/>
      <c r="CG325">
        <v>0.94</v>
      </c>
      <c r="CH325"/>
      <c r="CI325"/>
      <c r="CJ325"/>
      <c r="CK325" t="s">
        <v>8820</v>
      </c>
      <c r="CL325"/>
      <c r="CM325"/>
    </row>
    <row r="326" spans="1:91" s="242" customFormat="1" ht="15">
      <c r="A326" s="364" t="s">
        <v>7729</v>
      </c>
      <c r="B326" t="s">
        <v>267</v>
      </c>
      <c r="C326" t="s">
        <v>413</v>
      </c>
      <c r="D326">
        <v>124</v>
      </c>
      <c r="E326" s="113">
        <v>37</v>
      </c>
      <c r="F326" s="113">
        <v>4</v>
      </c>
      <c r="G326" s="113"/>
      <c r="H326" s="113"/>
      <c r="I326"/>
      <c r="J326" s="112"/>
      <c r="K326" s="224">
        <v>6</v>
      </c>
      <c r="L326" s="390">
        <v>41625</v>
      </c>
      <c r="M326"/>
      <c r="N326" s="224"/>
      <c r="O326"/>
      <c r="P326"/>
      <c r="Q326"/>
      <c r="R326" s="153"/>
      <c r="S326" s="224"/>
      <c r="T326" s="224"/>
      <c r="U326"/>
      <c r="V326"/>
      <c r="W326"/>
      <c r="X326"/>
      <c r="Y326" s="225"/>
      <c r="Z326" s="224"/>
      <c r="AA326" s="226"/>
      <c r="AB326" s="224"/>
      <c r="AC326" s="225"/>
      <c r="AD326" s="224"/>
      <c r="AE326" s="224"/>
      <c r="AF326" s="224"/>
      <c r="AG326">
        <v>3.68</v>
      </c>
      <c r="AH326"/>
      <c r="AI326">
        <v>145</v>
      </c>
      <c r="AJ326" s="194">
        <v>41785</v>
      </c>
      <c r="AK326"/>
      <c r="AL326"/>
      <c r="AM326"/>
      <c r="AN326"/>
      <c r="AO326"/>
      <c r="AP326"/>
      <c r="AQ326" s="227"/>
      <c r="AR326" s="227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>
        <v>49.7</v>
      </c>
      <c r="BT326"/>
      <c r="BU326">
        <v>17.329999999999998</v>
      </c>
      <c r="BV326"/>
      <c r="BW326" s="229"/>
      <c r="BX326"/>
      <c r="BY326"/>
      <c r="BZ326"/>
      <c r="CA326"/>
      <c r="CB326" s="136"/>
      <c r="CC326"/>
      <c r="CD326"/>
      <c r="CE326">
        <v>4.8600000000000003</v>
      </c>
      <c r="CF326"/>
      <c r="CG326">
        <v>0.34</v>
      </c>
      <c r="CH326"/>
      <c r="CI326"/>
      <c r="CJ326"/>
      <c r="CK326" t="s">
        <v>8820</v>
      </c>
      <c r="CL326"/>
      <c r="CM326"/>
    </row>
    <row r="327" spans="1:91" s="242" customFormat="1" ht="15">
      <c r="A327" s="364" t="s">
        <v>7730</v>
      </c>
      <c r="B327" t="s">
        <v>267</v>
      </c>
      <c r="C327" t="s">
        <v>413</v>
      </c>
      <c r="D327">
        <v>125</v>
      </c>
      <c r="E327" s="113">
        <v>37</v>
      </c>
      <c r="F327" s="113">
        <v>1</v>
      </c>
      <c r="G327" s="113"/>
      <c r="H327" s="113"/>
      <c r="I327"/>
      <c r="J327" s="112"/>
      <c r="K327" s="224">
        <v>6</v>
      </c>
      <c r="L327" s="390">
        <v>41625</v>
      </c>
      <c r="M327"/>
      <c r="N327" s="224"/>
      <c r="O327"/>
      <c r="P327"/>
      <c r="Q327"/>
      <c r="R327" s="153"/>
      <c r="S327" s="224"/>
      <c r="T327" s="224"/>
      <c r="U327"/>
      <c r="V327"/>
      <c r="W327"/>
      <c r="X327"/>
      <c r="Y327" s="225"/>
      <c r="Z327" s="224"/>
      <c r="AA327" s="226"/>
      <c r="AB327" s="224"/>
      <c r="AC327" s="225"/>
      <c r="AD327" s="224"/>
      <c r="AE327" s="224"/>
      <c r="AF327" s="224"/>
      <c r="AG327">
        <v>3.91</v>
      </c>
      <c r="AH327"/>
      <c r="AI327">
        <v>130</v>
      </c>
      <c r="AJ327" s="194">
        <v>41785</v>
      </c>
      <c r="AK327"/>
      <c r="AL327"/>
      <c r="AM327"/>
      <c r="AN327"/>
      <c r="AO327"/>
      <c r="AP327"/>
      <c r="AQ327" s="227"/>
      <c r="AR327" s="2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>
        <v>52.7</v>
      </c>
      <c r="BT327"/>
      <c r="BU327">
        <v>17.190000000000001</v>
      </c>
      <c r="BV327"/>
      <c r="BW327" s="229"/>
      <c r="BX327"/>
      <c r="BY327"/>
      <c r="BZ327"/>
      <c r="CA327"/>
      <c r="CB327" s="136"/>
      <c r="CC327"/>
      <c r="CD327"/>
      <c r="CE327">
        <v>4.6900000000000004</v>
      </c>
      <c r="CF327"/>
      <c r="CG327">
        <v>0.09</v>
      </c>
      <c r="CH327"/>
      <c r="CI327"/>
      <c r="CJ327"/>
      <c r="CK327" t="s">
        <v>8820</v>
      </c>
      <c r="CL327"/>
      <c r="CM327"/>
    </row>
    <row r="328" spans="1:91" s="242" customFormat="1" ht="15">
      <c r="A328" s="364" t="s">
        <v>7731</v>
      </c>
      <c r="B328" t="s">
        <v>267</v>
      </c>
      <c r="C328" t="s">
        <v>413</v>
      </c>
      <c r="D328">
        <v>126</v>
      </c>
      <c r="E328" s="113">
        <v>52</v>
      </c>
      <c r="F328" s="113">
        <v>6</v>
      </c>
      <c r="G328" s="233"/>
      <c r="H328" s="233"/>
      <c r="I328" s="232"/>
      <c r="J328" s="234"/>
      <c r="K328" s="235">
        <v>7</v>
      </c>
      <c r="L328" s="390">
        <v>41625</v>
      </c>
      <c r="M328" s="232"/>
      <c r="N328" s="235"/>
      <c r="O328" s="232"/>
      <c r="P328" s="232"/>
      <c r="Q328" s="232"/>
      <c r="R328" s="236"/>
      <c r="S328" s="235"/>
      <c r="T328" s="235"/>
      <c r="U328" s="232"/>
      <c r="V328" s="232"/>
      <c r="W328" s="232"/>
      <c r="X328" s="232"/>
      <c r="Y328" s="237"/>
      <c r="Z328" s="235"/>
      <c r="AA328" s="238"/>
      <c r="AB328" s="235"/>
      <c r="AC328" s="237"/>
      <c r="AD328" s="235"/>
      <c r="AE328" s="235"/>
      <c r="AF328" s="235"/>
      <c r="AG328" s="232">
        <v>4.37</v>
      </c>
      <c r="AH328" s="232"/>
      <c r="AI328" s="232">
        <v>140</v>
      </c>
      <c r="AJ328" s="194">
        <v>41785</v>
      </c>
      <c r="AK328" s="232"/>
      <c r="AL328" s="232"/>
      <c r="AM328" s="232"/>
      <c r="AN328" s="232"/>
      <c r="AO328" s="232"/>
      <c r="AP328" s="232"/>
      <c r="AQ328" s="239"/>
      <c r="AR328" s="239"/>
      <c r="AS328" s="232"/>
      <c r="AT328" s="232"/>
      <c r="AU328" s="232"/>
      <c r="AV328" s="232"/>
      <c r="AW328" s="232"/>
      <c r="AX328" s="232"/>
      <c r="AY328" s="232"/>
      <c r="AZ328" s="232"/>
      <c r="BA328" s="232"/>
      <c r="BB328" s="232"/>
      <c r="BC328" s="232"/>
      <c r="BD328" s="232"/>
      <c r="BE328" s="232"/>
      <c r="BF328" s="232"/>
      <c r="BG328" s="232"/>
      <c r="BH328" s="232"/>
      <c r="BI328" s="232"/>
      <c r="BJ328" s="232"/>
      <c r="BK328" s="232"/>
      <c r="BL328" s="232"/>
      <c r="BM328" s="232"/>
      <c r="BN328" s="232"/>
      <c r="BO328" s="232"/>
      <c r="BP328" s="232"/>
      <c r="BQ328" s="232"/>
      <c r="BR328" s="232"/>
      <c r="BS328" s="232">
        <v>51.7</v>
      </c>
      <c r="BT328" s="232"/>
      <c r="BU328" s="232">
        <v>17.809999999999999</v>
      </c>
      <c r="BV328" s="232"/>
      <c r="BW328" s="240"/>
      <c r="BX328" s="232"/>
      <c r="BY328" s="232"/>
      <c r="BZ328" s="232"/>
      <c r="CA328" s="232"/>
      <c r="CB328" s="241"/>
      <c r="CC328" s="232"/>
      <c r="CD328" s="232"/>
      <c r="CE328" s="232">
        <v>4.3499999999999996</v>
      </c>
      <c r="CF328" s="232"/>
      <c r="CG328" s="232">
        <v>0.77</v>
      </c>
      <c r="CH328" s="232"/>
      <c r="CI328" s="232"/>
      <c r="CJ328" s="232"/>
      <c r="CK328" t="s">
        <v>8820</v>
      </c>
      <c r="CL328" s="232"/>
      <c r="CM328" s="232"/>
    </row>
    <row r="329" spans="1:91" s="242" customFormat="1" ht="15">
      <c r="A329" s="364" t="s">
        <v>7732</v>
      </c>
      <c r="B329" t="s">
        <v>267</v>
      </c>
      <c r="C329" t="s">
        <v>413</v>
      </c>
      <c r="D329" s="232">
        <v>127</v>
      </c>
      <c r="E329" s="113">
        <v>62</v>
      </c>
      <c r="F329" s="113">
        <v>6</v>
      </c>
      <c r="G329" s="113"/>
      <c r="H329" s="113"/>
      <c r="I329"/>
      <c r="J329" s="112"/>
      <c r="K329" s="224">
        <v>7</v>
      </c>
      <c r="L329" s="390">
        <v>41625</v>
      </c>
      <c r="M329"/>
      <c r="N329" s="224"/>
      <c r="O329"/>
      <c r="P329"/>
      <c r="Q329"/>
      <c r="R329" s="153"/>
      <c r="S329" s="224"/>
      <c r="T329" s="224"/>
      <c r="U329"/>
      <c r="V329"/>
      <c r="W329"/>
      <c r="X329"/>
      <c r="Y329" s="225"/>
      <c r="Z329" s="224"/>
      <c r="AA329" s="226"/>
      <c r="AB329" s="224"/>
      <c r="AC329" s="225"/>
      <c r="AD329" s="224"/>
      <c r="AE329" s="224"/>
      <c r="AF329" s="224"/>
      <c r="AG329">
        <v>4.0199999999999996</v>
      </c>
      <c r="AH329"/>
      <c r="AI329">
        <v>125</v>
      </c>
      <c r="AJ329" s="194">
        <v>41785</v>
      </c>
      <c r="AK329"/>
      <c r="AL329"/>
      <c r="AM329"/>
      <c r="AN329"/>
      <c r="AO329"/>
      <c r="AP329"/>
      <c r="AQ329" s="227"/>
      <c r="AR329" s="227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>
        <v>51.4</v>
      </c>
      <c r="BT329"/>
      <c r="BU329">
        <v>17.64</v>
      </c>
      <c r="BV329"/>
      <c r="BW329" s="229"/>
      <c r="BX329"/>
      <c r="BY329"/>
      <c r="BZ329"/>
      <c r="CA329"/>
      <c r="CB329" s="136"/>
      <c r="CC329"/>
      <c r="CD329"/>
      <c r="CE329">
        <v>3.95</v>
      </c>
      <c r="CF329"/>
      <c r="CG329">
        <v>0.17</v>
      </c>
      <c r="CH329"/>
      <c r="CI329"/>
      <c r="CJ329"/>
      <c r="CK329" t="s">
        <v>8820</v>
      </c>
      <c r="CL329"/>
      <c r="CM329"/>
    </row>
    <row r="330" spans="1:91" s="242" customFormat="1" ht="15">
      <c r="A330" s="364" t="s">
        <v>7733</v>
      </c>
      <c r="B330" t="s">
        <v>267</v>
      </c>
      <c r="C330" t="s">
        <v>413</v>
      </c>
      <c r="D330" s="232">
        <v>128</v>
      </c>
      <c r="E330" s="113">
        <v>70</v>
      </c>
      <c r="F330" s="113">
        <v>6</v>
      </c>
      <c r="G330" s="113"/>
      <c r="H330" s="113"/>
      <c r="I330"/>
      <c r="J330" s="112"/>
      <c r="K330" s="224">
        <v>7</v>
      </c>
      <c r="L330" s="390">
        <v>41625</v>
      </c>
      <c r="M330"/>
      <c r="N330" s="224"/>
      <c r="O330"/>
      <c r="P330"/>
      <c r="Q330"/>
      <c r="R330" s="153"/>
      <c r="S330" s="224"/>
      <c r="T330" s="224"/>
      <c r="U330"/>
      <c r="V330"/>
      <c r="W330"/>
      <c r="X330"/>
      <c r="Y330" s="225"/>
      <c r="Z330" s="224"/>
      <c r="AA330" s="226"/>
      <c r="AB330" s="224"/>
      <c r="AC330" s="225"/>
      <c r="AD330" s="224"/>
      <c r="AE330" s="224"/>
      <c r="AF330" s="224"/>
      <c r="AG330">
        <v>3.65</v>
      </c>
      <c r="AH330"/>
      <c r="AI330">
        <v>135</v>
      </c>
      <c r="AJ330" s="194">
        <v>41785</v>
      </c>
      <c r="AK330"/>
      <c r="AL330"/>
      <c r="AM330"/>
      <c r="AN330"/>
      <c r="AO330"/>
      <c r="AP330"/>
      <c r="AQ330" s="227"/>
      <c r="AR330" s="227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>
        <v>48.7</v>
      </c>
      <c r="BT330"/>
      <c r="BU330">
        <v>21.5</v>
      </c>
      <c r="BV330"/>
      <c r="BW330" s="229"/>
      <c r="BX330"/>
      <c r="BY330"/>
      <c r="BZ330"/>
      <c r="CA330"/>
      <c r="CB330" s="136"/>
      <c r="CC330"/>
      <c r="CD330"/>
      <c r="CE330">
        <v>4.7</v>
      </c>
      <c r="CF330"/>
      <c r="CG330">
        <v>0.6</v>
      </c>
      <c r="CH330"/>
      <c r="CI330"/>
      <c r="CJ330"/>
      <c r="CK330" t="s">
        <v>8820</v>
      </c>
      <c r="CL330"/>
      <c r="CM330"/>
    </row>
    <row r="331" spans="1:91" s="242" customFormat="1" ht="15">
      <c r="A331" s="364" t="s">
        <v>7734</v>
      </c>
      <c r="B331" t="s">
        <v>267</v>
      </c>
      <c r="C331" t="s">
        <v>413</v>
      </c>
      <c r="D331">
        <v>129</v>
      </c>
      <c r="E331" s="113">
        <v>42</v>
      </c>
      <c r="F331" s="113">
        <v>3</v>
      </c>
      <c r="G331" s="233"/>
      <c r="H331" s="233"/>
      <c r="I331" s="232"/>
      <c r="J331" s="234"/>
      <c r="K331" s="235">
        <v>6</v>
      </c>
      <c r="L331" s="390">
        <v>41625</v>
      </c>
      <c r="M331" s="232"/>
      <c r="N331" s="235"/>
      <c r="O331" s="232"/>
      <c r="P331" s="232"/>
      <c r="Q331" s="232"/>
      <c r="R331" s="236"/>
      <c r="S331" s="235"/>
      <c r="T331" s="235"/>
      <c r="U331" s="232"/>
      <c r="V331" s="232"/>
      <c r="W331" s="232"/>
      <c r="X331" s="232"/>
      <c r="Y331" s="237"/>
      <c r="Z331" s="235"/>
      <c r="AA331" s="238"/>
      <c r="AB331" s="235"/>
      <c r="AC331" s="237"/>
      <c r="AD331" s="235"/>
      <c r="AE331" s="235"/>
      <c r="AF331" s="235"/>
      <c r="AG331" s="232">
        <v>3.9</v>
      </c>
      <c r="AH331" s="232"/>
      <c r="AI331" s="232">
        <v>140</v>
      </c>
      <c r="AJ331" s="194">
        <v>41785</v>
      </c>
      <c r="AK331" s="232"/>
      <c r="AL331" s="232"/>
      <c r="AM331" s="232"/>
      <c r="AN331" s="232"/>
      <c r="AO331" s="232"/>
      <c r="AP331" s="232"/>
      <c r="AQ331" s="239"/>
      <c r="AR331" s="239"/>
      <c r="AS331" s="232"/>
      <c r="AT331" s="232"/>
      <c r="AU331" s="232"/>
      <c r="AV331" s="232"/>
      <c r="AW331" s="232"/>
      <c r="AX331" s="232"/>
      <c r="AY331" s="232"/>
      <c r="AZ331" s="232"/>
      <c r="BA331" s="232"/>
      <c r="BB331" s="232"/>
      <c r="BC331" s="232"/>
      <c r="BD331" s="232"/>
      <c r="BE331" s="232"/>
      <c r="BF331" s="232"/>
      <c r="BG331" s="232"/>
      <c r="BH331" s="232"/>
      <c r="BI331" s="232"/>
      <c r="BJ331" s="232"/>
      <c r="BK331" s="232"/>
      <c r="BL331" s="232"/>
      <c r="BM331" s="232"/>
      <c r="BN331" s="232"/>
      <c r="BO331" s="232"/>
      <c r="BP331" s="232"/>
      <c r="BQ331" s="232"/>
      <c r="BR331" s="232"/>
      <c r="BS331" s="232">
        <v>51</v>
      </c>
      <c r="BT331" s="232"/>
      <c r="BU331" s="232">
        <v>17.63</v>
      </c>
      <c r="BV331" s="232"/>
      <c r="BW331" s="240"/>
      <c r="BX331" s="232"/>
      <c r="BY331" s="232"/>
      <c r="BZ331" s="232"/>
      <c r="CA331" s="232"/>
      <c r="CB331" s="241"/>
      <c r="CC331" s="232"/>
      <c r="CD331" s="232"/>
      <c r="CE331" s="232">
        <v>4.57</v>
      </c>
      <c r="CF331" s="232"/>
      <c r="CG331" s="232">
        <v>0</v>
      </c>
      <c r="CH331" s="232"/>
      <c r="CI331" s="232"/>
      <c r="CJ331" s="232"/>
      <c r="CK331" t="s">
        <v>8820</v>
      </c>
      <c r="CL331" s="232"/>
      <c r="CM331" s="232"/>
    </row>
    <row r="332" spans="1:91" s="242" customFormat="1" ht="15">
      <c r="A332" s="364" t="s">
        <v>7735</v>
      </c>
      <c r="B332" t="s">
        <v>267</v>
      </c>
      <c r="C332" t="s">
        <v>413</v>
      </c>
      <c r="D332">
        <v>130</v>
      </c>
      <c r="E332" s="113">
        <v>41</v>
      </c>
      <c r="F332" s="113">
        <v>3</v>
      </c>
      <c r="G332" s="233"/>
      <c r="H332" s="233"/>
      <c r="I332" s="232"/>
      <c r="J332" s="234"/>
      <c r="K332" s="235">
        <v>6</v>
      </c>
      <c r="L332" s="390">
        <v>41625</v>
      </c>
      <c r="M332" s="232"/>
      <c r="N332" s="235"/>
      <c r="O332" s="232"/>
      <c r="P332" s="232"/>
      <c r="Q332" s="232"/>
      <c r="R332" s="236"/>
      <c r="S332" s="235"/>
      <c r="T332" s="235"/>
      <c r="U332" s="232"/>
      <c r="V332" s="232"/>
      <c r="W332" s="232"/>
      <c r="X332" s="232"/>
      <c r="Y332" s="237"/>
      <c r="Z332" s="235"/>
      <c r="AA332" s="238"/>
      <c r="AB332" s="235"/>
      <c r="AC332" s="237"/>
      <c r="AD332" s="235"/>
      <c r="AE332" s="235"/>
      <c r="AF332" s="235"/>
      <c r="AG332" s="232">
        <v>3.97</v>
      </c>
      <c r="AH332" s="232"/>
      <c r="AI332" s="232">
        <v>140</v>
      </c>
      <c r="AJ332" s="194">
        <v>41785</v>
      </c>
      <c r="AK332" s="232"/>
      <c r="AL332" s="232"/>
      <c r="AM332" s="232"/>
      <c r="AN332" s="232"/>
      <c r="AO332" s="232"/>
      <c r="AP332" s="232"/>
      <c r="AQ332" s="239"/>
      <c r="AR332" s="239"/>
      <c r="AS332" s="232"/>
      <c r="AT332" s="232"/>
      <c r="AU332" s="232"/>
      <c r="AV332" s="232"/>
      <c r="AW332" s="232"/>
      <c r="AX332" s="232"/>
      <c r="AY332" s="232"/>
      <c r="AZ332" s="232"/>
      <c r="BA332" s="232"/>
      <c r="BB332" s="232"/>
      <c r="BC332" s="232"/>
      <c r="BD332" s="232"/>
      <c r="BE332" s="232"/>
      <c r="BF332" s="232"/>
      <c r="BG332" s="232"/>
      <c r="BH332" s="232"/>
      <c r="BI332" s="232"/>
      <c r="BJ332" s="232"/>
      <c r="BK332" s="232"/>
      <c r="BL332" s="232"/>
      <c r="BM332" s="232"/>
      <c r="BN332" s="232"/>
      <c r="BO332" s="232"/>
      <c r="BP332" s="232"/>
      <c r="BQ332" s="232"/>
      <c r="BR332" s="232"/>
      <c r="BS332" s="232">
        <v>52.2</v>
      </c>
      <c r="BT332" s="232"/>
      <c r="BU332" s="232">
        <v>16.760000000000002</v>
      </c>
      <c r="BV332" s="232"/>
      <c r="BW332" s="240"/>
      <c r="BX332" s="232"/>
      <c r="BY332" s="232"/>
      <c r="BZ332" s="232"/>
      <c r="CA332" s="232"/>
      <c r="CB332" s="241"/>
      <c r="CC332" s="232"/>
      <c r="CD332" s="232"/>
      <c r="CE332" s="232">
        <v>4.3</v>
      </c>
      <c r="CF332" s="232"/>
      <c r="CG332" s="232">
        <v>0.08</v>
      </c>
      <c r="CH332" s="232"/>
      <c r="CI332" s="232"/>
      <c r="CJ332" s="232"/>
      <c r="CK332" t="s">
        <v>8820</v>
      </c>
      <c r="CL332" s="232"/>
      <c r="CM332" s="232"/>
    </row>
    <row r="333" spans="1:91" s="242" customFormat="1" ht="15">
      <c r="A333" s="364" t="s">
        <v>7736</v>
      </c>
      <c r="B333" t="s">
        <v>267</v>
      </c>
      <c r="C333" t="s">
        <v>413</v>
      </c>
      <c r="D333" s="232">
        <v>131</v>
      </c>
      <c r="E333" s="113">
        <v>69</v>
      </c>
      <c r="F333" s="113">
        <v>1</v>
      </c>
      <c r="G333" s="113"/>
      <c r="H333" s="113"/>
      <c r="I333"/>
      <c r="J333" s="112"/>
      <c r="K333" s="224">
        <v>7</v>
      </c>
      <c r="L333" s="390">
        <v>41625</v>
      </c>
      <c r="M333"/>
      <c r="N333" s="224"/>
      <c r="O333"/>
      <c r="P333"/>
      <c r="Q333"/>
      <c r="R333" s="153"/>
      <c r="S333" s="224"/>
      <c r="T333" s="224"/>
      <c r="U333"/>
      <c r="V333"/>
      <c r="W333"/>
      <c r="X333"/>
      <c r="Y333" s="225"/>
      <c r="Z333" s="224"/>
      <c r="AA333" s="226"/>
      <c r="AB333" s="224"/>
      <c r="AC333" s="225"/>
      <c r="AD333" s="224"/>
      <c r="AE333" s="224"/>
      <c r="AF333" s="224"/>
      <c r="AG333">
        <v>5.09</v>
      </c>
      <c r="AH333"/>
      <c r="AI333">
        <v>105</v>
      </c>
      <c r="AJ333" s="194">
        <v>41785</v>
      </c>
      <c r="AK333"/>
      <c r="AL333"/>
      <c r="AM333"/>
      <c r="AN333"/>
      <c r="AO333"/>
      <c r="AP333"/>
      <c r="AQ333" s="227"/>
      <c r="AR333" s="227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>
        <v>49.2</v>
      </c>
      <c r="BT333"/>
      <c r="BU333">
        <v>22.1</v>
      </c>
      <c r="BV333"/>
      <c r="BW333" s="229"/>
      <c r="BX333"/>
      <c r="BY333"/>
      <c r="BZ333"/>
      <c r="CA333"/>
      <c r="CB333" s="136"/>
      <c r="CC333"/>
      <c r="CD333"/>
      <c r="CE333">
        <v>4.68</v>
      </c>
      <c r="CF333"/>
      <c r="CG333">
        <v>0.51</v>
      </c>
      <c r="CH333"/>
      <c r="CI333"/>
      <c r="CJ333"/>
      <c r="CK333" t="s">
        <v>8820</v>
      </c>
      <c r="CL333"/>
      <c r="CM333"/>
    </row>
    <row r="334" spans="1:91" s="242" customFormat="1" ht="15">
      <c r="A334" s="364" t="s">
        <v>7737</v>
      </c>
      <c r="B334" t="s">
        <v>267</v>
      </c>
      <c r="C334" t="s">
        <v>413</v>
      </c>
      <c r="D334">
        <v>132</v>
      </c>
      <c r="E334" s="113">
        <v>61</v>
      </c>
      <c r="F334" s="113">
        <v>6</v>
      </c>
      <c r="G334" s="113"/>
      <c r="H334" s="113"/>
      <c r="I334"/>
      <c r="J334" s="112"/>
      <c r="K334" s="224">
        <v>6</v>
      </c>
      <c r="L334" s="390">
        <v>41625</v>
      </c>
      <c r="M334"/>
      <c r="N334" s="224"/>
      <c r="O334"/>
      <c r="P334"/>
      <c r="Q334"/>
      <c r="R334" s="153"/>
      <c r="S334" s="224"/>
      <c r="T334" s="224"/>
      <c r="U334"/>
      <c r="V334"/>
      <c r="W334"/>
      <c r="X334"/>
      <c r="Y334" s="225"/>
      <c r="Z334" s="224"/>
      <c r="AA334" s="226"/>
      <c r="AB334" s="224"/>
      <c r="AC334" s="225"/>
      <c r="AD334" s="224"/>
      <c r="AE334" s="224"/>
      <c r="AF334" s="224"/>
      <c r="AG334">
        <v>3.95</v>
      </c>
      <c r="AH334"/>
      <c r="AI334">
        <v>135</v>
      </c>
      <c r="AJ334" s="194">
        <v>41785</v>
      </c>
      <c r="AK334"/>
      <c r="AL334"/>
      <c r="AM334"/>
      <c r="AN334"/>
      <c r="AO334"/>
      <c r="AP334"/>
      <c r="AQ334" s="227"/>
      <c r="AR334" s="227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>
        <v>52.9</v>
      </c>
      <c r="BT334"/>
      <c r="BU334">
        <v>19.36</v>
      </c>
      <c r="BV334"/>
      <c r="BW334" s="229"/>
      <c r="BX334"/>
      <c r="BY334"/>
      <c r="BZ334"/>
      <c r="CA334"/>
      <c r="CB334" s="136"/>
      <c r="CC334"/>
      <c r="CD334"/>
      <c r="CE334">
        <v>3.92</v>
      </c>
      <c r="CF334"/>
      <c r="CG334">
        <v>0.51</v>
      </c>
      <c r="CH334"/>
      <c r="CI334"/>
      <c r="CJ334"/>
      <c r="CK334" t="s">
        <v>8820</v>
      </c>
      <c r="CL334"/>
      <c r="CM334"/>
    </row>
    <row r="335" spans="1:91" s="242" customFormat="1" ht="15">
      <c r="A335" s="364" t="s">
        <v>7738</v>
      </c>
      <c r="B335" t="s">
        <v>267</v>
      </c>
      <c r="C335" t="s">
        <v>413</v>
      </c>
      <c r="D335" s="232">
        <v>133</v>
      </c>
      <c r="E335" s="113">
        <v>58</v>
      </c>
      <c r="F335" s="113">
        <v>6</v>
      </c>
      <c r="G335" s="113"/>
      <c r="H335" s="113"/>
      <c r="I335"/>
      <c r="J335" s="112"/>
      <c r="K335" s="224">
        <v>7</v>
      </c>
      <c r="L335" s="390">
        <v>41625</v>
      </c>
      <c r="M335"/>
      <c r="N335" s="224"/>
      <c r="O335"/>
      <c r="P335"/>
      <c r="Q335"/>
      <c r="R335" s="153"/>
      <c r="S335" s="224"/>
      <c r="T335" s="224"/>
      <c r="U335"/>
      <c r="V335"/>
      <c r="W335"/>
      <c r="X335"/>
      <c r="Y335" s="225"/>
      <c r="Z335" s="224"/>
      <c r="AA335" s="226"/>
      <c r="AB335" s="224"/>
      <c r="AC335" s="225"/>
      <c r="AD335" s="224"/>
      <c r="AE335" s="224"/>
      <c r="AF335" s="224"/>
      <c r="AG335">
        <v>4.01</v>
      </c>
      <c r="AH335"/>
      <c r="AI335">
        <v>155</v>
      </c>
      <c r="AJ335" s="194">
        <v>41785</v>
      </c>
      <c r="AK335"/>
      <c r="AL335"/>
      <c r="AM335"/>
      <c r="AN335"/>
      <c r="AO335"/>
      <c r="AP335"/>
      <c r="AQ335" s="227"/>
      <c r="AR335" s="227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>
        <v>47.7</v>
      </c>
      <c r="BT335"/>
      <c r="BU335">
        <v>20.149999999999999</v>
      </c>
      <c r="BV335"/>
      <c r="BW335" s="229"/>
      <c r="BX335"/>
      <c r="BY335"/>
      <c r="BZ335"/>
      <c r="CA335"/>
      <c r="CB335" s="136"/>
      <c r="CC335"/>
      <c r="CD335"/>
      <c r="CE335">
        <v>3.66</v>
      </c>
      <c r="CF335"/>
      <c r="CG335">
        <v>0.42</v>
      </c>
      <c r="CH335"/>
      <c r="CI335"/>
      <c r="CJ335"/>
      <c r="CK335" t="s">
        <v>8820</v>
      </c>
      <c r="CL335"/>
      <c r="CM335"/>
    </row>
    <row r="336" spans="1:91" s="242" customFormat="1" ht="15">
      <c r="A336" s="364" t="s">
        <v>7739</v>
      </c>
      <c r="B336" t="s">
        <v>267</v>
      </c>
      <c r="C336" t="s">
        <v>413</v>
      </c>
      <c r="D336" s="232">
        <v>134</v>
      </c>
      <c r="E336" s="113">
        <v>40</v>
      </c>
      <c r="F336" s="113">
        <v>1</v>
      </c>
      <c r="G336" s="113"/>
      <c r="H336" s="113"/>
      <c r="I336"/>
      <c r="J336" s="112"/>
      <c r="K336" s="224">
        <v>6</v>
      </c>
      <c r="L336" s="390">
        <v>41625</v>
      </c>
      <c r="M336"/>
      <c r="N336" s="224"/>
      <c r="O336"/>
      <c r="P336"/>
      <c r="Q336"/>
      <c r="R336" s="153"/>
      <c r="S336" s="224"/>
      <c r="T336" s="224"/>
      <c r="U336"/>
      <c r="V336"/>
      <c r="W336"/>
      <c r="X336"/>
      <c r="Y336" s="225"/>
      <c r="Z336" s="224"/>
      <c r="AA336" s="226"/>
      <c r="AB336" s="224"/>
      <c r="AC336" s="225"/>
      <c r="AD336" s="224"/>
      <c r="AE336" s="224"/>
      <c r="AF336" s="224"/>
      <c r="AG336">
        <v>3.84</v>
      </c>
      <c r="AH336"/>
      <c r="AI336">
        <v>145</v>
      </c>
      <c r="AJ336" s="194">
        <v>41785</v>
      </c>
      <c r="AK336"/>
      <c r="AL336"/>
      <c r="AM336"/>
      <c r="AN336"/>
      <c r="AO336"/>
      <c r="AP336"/>
      <c r="AQ336" s="227"/>
      <c r="AR336" s="227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>
        <v>50.5</v>
      </c>
      <c r="BT336"/>
      <c r="BU336">
        <v>20.29</v>
      </c>
      <c r="BV336"/>
      <c r="BW336" s="229"/>
      <c r="BX336"/>
      <c r="BY336"/>
      <c r="BZ336"/>
      <c r="CA336"/>
      <c r="CB336" s="136"/>
      <c r="CC336"/>
      <c r="CD336"/>
      <c r="CE336">
        <v>4.43</v>
      </c>
      <c r="CF336"/>
      <c r="CG336">
        <v>0.59</v>
      </c>
      <c r="CH336"/>
      <c r="CI336"/>
      <c r="CJ336"/>
      <c r="CK336" t="s">
        <v>8820</v>
      </c>
      <c r="CL336"/>
      <c r="CM336"/>
    </row>
    <row r="337" spans="1:91" s="242" customFormat="1" ht="15">
      <c r="A337" s="364" t="s">
        <v>7740</v>
      </c>
      <c r="B337" t="s">
        <v>267</v>
      </c>
      <c r="C337" t="s">
        <v>413</v>
      </c>
      <c r="D337" s="232">
        <v>135</v>
      </c>
      <c r="E337" s="113">
        <v>38</v>
      </c>
      <c r="F337" s="113">
        <v>5</v>
      </c>
      <c r="G337" s="113"/>
      <c r="H337" s="113"/>
      <c r="I337"/>
      <c r="J337" s="112"/>
      <c r="K337" s="224">
        <v>7</v>
      </c>
      <c r="L337" s="390">
        <v>41625</v>
      </c>
      <c r="M337"/>
      <c r="N337" s="224"/>
      <c r="O337"/>
      <c r="P337"/>
      <c r="Q337"/>
      <c r="R337" s="153"/>
      <c r="S337" s="224"/>
      <c r="T337" s="224"/>
      <c r="U337"/>
      <c r="V337"/>
      <c r="W337"/>
      <c r="X337"/>
      <c r="Y337" s="225"/>
      <c r="Z337" s="224"/>
      <c r="AA337" s="226"/>
      <c r="AB337" s="224"/>
      <c r="AC337" s="225"/>
      <c r="AD337" s="224"/>
      <c r="AE337" s="224"/>
      <c r="AF337" s="224"/>
      <c r="AG337">
        <v>3.62</v>
      </c>
      <c r="AH337"/>
      <c r="AI337">
        <v>135</v>
      </c>
      <c r="AJ337" s="194">
        <v>41785</v>
      </c>
      <c r="AK337"/>
      <c r="AL337"/>
      <c r="AM337"/>
      <c r="AN337"/>
      <c r="AO337"/>
      <c r="AP337"/>
      <c r="AQ337" s="227"/>
      <c r="AR337" s="22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>
        <v>48.9</v>
      </c>
      <c r="BT337"/>
      <c r="BU337">
        <v>20.13</v>
      </c>
      <c r="BV337"/>
      <c r="BW337" s="229"/>
      <c r="BX337"/>
      <c r="BY337"/>
      <c r="BZ337"/>
      <c r="CA337"/>
      <c r="CB337" s="136"/>
      <c r="CC337"/>
      <c r="CD337"/>
      <c r="CE337">
        <v>4.55</v>
      </c>
      <c r="CF337"/>
      <c r="CG337">
        <v>0.26</v>
      </c>
      <c r="CH337"/>
      <c r="CI337"/>
      <c r="CJ337"/>
      <c r="CK337" t="s">
        <v>8820</v>
      </c>
      <c r="CL337"/>
      <c r="CM337"/>
    </row>
    <row r="338" spans="1:91" s="242" customFormat="1" ht="15">
      <c r="A338" s="364" t="s">
        <v>7742</v>
      </c>
      <c r="B338" t="s">
        <v>267</v>
      </c>
      <c r="C338" t="s">
        <v>413</v>
      </c>
      <c r="D338" s="232">
        <v>137</v>
      </c>
      <c r="E338" s="113">
        <v>53</v>
      </c>
      <c r="F338" s="113">
        <v>5</v>
      </c>
      <c r="G338" s="113"/>
      <c r="H338" s="113"/>
      <c r="I338"/>
      <c r="J338" s="112"/>
      <c r="K338" s="224">
        <v>7</v>
      </c>
      <c r="L338" s="390">
        <v>41625</v>
      </c>
      <c r="M338"/>
      <c r="N338" s="224"/>
      <c r="O338"/>
      <c r="P338"/>
      <c r="Q338"/>
      <c r="R338" s="153"/>
      <c r="S338" s="224"/>
      <c r="T338" s="224"/>
      <c r="U338"/>
      <c r="V338"/>
      <c r="W338"/>
      <c r="X338"/>
      <c r="Y338" s="225"/>
      <c r="Z338" s="224"/>
      <c r="AA338" s="226"/>
      <c r="AB338" s="224"/>
      <c r="AC338" s="225"/>
      <c r="AD338" s="224"/>
      <c r="AE338" s="224"/>
      <c r="AF338" s="224"/>
      <c r="AG338">
        <v>6.45</v>
      </c>
      <c r="AH338"/>
      <c r="AI338">
        <v>140</v>
      </c>
      <c r="AJ338" s="194">
        <v>41785</v>
      </c>
      <c r="AK338"/>
      <c r="AL338"/>
      <c r="AM338"/>
      <c r="AN338"/>
      <c r="AO338"/>
      <c r="AP338"/>
      <c r="AQ338" s="227"/>
      <c r="AR338" s="227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>
        <v>51.6</v>
      </c>
      <c r="BT338"/>
      <c r="BU338">
        <v>20.92</v>
      </c>
      <c r="BV338"/>
      <c r="BW338" s="229"/>
      <c r="BX338"/>
      <c r="BY338"/>
      <c r="BZ338"/>
      <c r="CA338"/>
      <c r="CB338" s="136"/>
      <c r="CC338"/>
      <c r="CD338"/>
      <c r="CE338">
        <v>3.52</v>
      </c>
      <c r="CF338"/>
      <c r="CG338">
        <v>0.76</v>
      </c>
      <c r="CH338"/>
      <c r="CI338"/>
      <c r="CJ338"/>
      <c r="CK338" t="s">
        <v>8820</v>
      </c>
      <c r="CL338"/>
      <c r="CM338"/>
    </row>
    <row r="339" spans="1:91" s="242" customFormat="1" ht="15">
      <c r="A339" s="364" t="s">
        <v>7743</v>
      </c>
      <c r="B339" t="s">
        <v>267</v>
      </c>
      <c r="C339" t="s">
        <v>413</v>
      </c>
      <c r="D339">
        <v>138</v>
      </c>
      <c r="E339" s="113">
        <v>56</v>
      </c>
      <c r="F339" s="113">
        <v>6</v>
      </c>
      <c r="G339" s="113"/>
      <c r="H339" s="113"/>
      <c r="I339"/>
      <c r="J339" s="112"/>
      <c r="K339" s="224">
        <v>7</v>
      </c>
      <c r="L339" s="390">
        <v>41625</v>
      </c>
      <c r="M339"/>
      <c r="N339" s="224"/>
      <c r="O339"/>
      <c r="P339"/>
      <c r="Q339"/>
      <c r="R339" s="153"/>
      <c r="S339" s="224"/>
      <c r="T339" s="224"/>
      <c r="U339"/>
      <c r="V339"/>
      <c r="W339"/>
      <c r="X339"/>
      <c r="Y339" s="225"/>
      <c r="Z339" s="224"/>
      <c r="AA339" s="226"/>
      <c r="AB339" s="224"/>
      <c r="AC339" s="225"/>
      <c r="AD339" s="224"/>
      <c r="AE339" s="224"/>
      <c r="AF339" s="224"/>
      <c r="AG339">
        <v>4.24</v>
      </c>
      <c r="AH339"/>
      <c r="AI339">
        <v>110</v>
      </c>
      <c r="AJ339" s="194">
        <v>41785</v>
      </c>
      <c r="AK339"/>
      <c r="AL339"/>
      <c r="AM339"/>
      <c r="AN339"/>
      <c r="AO339"/>
      <c r="AP339"/>
      <c r="AQ339" s="227"/>
      <c r="AR339" s="227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>
        <v>51.1</v>
      </c>
      <c r="BT339"/>
      <c r="BU339">
        <v>19.46</v>
      </c>
      <c r="BV339"/>
      <c r="BW339" s="229"/>
      <c r="BX339"/>
      <c r="BY339"/>
      <c r="BZ339"/>
      <c r="CA339"/>
      <c r="CB339" s="136"/>
      <c r="CC339"/>
      <c r="CD339"/>
      <c r="CE339">
        <v>3.42</v>
      </c>
      <c r="CF339"/>
      <c r="CG339">
        <v>1.36</v>
      </c>
      <c r="CH339"/>
      <c r="CI339"/>
      <c r="CJ339"/>
      <c r="CK339" t="s">
        <v>8820</v>
      </c>
      <c r="CL339"/>
      <c r="CM339"/>
    </row>
    <row r="340" spans="1:91" s="242" customFormat="1" ht="15">
      <c r="A340" s="364" t="s">
        <v>7744</v>
      </c>
      <c r="B340" t="s">
        <v>267</v>
      </c>
      <c r="C340" t="s">
        <v>413</v>
      </c>
      <c r="D340">
        <v>139</v>
      </c>
      <c r="E340" s="113">
        <v>55</v>
      </c>
      <c r="F340" s="113">
        <v>6</v>
      </c>
      <c r="G340" s="113"/>
      <c r="H340" s="113"/>
      <c r="I340"/>
      <c r="J340" s="112"/>
      <c r="K340" s="224">
        <v>7</v>
      </c>
      <c r="L340" s="390">
        <v>41625</v>
      </c>
      <c r="M340"/>
      <c r="N340" s="224"/>
      <c r="O340"/>
      <c r="P340"/>
      <c r="Q340"/>
      <c r="R340" s="153"/>
      <c r="S340" s="224"/>
      <c r="T340" s="224"/>
      <c r="U340"/>
      <c r="V340"/>
      <c r="W340"/>
      <c r="X340"/>
      <c r="Y340" s="225"/>
      <c r="Z340" s="224"/>
      <c r="AA340" s="226"/>
      <c r="AB340" s="224"/>
      <c r="AC340" s="225"/>
      <c r="AD340" s="224"/>
      <c r="AE340" s="224"/>
      <c r="AF340" s="224"/>
      <c r="AG340">
        <v>3.43</v>
      </c>
      <c r="AH340"/>
      <c r="AI340">
        <v>170</v>
      </c>
      <c r="AJ340" s="194">
        <v>41785</v>
      </c>
      <c r="AK340"/>
      <c r="AL340"/>
      <c r="AM340"/>
      <c r="AN340"/>
      <c r="AO340"/>
      <c r="AP340"/>
      <c r="AQ340" s="227"/>
      <c r="AR340" s="227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>
        <v>50.2</v>
      </c>
      <c r="BT340"/>
      <c r="BU340">
        <v>21.45</v>
      </c>
      <c r="BV340"/>
      <c r="BW340" s="229"/>
      <c r="BX340"/>
      <c r="BY340"/>
      <c r="BZ340"/>
      <c r="CA340"/>
      <c r="CB340" s="136"/>
      <c r="CC340"/>
      <c r="CD340"/>
      <c r="CE340">
        <v>3.66</v>
      </c>
      <c r="CF340"/>
      <c r="CG340">
        <v>1.36</v>
      </c>
      <c r="CH340"/>
      <c r="CI340"/>
      <c r="CJ340"/>
      <c r="CK340" t="s">
        <v>8820</v>
      </c>
      <c r="CL340"/>
      <c r="CM340"/>
    </row>
    <row r="341" spans="1:91" s="242" customFormat="1" ht="15">
      <c r="A341" s="364" t="s">
        <v>7745</v>
      </c>
      <c r="B341" t="s">
        <v>267</v>
      </c>
      <c r="C341" t="s">
        <v>413</v>
      </c>
      <c r="D341">
        <v>140</v>
      </c>
      <c r="E341" s="113">
        <v>63</v>
      </c>
      <c r="F341" s="113">
        <v>3</v>
      </c>
      <c r="G341" s="113"/>
      <c r="H341" s="113"/>
      <c r="I341"/>
      <c r="J341" s="112"/>
      <c r="K341" s="224">
        <v>7</v>
      </c>
      <c r="L341" s="390">
        <v>41625</v>
      </c>
      <c r="M341"/>
      <c r="N341" s="224"/>
      <c r="O341"/>
      <c r="P341"/>
      <c r="Q341"/>
      <c r="R341" s="153"/>
      <c r="S341" s="224"/>
      <c r="T341" s="224"/>
      <c r="U341"/>
      <c r="V341"/>
      <c r="W341"/>
      <c r="X341"/>
      <c r="Y341" s="225"/>
      <c r="Z341" s="224"/>
      <c r="AA341" s="226"/>
      <c r="AB341" s="224"/>
      <c r="AC341" s="225"/>
      <c r="AD341" s="224"/>
      <c r="AE341" s="224"/>
      <c r="AF341" s="224"/>
      <c r="AG341">
        <v>4.12</v>
      </c>
      <c r="AH341"/>
      <c r="AI341">
        <v>155</v>
      </c>
      <c r="AJ341" s="194">
        <v>41785</v>
      </c>
      <c r="AK341"/>
      <c r="AL341"/>
      <c r="AM341"/>
      <c r="AN341"/>
      <c r="AO341"/>
      <c r="AP341"/>
      <c r="AQ341" s="227"/>
      <c r="AR341" s="227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>
        <v>50.4</v>
      </c>
      <c r="BT341"/>
      <c r="BU341">
        <v>21.8</v>
      </c>
      <c r="BV341"/>
      <c r="BW341" s="229"/>
      <c r="BX341"/>
      <c r="BY341"/>
      <c r="BZ341"/>
      <c r="CA341"/>
      <c r="CB341" s="136"/>
      <c r="CC341"/>
      <c r="CD341"/>
      <c r="CE341">
        <v>3.64</v>
      </c>
      <c r="CF341"/>
      <c r="CG341">
        <v>0.39</v>
      </c>
      <c r="CH341"/>
      <c r="CI341"/>
      <c r="CJ341"/>
      <c r="CK341" t="s">
        <v>8820</v>
      </c>
      <c r="CL341"/>
      <c r="CM341"/>
    </row>
    <row r="342" spans="1:91" s="242" customFormat="1" ht="15">
      <c r="A342" s="364" t="s">
        <v>7746</v>
      </c>
      <c r="B342" t="s">
        <v>267</v>
      </c>
      <c r="C342" t="s">
        <v>413</v>
      </c>
      <c r="D342">
        <v>141</v>
      </c>
      <c r="E342" s="113">
        <v>53</v>
      </c>
      <c r="F342" s="113">
        <v>6</v>
      </c>
      <c r="G342" s="113"/>
      <c r="H342" s="113"/>
      <c r="I342"/>
      <c r="J342" s="112"/>
      <c r="K342" s="224">
        <v>7</v>
      </c>
      <c r="L342" s="390">
        <v>41625</v>
      </c>
      <c r="M342"/>
      <c r="N342" s="224"/>
      <c r="O342"/>
      <c r="P342"/>
      <c r="Q342"/>
      <c r="R342" s="153"/>
      <c r="S342" s="224"/>
      <c r="T342" s="224"/>
      <c r="U342"/>
      <c r="V342"/>
      <c r="W342"/>
      <c r="X342"/>
      <c r="Y342" s="225"/>
      <c r="Z342" s="224"/>
      <c r="AA342" s="226"/>
      <c r="AB342" s="224"/>
      <c r="AC342" s="225"/>
      <c r="AD342" s="224"/>
      <c r="AE342" s="224"/>
      <c r="AF342" s="224"/>
      <c r="AG342">
        <v>3.82</v>
      </c>
      <c r="AH342"/>
      <c r="AI342">
        <v>150</v>
      </c>
      <c r="AJ342" s="194">
        <v>41785</v>
      </c>
      <c r="AK342"/>
      <c r="AL342"/>
      <c r="AM342"/>
      <c r="AN342"/>
      <c r="AO342"/>
      <c r="AP342"/>
      <c r="AQ342" s="227"/>
      <c r="AR342" s="227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>
        <v>51.2</v>
      </c>
      <c r="BT342"/>
      <c r="BU342">
        <v>20.6</v>
      </c>
      <c r="BV342"/>
      <c r="BW342" s="229"/>
      <c r="BX342"/>
      <c r="BY342"/>
      <c r="BZ342"/>
      <c r="CA342"/>
      <c r="CB342" s="136"/>
      <c r="CC342"/>
      <c r="CD342"/>
      <c r="CE342">
        <v>4</v>
      </c>
      <c r="CF342"/>
      <c r="CG342">
        <v>1.47</v>
      </c>
      <c r="CH342"/>
      <c r="CI342"/>
      <c r="CJ342"/>
      <c r="CK342" t="s">
        <v>8820</v>
      </c>
      <c r="CL342"/>
      <c r="CM342"/>
    </row>
    <row r="343" spans="1:91" s="242" customFormat="1" ht="15">
      <c r="A343" s="364" t="s">
        <v>7747</v>
      </c>
      <c r="B343" t="s">
        <v>267</v>
      </c>
      <c r="C343" t="s">
        <v>413</v>
      </c>
      <c r="D343">
        <v>142</v>
      </c>
      <c r="E343" s="113">
        <v>67</v>
      </c>
      <c r="F343" s="113">
        <v>3</v>
      </c>
      <c r="G343" s="233"/>
      <c r="H343" s="233"/>
      <c r="I343" s="232"/>
      <c r="J343" s="234"/>
      <c r="K343" s="235">
        <v>7</v>
      </c>
      <c r="L343" s="390">
        <v>41625</v>
      </c>
      <c r="M343" s="232"/>
      <c r="N343" s="235"/>
      <c r="O343" s="232"/>
      <c r="P343" s="232"/>
      <c r="Q343" s="232"/>
      <c r="R343" s="236"/>
      <c r="S343" s="235"/>
      <c r="T343" s="235"/>
      <c r="U343" s="232"/>
      <c r="V343" s="232"/>
      <c r="W343" s="232"/>
      <c r="X343" s="232"/>
      <c r="Y343" s="237"/>
      <c r="Z343" s="235"/>
      <c r="AA343" s="238"/>
      <c r="AB343" s="235"/>
      <c r="AC343" s="237"/>
      <c r="AD343" s="235"/>
      <c r="AE343" s="235"/>
      <c r="AF343" s="235"/>
      <c r="AG343" s="232">
        <v>4.54</v>
      </c>
      <c r="AH343" s="232"/>
      <c r="AI343" s="232">
        <v>140</v>
      </c>
      <c r="AJ343" s="194">
        <v>41785</v>
      </c>
      <c r="AK343" s="232"/>
      <c r="AL343" s="232"/>
      <c r="AM343" s="232"/>
      <c r="AN343" s="232"/>
      <c r="AO343" s="232"/>
      <c r="AP343" s="232"/>
      <c r="AQ343" s="239"/>
      <c r="AR343" s="239"/>
      <c r="AS343" s="232"/>
      <c r="AT343" s="232"/>
      <c r="AU343" s="232"/>
      <c r="AV343" s="232"/>
      <c r="AW343" s="232"/>
      <c r="AX343" s="232"/>
      <c r="AY343" s="232"/>
      <c r="AZ343" s="232"/>
      <c r="BA343" s="232"/>
      <c r="BB343" s="232"/>
      <c r="BC343" s="232"/>
      <c r="BD343" s="232"/>
      <c r="BE343" s="232"/>
      <c r="BF343" s="232"/>
      <c r="BG343" s="232"/>
      <c r="BH343" s="232"/>
      <c r="BI343" s="232"/>
      <c r="BJ343" s="232"/>
      <c r="BK343" s="232"/>
      <c r="BL343" s="232"/>
      <c r="BM343" s="232"/>
      <c r="BN343" s="232"/>
      <c r="BO343" s="232"/>
      <c r="BP343" s="232"/>
      <c r="BQ343" s="232"/>
      <c r="BR343" s="232"/>
      <c r="BS343" s="232">
        <v>47.7</v>
      </c>
      <c r="BT343" s="232"/>
      <c r="BU343" s="232">
        <v>20.83</v>
      </c>
      <c r="BV343" s="232"/>
      <c r="BW343" s="240"/>
      <c r="BX343" s="232"/>
      <c r="BY343" s="232"/>
      <c r="BZ343" s="232"/>
      <c r="CA343" s="232"/>
      <c r="CB343" s="241"/>
      <c r="CC343" s="232"/>
      <c r="CD343" s="232"/>
      <c r="CE343" s="232">
        <v>5.8</v>
      </c>
      <c r="CF343" s="232"/>
      <c r="CG343" s="232">
        <v>0.3</v>
      </c>
      <c r="CH343" s="232"/>
      <c r="CI343" s="232"/>
      <c r="CJ343" s="232"/>
      <c r="CK343" t="s">
        <v>8820</v>
      </c>
      <c r="CL343" s="232"/>
      <c r="CM343" s="232"/>
    </row>
    <row r="344" spans="1:91" s="242" customFormat="1" ht="15">
      <c r="A344" s="364" t="s">
        <v>7750</v>
      </c>
      <c r="B344" t="s">
        <v>267</v>
      </c>
      <c r="C344" t="s">
        <v>413</v>
      </c>
      <c r="D344">
        <v>145</v>
      </c>
      <c r="E344" s="113">
        <v>47</v>
      </c>
      <c r="F344" s="113">
        <v>2</v>
      </c>
      <c r="G344" s="113"/>
      <c r="H344" s="113"/>
      <c r="I344"/>
      <c r="J344" s="112"/>
      <c r="K344" s="224">
        <v>7</v>
      </c>
      <c r="L344" s="390">
        <v>41625</v>
      </c>
      <c r="M344"/>
      <c r="N344" s="224"/>
      <c r="O344"/>
      <c r="P344"/>
      <c r="Q344"/>
      <c r="R344" s="153"/>
      <c r="S344" s="224"/>
      <c r="T344" s="224"/>
      <c r="U344"/>
      <c r="V344"/>
      <c r="W344"/>
      <c r="X344"/>
      <c r="Y344" s="225"/>
      <c r="Z344" s="224"/>
      <c r="AA344" s="226"/>
      <c r="AB344" s="224"/>
      <c r="AC344" s="225"/>
      <c r="AD344" s="224"/>
      <c r="AE344" s="224"/>
      <c r="AF344" s="224"/>
      <c r="AG344">
        <v>2.75</v>
      </c>
      <c r="AH344"/>
      <c r="AI344">
        <v>170</v>
      </c>
      <c r="AJ344" s="194">
        <v>41785</v>
      </c>
      <c r="AK344"/>
      <c r="AL344"/>
      <c r="AM344"/>
      <c r="AN344"/>
      <c r="AO344"/>
      <c r="AP344"/>
      <c r="AQ344" s="227"/>
      <c r="AR344" s="227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>
        <v>49.1</v>
      </c>
      <c r="BT344"/>
      <c r="BU344">
        <v>20.39</v>
      </c>
      <c r="BV344"/>
      <c r="BW344" s="229"/>
      <c r="BX344"/>
      <c r="BY344"/>
      <c r="BZ344"/>
      <c r="CA344"/>
      <c r="CB344" s="136"/>
      <c r="CC344"/>
      <c r="CD344"/>
      <c r="CE344">
        <v>6.65</v>
      </c>
      <c r="CF344"/>
      <c r="CG344">
        <v>0.3</v>
      </c>
      <c r="CH344"/>
      <c r="CI344"/>
      <c r="CJ344"/>
      <c r="CK344" t="s">
        <v>8820</v>
      </c>
      <c r="CL344"/>
      <c r="CM344"/>
    </row>
    <row r="345" spans="1:91" s="242" customFormat="1" ht="15">
      <c r="A345" s="364" t="s">
        <v>7751</v>
      </c>
      <c r="B345" t="s">
        <v>267</v>
      </c>
      <c r="C345" t="s">
        <v>413</v>
      </c>
      <c r="D345">
        <v>146</v>
      </c>
      <c r="E345" s="113">
        <v>57</v>
      </c>
      <c r="F345" s="113">
        <v>1</v>
      </c>
      <c r="G345" s="233"/>
      <c r="H345" s="233"/>
      <c r="I345" s="232"/>
      <c r="J345" s="234"/>
      <c r="K345" s="235">
        <v>6</v>
      </c>
      <c r="L345" s="390">
        <v>41625</v>
      </c>
      <c r="M345" s="232"/>
      <c r="N345" s="235"/>
      <c r="O345" s="232"/>
      <c r="P345" s="232"/>
      <c r="Q345" s="232"/>
      <c r="R345" s="236"/>
      <c r="S345" s="235"/>
      <c r="T345" s="235"/>
      <c r="U345" s="232"/>
      <c r="V345" s="232"/>
      <c r="W345" s="232"/>
      <c r="X345" s="232"/>
      <c r="Y345" s="237"/>
      <c r="Z345" s="235"/>
      <c r="AA345" s="238"/>
      <c r="AB345" s="235"/>
      <c r="AC345" s="237"/>
      <c r="AD345" s="235"/>
      <c r="AE345" s="235"/>
      <c r="AF345" s="235"/>
      <c r="AG345" s="232">
        <v>3.93</v>
      </c>
      <c r="AH345" s="232"/>
      <c r="AI345" s="232">
        <v>120</v>
      </c>
      <c r="AJ345" s="194">
        <v>41785</v>
      </c>
      <c r="AK345" s="232"/>
      <c r="AL345" s="232"/>
      <c r="AM345" s="232"/>
      <c r="AN345" s="232"/>
      <c r="AO345" s="232"/>
      <c r="AP345" s="232"/>
      <c r="AQ345" s="239"/>
      <c r="AR345" s="239"/>
      <c r="AS345" s="232"/>
      <c r="AT345" s="232"/>
      <c r="AU345" s="232"/>
      <c r="AV345" s="232"/>
      <c r="AW345" s="232"/>
      <c r="AX345" s="232"/>
      <c r="AY345" s="232"/>
      <c r="AZ345" s="232"/>
      <c r="BA345" s="232"/>
      <c r="BB345" s="232"/>
      <c r="BC345" s="232"/>
      <c r="BD345" s="232"/>
      <c r="BE345" s="232"/>
      <c r="BF345" s="232"/>
      <c r="BG345" s="232"/>
      <c r="BH345" s="232"/>
      <c r="BI345" s="232"/>
      <c r="BJ345" s="232"/>
      <c r="BK345" s="232"/>
      <c r="BL345" s="232"/>
      <c r="BM345" s="232"/>
      <c r="BN345" s="232"/>
      <c r="BO345" s="232"/>
      <c r="BP345" s="232"/>
      <c r="BQ345" s="232"/>
      <c r="BR345" s="232"/>
      <c r="BS345" s="232">
        <v>51.7</v>
      </c>
      <c r="BT345" s="232"/>
      <c r="BU345" s="232">
        <v>19.420000000000002</v>
      </c>
      <c r="BV345" s="232"/>
      <c r="BW345" s="240"/>
      <c r="BX345" s="232"/>
      <c r="BY345" s="232"/>
      <c r="BZ345" s="232"/>
      <c r="CA345" s="232"/>
      <c r="CB345" s="241"/>
      <c r="CC345" s="232"/>
      <c r="CD345" s="232"/>
      <c r="CE345" s="232">
        <v>3.76</v>
      </c>
      <c r="CF345" s="232"/>
      <c r="CG345" s="232">
        <v>1.36</v>
      </c>
      <c r="CH345" s="232"/>
      <c r="CI345" s="232"/>
      <c r="CJ345" s="232"/>
      <c r="CK345" t="s">
        <v>8820</v>
      </c>
      <c r="CL345" s="232"/>
      <c r="CM345" s="232"/>
    </row>
    <row r="346" spans="1:91" s="242" customFormat="1" ht="15">
      <c r="A346" s="364" t="s">
        <v>7752</v>
      </c>
      <c r="B346" t="s">
        <v>267</v>
      </c>
      <c r="C346" t="s">
        <v>413</v>
      </c>
      <c r="D346">
        <v>147</v>
      </c>
      <c r="E346" s="113">
        <v>66</v>
      </c>
      <c r="F346" s="113">
        <v>3</v>
      </c>
      <c r="G346" s="113"/>
      <c r="H346" s="113"/>
      <c r="I346"/>
      <c r="J346" s="112"/>
      <c r="K346" s="224">
        <v>7</v>
      </c>
      <c r="L346" s="390">
        <v>41625</v>
      </c>
      <c r="M346"/>
      <c r="N346" s="224"/>
      <c r="O346"/>
      <c r="P346"/>
      <c r="Q346"/>
      <c r="R346" s="153"/>
      <c r="S346" s="224"/>
      <c r="T346" s="224"/>
      <c r="U346"/>
      <c r="V346"/>
      <c r="W346"/>
      <c r="X346"/>
      <c r="Y346" s="225"/>
      <c r="Z346" s="224"/>
      <c r="AA346" s="226"/>
      <c r="AB346" s="224"/>
      <c r="AC346" s="225"/>
      <c r="AD346" s="224"/>
      <c r="AE346" s="224"/>
      <c r="AF346" s="224"/>
      <c r="AG346">
        <v>4.6100000000000003</v>
      </c>
      <c r="AH346"/>
      <c r="AI346">
        <v>130</v>
      </c>
      <c r="AJ346" s="194">
        <v>41785</v>
      </c>
      <c r="AK346"/>
      <c r="AL346"/>
      <c r="AM346"/>
      <c r="AN346"/>
      <c r="AO346"/>
      <c r="AP346"/>
      <c r="AQ346" s="227"/>
      <c r="AR346" s="227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>
        <v>50</v>
      </c>
      <c r="BT346"/>
      <c r="BU346">
        <v>20.47</v>
      </c>
      <c r="BV346"/>
      <c r="BW346" s="229"/>
      <c r="BX346"/>
      <c r="BY346"/>
      <c r="BZ346"/>
      <c r="CA346"/>
      <c r="CB346" s="136"/>
      <c r="CC346"/>
      <c r="CD346"/>
      <c r="CE346">
        <v>4.9000000000000004</v>
      </c>
      <c r="CF346"/>
      <c r="CG346">
        <v>0.59</v>
      </c>
      <c r="CH346"/>
      <c r="CI346"/>
      <c r="CJ346"/>
      <c r="CK346" t="s">
        <v>8820</v>
      </c>
      <c r="CL346"/>
      <c r="CM346"/>
    </row>
    <row r="347" spans="1:91" s="242" customFormat="1" ht="15">
      <c r="A347" s="364" t="s">
        <v>7753</v>
      </c>
      <c r="B347" t="s">
        <v>267</v>
      </c>
      <c r="C347" t="s">
        <v>413</v>
      </c>
      <c r="D347">
        <v>148</v>
      </c>
      <c r="E347" s="113">
        <v>55</v>
      </c>
      <c r="F347" s="113">
        <v>1</v>
      </c>
      <c r="G347" s="113"/>
      <c r="H347" s="113"/>
      <c r="I347"/>
      <c r="J347" s="112"/>
      <c r="K347" s="224">
        <v>6</v>
      </c>
      <c r="L347" s="390">
        <v>41625</v>
      </c>
      <c r="M347"/>
      <c r="N347" s="224"/>
      <c r="O347"/>
      <c r="P347"/>
      <c r="Q347"/>
      <c r="R347" s="153"/>
      <c r="S347" s="224"/>
      <c r="T347" s="224"/>
      <c r="U347"/>
      <c r="V347"/>
      <c r="W347"/>
      <c r="X347"/>
      <c r="Y347" s="225"/>
      <c r="Z347" s="224"/>
      <c r="AA347" s="226"/>
      <c r="AB347" s="224"/>
      <c r="AC347" s="225"/>
      <c r="AD347" s="224"/>
      <c r="AE347" s="224"/>
      <c r="AF347" s="224"/>
      <c r="AG347">
        <v>3.36</v>
      </c>
      <c r="AH347"/>
      <c r="AI347">
        <v>130</v>
      </c>
      <c r="AJ347" s="194">
        <v>41785</v>
      </c>
      <c r="AK347"/>
      <c r="AL347"/>
      <c r="AM347"/>
      <c r="AN347"/>
      <c r="AO347"/>
      <c r="AP347"/>
      <c r="AQ347" s="227"/>
      <c r="AR347" s="22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>
        <v>51.1</v>
      </c>
      <c r="BT347"/>
      <c r="BU347">
        <v>20.54</v>
      </c>
      <c r="BV347"/>
      <c r="BW347" s="229"/>
      <c r="BX347"/>
      <c r="BY347"/>
      <c r="BZ347"/>
      <c r="CA347"/>
      <c r="CB347" s="136"/>
      <c r="CC347"/>
      <c r="CD347"/>
      <c r="CE347">
        <v>3.53</v>
      </c>
      <c r="CF347"/>
      <c r="CG347">
        <v>0.59</v>
      </c>
      <c r="CH347"/>
      <c r="CI347"/>
      <c r="CJ347"/>
      <c r="CK347" t="s">
        <v>8820</v>
      </c>
      <c r="CL347"/>
      <c r="CM347"/>
    </row>
    <row r="348" spans="1:91" s="242" customFormat="1" ht="15">
      <c r="A348" s="364" t="s">
        <v>7754</v>
      </c>
      <c r="B348" t="s">
        <v>267</v>
      </c>
      <c r="C348" t="s">
        <v>413</v>
      </c>
      <c r="D348">
        <v>149</v>
      </c>
      <c r="E348" s="113">
        <v>62</v>
      </c>
      <c r="F348" s="113">
        <v>3</v>
      </c>
      <c r="G348" s="113"/>
      <c r="H348" s="113"/>
      <c r="I348"/>
      <c r="J348" s="112"/>
      <c r="K348" s="224">
        <v>7</v>
      </c>
      <c r="L348" s="390">
        <v>41625</v>
      </c>
      <c r="M348"/>
      <c r="N348" s="224"/>
      <c r="O348"/>
      <c r="P348"/>
      <c r="Q348"/>
      <c r="R348" s="153"/>
      <c r="S348" s="224"/>
      <c r="T348" s="224"/>
      <c r="U348"/>
      <c r="V348"/>
      <c r="W348"/>
      <c r="X348"/>
      <c r="Y348" s="225"/>
      <c r="Z348" s="224"/>
      <c r="AA348" s="226"/>
      <c r="AB348" s="224"/>
      <c r="AC348" s="225"/>
      <c r="AD348" s="224"/>
      <c r="AE348" s="224"/>
      <c r="AF348" s="224"/>
      <c r="AG348">
        <v>3.98</v>
      </c>
      <c r="AH348"/>
      <c r="AI348">
        <v>150</v>
      </c>
      <c r="AJ348" s="194">
        <v>41785</v>
      </c>
      <c r="AK348"/>
      <c r="AL348"/>
      <c r="AM348"/>
      <c r="AN348"/>
      <c r="AO348"/>
      <c r="AP348"/>
      <c r="AQ348" s="227"/>
      <c r="AR348" s="227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>
        <v>53.7</v>
      </c>
      <c r="BT348"/>
      <c r="BU348">
        <v>16.39</v>
      </c>
      <c r="BV348"/>
      <c r="BW348" s="229"/>
      <c r="BX348"/>
      <c r="BY348"/>
      <c r="BZ348"/>
      <c r="CA348"/>
      <c r="CB348" s="136"/>
      <c r="CC348"/>
      <c r="CD348"/>
      <c r="CE348">
        <v>3.86</v>
      </c>
      <c r="CF348"/>
      <c r="CG348">
        <v>0.39</v>
      </c>
      <c r="CH348"/>
      <c r="CI348"/>
      <c r="CJ348"/>
      <c r="CK348" t="s">
        <v>8820</v>
      </c>
      <c r="CL348"/>
      <c r="CM348"/>
    </row>
    <row r="349" spans="1:91" s="242" customFormat="1" ht="15">
      <c r="A349" s="364" t="s">
        <v>7755</v>
      </c>
      <c r="B349" t="s">
        <v>267</v>
      </c>
      <c r="C349" t="s">
        <v>413</v>
      </c>
      <c r="D349">
        <v>150</v>
      </c>
      <c r="E349" s="113">
        <v>68</v>
      </c>
      <c r="F349" s="113">
        <v>4</v>
      </c>
      <c r="G349" s="233"/>
      <c r="H349" s="233"/>
      <c r="I349" s="232"/>
      <c r="J349" s="234"/>
      <c r="K349" s="235">
        <v>7</v>
      </c>
      <c r="L349" s="390">
        <v>41625</v>
      </c>
      <c r="M349" s="232"/>
      <c r="N349" s="235"/>
      <c r="O349" s="232"/>
      <c r="P349" s="232"/>
      <c r="Q349" s="232"/>
      <c r="R349" s="236"/>
      <c r="S349" s="235"/>
      <c r="T349" s="235"/>
      <c r="U349" s="232"/>
      <c r="V349" s="232"/>
      <c r="W349" s="232"/>
      <c r="X349" s="232"/>
      <c r="Y349" s="237"/>
      <c r="Z349" s="235"/>
      <c r="AA349" s="238"/>
      <c r="AB349" s="235"/>
      <c r="AC349" s="237"/>
      <c r="AD349" s="235"/>
      <c r="AE349" s="235"/>
      <c r="AF349" s="235"/>
      <c r="AG349" s="232">
        <v>3.53</v>
      </c>
      <c r="AH349" s="232"/>
      <c r="AI349" s="232">
        <v>125</v>
      </c>
      <c r="AJ349" s="194">
        <v>41785</v>
      </c>
      <c r="AK349" s="232"/>
      <c r="AL349" s="232"/>
      <c r="AM349" s="232"/>
      <c r="AN349" s="232"/>
      <c r="AO349" s="232"/>
      <c r="AP349" s="232"/>
      <c r="AQ349" s="239"/>
      <c r="AR349" s="239"/>
      <c r="AS349" s="232"/>
      <c r="AT349" s="232"/>
      <c r="AU349" s="232"/>
      <c r="AV349" s="232"/>
      <c r="AW349" s="232"/>
      <c r="AX349" s="232"/>
      <c r="AY349" s="232"/>
      <c r="AZ349" s="232"/>
      <c r="BA349" s="232"/>
      <c r="BB349" s="232"/>
      <c r="BC349" s="232"/>
      <c r="BD349" s="232"/>
      <c r="BE349" s="232"/>
      <c r="BF349" s="232"/>
      <c r="BG349" s="232"/>
      <c r="BH349" s="232"/>
      <c r="BI349" s="232"/>
      <c r="BJ349" s="232"/>
      <c r="BK349" s="232"/>
      <c r="BL349" s="232"/>
      <c r="BM349" s="232"/>
      <c r="BN349" s="232"/>
      <c r="BO349" s="232"/>
      <c r="BP349" s="232"/>
      <c r="BQ349" s="232"/>
      <c r="BR349" s="232"/>
      <c r="BS349" s="232">
        <v>51.1</v>
      </c>
      <c r="BT349" s="232"/>
      <c r="BU349" s="232">
        <v>18.27</v>
      </c>
      <c r="BV349" s="232"/>
      <c r="BW349" s="240"/>
      <c r="BX349" s="232"/>
      <c r="BY349" s="232"/>
      <c r="BZ349" s="232"/>
      <c r="CA349" s="232"/>
      <c r="CB349" s="241"/>
      <c r="CC349" s="232"/>
      <c r="CD349" s="232"/>
      <c r="CE349" s="232">
        <v>4.67</v>
      </c>
      <c r="CF349" s="232"/>
      <c r="CG349" s="232">
        <v>0.3</v>
      </c>
      <c r="CH349" s="232"/>
      <c r="CI349" s="232"/>
      <c r="CJ349" s="232"/>
      <c r="CK349" t="s">
        <v>8820</v>
      </c>
      <c r="CL349" s="232"/>
      <c r="CM349" s="232"/>
    </row>
    <row r="350" spans="1:91" s="242" customFormat="1" ht="15">
      <c r="A350" s="364" t="s">
        <v>7756</v>
      </c>
      <c r="B350" t="s">
        <v>267</v>
      </c>
      <c r="C350" t="s">
        <v>413</v>
      </c>
      <c r="D350">
        <v>151</v>
      </c>
      <c r="E350" s="113">
        <v>60</v>
      </c>
      <c r="F350" s="113">
        <v>5</v>
      </c>
      <c r="G350" s="113"/>
      <c r="H350" s="113"/>
      <c r="I350"/>
      <c r="J350" s="112"/>
      <c r="K350" s="224">
        <v>7</v>
      </c>
      <c r="L350" s="390">
        <v>41625</v>
      </c>
      <c r="M350"/>
      <c r="N350" s="224"/>
      <c r="O350"/>
      <c r="P350"/>
      <c r="Q350"/>
      <c r="R350" s="153"/>
      <c r="S350" s="224"/>
      <c r="T350" s="224"/>
      <c r="U350"/>
      <c r="V350"/>
      <c r="W350"/>
      <c r="X350"/>
      <c r="Y350" s="225"/>
      <c r="Z350" s="224"/>
      <c r="AA350" s="226"/>
      <c r="AB350" s="224"/>
      <c r="AC350" s="225"/>
      <c r="AD350" s="224"/>
      <c r="AE350" s="224"/>
      <c r="AF350" s="224"/>
      <c r="AG350">
        <v>4.4400000000000004</v>
      </c>
      <c r="AH350"/>
      <c r="AI350">
        <v>125</v>
      </c>
      <c r="AJ350" s="194">
        <v>41785</v>
      </c>
      <c r="AK350"/>
      <c r="AL350"/>
      <c r="AM350"/>
      <c r="AN350"/>
      <c r="AO350"/>
      <c r="AP350"/>
      <c r="AQ350" s="227"/>
      <c r="AR350" s="227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>
        <v>51.3</v>
      </c>
      <c r="BT350"/>
      <c r="BU350">
        <v>18.100000000000001</v>
      </c>
      <c r="BV350"/>
      <c r="BW350" s="229"/>
      <c r="BX350"/>
      <c r="BY350"/>
      <c r="BZ350"/>
      <c r="CA350"/>
      <c r="CB350" s="136"/>
      <c r="CC350"/>
      <c r="CD350"/>
      <c r="CE350">
        <v>4.16</v>
      </c>
      <c r="CF350"/>
      <c r="CG350">
        <v>0.68</v>
      </c>
      <c r="CH350"/>
      <c r="CI350"/>
      <c r="CJ350"/>
      <c r="CK350" t="s">
        <v>8820</v>
      </c>
      <c r="CL350"/>
      <c r="CM350"/>
    </row>
    <row r="351" spans="1:91" s="242" customFormat="1" ht="15">
      <c r="A351" s="364" t="s">
        <v>7757</v>
      </c>
      <c r="B351" t="s">
        <v>267</v>
      </c>
      <c r="C351" t="s">
        <v>413</v>
      </c>
      <c r="D351">
        <v>152</v>
      </c>
      <c r="E351" s="113">
        <v>43</v>
      </c>
      <c r="F351" s="113">
        <v>4</v>
      </c>
      <c r="G351" s="113"/>
      <c r="H351" s="113"/>
      <c r="I351"/>
      <c r="J351" s="112"/>
      <c r="K351" s="224">
        <v>7</v>
      </c>
      <c r="L351" s="390">
        <v>41625</v>
      </c>
      <c r="M351"/>
      <c r="N351" s="224"/>
      <c r="O351"/>
      <c r="P351"/>
      <c r="Q351"/>
      <c r="R351" s="153"/>
      <c r="S351" s="224"/>
      <c r="T351" s="224"/>
      <c r="U351"/>
      <c r="V351"/>
      <c r="W351"/>
      <c r="X351"/>
      <c r="Y351" s="225"/>
      <c r="Z351" s="224"/>
      <c r="AA351" s="226"/>
      <c r="AB351" s="224"/>
      <c r="AC351" s="225"/>
      <c r="AD351" s="224"/>
      <c r="AE351" s="224"/>
      <c r="AF351" s="224"/>
      <c r="AG351">
        <v>4.3499999999999996</v>
      </c>
      <c r="AH351"/>
      <c r="AI351">
        <v>140</v>
      </c>
      <c r="AJ351" s="194">
        <v>41785</v>
      </c>
      <c r="AK351"/>
      <c r="AL351"/>
      <c r="AM351"/>
      <c r="AN351"/>
      <c r="AO351"/>
      <c r="AP351"/>
      <c r="AQ351" s="227"/>
      <c r="AR351" s="227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>
        <v>50.4</v>
      </c>
      <c r="BT351"/>
      <c r="BU351">
        <v>17.809999999999999</v>
      </c>
      <c r="BV351"/>
      <c r="BW351" s="229"/>
      <c r="BX351"/>
      <c r="BY351"/>
      <c r="BZ351"/>
      <c r="CA351"/>
      <c r="CB351" s="136"/>
      <c r="CC351"/>
      <c r="CD351"/>
      <c r="CE351">
        <v>5.97</v>
      </c>
      <c r="CF351"/>
      <c r="CG351">
        <v>0.19</v>
      </c>
      <c r="CH351"/>
      <c r="CI351"/>
      <c r="CJ351"/>
      <c r="CK351" t="s">
        <v>8820</v>
      </c>
      <c r="CL351"/>
      <c r="CM351"/>
    </row>
    <row r="352" spans="1:91" s="242" customFormat="1" ht="15">
      <c r="A352" s="364" t="s">
        <v>7758</v>
      </c>
      <c r="B352" t="s">
        <v>267</v>
      </c>
      <c r="C352" t="s">
        <v>413</v>
      </c>
      <c r="D352">
        <v>153</v>
      </c>
      <c r="E352" s="113">
        <v>40</v>
      </c>
      <c r="F352" s="113">
        <v>5</v>
      </c>
      <c r="G352" s="113"/>
      <c r="H352" s="113"/>
      <c r="I352"/>
      <c r="J352" s="112"/>
      <c r="K352" s="224">
        <v>6</v>
      </c>
      <c r="L352" s="390">
        <v>41625</v>
      </c>
      <c r="M352"/>
      <c r="N352" s="224"/>
      <c r="O352"/>
      <c r="P352"/>
      <c r="Q352"/>
      <c r="R352" s="153"/>
      <c r="S352" s="224"/>
      <c r="T352" s="224"/>
      <c r="U352"/>
      <c r="V352"/>
      <c r="W352"/>
      <c r="X352"/>
      <c r="Y352" s="225"/>
      <c r="Z352" s="224"/>
      <c r="AA352" s="226"/>
      <c r="AB352" s="224"/>
      <c r="AC352" s="225"/>
      <c r="AD352" s="224"/>
      <c r="AE352" s="224"/>
      <c r="AF352" s="224"/>
      <c r="AG352">
        <v>4.09</v>
      </c>
      <c r="AH352"/>
      <c r="AI352">
        <v>130</v>
      </c>
      <c r="AJ352" s="194">
        <v>41785</v>
      </c>
      <c r="AK352"/>
      <c r="AL352"/>
      <c r="AM352"/>
      <c r="AN352"/>
      <c r="AO352"/>
      <c r="AP352"/>
      <c r="AQ352" s="227"/>
      <c r="AR352" s="227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>
        <v>47.2</v>
      </c>
      <c r="BT352"/>
      <c r="BU352">
        <v>20.329999999999998</v>
      </c>
      <c r="BV352"/>
      <c r="BW352" s="229"/>
      <c r="BX352"/>
      <c r="BY352"/>
      <c r="BZ352"/>
      <c r="CA352"/>
      <c r="CB352" s="136"/>
      <c r="CC352"/>
      <c r="CD352"/>
      <c r="CE352">
        <v>4.68</v>
      </c>
      <c r="CF352"/>
      <c r="CG352">
        <v>0.57999999999999996</v>
      </c>
      <c r="CH352"/>
      <c r="CI352"/>
      <c r="CJ352"/>
      <c r="CK352" t="s">
        <v>8820</v>
      </c>
      <c r="CL352"/>
      <c r="CM352"/>
    </row>
    <row r="353" spans="1:91" s="242" customFormat="1" ht="15">
      <c r="A353" s="364" t="s">
        <v>7759</v>
      </c>
      <c r="B353" t="s">
        <v>267</v>
      </c>
      <c r="C353" t="s">
        <v>413</v>
      </c>
      <c r="D353">
        <v>154</v>
      </c>
      <c r="E353" s="113">
        <v>61</v>
      </c>
      <c r="F353" s="113">
        <v>4</v>
      </c>
      <c r="G353" s="113"/>
      <c r="H353" s="113"/>
      <c r="I353"/>
      <c r="J353" s="112"/>
      <c r="K353" s="224">
        <v>7</v>
      </c>
      <c r="L353" s="390">
        <v>41625</v>
      </c>
      <c r="M353"/>
      <c r="N353" s="224"/>
      <c r="O353"/>
      <c r="P353"/>
      <c r="Q353"/>
      <c r="R353" s="153"/>
      <c r="S353" s="224"/>
      <c r="T353" s="224"/>
      <c r="U353"/>
      <c r="V353"/>
      <c r="W353"/>
      <c r="X353"/>
      <c r="Y353" s="225"/>
      <c r="Z353" s="224"/>
      <c r="AA353" s="226"/>
      <c r="AB353" s="224"/>
      <c r="AC353" s="225"/>
      <c r="AD353" s="224"/>
      <c r="AE353" s="224"/>
      <c r="AF353" s="224"/>
      <c r="AG353">
        <v>3.76</v>
      </c>
      <c r="AH353"/>
      <c r="AI353">
        <v>180</v>
      </c>
      <c r="AJ353" s="194">
        <v>41785</v>
      </c>
      <c r="AK353"/>
      <c r="AL353"/>
      <c r="AM353"/>
      <c r="AN353"/>
      <c r="AO353"/>
      <c r="AP353"/>
      <c r="AQ353" s="227"/>
      <c r="AR353" s="227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>
        <v>52.4</v>
      </c>
      <c r="BT353"/>
      <c r="BU353">
        <v>20.5</v>
      </c>
      <c r="BV353"/>
      <c r="BW353" s="229"/>
      <c r="BX353"/>
      <c r="BY353"/>
      <c r="BZ353"/>
      <c r="CA353"/>
      <c r="CB353" s="136"/>
      <c r="CC353"/>
      <c r="CD353"/>
      <c r="CE353">
        <v>4.24</v>
      </c>
      <c r="CF353"/>
      <c r="CG353">
        <v>0.39</v>
      </c>
      <c r="CH353"/>
      <c r="CI353"/>
      <c r="CJ353"/>
      <c r="CK353" t="s">
        <v>8820</v>
      </c>
      <c r="CL353"/>
      <c r="CM353"/>
    </row>
    <row r="354" spans="1:91" s="242" customFormat="1" ht="15">
      <c r="A354" s="364" t="s">
        <v>7760</v>
      </c>
      <c r="B354" t="s">
        <v>267</v>
      </c>
      <c r="C354" t="s">
        <v>413</v>
      </c>
      <c r="D354" s="232">
        <v>155</v>
      </c>
      <c r="E354" s="113">
        <v>70</v>
      </c>
      <c r="F354" s="113">
        <v>4</v>
      </c>
      <c r="G354" s="113"/>
      <c r="H354" s="113"/>
      <c r="I354"/>
      <c r="J354" s="112"/>
      <c r="K354" s="224">
        <v>7</v>
      </c>
      <c r="L354" s="390">
        <v>41625</v>
      </c>
      <c r="M354"/>
      <c r="N354" s="224"/>
      <c r="O354"/>
      <c r="P354"/>
      <c r="Q354"/>
      <c r="R354" s="153"/>
      <c r="S354" s="224"/>
      <c r="T354" s="224"/>
      <c r="U354"/>
      <c r="V354"/>
      <c r="W354"/>
      <c r="X354"/>
      <c r="Y354" s="225"/>
      <c r="Z354" s="224"/>
      <c r="AA354" s="226"/>
      <c r="AB354" s="224"/>
      <c r="AC354" s="225"/>
      <c r="AD354" s="224"/>
      <c r="AE354" s="224"/>
      <c r="AF354" s="224"/>
      <c r="AG354">
        <v>4.3600000000000003</v>
      </c>
      <c r="AH354"/>
      <c r="AI354">
        <v>120</v>
      </c>
      <c r="AJ354" s="194">
        <v>41785</v>
      </c>
      <c r="AK354"/>
      <c r="AL354"/>
      <c r="AM354"/>
      <c r="AN354"/>
      <c r="AO354"/>
      <c r="AP354"/>
      <c r="AQ354" s="227"/>
      <c r="AR354" s="227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>
        <v>50.8</v>
      </c>
      <c r="BT354"/>
      <c r="BU354">
        <v>17.64</v>
      </c>
      <c r="BV354"/>
      <c r="BW354" s="229"/>
      <c r="BX354"/>
      <c r="BY354"/>
      <c r="BZ354"/>
      <c r="CA354"/>
      <c r="CB354" s="136"/>
      <c r="CC354"/>
      <c r="CD354"/>
      <c r="CE354">
        <v>4.93</v>
      </c>
      <c r="CF354"/>
      <c r="CG354">
        <v>0.39</v>
      </c>
      <c r="CH354"/>
      <c r="CI354"/>
      <c r="CJ354"/>
      <c r="CK354" t="s">
        <v>8820</v>
      </c>
      <c r="CL354"/>
      <c r="CM354"/>
    </row>
    <row r="355" spans="1:91" s="242" customFormat="1" ht="15">
      <c r="A355" s="364" t="s">
        <v>7761</v>
      </c>
      <c r="B355" t="s">
        <v>267</v>
      </c>
      <c r="C355" t="s">
        <v>413</v>
      </c>
      <c r="D355">
        <v>156</v>
      </c>
      <c r="E355" s="113">
        <v>53</v>
      </c>
      <c r="F355" s="113">
        <v>4</v>
      </c>
      <c r="G355" s="113"/>
      <c r="H355" s="113"/>
      <c r="I355"/>
      <c r="J355" s="112"/>
      <c r="K355" s="224">
        <v>7</v>
      </c>
      <c r="L355" s="390">
        <v>41625</v>
      </c>
      <c r="M355"/>
      <c r="N355" s="224"/>
      <c r="O355"/>
      <c r="P355"/>
      <c r="Q355"/>
      <c r="R355" s="153"/>
      <c r="S355" s="224"/>
      <c r="T355" s="224"/>
      <c r="U355"/>
      <c r="V355"/>
      <c r="W355"/>
      <c r="X355"/>
      <c r="Y355" s="225"/>
      <c r="Z355" s="224"/>
      <c r="AA355" s="226"/>
      <c r="AB355" s="224"/>
      <c r="AC355" s="225"/>
      <c r="AD355" s="224"/>
      <c r="AE355" s="224"/>
      <c r="AF355" s="224"/>
      <c r="AG355">
        <v>4.42</v>
      </c>
      <c r="AH355"/>
      <c r="AI355">
        <v>115</v>
      </c>
      <c r="AJ355" s="194">
        <v>41785</v>
      </c>
      <c r="AK355"/>
      <c r="AL355"/>
      <c r="AM355"/>
      <c r="AN355"/>
      <c r="AO355"/>
      <c r="AP355"/>
      <c r="AQ355" s="227"/>
      <c r="AR355" s="227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>
        <v>53.1</v>
      </c>
      <c r="BT355"/>
      <c r="BU355">
        <v>17.28</v>
      </c>
      <c r="BV355"/>
      <c r="BW355" s="229"/>
      <c r="BX355"/>
      <c r="BY355"/>
      <c r="BZ355"/>
      <c r="CA355"/>
      <c r="CB355" s="136"/>
      <c r="CC355"/>
      <c r="CD355"/>
      <c r="CE355">
        <v>3.5</v>
      </c>
      <c r="CF355"/>
      <c r="CG355">
        <v>1.08</v>
      </c>
      <c r="CH355"/>
      <c r="CI355"/>
      <c r="CJ355"/>
      <c r="CK355" t="s">
        <v>8820</v>
      </c>
      <c r="CL355"/>
      <c r="CM355"/>
    </row>
    <row r="356" spans="1:91" s="242" customFormat="1" ht="15">
      <c r="A356" s="364" t="s">
        <v>7762</v>
      </c>
      <c r="B356" t="s">
        <v>267</v>
      </c>
      <c r="C356" t="s">
        <v>413</v>
      </c>
      <c r="D356">
        <v>157</v>
      </c>
      <c r="E356" s="113">
        <v>55</v>
      </c>
      <c r="F356" s="113">
        <v>3</v>
      </c>
      <c r="G356" s="233"/>
      <c r="H356" s="233"/>
      <c r="I356" s="232"/>
      <c r="J356" s="234"/>
      <c r="K356" s="235">
        <v>7</v>
      </c>
      <c r="L356" s="390">
        <v>41625</v>
      </c>
      <c r="M356" s="232"/>
      <c r="N356" s="235"/>
      <c r="O356" s="232"/>
      <c r="P356" s="232"/>
      <c r="Q356" s="232"/>
      <c r="R356" s="236"/>
      <c r="S356" s="235"/>
      <c r="T356" s="235"/>
      <c r="U356" s="232"/>
      <c r="V356" s="232"/>
      <c r="W356" s="232"/>
      <c r="X356" s="232"/>
      <c r="Y356" s="237"/>
      <c r="Z356" s="235"/>
      <c r="AA356" s="238"/>
      <c r="AB356" s="235"/>
      <c r="AC356" s="237"/>
      <c r="AD356" s="235"/>
      <c r="AE356" s="235"/>
      <c r="AF356" s="235"/>
      <c r="AG356" s="232">
        <v>4.07</v>
      </c>
      <c r="AH356" s="232"/>
      <c r="AI356" s="232">
        <v>140</v>
      </c>
      <c r="AJ356" s="194">
        <v>41785</v>
      </c>
      <c r="AK356" s="232"/>
      <c r="AL356" s="232"/>
      <c r="AM356" s="232"/>
      <c r="AN356" s="232"/>
      <c r="AO356" s="232"/>
      <c r="AP356" s="232"/>
      <c r="AQ356" s="239"/>
      <c r="AR356" s="239"/>
      <c r="AS356" s="232"/>
      <c r="AT356" s="232"/>
      <c r="AU356" s="232"/>
      <c r="AV356" s="232"/>
      <c r="AW356" s="232"/>
      <c r="AX356" s="232"/>
      <c r="AY356" s="232"/>
      <c r="AZ356" s="232"/>
      <c r="BA356" s="232"/>
      <c r="BB356" s="232"/>
      <c r="BC356" s="232"/>
      <c r="BD356" s="232"/>
      <c r="BE356" s="232"/>
      <c r="BF356" s="232"/>
      <c r="BG356" s="232"/>
      <c r="BH356" s="232"/>
      <c r="BI356" s="232"/>
      <c r="BJ356" s="232"/>
      <c r="BK356" s="232"/>
      <c r="BL356" s="232"/>
      <c r="BM356" s="232"/>
      <c r="BN356" s="232"/>
      <c r="BO356" s="232"/>
      <c r="BP356" s="232"/>
      <c r="BQ356" s="232"/>
      <c r="BR356" s="232"/>
      <c r="BS356" s="232">
        <v>51.9</v>
      </c>
      <c r="BT356" s="232"/>
      <c r="BU356" s="232">
        <v>17.07</v>
      </c>
      <c r="BV356" s="232"/>
      <c r="BW356" s="240"/>
      <c r="BX356" s="232"/>
      <c r="BY356" s="232"/>
      <c r="BZ356" s="232"/>
      <c r="CA356" s="232"/>
      <c r="CB356" s="241"/>
      <c r="CC356" s="232"/>
      <c r="CD356" s="232"/>
      <c r="CE356" s="232">
        <v>4.1500000000000004</v>
      </c>
      <c r="CF356" s="232"/>
      <c r="CG356" s="232">
        <v>1.18</v>
      </c>
      <c r="CH356" s="232"/>
      <c r="CI356" s="232"/>
      <c r="CJ356" s="232"/>
      <c r="CK356" t="s">
        <v>8820</v>
      </c>
      <c r="CL356" s="232"/>
      <c r="CM356" s="232"/>
    </row>
    <row r="357" spans="1:91" s="242" customFormat="1" ht="15">
      <c r="A357" s="364" t="s">
        <v>7763</v>
      </c>
      <c r="B357" t="s">
        <v>267</v>
      </c>
      <c r="C357" t="s">
        <v>413</v>
      </c>
      <c r="D357" s="232">
        <v>158</v>
      </c>
      <c r="E357" s="113">
        <v>42</v>
      </c>
      <c r="F357" s="113">
        <v>4</v>
      </c>
      <c r="G357" s="233"/>
      <c r="H357" s="233"/>
      <c r="I357" s="232"/>
      <c r="J357" s="234"/>
      <c r="K357" s="235">
        <v>7</v>
      </c>
      <c r="L357" s="390">
        <v>41625</v>
      </c>
      <c r="M357" s="232"/>
      <c r="N357" s="235"/>
      <c r="O357" s="232"/>
      <c r="P357" s="232"/>
      <c r="Q357" s="232"/>
      <c r="R357" s="236"/>
      <c r="S357" s="235"/>
      <c r="T357" s="235"/>
      <c r="U357" s="232"/>
      <c r="V357" s="232"/>
      <c r="W357" s="232"/>
      <c r="X357" s="232"/>
      <c r="Y357" s="237"/>
      <c r="Z357" s="235"/>
      <c r="AA357" s="238"/>
      <c r="AB357" s="235"/>
      <c r="AC357" s="237"/>
      <c r="AD357" s="235"/>
      <c r="AE357" s="235"/>
      <c r="AF357" s="235"/>
      <c r="AG357" s="232">
        <v>4.25</v>
      </c>
      <c r="AH357" s="232"/>
      <c r="AI357" s="232">
        <v>135</v>
      </c>
      <c r="AJ357" s="194">
        <v>41785</v>
      </c>
      <c r="AK357" s="232"/>
      <c r="AL357" s="232"/>
      <c r="AM357" s="232"/>
      <c r="AN357" s="232"/>
      <c r="AO357" s="232"/>
      <c r="AP357" s="232"/>
      <c r="AQ357" s="239"/>
      <c r="AR357" s="239"/>
      <c r="AS357" s="232"/>
      <c r="AT357" s="232"/>
      <c r="AU357" s="232"/>
      <c r="AV357" s="232"/>
      <c r="AW357" s="232"/>
      <c r="AX357" s="232"/>
      <c r="AY357" s="232"/>
      <c r="AZ357" s="232"/>
      <c r="BA357" s="232"/>
      <c r="BB357" s="232"/>
      <c r="BC357" s="232"/>
      <c r="BD357" s="232"/>
      <c r="BE357" s="232"/>
      <c r="BF357" s="232"/>
      <c r="BG357" s="232"/>
      <c r="BH357" s="232"/>
      <c r="BI357" s="232"/>
      <c r="BJ357" s="232"/>
      <c r="BK357" s="232"/>
      <c r="BL357" s="232"/>
      <c r="BM357" s="232"/>
      <c r="BN357" s="232"/>
      <c r="BO357" s="232"/>
      <c r="BP357" s="232"/>
      <c r="BQ357" s="232"/>
      <c r="BR357" s="232"/>
      <c r="BS357" s="232">
        <v>54</v>
      </c>
      <c r="BT357" s="232"/>
      <c r="BU357" s="232">
        <v>16.559999999999999</v>
      </c>
      <c r="BV357" s="232"/>
      <c r="BW357" s="232"/>
      <c r="BX357" s="243"/>
      <c r="BY357" s="232"/>
      <c r="BZ357" s="232"/>
      <c r="CA357" s="232"/>
      <c r="CB357" s="241"/>
      <c r="CC357" s="232"/>
      <c r="CD357" s="232"/>
      <c r="CE357" s="232">
        <v>4.82</v>
      </c>
      <c r="CF357" s="232"/>
      <c r="CG357" s="232">
        <v>0.2</v>
      </c>
      <c r="CH357" s="232"/>
      <c r="CI357" s="232"/>
      <c r="CJ357" s="232"/>
      <c r="CK357" t="s">
        <v>8820</v>
      </c>
      <c r="CL357" s="232"/>
      <c r="CM357" s="232"/>
    </row>
    <row r="358" spans="1:91" s="242" customFormat="1" ht="15">
      <c r="A358" s="364" t="s">
        <v>7764</v>
      </c>
      <c r="B358" t="s">
        <v>267</v>
      </c>
      <c r="C358" t="s">
        <v>413</v>
      </c>
      <c r="D358" s="232">
        <v>159</v>
      </c>
      <c r="E358" s="113">
        <v>70</v>
      </c>
      <c r="F358" s="113">
        <v>3</v>
      </c>
      <c r="G358" s="113"/>
      <c r="H358" s="113"/>
      <c r="I358"/>
      <c r="J358" s="112"/>
      <c r="K358" s="224">
        <v>7</v>
      </c>
      <c r="L358" s="390">
        <v>41625</v>
      </c>
      <c r="M358"/>
      <c r="N358" s="224"/>
      <c r="O358"/>
      <c r="P358"/>
      <c r="Q358"/>
      <c r="R358" s="153"/>
      <c r="S358" s="224"/>
      <c r="T358" s="224"/>
      <c r="U358"/>
      <c r="V358"/>
      <c r="W358"/>
      <c r="X358"/>
      <c r="Y358" s="225"/>
      <c r="Z358" s="224"/>
      <c r="AA358" s="226"/>
      <c r="AB358" s="224"/>
      <c r="AC358" s="225"/>
      <c r="AD358" s="224"/>
      <c r="AE358" s="224"/>
      <c r="AF358" s="224"/>
      <c r="AG358">
        <v>4.8600000000000003</v>
      </c>
      <c r="AH358"/>
      <c r="AI358">
        <v>130</v>
      </c>
      <c r="AJ358" s="194">
        <v>41785</v>
      </c>
      <c r="AK358"/>
      <c r="AL358"/>
      <c r="AM358"/>
      <c r="AN358"/>
      <c r="AO358"/>
      <c r="AP358"/>
      <c r="AQ358" s="227"/>
      <c r="AR358" s="227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>
        <v>52.1</v>
      </c>
      <c r="BT358"/>
      <c r="BU358">
        <v>17.309999999999999</v>
      </c>
      <c r="BV358"/>
      <c r="BW358" s="229"/>
      <c r="BX358"/>
      <c r="BY358"/>
      <c r="BZ358"/>
      <c r="CA358"/>
      <c r="CB358" s="136"/>
      <c r="CC358"/>
      <c r="CD358"/>
      <c r="CE358">
        <v>4.93</v>
      </c>
      <c r="CF358"/>
      <c r="CG358">
        <v>0.49</v>
      </c>
      <c r="CH358"/>
      <c r="CI358"/>
      <c r="CJ358"/>
      <c r="CK358" t="s">
        <v>8820</v>
      </c>
      <c r="CL358"/>
      <c r="CM358"/>
    </row>
    <row r="359" spans="1:91" s="242" customFormat="1" ht="15">
      <c r="A359" s="364" t="s">
        <v>7765</v>
      </c>
      <c r="B359" t="s">
        <v>267</v>
      </c>
      <c r="C359" t="s">
        <v>413</v>
      </c>
      <c r="D359">
        <v>160</v>
      </c>
      <c r="E359" s="113">
        <v>45</v>
      </c>
      <c r="F359" s="113">
        <v>5</v>
      </c>
      <c r="G359" s="113"/>
      <c r="H359" s="113"/>
      <c r="I359"/>
      <c r="J359" s="112"/>
      <c r="K359" s="224">
        <v>7</v>
      </c>
      <c r="L359" s="390">
        <v>41625</v>
      </c>
      <c r="M359"/>
      <c r="N359" s="224"/>
      <c r="O359"/>
      <c r="P359"/>
      <c r="Q359"/>
      <c r="R359" s="153"/>
      <c r="S359" s="224"/>
      <c r="T359" s="224"/>
      <c r="U359"/>
      <c r="V359"/>
      <c r="W359"/>
      <c r="X359"/>
      <c r="Y359" s="225"/>
      <c r="Z359" s="224"/>
      <c r="AA359" s="226"/>
      <c r="AB359" s="224"/>
      <c r="AC359" s="225"/>
      <c r="AD359" s="224"/>
      <c r="AE359" s="224"/>
      <c r="AF359" s="224"/>
      <c r="AG359">
        <v>4.47</v>
      </c>
      <c r="AH359"/>
      <c r="AI359">
        <v>135</v>
      </c>
      <c r="AJ359" s="194">
        <v>41785</v>
      </c>
      <c r="AK359"/>
      <c r="AL359"/>
      <c r="AM359"/>
      <c r="AN359"/>
      <c r="AO359"/>
      <c r="AP359"/>
      <c r="AQ359" s="227"/>
      <c r="AR359" s="227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>
        <v>52.8</v>
      </c>
      <c r="BT359"/>
      <c r="BU359">
        <v>17.38</v>
      </c>
      <c r="BV359"/>
      <c r="BW359" s="229"/>
      <c r="BX359"/>
      <c r="BY359"/>
      <c r="BZ359"/>
      <c r="CA359"/>
      <c r="CB359" s="136"/>
      <c r="CC359"/>
      <c r="CD359"/>
      <c r="CE359">
        <v>4.83</v>
      </c>
      <c r="CF359"/>
      <c r="CG359">
        <v>0.1</v>
      </c>
      <c r="CH359"/>
      <c r="CI359"/>
      <c r="CJ359"/>
      <c r="CK359" t="s">
        <v>8820</v>
      </c>
      <c r="CL359"/>
      <c r="CM359"/>
    </row>
    <row r="360" spans="1:91" s="242" customFormat="1" ht="15">
      <c r="A360" s="364" t="s">
        <v>7766</v>
      </c>
      <c r="B360" t="s">
        <v>267</v>
      </c>
      <c r="C360" t="s">
        <v>413</v>
      </c>
      <c r="D360">
        <v>161</v>
      </c>
      <c r="E360" s="113">
        <v>69</v>
      </c>
      <c r="F360" s="113">
        <v>2</v>
      </c>
      <c r="G360" s="233"/>
      <c r="H360" s="233"/>
      <c r="I360" s="232"/>
      <c r="J360" s="234"/>
      <c r="K360" s="235">
        <v>7</v>
      </c>
      <c r="L360" s="390">
        <v>41625</v>
      </c>
      <c r="M360" s="232"/>
      <c r="N360" s="235"/>
      <c r="O360" s="232"/>
      <c r="P360" s="232"/>
      <c r="Q360" s="232"/>
      <c r="R360" s="236"/>
      <c r="S360" s="235"/>
      <c r="T360" s="235"/>
      <c r="U360" s="232"/>
      <c r="V360" s="232"/>
      <c r="W360" s="232"/>
      <c r="X360" s="232"/>
      <c r="Y360" s="237"/>
      <c r="Z360" s="235"/>
      <c r="AA360" s="238"/>
      <c r="AB360" s="235"/>
      <c r="AC360" s="237"/>
      <c r="AD360" s="235"/>
      <c r="AE360" s="235"/>
      <c r="AF360" s="235"/>
      <c r="AG360" s="232">
        <v>4.47</v>
      </c>
      <c r="AH360" s="232"/>
      <c r="AI360" s="232">
        <v>125</v>
      </c>
      <c r="AJ360" s="194">
        <v>41785</v>
      </c>
      <c r="AK360" s="232"/>
      <c r="AL360" s="232"/>
      <c r="AM360" s="232"/>
      <c r="AN360" s="232"/>
      <c r="AO360" s="232"/>
      <c r="AP360" s="232"/>
      <c r="AQ360" s="239"/>
      <c r="AR360" s="239"/>
      <c r="AS360" s="232"/>
      <c r="AT360" s="232"/>
      <c r="AU360" s="232"/>
      <c r="AV360" s="232"/>
      <c r="AW360" s="232"/>
      <c r="AX360" s="232"/>
      <c r="AY360" s="232"/>
      <c r="AZ360" s="232"/>
      <c r="BA360" s="232"/>
      <c r="BB360" s="232"/>
      <c r="BC360" s="232"/>
      <c r="BD360" s="232"/>
      <c r="BE360" s="232"/>
      <c r="BF360" s="232"/>
      <c r="BG360" s="232"/>
      <c r="BH360" s="232"/>
      <c r="BI360" s="232"/>
      <c r="BJ360" s="232"/>
      <c r="BK360" s="232"/>
      <c r="BL360" s="232"/>
      <c r="BM360" s="232"/>
      <c r="BN360" s="232"/>
      <c r="BO360" s="232"/>
      <c r="BP360" s="232"/>
      <c r="BQ360" s="232"/>
      <c r="BR360" s="232"/>
      <c r="BS360" s="232">
        <v>52.5</v>
      </c>
      <c r="BT360" s="232"/>
      <c r="BU360" s="232">
        <v>17.809999999999999</v>
      </c>
      <c r="BV360" s="232"/>
      <c r="BW360" s="240"/>
      <c r="BX360" s="232"/>
      <c r="BY360" s="232"/>
      <c r="BZ360" s="232"/>
      <c r="CA360" s="232"/>
      <c r="CB360" s="241"/>
      <c r="CC360" s="232"/>
      <c r="CD360" s="232"/>
      <c r="CE360" s="232">
        <v>4.6500000000000004</v>
      </c>
      <c r="CF360" s="232"/>
      <c r="CG360" s="232">
        <v>0.57999999999999996</v>
      </c>
      <c r="CH360" s="232"/>
      <c r="CI360" s="232"/>
      <c r="CJ360" s="232"/>
      <c r="CK360" t="s">
        <v>8820</v>
      </c>
      <c r="CL360" s="232"/>
      <c r="CM360" s="232"/>
    </row>
    <row r="361" spans="1:91" s="242" customFormat="1" ht="15">
      <c r="A361" s="364" t="s">
        <v>7767</v>
      </c>
      <c r="B361" t="s">
        <v>267</v>
      </c>
      <c r="C361" t="s">
        <v>413</v>
      </c>
      <c r="D361">
        <v>162</v>
      </c>
      <c r="E361" s="113">
        <v>60</v>
      </c>
      <c r="F361" s="113">
        <v>3</v>
      </c>
      <c r="G361" s="233"/>
      <c r="H361" s="233"/>
      <c r="I361" s="232"/>
      <c r="J361" s="234"/>
      <c r="K361" s="235">
        <v>7</v>
      </c>
      <c r="L361" s="390">
        <v>41625</v>
      </c>
      <c r="M361" s="232"/>
      <c r="N361" s="235"/>
      <c r="O361" s="232"/>
      <c r="P361" s="232"/>
      <c r="Q361" s="232"/>
      <c r="R361" s="236"/>
      <c r="S361" s="235"/>
      <c r="T361" s="235"/>
      <c r="U361" s="232"/>
      <c r="V361" s="232"/>
      <c r="W361" s="232"/>
      <c r="X361" s="232"/>
      <c r="Y361" s="237"/>
      <c r="Z361" s="235"/>
      <c r="AA361" s="238"/>
      <c r="AB361" s="235"/>
      <c r="AC361" s="237"/>
      <c r="AD361" s="235"/>
      <c r="AE361" s="235"/>
      <c r="AF361" s="235"/>
      <c r="AG361" s="232">
        <v>3.67</v>
      </c>
      <c r="AH361" s="232"/>
      <c r="AI361" s="232">
        <v>135</v>
      </c>
      <c r="AJ361" s="194">
        <v>41785</v>
      </c>
      <c r="AK361" s="232"/>
      <c r="AL361" s="232"/>
      <c r="AM361" s="232"/>
      <c r="AN361" s="232"/>
      <c r="AO361" s="232"/>
      <c r="AP361" s="232"/>
      <c r="AQ361" s="239"/>
      <c r="AR361" s="239"/>
      <c r="AS361" s="232"/>
      <c r="AT361" s="232"/>
      <c r="AU361" s="232"/>
      <c r="AV361" s="232"/>
      <c r="AW361" s="232"/>
      <c r="AX361" s="232"/>
      <c r="AY361" s="232"/>
      <c r="AZ361" s="232"/>
      <c r="BA361" s="232"/>
      <c r="BB361" s="232"/>
      <c r="BC361" s="232"/>
      <c r="BD361" s="232"/>
      <c r="BE361" s="232"/>
      <c r="BF361" s="232"/>
      <c r="BG361" s="232"/>
      <c r="BH361" s="232"/>
      <c r="BI361" s="232"/>
      <c r="BJ361" s="232"/>
      <c r="BK361" s="232"/>
      <c r="BL361" s="232"/>
      <c r="BM361" s="232"/>
      <c r="BN361" s="232"/>
      <c r="BO361" s="232"/>
      <c r="BP361" s="232"/>
      <c r="BQ361" s="232"/>
      <c r="BR361" s="232"/>
      <c r="BS361" s="232">
        <v>53.9</v>
      </c>
      <c r="BT361" s="232"/>
      <c r="BU361" s="232">
        <v>15.15</v>
      </c>
      <c r="BV361" s="232"/>
      <c r="BW361" s="240"/>
      <c r="BX361" s="232"/>
      <c r="BY361" s="232"/>
      <c r="BZ361" s="232"/>
      <c r="CA361" s="232"/>
      <c r="CB361" s="241"/>
      <c r="CC361" s="232"/>
      <c r="CD361" s="232"/>
      <c r="CE361" s="232">
        <v>4.3600000000000003</v>
      </c>
      <c r="CF361" s="232"/>
      <c r="CG361" s="232">
        <v>0.28999999999999998</v>
      </c>
      <c r="CH361" s="232"/>
      <c r="CI361" s="232"/>
      <c r="CJ361" s="232"/>
      <c r="CK361" t="s">
        <v>8820</v>
      </c>
      <c r="CL361" s="232"/>
      <c r="CM361" s="232"/>
    </row>
    <row r="362" spans="1:91" s="242" customFormat="1" ht="15">
      <c r="A362" s="364" t="s">
        <v>7768</v>
      </c>
      <c r="B362" t="s">
        <v>267</v>
      </c>
      <c r="C362" t="s">
        <v>413</v>
      </c>
      <c r="D362">
        <v>163</v>
      </c>
      <c r="E362" s="113">
        <v>63</v>
      </c>
      <c r="F362" s="113">
        <v>6</v>
      </c>
      <c r="G362" s="113"/>
      <c r="H362" s="113"/>
      <c r="I362"/>
      <c r="J362" s="112"/>
      <c r="K362" s="224">
        <v>7</v>
      </c>
      <c r="L362" s="390">
        <v>41625</v>
      </c>
      <c r="M362"/>
      <c r="N362" s="224"/>
      <c r="O362"/>
      <c r="P362"/>
      <c r="Q362"/>
      <c r="R362" s="153"/>
      <c r="S362" s="224"/>
      <c r="T362" s="224"/>
      <c r="U362"/>
      <c r="V362"/>
      <c r="W362"/>
      <c r="X362"/>
      <c r="Y362" s="225"/>
      <c r="Z362" s="224"/>
      <c r="AA362" s="226"/>
      <c r="AB362" s="224"/>
      <c r="AC362" s="225"/>
      <c r="AD362" s="224"/>
      <c r="AE362" s="224"/>
      <c r="AF362" s="224"/>
      <c r="AG362">
        <v>4.49</v>
      </c>
      <c r="AH362"/>
      <c r="AI362">
        <v>130</v>
      </c>
      <c r="AJ362" s="194">
        <v>41785</v>
      </c>
      <c r="AK362"/>
      <c r="AL362"/>
      <c r="AM362"/>
      <c r="AN362"/>
      <c r="AO362"/>
      <c r="AP362"/>
      <c r="AQ362" s="227"/>
      <c r="AR362" s="227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>
        <v>50.6</v>
      </c>
      <c r="BT362"/>
      <c r="BU362">
        <v>17.239999999999998</v>
      </c>
      <c r="BV362"/>
      <c r="BW362" s="229"/>
      <c r="BX362"/>
      <c r="BY362"/>
      <c r="BZ362"/>
      <c r="CA362"/>
      <c r="CB362" s="136"/>
      <c r="CC362"/>
      <c r="CD362"/>
      <c r="CE362">
        <v>4.01</v>
      </c>
      <c r="CF362"/>
      <c r="CG362">
        <v>0.48</v>
      </c>
      <c r="CH362"/>
      <c r="CI362"/>
      <c r="CJ362"/>
      <c r="CK362" t="s">
        <v>8820</v>
      </c>
      <c r="CL362"/>
      <c r="CM362"/>
    </row>
    <row r="363" spans="1:91" s="242" customFormat="1" ht="15">
      <c r="A363" s="364" t="s">
        <v>7769</v>
      </c>
      <c r="B363" t="s">
        <v>267</v>
      </c>
      <c r="C363" t="s">
        <v>413</v>
      </c>
      <c r="D363">
        <v>164</v>
      </c>
      <c r="E363" s="113">
        <v>67</v>
      </c>
      <c r="F363" s="113">
        <v>1</v>
      </c>
      <c r="G363" s="113"/>
      <c r="H363" s="113"/>
      <c r="I363"/>
      <c r="J363" s="112"/>
      <c r="K363" s="224">
        <v>6</v>
      </c>
      <c r="L363" s="390">
        <v>41625</v>
      </c>
      <c r="M363"/>
      <c r="N363" s="224"/>
      <c r="O363"/>
      <c r="P363"/>
      <c r="Q363"/>
      <c r="R363" s="153"/>
      <c r="S363" s="224"/>
      <c r="T363" s="224"/>
      <c r="U363"/>
      <c r="V363"/>
      <c r="W363"/>
      <c r="X363"/>
      <c r="Y363" s="225"/>
      <c r="Z363" s="224"/>
      <c r="AA363" s="226"/>
      <c r="AB363" s="224"/>
      <c r="AC363" s="225"/>
      <c r="AD363" s="224"/>
      <c r="AE363" s="224"/>
      <c r="AF363" s="224"/>
      <c r="AG363">
        <v>3.6</v>
      </c>
      <c r="AH363"/>
      <c r="AI363">
        <v>115</v>
      </c>
      <c r="AJ363" s="194">
        <v>41785</v>
      </c>
      <c r="AK363"/>
      <c r="AL363"/>
      <c r="AM363"/>
      <c r="AN363"/>
      <c r="AO363"/>
      <c r="AP363"/>
      <c r="AQ363" s="227"/>
      <c r="AR363" s="227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>
        <v>49.6</v>
      </c>
      <c r="BT363"/>
      <c r="BU363">
        <v>17.850000000000001</v>
      </c>
      <c r="BV363"/>
      <c r="BW363" s="229"/>
      <c r="BX363"/>
      <c r="BY363"/>
      <c r="BZ363"/>
      <c r="CA363"/>
      <c r="CB363" s="136"/>
      <c r="CC363"/>
      <c r="CD363"/>
      <c r="CE363">
        <v>6.43</v>
      </c>
      <c r="CF363"/>
      <c r="CG363">
        <v>0.78</v>
      </c>
      <c r="CH363"/>
      <c r="CI363"/>
      <c r="CJ363"/>
      <c r="CK363" t="s">
        <v>8820</v>
      </c>
      <c r="CL363"/>
      <c r="CM363"/>
    </row>
    <row r="364" spans="1:91" s="242" customFormat="1" ht="15">
      <c r="A364" s="364" t="s">
        <v>7770</v>
      </c>
      <c r="B364" s="362" t="s">
        <v>267</v>
      </c>
      <c r="C364" s="362" t="s">
        <v>413</v>
      </c>
      <c r="D364">
        <v>165</v>
      </c>
      <c r="E364" s="113">
        <v>72</v>
      </c>
      <c r="F364" s="113">
        <v>4</v>
      </c>
      <c r="G364" s="113"/>
      <c r="H364" s="113"/>
      <c r="I364"/>
      <c r="J364" s="112"/>
      <c r="K364" s="224">
        <v>7</v>
      </c>
      <c r="L364" s="390">
        <v>41625</v>
      </c>
      <c r="M364"/>
      <c r="N364" s="224"/>
      <c r="O364"/>
      <c r="P364"/>
      <c r="Q364"/>
      <c r="R364" s="153"/>
      <c r="S364" s="224"/>
      <c r="T364" s="224"/>
      <c r="U364"/>
      <c r="V364"/>
      <c r="W364"/>
      <c r="X364"/>
      <c r="Y364" s="225"/>
      <c r="Z364" s="224"/>
      <c r="AA364" s="226"/>
      <c r="AB364" s="224"/>
      <c r="AC364" s="225"/>
      <c r="AD364" s="224"/>
      <c r="AE364" s="224"/>
      <c r="AF364" s="224"/>
      <c r="AG364">
        <v>4.2699999999999996</v>
      </c>
      <c r="AH364"/>
      <c r="AI364">
        <v>140</v>
      </c>
      <c r="AJ364" s="194">
        <v>41785</v>
      </c>
      <c r="AK364"/>
      <c r="AL364"/>
      <c r="AM364"/>
      <c r="AN364"/>
      <c r="AO364"/>
      <c r="AP364"/>
      <c r="AQ364" s="227"/>
      <c r="AR364" s="227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>
        <v>52.2</v>
      </c>
      <c r="BT364"/>
      <c r="BU364">
        <v>17.190000000000001</v>
      </c>
      <c r="BV364"/>
      <c r="BW364" s="229"/>
      <c r="BX364"/>
      <c r="BY364"/>
      <c r="BZ364"/>
      <c r="CA364"/>
      <c r="CB364" s="136"/>
      <c r="CC364"/>
      <c r="CD364"/>
      <c r="CE364">
        <v>7.16</v>
      </c>
      <c r="CF364"/>
      <c r="CG364">
        <v>0.19</v>
      </c>
      <c r="CH364"/>
      <c r="CI364"/>
      <c r="CJ364"/>
      <c r="CK364" t="s">
        <v>8820</v>
      </c>
      <c r="CL364"/>
      <c r="CM364"/>
    </row>
    <row r="365" spans="1:91" s="242" customFormat="1" ht="15">
      <c r="A365" s="364" t="s">
        <v>7771</v>
      </c>
      <c r="B365" t="s">
        <v>267</v>
      </c>
      <c r="C365" t="s">
        <v>413</v>
      </c>
      <c r="D365">
        <v>166</v>
      </c>
      <c r="E365" s="113">
        <v>61</v>
      </c>
      <c r="F365" s="113">
        <v>5</v>
      </c>
      <c r="G365" s="113"/>
      <c r="H365" s="113"/>
      <c r="I365"/>
      <c r="J365" s="112"/>
      <c r="K365" s="224">
        <v>7</v>
      </c>
      <c r="L365" s="390">
        <v>41625</v>
      </c>
      <c r="M365"/>
      <c r="N365" s="224"/>
      <c r="O365"/>
      <c r="P365"/>
      <c r="Q365"/>
      <c r="R365" s="153"/>
      <c r="S365" s="224"/>
      <c r="T365" s="224"/>
      <c r="U365"/>
      <c r="V365"/>
      <c r="W365"/>
      <c r="X365"/>
      <c r="Y365" s="225"/>
      <c r="Z365" s="224"/>
      <c r="AA365" s="226"/>
      <c r="AB365" s="224"/>
      <c r="AC365" s="225"/>
      <c r="AD365" s="224"/>
      <c r="AE365" s="224"/>
      <c r="AF365" s="224"/>
      <c r="AG365">
        <v>4.49</v>
      </c>
      <c r="AH365"/>
      <c r="AI365">
        <v>115</v>
      </c>
      <c r="AJ365" s="194">
        <v>41785</v>
      </c>
      <c r="AK365"/>
      <c r="AL365"/>
      <c r="AM365"/>
      <c r="AN365"/>
      <c r="AO365"/>
      <c r="AP365"/>
      <c r="AQ365" s="227"/>
      <c r="AR365" s="227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>
        <v>51.6</v>
      </c>
      <c r="BT365"/>
      <c r="BU365">
        <v>17.18</v>
      </c>
      <c r="BV365"/>
      <c r="BW365" s="229"/>
      <c r="BX365"/>
      <c r="BY365"/>
      <c r="BZ365"/>
      <c r="CA365"/>
      <c r="CB365" s="136"/>
      <c r="CC365"/>
      <c r="CD365"/>
      <c r="CE365">
        <v>4.49</v>
      </c>
      <c r="CF365"/>
      <c r="CG365">
        <v>0.57999999999999996</v>
      </c>
      <c r="CH365"/>
      <c r="CI365"/>
      <c r="CJ365"/>
      <c r="CK365" t="s">
        <v>8820</v>
      </c>
      <c r="CL365"/>
      <c r="CM365"/>
    </row>
    <row r="366" spans="1:91" s="242" customFormat="1" ht="15">
      <c r="A366" s="364" t="s">
        <v>7772</v>
      </c>
      <c r="B366" t="s">
        <v>267</v>
      </c>
      <c r="C366" t="s">
        <v>413</v>
      </c>
      <c r="D366" s="232">
        <v>167</v>
      </c>
      <c r="E366" s="113">
        <v>62</v>
      </c>
      <c r="F366" s="113">
        <v>1</v>
      </c>
      <c r="G366" s="113"/>
      <c r="H366" s="113"/>
      <c r="I366"/>
      <c r="J366" s="112"/>
      <c r="K366" s="224">
        <v>7</v>
      </c>
      <c r="L366" s="390">
        <v>41625</v>
      </c>
      <c r="M366"/>
      <c r="N366" s="224"/>
      <c r="O366"/>
      <c r="P366"/>
      <c r="Q366"/>
      <c r="R366" s="153"/>
      <c r="S366" s="224"/>
      <c r="T366" s="224"/>
      <c r="U366"/>
      <c r="V366"/>
      <c r="W366"/>
      <c r="X366"/>
      <c r="Y366" s="225"/>
      <c r="Z366" s="224"/>
      <c r="AA366" s="226"/>
      <c r="AB366" s="224"/>
      <c r="AC366" s="225"/>
      <c r="AD366" s="224"/>
      <c r="AE366" s="224"/>
      <c r="AF366" s="224"/>
      <c r="AG366">
        <v>4.4800000000000004</v>
      </c>
      <c r="AH366"/>
      <c r="AI366">
        <v>150</v>
      </c>
      <c r="AJ366" s="194">
        <v>41785</v>
      </c>
      <c r="AK366"/>
      <c r="AL366"/>
      <c r="AM366"/>
      <c r="AN366"/>
      <c r="AO366"/>
      <c r="AP366"/>
      <c r="AQ366" s="227"/>
      <c r="AR366" s="227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>
        <v>54.9</v>
      </c>
      <c r="BT366"/>
      <c r="BU366">
        <v>15.94</v>
      </c>
      <c r="BV366"/>
      <c r="BW366" s="229"/>
      <c r="BX366"/>
      <c r="BY366"/>
      <c r="BZ366"/>
      <c r="CA366"/>
      <c r="CB366" s="136"/>
      <c r="CC366"/>
      <c r="CD366"/>
      <c r="CE366">
        <v>4.05</v>
      </c>
      <c r="CF366"/>
      <c r="CG366">
        <v>0.28999999999999998</v>
      </c>
      <c r="CH366"/>
      <c r="CI366"/>
      <c r="CJ366"/>
      <c r="CK366" t="s">
        <v>8820</v>
      </c>
      <c r="CL366"/>
      <c r="CM366"/>
    </row>
    <row r="367" spans="1:91" s="242" customFormat="1" ht="15">
      <c r="A367" s="364" t="s">
        <v>7773</v>
      </c>
      <c r="B367" t="s">
        <v>267</v>
      </c>
      <c r="C367" t="s">
        <v>413</v>
      </c>
      <c r="D367">
        <v>168</v>
      </c>
      <c r="E367" s="113">
        <v>45</v>
      </c>
      <c r="F367" s="113">
        <v>6</v>
      </c>
      <c r="G367" s="113"/>
      <c r="H367" s="113"/>
      <c r="I367"/>
      <c r="J367" s="112"/>
      <c r="K367" s="224">
        <v>7</v>
      </c>
      <c r="L367" s="390">
        <v>41625</v>
      </c>
      <c r="M367"/>
      <c r="N367" s="224"/>
      <c r="O367"/>
      <c r="P367"/>
      <c r="Q367"/>
      <c r="R367" s="153"/>
      <c r="S367" s="224"/>
      <c r="T367" s="224"/>
      <c r="U367"/>
      <c r="V367"/>
      <c r="W367"/>
      <c r="X367"/>
      <c r="Y367" s="225"/>
      <c r="Z367" s="224"/>
      <c r="AA367" s="226"/>
      <c r="AB367" s="224"/>
      <c r="AC367" s="225"/>
      <c r="AD367" s="224"/>
      <c r="AE367" s="224"/>
      <c r="AF367" s="224"/>
      <c r="AG367">
        <v>3.73</v>
      </c>
      <c r="AH367"/>
      <c r="AI367">
        <v>125</v>
      </c>
      <c r="AJ367" s="194">
        <v>41785</v>
      </c>
      <c r="AK367"/>
      <c r="AL367"/>
      <c r="AM367"/>
      <c r="AN367"/>
      <c r="AO367"/>
      <c r="AP367"/>
      <c r="AQ367" s="227"/>
      <c r="AR367" s="22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>
        <v>54</v>
      </c>
      <c r="BT367"/>
      <c r="BU367">
        <v>16.37</v>
      </c>
      <c r="BV367"/>
      <c r="BW367" s="229"/>
      <c r="BX367"/>
      <c r="BY367"/>
      <c r="BZ367"/>
      <c r="CA367"/>
      <c r="CB367" s="136"/>
      <c r="CC367"/>
      <c r="CD367"/>
      <c r="CE367">
        <v>4.97</v>
      </c>
      <c r="CF367"/>
      <c r="CG367">
        <v>0.1</v>
      </c>
      <c r="CH367"/>
      <c r="CI367"/>
      <c r="CJ367"/>
      <c r="CK367" t="s">
        <v>8820</v>
      </c>
      <c r="CL367"/>
      <c r="CM367"/>
    </row>
    <row r="368" spans="1:91" s="242" customFormat="1" ht="15">
      <c r="A368" s="364" t="s">
        <v>7774</v>
      </c>
      <c r="B368" t="s">
        <v>267</v>
      </c>
      <c r="C368" t="s">
        <v>413</v>
      </c>
      <c r="D368">
        <v>169</v>
      </c>
      <c r="E368" s="113">
        <v>63</v>
      </c>
      <c r="F368" s="113">
        <v>2</v>
      </c>
      <c r="G368" s="113"/>
      <c r="H368" s="113"/>
      <c r="I368"/>
      <c r="J368" s="112"/>
      <c r="K368" s="224">
        <v>7</v>
      </c>
      <c r="L368" s="390">
        <v>41625</v>
      </c>
      <c r="M368"/>
      <c r="N368" s="224"/>
      <c r="O368"/>
      <c r="P368"/>
      <c r="Q368"/>
      <c r="R368" s="153"/>
      <c r="S368" s="224"/>
      <c r="T368" s="224"/>
      <c r="U368"/>
      <c r="V368"/>
      <c r="W368"/>
      <c r="X368"/>
      <c r="Y368" s="225"/>
      <c r="Z368" s="224"/>
      <c r="AA368" s="226"/>
      <c r="AB368" s="224"/>
      <c r="AC368" s="225"/>
      <c r="AD368" s="224"/>
      <c r="AE368" s="224"/>
      <c r="AF368" s="224"/>
      <c r="AG368">
        <v>4.16</v>
      </c>
      <c r="AH368"/>
      <c r="AI368">
        <v>140</v>
      </c>
      <c r="AJ368" s="194">
        <v>41785</v>
      </c>
      <c r="AK368"/>
      <c r="AL368"/>
      <c r="AM368"/>
      <c r="AN368"/>
      <c r="AO368"/>
      <c r="AP368"/>
      <c r="AQ368" s="227"/>
      <c r="AR368" s="227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>
        <v>53.8</v>
      </c>
      <c r="BT368"/>
      <c r="BU368">
        <v>16.350000000000001</v>
      </c>
      <c r="BV368"/>
      <c r="BW368" s="229"/>
      <c r="BX368"/>
      <c r="BY368"/>
      <c r="BZ368"/>
      <c r="CA368"/>
      <c r="CB368" s="136"/>
      <c r="CC368"/>
      <c r="CD368"/>
      <c r="CE368">
        <v>4.41</v>
      </c>
      <c r="CF368"/>
      <c r="CG368">
        <v>0.49</v>
      </c>
      <c r="CH368"/>
      <c r="CI368"/>
      <c r="CJ368"/>
      <c r="CK368" t="s">
        <v>8820</v>
      </c>
      <c r="CL368"/>
      <c r="CM368"/>
    </row>
    <row r="369" spans="1:91" s="242" customFormat="1" ht="15">
      <c r="A369" s="364" t="s">
        <v>7775</v>
      </c>
      <c r="B369" t="s">
        <v>267</v>
      </c>
      <c r="C369" t="s">
        <v>413</v>
      </c>
      <c r="D369" s="232">
        <v>170</v>
      </c>
      <c r="E369" s="113">
        <v>70</v>
      </c>
      <c r="F369" s="113">
        <v>5</v>
      </c>
      <c r="G369" s="233"/>
      <c r="H369" s="233"/>
      <c r="I369" s="232"/>
      <c r="J369" s="234"/>
      <c r="K369" s="235">
        <v>7</v>
      </c>
      <c r="L369" s="390">
        <v>41625</v>
      </c>
      <c r="M369" s="232"/>
      <c r="N369" s="235"/>
      <c r="O369" s="232"/>
      <c r="P369" s="232"/>
      <c r="Q369" s="232"/>
      <c r="R369" s="236"/>
      <c r="S369" s="235"/>
      <c r="T369" s="235"/>
      <c r="U369" s="232"/>
      <c r="V369" s="232"/>
      <c r="W369" s="232"/>
      <c r="X369" s="232"/>
      <c r="Y369" s="237"/>
      <c r="Z369" s="235"/>
      <c r="AA369" s="238"/>
      <c r="AB369" s="235"/>
      <c r="AC369" s="237"/>
      <c r="AD369" s="235"/>
      <c r="AE369" s="235"/>
      <c r="AF369" s="235"/>
      <c r="AG369" s="232">
        <v>4.55</v>
      </c>
      <c r="AH369" s="232"/>
      <c r="AI369" s="232">
        <v>140</v>
      </c>
      <c r="AJ369" s="194">
        <v>41785</v>
      </c>
      <c r="AK369" s="232"/>
      <c r="AL369" s="232"/>
      <c r="AM369" s="232"/>
      <c r="AN369" s="232"/>
      <c r="AO369" s="232"/>
      <c r="AP369" s="232"/>
      <c r="AQ369" s="239"/>
      <c r="AR369" s="239"/>
      <c r="AS369" s="232"/>
      <c r="AT369" s="232"/>
      <c r="AU369" s="232"/>
      <c r="AV369" s="232"/>
      <c r="AW369" s="232"/>
      <c r="AX369" s="232"/>
      <c r="AY369" s="232"/>
      <c r="AZ369" s="232"/>
      <c r="BA369" s="232"/>
      <c r="BB369" s="232"/>
      <c r="BC369" s="232"/>
      <c r="BD369" s="232"/>
      <c r="BE369" s="232"/>
      <c r="BF369" s="232"/>
      <c r="BG369" s="232"/>
      <c r="BH369" s="232"/>
      <c r="BI369" s="232"/>
      <c r="BJ369" s="232"/>
      <c r="BK369" s="232"/>
      <c r="BL369" s="232"/>
      <c r="BM369" s="232"/>
      <c r="BN369" s="232"/>
      <c r="BO369" s="232"/>
      <c r="BP369" s="232"/>
      <c r="BQ369" s="232"/>
      <c r="BR369" s="232"/>
      <c r="BS369" s="232">
        <v>51.4</v>
      </c>
      <c r="BT369" s="232"/>
      <c r="BU369" s="232">
        <v>18.440000000000001</v>
      </c>
      <c r="BV369" s="232"/>
      <c r="BW369" s="232"/>
      <c r="BX369" s="243"/>
      <c r="BY369" s="232"/>
      <c r="BZ369" s="232"/>
      <c r="CA369" s="232"/>
      <c r="CB369" s="241"/>
      <c r="CC369" s="232"/>
      <c r="CD369" s="232"/>
      <c r="CE369" s="232">
        <v>4.99</v>
      </c>
      <c r="CF369" s="232"/>
      <c r="CG369" s="232">
        <v>0.48</v>
      </c>
      <c r="CH369" s="232"/>
      <c r="CI369" s="232"/>
      <c r="CJ369" s="232"/>
      <c r="CK369" t="s">
        <v>8820</v>
      </c>
      <c r="CL369" s="232"/>
      <c r="CM369" s="232"/>
    </row>
    <row r="370" spans="1:91" s="242" customFormat="1" ht="15">
      <c r="A370" s="364" t="s">
        <v>7776</v>
      </c>
      <c r="B370" t="s">
        <v>267</v>
      </c>
      <c r="C370" t="s">
        <v>413</v>
      </c>
      <c r="D370">
        <v>171</v>
      </c>
      <c r="E370" s="113">
        <v>37</v>
      </c>
      <c r="F370" s="113">
        <v>2</v>
      </c>
      <c r="G370" s="113"/>
      <c r="H370" s="113"/>
      <c r="I370"/>
      <c r="J370" s="112"/>
      <c r="K370" s="224">
        <v>7</v>
      </c>
      <c r="L370" s="390">
        <v>41625</v>
      </c>
      <c r="M370"/>
      <c r="N370" s="224"/>
      <c r="O370"/>
      <c r="P370"/>
      <c r="Q370"/>
      <c r="R370" s="153"/>
      <c r="S370" s="224"/>
      <c r="T370" s="224"/>
      <c r="U370"/>
      <c r="V370"/>
      <c r="W370"/>
      <c r="X370"/>
      <c r="Y370" s="225"/>
      <c r="Z370" s="224"/>
      <c r="AA370" s="226"/>
      <c r="AB370" s="224"/>
      <c r="AC370" s="225"/>
      <c r="AD370" s="224"/>
      <c r="AE370" s="224"/>
      <c r="AF370" s="224"/>
      <c r="AG370">
        <v>4.66</v>
      </c>
      <c r="AH370"/>
      <c r="AI370">
        <v>140</v>
      </c>
      <c r="AJ370" s="194">
        <v>41785</v>
      </c>
      <c r="AK370"/>
      <c r="AL370"/>
      <c r="AM370"/>
      <c r="AN370"/>
      <c r="AO370"/>
      <c r="AP370"/>
      <c r="AQ370" s="227"/>
      <c r="AR370" s="227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>
        <v>53.2</v>
      </c>
      <c r="BT370"/>
      <c r="BU370">
        <v>14.82</v>
      </c>
      <c r="BV370"/>
      <c r="BW370" s="229"/>
      <c r="BX370"/>
      <c r="BY370"/>
      <c r="BZ370"/>
      <c r="CA370"/>
      <c r="CB370" s="136"/>
      <c r="CC370"/>
      <c r="CD370"/>
      <c r="CE370">
        <v>4.68</v>
      </c>
      <c r="CF370"/>
      <c r="CG370">
        <v>0.28999999999999998</v>
      </c>
      <c r="CH370"/>
      <c r="CI370"/>
      <c r="CJ370"/>
      <c r="CK370" t="s">
        <v>8820</v>
      </c>
      <c r="CL370"/>
      <c r="CM370"/>
    </row>
    <row r="371" spans="1:91" s="242" customFormat="1" ht="15">
      <c r="A371" s="364" t="s">
        <v>7777</v>
      </c>
      <c r="B371" t="s">
        <v>267</v>
      </c>
      <c r="C371" t="s">
        <v>413</v>
      </c>
      <c r="D371">
        <v>172</v>
      </c>
      <c r="E371" s="113">
        <v>67</v>
      </c>
      <c r="F371" s="113">
        <v>2</v>
      </c>
      <c r="G371" s="113"/>
      <c r="H371" s="113"/>
      <c r="I371"/>
      <c r="J371" s="112"/>
      <c r="K371" s="224">
        <v>7</v>
      </c>
      <c r="L371" s="390">
        <v>41625</v>
      </c>
      <c r="M371"/>
      <c r="N371" s="224"/>
      <c r="O371"/>
      <c r="P371"/>
      <c r="Q371"/>
      <c r="R371" s="153"/>
      <c r="S371" s="224"/>
      <c r="T371" s="224"/>
      <c r="U371"/>
      <c r="V371"/>
      <c r="W371"/>
      <c r="X371"/>
      <c r="Y371" s="225"/>
      <c r="Z371" s="224"/>
      <c r="AA371" s="226"/>
      <c r="AB371" s="224"/>
      <c r="AC371" s="225"/>
      <c r="AD371" s="224"/>
      <c r="AE371" s="224"/>
      <c r="AF371" s="224"/>
      <c r="AG371">
        <v>4.53</v>
      </c>
      <c r="AH371"/>
      <c r="AI371">
        <v>145</v>
      </c>
      <c r="AJ371" s="194">
        <v>41785</v>
      </c>
      <c r="AK371"/>
      <c r="AL371"/>
      <c r="AM371"/>
      <c r="AN371"/>
      <c r="AO371"/>
      <c r="AP371"/>
      <c r="AQ371" s="227"/>
      <c r="AR371" s="227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>
        <v>50.7</v>
      </c>
      <c r="BT371"/>
      <c r="BU371">
        <v>16.440000000000001</v>
      </c>
      <c r="BV371"/>
      <c r="BW371" s="229"/>
      <c r="BX371"/>
      <c r="BY371"/>
      <c r="BZ371"/>
      <c r="CA371"/>
      <c r="CB371" s="136"/>
      <c r="CC371"/>
      <c r="CD371"/>
      <c r="CE371">
        <v>5.82</v>
      </c>
      <c r="CF371"/>
      <c r="CG371">
        <v>0.19</v>
      </c>
      <c r="CH371"/>
      <c r="CI371"/>
      <c r="CJ371"/>
      <c r="CK371" t="s">
        <v>8820</v>
      </c>
      <c r="CL371"/>
      <c r="CM371"/>
    </row>
    <row r="372" spans="1:91" s="242" customFormat="1" ht="15">
      <c r="A372" s="364" t="s">
        <v>7778</v>
      </c>
      <c r="B372" t="s">
        <v>267</v>
      </c>
      <c r="C372" t="s">
        <v>413</v>
      </c>
      <c r="D372">
        <v>173</v>
      </c>
      <c r="E372" s="113">
        <v>65</v>
      </c>
      <c r="F372" s="113">
        <v>1</v>
      </c>
      <c r="G372" s="113"/>
      <c r="H372" s="113"/>
      <c r="I372"/>
      <c r="J372" s="112"/>
      <c r="K372" s="224">
        <v>6</v>
      </c>
      <c r="L372" s="390">
        <v>41625</v>
      </c>
      <c r="M372"/>
      <c r="N372" s="224"/>
      <c r="O372"/>
      <c r="P372"/>
      <c r="Q372"/>
      <c r="R372" s="153"/>
      <c r="S372" s="224"/>
      <c r="T372" s="224"/>
      <c r="U372"/>
      <c r="V372"/>
      <c r="W372"/>
      <c r="X372"/>
      <c r="Y372" s="225"/>
      <c r="Z372" s="224"/>
      <c r="AA372" s="226"/>
      <c r="AB372" s="224"/>
      <c r="AC372" s="225"/>
      <c r="AD372" s="224"/>
      <c r="AE372" s="224"/>
      <c r="AF372" s="224"/>
      <c r="AG372">
        <v>4.08</v>
      </c>
      <c r="AH372"/>
      <c r="AI372">
        <v>140</v>
      </c>
      <c r="AJ372" s="194">
        <v>41785</v>
      </c>
      <c r="AK372"/>
      <c r="AL372"/>
      <c r="AM372"/>
      <c r="AN372"/>
      <c r="AO372"/>
      <c r="AP372"/>
      <c r="AQ372" s="227"/>
      <c r="AR372" s="227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>
        <v>52</v>
      </c>
      <c r="BT372"/>
      <c r="BU372">
        <v>16.54</v>
      </c>
      <c r="BV372"/>
      <c r="BW372" s="229"/>
      <c r="BX372"/>
      <c r="BY372"/>
      <c r="BZ372"/>
      <c r="CA372"/>
      <c r="CB372" s="136"/>
      <c r="CC372"/>
      <c r="CD372"/>
      <c r="CE372">
        <v>5.05</v>
      </c>
      <c r="CF372"/>
      <c r="CG372">
        <v>0.57999999999999996</v>
      </c>
      <c r="CH372"/>
      <c r="CI372"/>
      <c r="CJ372"/>
      <c r="CK372" t="s">
        <v>8820</v>
      </c>
      <c r="CL372"/>
      <c r="CM372"/>
    </row>
    <row r="373" spans="1:91" s="242" customFormat="1" ht="15">
      <c r="A373" s="364" t="s">
        <v>7780</v>
      </c>
      <c r="B373" t="s">
        <v>267</v>
      </c>
      <c r="C373" t="s">
        <v>413</v>
      </c>
      <c r="D373">
        <v>175</v>
      </c>
      <c r="E373" s="113">
        <v>44</v>
      </c>
      <c r="F373" s="113">
        <v>6</v>
      </c>
      <c r="G373" s="113"/>
      <c r="H373" s="113"/>
      <c r="I373"/>
      <c r="J373" s="112"/>
      <c r="K373" s="224">
        <v>7</v>
      </c>
      <c r="L373" s="390">
        <v>41625</v>
      </c>
      <c r="M373"/>
      <c r="N373" s="224"/>
      <c r="O373"/>
      <c r="P373"/>
      <c r="Q373"/>
      <c r="R373" s="153"/>
      <c r="S373" s="224"/>
      <c r="T373" s="224"/>
      <c r="U373"/>
      <c r="V373"/>
      <c r="W373"/>
      <c r="X373"/>
      <c r="Y373" s="225"/>
      <c r="Z373" s="224"/>
      <c r="AA373" s="226"/>
      <c r="AB373" s="224"/>
      <c r="AC373" s="225"/>
      <c r="AD373" s="224"/>
      <c r="AE373" s="224"/>
      <c r="AF373" s="224"/>
      <c r="AG373">
        <v>4.38</v>
      </c>
      <c r="AH373"/>
      <c r="AI373">
        <v>140</v>
      </c>
      <c r="AJ373" s="194">
        <v>41785</v>
      </c>
      <c r="AK373"/>
      <c r="AL373"/>
      <c r="AM373"/>
      <c r="AN373"/>
      <c r="AO373"/>
      <c r="AP373"/>
      <c r="AQ373" s="227"/>
      <c r="AR373" s="227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>
        <v>52.1</v>
      </c>
      <c r="BT373"/>
      <c r="BU373">
        <v>15.86</v>
      </c>
      <c r="BV373"/>
      <c r="BW373" s="229"/>
      <c r="BX373"/>
      <c r="BY373"/>
      <c r="BZ373"/>
      <c r="CA373"/>
      <c r="CB373" s="136"/>
      <c r="CC373"/>
      <c r="CD373"/>
      <c r="CE373">
        <v>5.74</v>
      </c>
      <c r="CF373"/>
      <c r="CG373">
        <v>0.38</v>
      </c>
      <c r="CH373"/>
      <c r="CI373"/>
      <c r="CJ373"/>
      <c r="CK373" t="s">
        <v>8820</v>
      </c>
      <c r="CL373"/>
      <c r="CM373"/>
    </row>
    <row r="374" spans="1:91" s="242" customFormat="1" ht="15">
      <c r="A374" s="364" t="s">
        <v>7782</v>
      </c>
      <c r="B374" t="s">
        <v>267</v>
      </c>
      <c r="C374" t="s">
        <v>413</v>
      </c>
      <c r="D374">
        <v>177</v>
      </c>
      <c r="E374" s="113">
        <v>52</v>
      </c>
      <c r="F374" s="113">
        <v>1</v>
      </c>
      <c r="G374" s="233"/>
      <c r="H374" s="233"/>
      <c r="I374" s="232"/>
      <c r="J374" s="234"/>
      <c r="K374" s="235">
        <v>6</v>
      </c>
      <c r="L374" s="390">
        <v>41625</v>
      </c>
      <c r="M374" s="232"/>
      <c r="N374" s="235"/>
      <c r="O374" s="232"/>
      <c r="P374" s="232"/>
      <c r="Q374" s="232"/>
      <c r="R374" s="236"/>
      <c r="S374" s="235"/>
      <c r="T374" s="235"/>
      <c r="U374" s="232"/>
      <c r="V374" s="232"/>
      <c r="W374" s="232"/>
      <c r="X374" s="232"/>
      <c r="Y374" s="237"/>
      <c r="Z374" s="235"/>
      <c r="AA374" s="238"/>
      <c r="AB374" s="235"/>
      <c r="AC374" s="237"/>
      <c r="AD374" s="235"/>
      <c r="AE374" s="235"/>
      <c r="AF374" s="235"/>
      <c r="AG374" s="232">
        <v>3.88</v>
      </c>
      <c r="AH374" s="232"/>
      <c r="AI374" s="232">
        <v>115</v>
      </c>
      <c r="AJ374" s="194">
        <v>41785</v>
      </c>
      <c r="AK374" s="232"/>
      <c r="AL374" s="232"/>
      <c r="AM374" s="232"/>
      <c r="AN374" s="232"/>
      <c r="AO374" s="232"/>
      <c r="AP374" s="232"/>
      <c r="AQ374" s="239"/>
      <c r="AR374" s="239"/>
      <c r="AS374" s="232"/>
      <c r="AT374" s="232"/>
      <c r="AU374" s="232"/>
      <c r="AV374" s="232"/>
      <c r="AW374" s="232"/>
      <c r="AX374" s="232"/>
      <c r="AY374" s="232"/>
      <c r="AZ374" s="232"/>
      <c r="BA374" s="232"/>
      <c r="BB374" s="232"/>
      <c r="BC374" s="232"/>
      <c r="BD374" s="232"/>
      <c r="BE374" s="232"/>
      <c r="BF374" s="232"/>
      <c r="BG374" s="232"/>
      <c r="BH374" s="232"/>
      <c r="BI374" s="232"/>
      <c r="BJ374" s="232"/>
      <c r="BK374" s="232"/>
      <c r="BL374" s="232"/>
      <c r="BM374" s="232"/>
      <c r="BN374" s="232"/>
      <c r="BO374" s="232"/>
      <c r="BP374" s="232"/>
      <c r="BQ374" s="232"/>
      <c r="BR374" s="232"/>
      <c r="BS374" s="232">
        <v>52</v>
      </c>
      <c r="BT374" s="232"/>
      <c r="BU374" s="232">
        <v>17.25</v>
      </c>
      <c r="BV374" s="232"/>
      <c r="BW374" s="240"/>
      <c r="BX374" s="232"/>
      <c r="BY374" s="232"/>
      <c r="BZ374" s="232"/>
      <c r="CA374" s="232"/>
      <c r="CB374" s="241"/>
      <c r="CC374" s="232"/>
      <c r="CD374" s="232"/>
      <c r="CE374" s="232">
        <v>4.5599999999999996</v>
      </c>
      <c r="CF374" s="232"/>
      <c r="CG374" s="232">
        <v>0.78</v>
      </c>
      <c r="CH374" s="232"/>
      <c r="CI374" s="232"/>
      <c r="CJ374" s="232"/>
      <c r="CK374" t="s">
        <v>8820</v>
      </c>
      <c r="CL374" s="232"/>
      <c r="CM374" s="232"/>
    </row>
    <row r="375" spans="1:91" s="242" customFormat="1" ht="15">
      <c r="A375" s="364" t="s">
        <v>7783</v>
      </c>
      <c r="B375" t="s">
        <v>267</v>
      </c>
      <c r="C375" t="s">
        <v>413</v>
      </c>
      <c r="D375">
        <v>178</v>
      </c>
      <c r="E375" s="113">
        <v>69</v>
      </c>
      <c r="F375" s="113">
        <v>4</v>
      </c>
      <c r="G375" s="233"/>
      <c r="H375" s="233"/>
      <c r="I375" s="232"/>
      <c r="J375" s="234"/>
      <c r="K375" s="235">
        <v>6</v>
      </c>
      <c r="L375" s="390">
        <v>41625</v>
      </c>
      <c r="M375" s="232"/>
      <c r="N375" s="235"/>
      <c r="O375" s="232"/>
      <c r="P375" s="232"/>
      <c r="Q375" s="232"/>
      <c r="R375" s="236"/>
      <c r="S375" s="235"/>
      <c r="T375" s="235"/>
      <c r="U375" s="232"/>
      <c r="V375" s="232"/>
      <c r="W375" s="232"/>
      <c r="X375" s="232"/>
      <c r="Y375" s="237"/>
      <c r="Z375" s="235"/>
      <c r="AA375" s="238"/>
      <c r="AB375" s="235"/>
      <c r="AC375" s="237"/>
      <c r="AD375" s="235"/>
      <c r="AE375" s="235"/>
      <c r="AF375" s="235"/>
      <c r="AG375" s="232">
        <v>4.79</v>
      </c>
      <c r="AH375" s="232"/>
      <c r="AI375" s="232">
        <v>140</v>
      </c>
      <c r="AJ375" s="194">
        <v>41785</v>
      </c>
      <c r="AK375" s="232"/>
      <c r="AL375" s="232"/>
      <c r="AM375" s="232"/>
      <c r="AN375" s="232"/>
      <c r="AO375" s="232"/>
      <c r="AP375" s="232"/>
      <c r="AQ375" s="239"/>
      <c r="AR375" s="239"/>
      <c r="AS375" s="232"/>
      <c r="AT375" s="232"/>
      <c r="AU375" s="232"/>
      <c r="AV375" s="232"/>
      <c r="AW375" s="232"/>
      <c r="AX375" s="232"/>
      <c r="AY375" s="232"/>
      <c r="AZ375" s="232"/>
      <c r="BA375" s="232"/>
      <c r="BB375" s="232"/>
      <c r="BC375" s="232"/>
      <c r="BD375" s="232"/>
      <c r="BE375" s="232"/>
      <c r="BF375" s="232"/>
      <c r="BG375" s="232"/>
      <c r="BH375" s="232"/>
      <c r="BI375" s="232"/>
      <c r="BJ375" s="232"/>
      <c r="BK375" s="232"/>
      <c r="BL375" s="232"/>
      <c r="BM375" s="232"/>
      <c r="BN375" s="232"/>
      <c r="BO375" s="232"/>
      <c r="BP375" s="232"/>
      <c r="BQ375" s="232"/>
      <c r="BR375" s="232"/>
      <c r="BS375" s="232">
        <v>53.4</v>
      </c>
      <c r="BT375" s="232"/>
      <c r="BU375" s="232">
        <v>16.18</v>
      </c>
      <c r="BV375" s="232"/>
      <c r="BW375" s="240"/>
      <c r="BX375" s="232"/>
      <c r="BY375" s="232"/>
      <c r="BZ375" s="232"/>
      <c r="CA375" s="232"/>
      <c r="CB375" s="241"/>
      <c r="CC375" s="232"/>
      <c r="CD375" s="232"/>
      <c r="CE375" s="232">
        <v>5.05</v>
      </c>
      <c r="CF375" s="232"/>
      <c r="CG375" s="232">
        <v>0.2</v>
      </c>
      <c r="CH375" s="232"/>
      <c r="CI375" s="232"/>
      <c r="CJ375" s="232"/>
      <c r="CK375" t="s">
        <v>8820</v>
      </c>
      <c r="CL375" s="232"/>
      <c r="CM375" s="232"/>
    </row>
    <row r="376" spans="1:91" s="242" customFormat="1" ht="15">
      <c r="A376" s="364" t="s">
        <v>7784</v>
      </c>
      <c r="B376" t="s">
        <v>267</v>
      </c>
      <c r="C376" t="s">
        <v>413</v>
      </c>
      <c r="D376">
        <v>179</v>
      </c>
      <c r="E376" s="113">
        <v>44</v>
      </c>
      <c r="F376" s="113">
        <v>2</v>
      </c>
      <c r="G376" s="113"/>
      <c r="H376" s="113"/>
      <c r="I376"/>
      <c r="J376" s="112"/>
      <c r="K376" s="224">
        <v>7</v>
      </c>
      <c r="L376" s="390">
        <v>41625</v>
      </c>
      <c r="M376"/>
      <c r="N376" s="224"/>
      <c r="O376"/>
      <c r="P376"/>
      <c r="Q376"/>
      <c r="R376" s="153"/>
      <c r="S376" s="224"/>
      <c r="T376" s="224"/>
      <c r="U376"/>
      <c r="V376"/>
      <c r="W376"/>
      <c r="X376"/>
      <c r="Y376" s="225"/>
      <c r="Z376" s="224"/>
      <c r="AA376" s="226"/>
      <c r="AB376" s="224"/>
      <c r="AC376" s="225"/>
      <c r="AD376" s="224"/>
      <c r="AE376" s="224"/>
      <c r="AF376" s="224"/>
      <c r="AG376">
        <v>4.13</v>
      </c>
      <c r="AH376"/>
      <c r="AI376">
        <v>155</v>
      </c>
      <c r="AJ376" s="194">
        <v>41785</v>
      </c>
      <c r="AK376"/>
      <c r="AL376"/>
      <c r="AM376"/>
      <c r="AN376"/>
      <c r="AO376"/>
      <c r="AP376"/>
      <c r="AQ376" s="227"/>
      <c r="AR376" s="227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>
        <v>53.5</v>
      </c>
      <c r="BT376"/>
      <c r="BU376">
        <v>15.79</v>
      </c>
      <c r="BV376"/>
      <c r="BW376" s="229"/>
      <c r="BX376"/>
      <c r="BY376"/>
      <c r="BZ376"/>
      <c r="CA376"/>
      <c r="CB376" s="136"/>
      <c r="CC376"/>
      <c r="CD376"/>
      <c r="CE376">
        <v>5.32</v>
      </c>
      <c r="CF376"/>
      <c r="CG376">
        <v>0.2</v>
      </c>
      <c r="CH376"/>
      <c r="CI376"/>
      <c r="CJ376"/>
      <c r="CK376" t="s">
        <v>8820</v>
      </c>
      <c r="CL376"/>
      <c r="CM376"/>
    </row>
    <row r="377" spans="1:91" s="242" customFormat="1" ht="15.75" thickBot="1">
      <c r="A377" s="364" t="s">
        <v>7785</v>
      </c>
      <c r="B377" s="344" t="s">
        <v>267</v>
      </c>
      <c r="C377" s="344" t="s">
        <v>413</v>
      </c>
      <c r="D377">
        <v>180</v>
      </c>
      <c r="E377" s="113">
        <v>58</v>
      </c>
      <c r="F377" s="113">
        <v>2</v>
      </c>
      <c r="G377" s="113"/>
      <c r="H377" s="113"/>
      <c r="I377"/>
      <c r="J377" s="112"/>
      <c r="K377" s="224">
        <v>6</v>
      </c>
      <c r="L377" s="390">
        <v>41625</v>
      </c>
      <c r="M377"/>
      <c r="N377" s="224"/>
      <c r="O377"/>
      <c r="P377"/>
      <c r="Q377"/>
      <c r="R377" s="153"/>
      <c r="S377" s="224"/>
      <c r="T377" s="224"/>
      <c r="U377"/>
      <c r="V377"/>
      <c r="W377"/>
      <c r="X377"/>
      <c r="Y377" s="225"/>
      <c r="Z377" s="224"/>
      <c r="AA377" s="226"/>
      <c r="AB377" s="224"/>
      <c r="AC377" s="225"/>
      <c r="AD377" s="224"/>
      <c r="AE377" s="224"/>
      <c r="AF377" s="224"/>
      <c r="AG377">
        <v>4.5</v>
      </c>
      <c r="AH377"/>
      <c r="AI377">
        <v>135</v>
      </c>
      <c r="AJ377" s="194">
        <v>41785</v>
      </c>
      <c r="AK377"/>
      <c r="AL377"/>
      <c r="AM377"/>
      <c r="AN377"/>
      <c r="AO377"/>
      <c r="AP377"/>
      <c r="AQ377" s="227"/>
      <c r="AR377" s="22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>
        <v>52.5</v>
      </c>
      <c r="BT377"/>
      <c r="BU377">
        <v>15.51</v>
      </c>
      <c r="BV377"/>
      <c r="BW377" s="229"/>
      <c r="BX377"/>
      <c r="BY377"/>
      <c r="BZ377"/>
      <c r="CA377"/>
      <c r="CB377" s="136"/>
      <c r="CC377"/>
      <c r="CD377"/>
      <c r="CE377">
        <v>3.76</v>
      </c>
      <c r="CF377"/>
      <c r="CG377">
        <v>0.78</v>
      </c>
      <c r="CH377"/>
      <c r="CI377"/>
      <c r="CJ377"/>
      <c r="CK377" t="s">
        <v>8820</v>
      </c>
      <c r="CL377"/>
      <c r="CM377"/>
    </row>
    <row r="378" spans="1:91" s="242" customFormat="1" ht="15">
      <c r="A378" s="364" t="s">
        <v>7786</v>
      </c>
      <c r="B378" t="s">
        <v>267</v>
      </c>
      <c r="C378" t="s">
        <v>413</v>
      </c>
      <c r="D378">
        <v>181</v>
      </c>
      <c r="E378" s="113">
        <v>59</v>
      </c>
      <c r="F378" s="113">
        <v>3</v>
      </c>
      <c r="G378" s="113"/>
      <c r="H378" s="113"/>
      <c r="I378"/>
      <c r="J378" s="112"/>
      <c r="K378" s="224">
        <v>7</v>
      </c>
      <c r="L378" s="390">
        <v>41625</v>
      </c>
      <c r="M378"/>
      <c r="N378" s="224"/>
      <c r="O378"/>
      <c r="P378"/>
      <c r="Q378"/>
      <c r="R378" s="153"/>
      <c r="S378" s="224"/>
      <c r="T378" s="224"/>
      <c r="U378"/>
      <c r="V378"/>
      <c r="W378"/>
      <c r="X378"/>
      <c r="Y378" s="225"/>
      <c r="Z378" s="224"/>
      <c r="AA378" s="226"/>
      <c r="AB378" s="224"/>
      <c r="AC378" s="225"/>
      <c r="AD378" s="224"/>
      <c r="AE378" s="224"/>
      <c r="AF378" s="224"/>
      <c r="AG378">
        <v>3.94</v>
      </c>
      <c r="AH378"/>
      <c r="AI378">
        <v>140</v>
      </c>
      <c r="AJ378" s="194">
        <v>41785</v>
      </c>
      <c r="AK378"/>
      <c r="AL378"/>
      <c r="AM378"/>
      <c r="AN378"/>
      <c r="AO378"/>
      <c r="AP378"/>
      <c r="AQ378" s="227"/>
      <c r="AR378" s="227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>
        <v>53.7</v>
      </c>
      <c r="BT378"/>
      <c r="BU378">
        <v>16.12</v>
      </c>
      <c r="BV378"/>
      <c r="BW378" s="229"/>
      <c r="BX378"/>
      <c r="BY378"/>
      <c r="BZ378"/>
      <c r="CA378"/>
      <c r="CB378" s="136"/>
      <c r="CC378"/>
      <c r="CD378"/>
      <c r="CE378">
        <v>3.57</v>
      </c>
      <c r="CF378"/>
      <c r="CG378">
        <v>1.06</v>
      </c>
      <c r="CH378"/>
      <c r="CI378"/>
      <c r="CJ378"/>
      <c r="CK378" t="s">
        <v>8820</v>
      </c>
      <c r="CL378"/>
      <c r="CM378"/>
    </row>
    <row r="379" spans="1:91" s="242" customFormat="1" ht="15">
      <c r="A379" s="364" t="s">
        <v>7787</v>
      </c>
      <c r="B379" t="s">
        <v>267</v>
      </c>
      <c r="C379" t="s">
        <v>413</v>
      </c>
      <c r="D379">
        <v>182</v>
      </c>
      <c r="E379" s="113">
        <v>47</v>
      </c>
      <c r="F379" s="113">
        <v>5</v>
      </c>
      <c r="G379" s="113"/>
      <c r="H379" s="113"/>
      <c r="I379"/>
      <c r="J379" s="112"/>
      <c r="K379" s="224">
        <v>7</v>
      </c>
      <c r="L379" s="390">
        <v>41625</v>
      </c>
      <c r="M379"/>
      <c r="N379" s="224"/>
      <c r="O379"/>
      <c r="P379"/>
      <c r="Q379"/>
      <c r="R379" s="153"/>
      <c r="S379" s="224"/>
      <c r="T379" s="224"/>
      <c r="U379"/>
      <c r="V379"/>
      <c r="W379"/>
      <c r="X379"/>
      <c r="Y379" s="225"/>
      <c r="Z379" s="224"/>
      <c r="AA379" s="226"/>
      <c r="AB379" s="224"/>
      <c r="AC379" s="225"/>
      <c r="AD379" s="224"/>
      <c r="AE379" s="224"/>
      <c r="AF379" s="224"/>
      <c r="AG379">
        <v>5.15</v>
      </c>
      <c r="AH379"/>
      <c r="AI379">
        <v>125</v>
      </c>
      <c r="AJ379" s="194">
        <v>41785</v>
      </c>
      <c r="AK379"/>
      <c r="AL379"/>
      <c r="AM379"/>
      <c r="AN379"/>
      <c r="AO379"/>
      <c r="AP379"/>
      <c r="AQ379" s="227"/>
      <c r="AR379" s="227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>
        <v>51.8</v>
      </c>
      <c r="BT379"/>
      <c r="BU379">
        <v>17.84</v>
      </c>
      <c r="BV379"/>
      <c r="BW379" s="229"/>
      <c r="BX379"/>
      <c r="BY379"/>
      <c r="BZ379"/>
      <c r="CA379"/>
      <c r="CB379" s="136"/>
      <c r="CC379"/>
      <c r="CD379"/>
      <c r="CE379">
        <v>6.09</v>
      </c>
      <c r="CF379"/>
      <c r="CG379">
        <v>0.19</v>
      </c>
      <c r="CH379"/>
      <c r="CI379"/>
      <c r="CJ379"/>
      <c r="CK379" t="s">
        <v>8820</v>
      </c>
      <c r="CL379"/>
      <c r="CM379"/>
    </row>
    <row r="380" spans="1:91" s="242" customFormat="1" ht="15">
      <c r="A380" s="364" t="s">
        <v>7788</v>
      </c>
      <c r="B380" t="s">
        <v>267</v>
      </c>
      <c r="C380" t="s">
        <v>413</v>
      </c>
      <c r="D380" s="232">
        <v>183</v>
      </c>
      <c r="E380" s="113">
        <v>69</v>
      </c>
      <c r="F380" s="113">
        <v>5</v>
      </c>
      <c r="G380" s="113"/>
      <c r="H380" s="113"/>
      <c r="I380"/>
      <c r="J380" s="112"/>
      <c r="K380" s="224">
        <v>7</v>
      </c>
      <c r="L380" s="390">
        <v>41625</v>
      </c>
      <c r="M380"/>
      <c r="N380" s="224"/>
      <c r="O380"/>
      <c r="P380"/>
      <c r="Q380"/>
      <c r="R380" s="153"/>
      <c r="S380" s="224"/>
      <c r="T380" s="224"/>
      <c r="U380"/>
      <c r="V380"/>
      <c r="W380"/>
      <c r="X380"/>
      <c r="Y380" s="225"/>
      <c r="Z380" s="224"/>
      <c r="AA380" s="226"/>
      <c r="AB380" s="224"/>
      <c r="AC380" s="225"/>
      <c r="AD380" s="224"/>
      <c r="AE380" s="224"/>
      <c r="AF380" s="224"/>
      <c r="AG380">
        <v>4.0599999999999996</v>
      </c>
      <c r="AH380"/>
      <c r="AI380">
        <v>150</v>
      </c>
      <c r="AJ380" s="194">
        <v>41785</v>
      </c>
      <c r="AK380"/>
      <c r="AL380"/>
      <c r="AM380"/>
      <c r="AN380"/>
      <c r="AO380"/>
      <c r="AP380"/>
      <c r="AQ380" s="227"/>
      <c r="AR380" s="227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>
        <v>53.6</v>
      </c>
      <c r="BT380"/>
      <c r="BU380">
        <v>17.2</v>
      </c>
      <c r="BV380"/>
      <c r="BW380" s="229"/>
      <c r="BX380"/>
      <c r="BY380"/>
      <c r="BZ380"/>
      <c r="CA380"/>
      <c r="CB380" s="136"/>
      <c r="CC380"/>
      <c r="CD380"/>
      <c r="CE380">
        <v>6.56</v>
      </c>
      <c r="CF380"/>
      <c r="CG380">
        <v>0.48</v>
      </c>
      <c r="CH380"/>
      <c r="CI380"/>
      <c r="CJ380"/>
      <c r="CK380" t="s">
        <v>8820</v>
      </c>
      <c r="CL380"/>
      <c r="CM380"/>
    </row>
    <row r="381" spans="1:91" s="242" customFormat="1" ht="15">
      <c r="A381" s="364" t="s">
        <v>7789</v>
      </c>
      <c r="B381" t="s">
        <v>267</v>
      </c>
      <c r="C381" t="s">
        <v>413</v>
      </c>
      <c r="D381">
        <v>184</v>
      </c>
      <c r="E381" s="113">
        <v>71</v>
      </c>
      <c r="F381" s="113">
        <v>6</v>
      </c>
      <c r="G381" s="113"/>
      <c r="H381" s="113"/>
      <c r="I381"/>
      <c r="J381" s="112"/>
      <c r="K381" s="224">
        <v>7</v>
      </c>
      <c r="L381" s="390">
        <v>41625</v>
      </c>
      <c r="M381"/>
      <c r="N381" s="224"/>
      <c r="O381"/>
      <c r="P381"/>
      <c r="Q381"/>
      <c r="R381" s="153"/>
      <c r="S381" s="224"/>
      <c r="T381" s="224"/>
      <c r="U381"/>
      <c r="V381"/>
      <c r="W381"/>
      <c r="X381"/>
      <c r="Y381" s="225"/>
      <c r="Z381" s="224"/>
      <c r="AA381" s="226"/>
      <c r="AB381" s="224"/>
      <c r="AC381" s="225"/>
      <c r="AD381" s="224"/>
      <c r="AE381" s="224"/>
      <c r="AF381" s="224"/>
      <c r="AG381">
        <v>4.8499999999999996</v>
      </c>
      <c r="AH381"/>
      <c r="AI381">
        <v>130</v>
      </c>
      <c r="AJ381" s="194">
        <v>41785</v>
      </c>
      <c r="AK381"/>
      <c r="AL381"/>
      <c r="AM381"/>
      <c r="AN381"/>
      <c r="AO381"/>
      <c r="AP381"/>
      <c r="AQ381" s="227"/>
      <c r="AR381" s="227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>
        <v>51.3</v>
      </c>
      <c r="BT381"/>
      <c r="BU381">
        <v>18.2</v>
      </c>
      <c r="BV381"/>
      <c r="BW381" s="229"/>
      <c r="BX381"/>
      <c r="BY381"/>
      <c r="BZ381"/>
      <c r="CA381"/>
      <c r="CB381" s="136"/>
      <c r="CC381"/>
      <c r="CD381"/>
      <c r="CE381">
        <v>5.16</v>
      </c>
      <c r="CF381"/>
      <c r="CG381">
        <v>0.2</v>
      </c>
      <c r="CH381"/>
      <c r="CI381"/>
      <c r="CJ381"/>
      <c r="CK381" t="s">
        <v>8820</v>
      </c>
      <c r="CL381"/>
      <c r="CM381"/>
    </row>
    <row r="382" spans="1:91" s="242" customFormat="1" ht="15">
      <c r="A382" s="364" t="s">
        <v>7790</v>
      </c>
      <c r="B382" t="s">
        <v>267</v>
      </c>
      <c r="C382" t="s">
        <v>413</v>
      </c>
      <c r="D382">
        <v>185</v>
      </c>
      <c r="E382" s="113">
        <v>68</v>
      </c>
      <c r="F382" s="113">
        <v>6</v>
      </c>
      <c r="G382" s="113"/>
      <c r="H382" s="113"/>
      <c r="I382"/>
      <c r="J382" s="112"/>
      <c r="K382" s="224">
        <v>6</v>
      </c>
      <c r="L382" s="390">
        <v>41625</v>
      </c>
      <c r="M382"/>
      <c r="N382" s="224"/>
      <c r="O382"/>
      <c r="P382"/>
      <c r="Q382"/>
      <c r="R382" s="153"/>
      <c r="S382" s="224"/>
      <c r="T382" s="224"/>
      <c r="U382"/>
      <c r="V382"/>
      <c r="W382"/>
      <c r="X382"/>
      <c r="Y382" s="225"/>
      <c r="Z382" s="224"/>
      <c r="AA382" s="226"/>
      <c r="AB382" s="224"/>
      <c r="AC382" s="225"/>
      <c r="AD382" s="224"/>
      <c r="AE382" s="224"/>
      <c r="AF382" s="224"/>
      <c r="AG382">
        <v>4.29</v>
      </c>
      <c r="AH382"/>
      <c r="AI382">
        <v>130</v>
      </c>
      <c r="AJ382" s="194">
        <v>41785</v>
      </c>
      <c r="AK382"/>
      <c r="AL382"/>
      <c r="AM382"/>
      <c r="AN382"/>
      <c r="AO382"/>
      <c r="AP382"/>
      <c r="AQ382" s="227"/>
      <c r="AR382" s="227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>
        <v>52.3</v>
      </c>
      <c r="BT382"/>
      <c r="BU382">
        <v>15.93</v>
      </c>
      <c r="BV382"/>
      <c r="BW382" s="229"/>
      <c r="BX382"/>
      <c r="BY382"/>
      <c r="BZ382"/>
      <c r="CA382"/>
      <c r="CB382" s="136"/>
      <c r="CC382"/>
      <c r="CD382"/>
      <c r="CE382">
        <v>5.58</v>
      </c>
      <c r="CF382"/>
      <c r="CG382">
        <v>0.19</v>
      </c>
      <c r="CH382"/>
      <c r="CI382"/>
      <c r="CJ382"/>
      <c r="CK382" t="s">
        <v>8820</v>
      </c>
      <c r="CL382"/>
      <c r="CM382"/>
    </row>
    <row r="383" spans="1:91" s="242" customFormat="1" ht="15">
      <c r="A383" s="364" t="s">
        <v>7791</v>
      </c>
      <c r="B383" t="s">
        <v>267</v>
      </c>
      <c r="C383" t="s">
        <v>413</v>
      </c>
      <c r="D383">
        <v>186</v>
      </c>
      <c r="E383" s="113">
        <v>39</v>
      </c>
      <c r="F383" s="113">
        <v>6</v>
      </c>
      <c r="G383" s="113"/>
      <c r="H383" s="113"/>
      <c r="I383"/>
      <c r="J383" s="112"/>
      <c r="K383" s="224">
        <v>6</v>
      </c>
      <c r="L383" s="390">
        <v>41625</v>
      </c>
      <c r="M383"/>
      <c r="N383" s="224"/>
      <c r="O383"/>
      <c r="P383"/>
      <c r="Q383"/>
      <c r="R383" s="153"/>
      <c r="S383" s="224"/>
      <c r="T383" s="224"/>
      <c r="U383"/>
      <c r="V383"/>
      <c r="W383"/>
      <c r="X383"/>
      <c r="Y383" s="225"/>
      <c r="Z383" s="224"/>
      <c r="AA383" s="226"/>
      <c r="AB383" s="224"/>
      <c r="AC383" s="225"/>
      <c r="AD383" s="224"/>
      <c r="AE383" s="224"/>
      <c r="AF383" s="224"/>
      <c r="AG383">
        <v>4.5599999999999996</v>
      </c>
      <c r="AH383"/>
      <c r="AI383">
        <v>150</v>
      </c>
      <c r="AJ383" s="194">
        <v>41785</v>
      </c>
      <c r="AK383"/>
      <c r="AL383"/>
      <c r="AM383"/>
      <c r="AN383"/>
      <c r="AO383"/>
      <c r="AP383"/>
      <c r="AQ383" s="227"/>
      <c r="AR383" s="227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>
        <v>51.6</v>
      </c>
      <c r="BT383"/>
      <c r="BU383">
        <v>16.559999999999999</v>
      </c>
      <c r="BV383"/>
      <c r="BW383" s="229"/>
      <c r="BX383"/>
      <c r="BY383"/>
      <c r="BZ383"/>
      <c r="CA383"/>
      <c r="CB383" s="136"/>
      <c r="CC383"/>
      <c r="CD383"/>
      <c r="CE383">
        <v>4.5999999999999996</v>
      </c>
      <c r="CF383"/>
      <c r="CG383">
        <v>0.28999999999999998</v>
      </c>
      <c r="CH383"/>
      <c r="CI383"/>
      <c r="CJ383"/>
      <c r="CK383" t="s">
        <v>8820</v>
      </c>
      <c r="CL383"/>
      <c r="CM383"/>
    </row>
    <row r="384" spans="1:91" s="242" customFormat="1" ht="15">
      <c r="A384" s="364" t="s">
        <v>7792</v>
      </c>
      <c r="B384" t="s">
        <v>267</v>
      </c>
      <c r="C384" t="s">
        <v>413</v>
      </c>
      <c r="D384">
        <v>187</v>
      </c>
      <c r="E384" s="113">
        <v>43</v>
      </c>
      <c r="F384" s="113">
        <v>1</v>
      </c>
      <c r="G384" s="113"/>
      <c r="H384" s="113"/>
      <c r="I384"/>
      <c r="J384" s="112"/>
      <c r="K384" s="224">
        <v>6</v>
      </c>
      <c r="L384" s="390">
        <v>41625</v>
      </c>
      <c r="M384"/>
      <c r="N384" s="224"/>
      <c r="O384"/>
      <c r="P384"/>
      <c r="Q384"/>
      <c r="R384" s="153"/>
      <c r="S384" s="224"/>
      <c r="T384" s="224"/>
      <c r="U384"/>
      <c r="V384"/>
      <c r="W384"/>
      <c r="X384"/>
      <c r="Y384" s="225"/>
      <c r="Z384" s="224"/>
      <c r="AA384" s="226"/>
      <c r="AB384" s="224"/>
      <c r="AC384" s="225"/>
      <c r="AD384" s="224"/>
      <c r="AE384" s="224"/>
      <c r="AF384" s="224"/>
      <c r="AG384">
        <v>4.21</v>
      </c>
      <c r="AH384"/>
      <c r="AI384">
        <v>135</v>
      </c>
      <c r="AJ384" s="194">
        <v>41785</v>
      </c>
      <c r="AK384"/>
      <c r="AL384"/>
      <c r="AM384"/>
      <c r="AN384"/>
      <c r="AO384"/>
      <c r="AP384"/>
      <c r="AQ384" s="227"/>
      <c r="AR384" s="227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>
        <v>52.2</v>
      </c>
      <c r="BT384"/>
      <c r="BU384">
        <v>17.52</v>
      </c>
      <c r="BV384"/>
      <c r="BW384" s="229"/>
      <c r="BX384"/>
      <c r="BY384"/>
      <c r="BZ384"/>
      <c r="CA384"/>
      <c r="CB384" s="136"/>
      <c r="CC384"/>
      <c r="CD384"/>
      <c r="CE384">
        <v>5.7</v>
      </c>
      <c r="CF384"/>
      <c r="CG384">
        <v>0.1</v>
      </c>
      <c r="CH384"/>
      <c r="CI384"/>
      <c r="CJ384"/>
      <c r="CK384" t="s">
        <v>8820</v>
      </c>
      <c r="CL384"/>
      <c r="CM384"/>
    </row>
    <row r="385" spans="1:91" s="242" customFormat="1" ht="15">
      <c r="A385" s="364" t="s">
        <v>7793</v>
      </c>
      <c r="B385" t="s">
        <v>267</v>
      </c>
      <c r="C385" t="s">
        <v>413</v>
      </c>
      <c r="D385">
        <v>188</v>
      </c>
      <c r="E385" s="113">
        <v>55</v>
      </c>
      <c r="F385" s="113">
        <v>4</v>
      </c>
      <c r="G385" s="113"/>
      <c r="H385" s="113"/>
      <c r="I385"/>
      <c r="J385" s="112"/>
      <c r="K385" s="224">
        <v>7</v>
      </c>
      <c r="L385" s="390">
        <v>41625</v>
      </c>
      <c r="M385"/>
      <c r="N385" s="224"/>
      <c r="O385"/>
      <c r="P385"/>
      <c r="Q385"/>
      <c r="R385" s="153"/>
      <c r="S385" s="224"/>
      <c r="T385" s="224"/>
      <c r="U385"/>
      <c r="V385"/>
      <c r="W385"/>
      <c r="X385"/>
      <c r="Y385" s="225"/>
      <c r="Z385" s="224"/>
      <c r="AA385" s="226"/>
      <c r="AB385" s="224"/>
      <c r="AC385" s="225"/>
      <c r="AD385" s="224"/>
      <c r="AE385" s="224"/>
      <c r="AF385" s="224"/>
      <c r="AG385">
        <v>3.91</v>
      </c>
      <c r="AH385"/>
      <c r="AI385">
        <v>150</v>
      </c>
      <c r="AJ385" s="194">
        <v>41785</v>
      </c>
      <c r="AK385"/>
      <c r="AL385"/>
      <c r="AM385"/>
      <c r="AN385"/>
      <c r="AO385"/>
      <c r="AP385"/>
      <c r="AQ385" s="227"/>
      <c r="AR385" s="227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>
        <v>54.5</v>
      </c>
      <c r="BT385"/>
      <c r="BU385">
        <v>15.22</v>
      </c>
      <c r="BV385"/>
      <c r="BW385" s="229"/>
      <c r="BX385"/>
      <c r="BY385"/>
      <c r="BZ385"/>
      <c r="CA385"/>
      <c r="CB385" s="136"/>
      <c r="CC385"/>
      <c r="CD385"/>
      <c r="CE385">
        <v>3.63</v>
      </c>
      <c r="CF385"/>
      <c r="CG385">
        <v>0.57999999999999996</v>
      </c>
      <c r="CH385"/>
      <c r="CI385"/>
      <c r="CJ385"/>
      <c r="CK385" t="s">
        <v>8820</v>
      </c>
      <c r="CL385"/>
      <c r="CM385"/>
    </row>
    <row r="386" spans="1:91" s="242" customFormat="1" ht="15">
      <c r="A386" s="364" t="s">
        <v>7794</v>
      </c>
      <c r="B386" t="s">
        <v>267</v>
      </c>
      <c r="C386" t="s">
        <v>413</v>
      </c>
      <c r="D386">
        <v>189</v>
      </c>
      <c r="E386" s="113">
        <v>49</v>
      </c>
      <c r="F386" s="113">
        <v>6</v>
      </c>
      <c r="G386" s="113"/>
      <c r="H386" s="113"/>
      <c r="I386"/>
      <c r="J386" s="112"/>
      <c r="K386" s="224">
        <v>7</v>
      </c>
      <c r="L386" s="390">
        <v>41625</v>
      </c>
      <c r="M386"/>
      <c r="N386" s="224"/>
      <c r="O386"/>
      <c r="P386"/>
      <c r="Q386"/>
      <c r="R386" s="153"/>
      <c r="S386" s="224"/>
      <c r="T386" s="224"/>
      <c r="U386"/>
      <c r="V386"/>
      <c r="W386"/>
      <c r="X386"/>
      <c r="Y386" s="225"/>
      <c r="Z386" s="224"/>
      <c r="AA386" s="226"/>
      <c r="AB386" s="224"/>
      <c r="AC386" s="225"/>
      <c r="AD386" s="224"/>
      <c r="AE386" s="224"/>
      <c r="AF386" s="224"/>
      <c r="AG386">
        <v>3.77</v>
      </c>
      <c r="AH386"/>
      <c r="AI386">
        <v>135</v>
      </c>
      <c r="AJ386" s="194">
        <v>41785</v>
      </c>
      <c r="AK386"/>
      <c r="AL386"/>
      <c r="AM386"/>
      <c r="AN386"/>
      <c r="AO386"/>
      <c r="AP386"/>
      <c r="AQ386" s="227"/>
      <c r="AR386" s="227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>
        <v>53.8</v>
      </c>
      <c r="BT386"/>
      <c r="BU386">
        <v>15.64</v>
      </c>
      <c r="BV386"/>
      <c r="BW386" s="229"/>
      <c r="BX386"/>
      <c r="BY386"/>
      <c r="BZ386"/>
      <c r="CA386"/>
      <c r="CB386" s="136"/>
      <c r="CC386"/>
      <c r="CD386"/>
      <c r="CE386">
        <v>4.4800000000000004</v>
      </c>
      <c r="CF386"/>
      <c r="CG386">
        <v>0.28999999999999998</v>
      </c>
      <c r="CH386"/>
      <c r="CI386"/>
      <c r="CJ386"/>
      <c r="CK386" t="s">
        <v>8820</v>
      </c>
      <c r="CL386"/>
      <c r="CM386"/>
    </row>
    <row r="387" spans="1:91" s="242" customFormat="1" ht="15">
      <c r="A387" s="364" t="s">
        <v>7795</v>
      </c>
      <c r="B387" t="s">
        <v>267</v>
      </c>
      <c r="C387" t="s">
        <v>413</v>
      </c>
      <c r="D387">
        <v>190</v>
      </c>
      <c r="E387" s="113">
        <v>56</v>
      </c>
      <c r="F387" s="113">
        <v>2</v>
      </c>
      <c r="G387" s="233"/>
      <c r="H387" s="233"/>
      <c r="I387" s="232"/>
      <c r="J387" s="234"/>
      <c r="K387" s="235">
        <v>6</v>
      </c>
      <c r="L387" s="390">
        <v>41625</v>
      </c>
      <c r="M387" s="232"/>
      <c r="N387" s="235"/>
      <c r="O387" s="232"/>
      <c r="P387" s="232"/>
      <c r="Q387" s="232"/>
      <c r="R387" s="236"/>
      <c r="S387" s="235"/>
      <c r="T387" s="235"/>
      <c r="U387" s="232"/>
      <c r="V387" s="232"/>
      <c r="W387" s="232"/>
      <c r="X387" s="232"/>
      <c r="Y387" s="237"/>
      <c r="Z387" s="235"/>
      <c r="AA387" s="238"/>
      <c r="AB387" s="235"/>
      <c r="AC387" s="237"/>
      <c r="AD387" s="235"/>
      <c r="AE387" s="235"/>
      <c r="AF387" s="235"/>
      <c r="AG387" s="232">
        <v>3.9</v>
      </c>
      <c r="AH387" s="232"/>
      <c r="AI387" s="232">
        <v>140</v>
      </c>
      <c r="AJ387" s="194">
        <v>41785</v>
      </c>
      <c r="AK387" s="232"/>
      <c r="AL387" s="232"/>
      <c r="AM387" s="232"/>
      <c r="AN387" s="232"/>
      <c r="AO387" s="232"/>
      <c r="AP387" s="232"/>
      <c r="AQ387" s="239"/>
      <c r="AR387" s="239"/>
      <c r="AS387" s="232"/>
      <c r="AT387" s="232"/>
      <c r="AU387" s="232"/>
      <c r="AV387" s="232"/>
      <c r="AW387" s="232"/>
      <c r="AX387" s="232"/>
      <c r="AY387" s="232"/>
      <c r="AZ387" s="232"/>
      <c r="BA387" s="232"/>
      <c r="BB387" s="232"/>
      <c r="BC387" s="232"/>
      <c r="BD387" s="232"/>
      <c r="BE387" s="232"/>
      <c r="BF387" s="232"/>
      <c r="BG387" s="232"/>
      <c r="BH387" s="232"/>
      <c r="BI387" s="232"/>
      <c r="BJ387" s="232"/>
      <c r="BK387" s="232"/>
      <c r="BL387" s="232"/>
      <c r="BM387" s="232"/>
      <c r="BN387" s="232"/>
      <c r="BO387" s="232"/>
      <c r="BP387" s="232"/>
      <c r="BQ387" s="232"/>
      <c r="BR387" s="232"/>
      <c r="BS387" s="232">
        <v>53.1</v>
      </c>
      <c r="BT387" s="232"/>
      <c r="BU387" s="232">
        <v>15.53</v>
      </c>
      <c r="BV387" s="232"/>
      <c r="BW387" s="240"/>
      <c r="BX387" s="232"/>
      <c r="BY387" s="232"/>
      <c r="BZ387" s="232"/>
      <c r="CA387" s="232"/>
      <c r="CB387" s="241"/>
      <c r="CC387" s="232"/>
      <c r="CD387" s="232"/>
      <c r="CE387" s="232">
        <v>4.1399999999999997</v>
      </c>
      <c r="CF387" s="232"/>
      <c r="CG387" s="232">
        <v>0.28999999999999998</v>
      </c>
      <c r="CH387" s="232"/>
      <c r="CI387" s="232"/>
      <c r="CJ387" s="232"/>
      <c r="CK387" t="s">
        <v>8820</v>
      </c>
      <c r="CL387" s="232"/>
      <c r="CM387" s="232"/>
    </row>
    <row r="388" spans="1:91" s="242" customFormat="1" ht="15">
      <c r="A388" s="364" t="s">
        <v>7796</v>
      </c>
      <c r="B388" t="s">
        <v>267</v>
      </c>
      <c r="C388" t="s">
        <v>413</v>
      </c>
      <c r="D388">
        <v>191</v>
      </c>
      <c r="E388" s="113">
        <v>47</v>
      </c>
      <c r="F388" s="113">
        <v>3</v>
      </c>
      <c r="G388" s="113"/>
      <c r="H388" s="113"/>
      <c r="I388"/>
      <c r="J388" s="112"/>
      <c r="K388" s="224">
        <v>7</v>
      </c>
      <c r="L388" s="390">
        <v>41625</v>
      </c>
      <c r="M388"/>
      <c r="N388" s="224"/>
      <c r="O388"/>
      <c r="P388"/>
      <c r="Q388"/>
      <c r="R388" s="153"/>
      <c r="S388" s="224"/>
      <c r="T388" s="224"/>
      <c r="U388"/>
      <c r="V388"/>
      <c r="W388"/>
      <c r="X388"/>
      <c r="Y388" s="225"/>
      <c r="Z388" s="224"/>
      <c r="AA388" s="226"/>
      <c r="AB388" s="224"/>
      <c r="AC388" s="225"/>
      <c r="AD388" s="224"/>
      <c r="AE388" s="224"/>
      <c r="AF388" s="224"/>
      <c r="AG388">
        <v>3.36</v>
      </c>
      <c r="AH388"/>
      <c r="AI388">
        <v>140</v>
      </c>
      <c r="AJ388" s="194">
        <v>41785</v>
      </c>
      <c r="AK388"/>
      <c r="AL388"/>
      <c r="AM388"/>
      <c r="AN388"/>
      <c r="AO388"/>
      <c r="AP388"/>
      <c r="AQ388" s="227"/>
      <c r="AR388" s="227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>
        <v>53.1</v>
      </c>
      <c r="BT388"/>
      <c r="BU388">
        <v>16.670000000000002</v>
      </c>
      <c r="BV388"/>
      <c r="BW388" s="229"/>
      <c r="BX388"/>
      <c r="BY388"/>
      <c r="BZ388"/>
      <c r="CA388"/>
      <c r="CB388" s="136"/>
      <c r="CC388"/>
      <c r="CD388"/>
      <c r="CE388">
        <v>5.65</v>
      </c>
      <c r="CF388"/>
      <c r="CG388">
        <v>0.1</v>
      </c>
      <c r="CH388"/>
      <c r="CI388"/>
      <c r="CJ388"/>
      <c r="CK388" t="s">
        <v>8820</v>
      </c>
      <c r="CL388"/>
      <c r="CM388"/>
    </row>
    <row r="389" spans="1:91" s="242" customFormat="1" ht="15">
      <c r="A389" s="364" t="s">
        <v>7797</v>
      </c>
      <c r="B389" t="s">
        <v>267</v>
      </c>
      <c r="C389" t="s">
        <v>413</v>
      </c>
      <c r="D389">
        <v>192</v>
      </c>
      <c r="E389" s="113">
        <v>48</v>
      </c>
      <c r="F389" s="113">
        <v>3</v>
      </c>
      <c r="G389" s="113"/>
      <c r="H389" s="113"/>
      <c r="I389"/>
      <c r="J389" s="112"/>
      <c r="K389" s="224">
        <v>6</v>
      </c>
      <c r="L389" s="390">
        <v>41625</v>
      </c>
      <c r="M389"/>
      <c r="N389" s="224"/>
      <c r="O389"/>
      <c r="P389"/>
      <c r="Q389"/>
      <c r="R389" s="153"/>
      <c r="S389" s="224"/>
      <c r="T389" s="224"/>
      <c r="U389"/>
      <c r="V389"/>
      <c r="W389"/>
      <c r="X389"/>
      <c r="Y389" s="225"/>
      <c r="Z389" s="224"/>
      <c r="AA389" s="226"/>
      <c r="AB389" s="224"/>
      <c r="AC389" s="225"/>
      <c r="AD389" s="224"/>
      <c r="AE389" s="224"/>
      <c r="AF389" s="224"/>
      <c r="AG389">
        <v>4.13</v>
      </c>
      <c r="AH389"/>
      <c r="AI389">
        <v>120</v>
      </c>
      <c r="AJ389" s="194">
        <v>41785</v>
      </c>
      <c r="AK389"/>
      <c r="AL389"/>
      <c r="AM389"/>
      <c r="AN389"/>
      <c r="AO389"/>
      <c r="AP389"/>
      <c r="AQ389" s="227"/>
      <c r="AR389" s="227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>
        <v>53.1</v>
      </c>
      <c r="BT389"/>
      <c r="BU389">
        <v>15.38</v>
      </c>
      <c r="BV389"/>
      <c r="BW389" s="229"/>
      <c r="BX389"/>
      <c r="BY389"/>
      <c r="BZ389"/>
      <c r="CA389"/>
      <c r="CB389" s="136"/>
      <c r="CC389"/>
      <c r="CD389"/>
      <c r="CE389">
        <v>5.69</v>
      </c>
      <c r="CF389"/>
      <c r="CG389">
        <v>0.1</v>
      </c>
      <c r="CH389"/>
      <c r="CI389"/>
      <c r="CJ389"/>
      <c r="CK389" t="s">
        <v>8820</v>
      </c>
      <c r="CL389"/>
      <c r="CM389"/>
    </row>
    <row r="390" spans="1:91" s="242" customFormat="1" ht="15">
      <c r="A390" s="364" t="s">
        <v>7798</v>
      </c>
      <c r="B390" t="s">
        <v>267</v>
      </c>
      <c r="C390" t="s">
        <v>413</v>
      </c>
      <c r="D390">
        <v>193</v>
      </c>
      <c r="E390" s="113">
        <v>56</v>
      </c>
      <c r="F390" s="113">
        <v>1</v>
      </c>
      <c r="G390" s="113"/>
      <c r="H390" s="113"/>
      <c r="I390"/>
      <c r="J390" s="112"/>
      <c r="K390" s="224">
        <v>7</v>
      </c>
      <c r="L390" s="390">
        <v>41625</v>
      </c>
      <c r="M390"/>
      <c r="N390" s="224"/>
      <c r="O390"/>
      <c r="P390"/>
      <c r="Q390"/>
      <c r="R390" s="153"/>
      <c r="S390" s="224"/>
      <c r="T390" s="224"/>
      <c r="U390"/>
      <c r="V390"/>
      <c r="W390"/>
      <c r="X390"/>
      <c r="Y390" s="225"/>
      <c r="Z390" s="224"/>
      <c r="AA390" s="226"/>
      <c r="AB390" s="224"/>
      <c r="AC390" s="225"/>
      <c r="AD390" s="224"/>
      <c r="AE390" s="224"/>
      <c r="AF390" s="224"/>
      <c r="AG390">
        <v>4.71</v>
      </c>
      <c r="AH390"/>
      <c r="AI390">
        <v>140</v>
      </c>
      <c r="AJ390" s="194">
        <v>41785</v>
      </c>
      <c r="AK390"/>
      <c r="AL390"/>
      <c r="AM390"/>
      <c r="AN390"/>
      <c r="AO390"/>
      <c r="AP390"/>
      <c r="AQ390" s="227"/>
      <c r="AR390" s="227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>
        <v>54</v>
      </c>
      <c r="BT390"/>
      <c r="BU390">
        <v>16.420000000000002</v>
      </c>
      <c r="BV390"/>
      <c r="BW390"/>
      <c r="BX390" s="228"/>
      <c r="BY390"/>
      <c r="BZ390"/>
      <c r="CA390"/>
      <c r="CB390" s="136"/>
      <c r="CC390"/>
      <c r="CD390"/>
      <c r="CE390">
        <v>4.1500000000000004</v>
      </c>
      <c r="CF390"/>
      <c r="CG390">
        <v>0.38</v>
      </c>
      <c r="CH390"/>
      <c r="CI390"/>
      <c r="CJ390"/>
      <c r="CK390" t="s">
        <v>8820</v>
      </c>
      <c r="CL390"/>
      <c r="CM390"/>
    </row>
    <row r="391" spans="1:91" s="242" customFormat="1" ht="15">
      <c r="A391" s="364" t="s">
        <v>7799</v>
      </c>
      <c r="B391" t="s">
        <v>267</v>
      </c>
      <c r="C391" t="s">
        <v>413</v>
      </c>
      <c r="D391" s="232">
        <v>194</v>
      </c>
      <c r="E391" s="113">
        <v>54</v>
      </c>
      <c r="F391" s="113">
        <v>1</v>
      </c>
      <c r="G391" s="233"/>
      <c r="H391" s="233"/>
      <c r="I391" s="232"/>
      <c r="J391" s="234"/>
      <c r="K391" s="235">
        <v>6</v>
      </c>
      <c r="L391" s="390">
        <v>41625</v>
      </c>
      <c r="M391" s="232"/>
      <c r="N391" s="235"/>
      <c r="O391" s="232"/>
      <c r="P391" s="232"/>
      <c r="Q391" s="232"/>
      <c r="R391" s="236"/>
      <c r="S391" s="235"/>
      <c r="T391" s="235"/>
      <c r="U391" s="232"/>
      <c r="V391" s="232"/>
      <c r="W391" s="232"/>
      <c r="X391" s="232"/>
      <c r="Y391" s="237"/>
      <c r="Z391" s="235"/>
      <c r="AA391" s="238"/>
      <c r="AB391" s="235"/>
      <c r="AC391" s="237"/>
      <c r="AD391" s="235"/>
      <c r="AE391" s="235"/>
      <c r="AF391" s="235"/>
      <c r="AG391" s="232">
        <v>4.12</v>
      </c>
      <c r="AH391" s="232"/>
      <c r="AI391" s="232">
        <v>125</v>
      </c>
      <c r="AJ391" s="194">
        <v>41785</v>
      </c>
      <c r="AK391" s="232"/>
      <c r="AL391" s="232"/>
      <c r="AM391" s="232"/>
      <c r="AN391" s="232"/>
      <c r="AO391" s="232"/>
      <c r="AP391" s="232"/>
      <c r="AQ391" s="239"/>
      <c r="AR391" s="239"/>
      <c r="AS391" s="232"/>
      <c r="AT391" s="232"/>
      <c r="AU391" s="232"/>
      <c r="AV391" s="232"/>
      <c r="AW391" s="232"/>
      <c r="AX391" s="232"/>
      <c r="AY391" s="232"/>
      <c r="AZ391" s="232"/>
      <c r="BA391" s="232"/>
      <c r="BB391" s="232"/>
      <c r="BC391" s="232"/>
      <c r="BD391" s="232"/>
      <c r="BE391" s="232"/>
      <c r="BF391" s="232"/>
      <c r="BG391" s="232"/>
      <c r="BH391" s="232"/>
      <c r="BI391" s="232"/>
      <c r="BJ391" s="232"/>
      <c r="BK391" s="232"/>
      <c r="BL391" s="232"/>
      <c r="BM391" s="232"/>
      <c r="BN391" s="232"/>
      <c r="BO391" s="232"/>
      <c r="BP391" s="232"/>
      <c r="BQ391" s="232"/>
      <c r="BR391" s="232"/>
      <c r="BS391" s="232">
        <v>53.7</v>
      </c>
      <c r="BT391" s="232"/>
      <c r="BU391" s="232">
        <v>15.64</v>
      </c>
      <c r="BV391" s="232"/>
      <c r="BW391" s="240"/>
      <c r="BX391" s="232"/>
      <c r="BY391" s="232"/>
      <c r="BZ391" s="232"/>
      <c r="CA391" s="232"/>
      <c r="CB391" s="241"/>
      <c r="CC391" s="232"/>
      <c r="CD391" s="232"/>
      <c r="CE391" s="232">
        <v>3.56</v>
      </c>
      <c r="CF391" s="232"/>
      <c r="CG391" s="232">
        <v>0.48</v>
      </c>
      <c r="CH391" s="232"/>
      <c r="CI391" s="232"/>
      <c r="CJ391" s="232"/>
      <c r="CK391" t="s">
        <v>8820</v>
      </c>
      <c r="CL391" s="232"/>
      <c r="CM391" s="232"/>
    </row>
    <row r="392" spans="1:91" s="242" customFormat="1" ht="15">
      <c r="A392" s="364" t="s">
        <v>7800</v>
      </c>
      <c r="B392" t="s">
        <v>267</v>
      </c>
      <c r="C392" t="s">
        <v>413</v>
      </c>
      <c r="D392">
        <v>195</v>
      </c>
      <c r="E392" s="113">
        <v>62</v>
      </c>
      <c r="F392" s="113">
        <v>2</v>
      </c>
      <c r="G392" s="113"/>
      <c r="H392" s="113"/>
      <c r="I392"/>
      <c r="J392" s="112"/>
      <c r="K392" s="224">
        <v>7</v>
      </c>
      <c r="L392" s="390">
        <v>41625</v>
      </c>
      <c r="M392"/>
      <c r="N392" s="224"/>
      <c r="O392"/>
      <c r="P392"/>
      <c r="Q392"/>
      <c r="R392" s="153"/>
      <c r="S392" s="224"/>
      <c r="T392" s="224"/>
      <c r="U392"/>
      <c r="V392"/>
      <c r="W392"/>
      <c r="X392"/>
      <c r="Y392" s="225"/>
      <c r="Z392" s="224"/>
      <c r="AA392" s="226"/>
      <c r="AB392" s="224"/>
      <c r="AC392" s="225"/>
      <c r="AD392" s="224"/>
      <c r="AE392" s="224"/>
      <c r="AF392" s="224"/>
      <c r="AG392">
        <v>4.2300000000000004</v>
      </c>
      <c r="AH392"/>
      <c r="AI392">
        <v>145</v>
      </c>
      <c r="AJ392" s="194">
        <v>41785</v>
      </c>
      <c r="AK392"/>
      <c r="AL392"/>
      <c r="AM392"/>
      <c r="AN392"/>
      <c r="AO392"/>
      <c r="AP392"/>
      <c r="AQ392" s="227"/>
      <c r="AR392" s="227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>
        <v>52.3</v>
      </c>
      <c r="BT392"/>
      <c r="BU392">
        <v>15.6</v>
      </c>
      <c r="BV392"/>
      <c r="BW392" s="229"/>
      <c r="BX392"/>
      <c r="BY392"/>
      <c r="BZ392"/>
      <c r="CA392"/>
      <c r="CB392" s="136"/>
      <c r="CC392"/>
      <c r="CD392"/>
      <c r="CE392">
        <v>6.57</v>
      </c>
      <c r="CF392"/>
      <c r="CG392">
        <v>0.68</v>
      </c>
      <c r="CH392"/>
      <c r="CI392"/>
      <c r="CJ392"/>
      <c r="CK392" t="s">
        <v>8820</v>
      </c>
      <c r="CL392"/>
      <c r="CM392"/>
    </row>
    <row r="393" spans="1:91" s="242" customFormat="1" ht="15">
      <c r="A393" s="364" t="s">
        <v>7801</v>
      </c>
      <c r="B393" t="s">
        <v>267</v>
      </c>
      <c r="C393" t="s">
        <v>413</v>
      </c>
      <c r="D393">
        <v>196</v>
      </c>
      <c r="E393" s="113">
        <v>61</v>
      </c>
      <c r="F393" s="113">
        <v>2</v>
      </c>
      <c r="G393" s="113"/>
      <c r="H393" s="113"/>
      <c r="I393"/>
      <c r="J393" s="112"/>
      <c r="K393" s="224">
        <v>7</v>
      </c>
      <c r="L393" s="390">
        <v>41625</v>
      </c>
      <c r="M393"/>
      <c r="N393" s="224"/>
      <c r="O393"/>
      <c r="P393"/>
      <c r="Q393"/>
      <c r="R393" s="153"/>
      <c r="S393" s="224"/>
      <c r="T393" s="224"/>
      <c r="U393"/>
      <c r="V393"/>
      <c r="W393"/>
      <c r="X393"/>
      <c r="Y393" s="225"/>
      <c r="Z393" s="224"/>
      <c r="AA393" s="226"/>
      <c r="AB393" s="224"/>
      <c r="AC393" s="225"/>
      <c r="AD393" s="224"/>
      <c r="AE393" s="224"/>
      <c r="AF393" s="224"/>
      <c r="AG393">
        <v>4.5</v>
      </c>
      <c r="AH393"/>
      <c r="AI393">
        <v>140</v>
      </c>
      <c r="AJ393" s="194">
        <v>41785</v>
      </c>
      <c r="AK393"/>
      <c r="AL393"/>
      <c r="AM393"/>
      <c r="AN393"/>
      <c r="AO393"/>
      <c r="AP393"/>
      <c r="AQ393" s="227"/>
      <c r="AR393" s="227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>
        <v>53.6</v>
      </c>
      <c r="BT393"/>
      <c r="BU393">
        <v>15.58</v>
      </c>
      <c r="BV393"/>
      <c r="BW393" s="229"/>
      <c r="BX393"/>
      <c r="BY393"/>
      <c r="BZ393"/>
      <c r="CA393"/>
      <c r="CB393" s="136"/>
      <c r="CC393"/>
      <c r="CD393"/>
      <c r="CE393">
        <v>3.93</v>
      </c>
      <c r="CF393"/>
      <c r="CG393">
        <v>0.39</v>
      </c>
      <c r="CH393"/>
      <c r="CI393"/>
      <c r="CJ393"/>
      <c r="CK393" t="s">
        <v>8820</v>
      </c>
      <c r="CL393"/>
      <c r="CM393"/>
    </row>
    <row r="394" spans="1:91" s="242" customFormat="1" ht="15">
      <c r="A394" s="364" t="s">
        <v>7802</v>
      </c>
      <c r="B394" t="s">
        <v>267</v>
      </c>
      <c r="C394" t="s">
        <v>413</v>
      </c>
      <c r="D394">
        <v>197</v>
      </c>
      <c r="E394" s="113">
        <v>51</v>
      </c>
      <c r="F394" s="113">
        <v>2</v>
      </c>
      <c r="G394" s="113"/>
      <c r="H394" s="113"/>
      <c r="I394"/>
      <c r="J394" s="112"/>
      <c r="K394" s="224">
        <v>6</v>
      </c>
      <c r="L394" s="390">
        <v>41625</v>
      </c>
      <c r="M394"/>
      <c r="N394" s="224"/>
      <c r="O394"/>
      <c r="P394"/>
      <c r="Q394"/>
      <c r="R394" s="153"/>
      <c r="S394" s="224"/>
      <c r="T394" s="224"/>
      <c r="U394"/>
      <c r="V394"/>
      <c r="W394"/>
      <c r="X394"/>
      <c r="Y394" s="225"/>
      <c r="Z394" s="224"/>
      <c r="AA394" s="226"/>
      <c r="AB394" s="224"/>
      <c r="AC394" s="225"/>
      <c r="AD394" s="224"/>
      <c r="AE394" s="224"/>
      <c r="AF394" s="224"/>
      <c r="AG394">
        <v>4.18</v>
      </c>
      <c r="AH394"/>
      <c r="AI394">
        <v>140</v>
      </c>
      <c r="AJ394" s="194">
        <v>41785</v>
      </c>
      <c r="AK394"/>
      <c r="AL394"/>
      <c r="AM394"/>
      <c r="AN394"/>
      <c r="AO394"/>
      <c r="AP394"/>
      <c r="AQ394" s="227"/>
      <c r="AR394" s="227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>
        <v>53.6</v>
      </c>
      <c r="BT394"/>
      <c r="BU394">
        <v>16.05</v>
      </c>
      <c r="BV394"/>
      <c r="BW394" s="229"/>
      <c r="BX394"/>
      <c r="BY394"/>
      <c r="BZ394"/>
      <c r="CA394"/>
      <c r="CB394" s="136"/>
      <c r="CC394"/>
      <c r="CD394"/>
      <c r="CE394">
        <v>4.3</v>
      </c>
      <c r="CF394"/>
      <c r="CG394">
        <v>0.48</v>
      </c>
      <c r="CH394"/>
      <c r="CI394"/>
      <c r="CJ394"/>
      <c r="CK394" t="s">
        <v>8820</v>
      </c>
      <c r="CL394"/>
      <c r="CM394"/>
    </row>
    <row r="395" spans="1:91" s="242" customFormat="1" ht="15">
      <c r="A395" s="364" t="s">
        <v>7803</v>
      </c>
      <c r="B395" t="s">
        <v>267</v>
      </c>
      <c r="C395" t="s">
        <v>413</v>
      </c>
      <c r="D395">
        <v>198</v>
      </c>
      <c r="E395" s="113">
        <v>49</v>
      </c>
      <c r="F395" s="113">
        <v>4</v>
      </c>
      <c r="G395" s="113"/>
      <c r="H395" s="113"/>
      <c r="I395"/>
      <c r="J395" s="112"/>
      <c r="K395" s="224">
        <v>7</v>
      </c>
      <c r="L395" s="390">
        <v>41625</v>
      </c>
      <c r="M395"/>
      <c r="N395" s="224"/>
      <c r="O395"/>
      <c r="P395"/>
      <c r="Q395"/>
      <c r="R395" s="153"/>
      <c r="S395" s="224"/>
      <c r="T395" s="224"/>
      <c r="U395"/>
      <c r="V395"/>
      <c r="W395"/>
      <c r="X395"/>
      <c r="Y395" s="225"/>
      <c r="Z395" s="224"/>
      <c r="AA395" s="226"/>
      <c r="AB395" s="224"/>
      <c r="AC395" s="225"/>
      <c r="AD395" s="224"/>
      <c r="AE395" s="224"/>
      <c r="AF395" s="224"/>
      <c r="AG395">
        <v>4.45</v>
      </c>
      <c r="AH395"/>
      <c r="AI395">
        <v>130</v>
      </c>
      <c r="AJ395" s="194">
        <v>41785</v>
      </c>
      <c r="AK395"/>
      <c r="AL395"/>
      <c r="AM395"/>
      <c r="AN395"/>
      <c r="AO395"/>
      <c r="AP395"/>
      <c r="AQ395" s="227"/>
      <c r="AR395" s="227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>
        <v>53</v>
      </c>
      <c r="BT395"/>
      <c r="BU395">
        <v>16.32</v>
      </c>
      <c r="BV395"/>
      <c r="BW395" s="229"/>
      <c r="BX395"/>
      <c r="BY395"/>
      <c r="BZ395"/>
      <c r="CA395"/>
      <c r="CB395" s="136"/>
      <c r="CC395"/>
      <c r="CD395"/>
      <c r="CE395">
        <v>3.66</v>
      </c>
      <c r="CF395"/>
      <c r="CG395">
        <v>0.48</v>
      </c>
      <c r="CH395"/>
      <c r="CI395"/>
      <c r="CJ395"/>
      <c r="CK395" t="s">
        <v>8820</v>
      </c>
      <c r="CL395"/>
      <c r="CM395"/>
    </row>
    <row r="396" spans="1:91" s="242" customFormat="1" ht="15">
      <c r="A396" s="364" t="s">
        <v>7804</v>
      </c>
      <c r="B396" t="s">
        <v>267</v>
      </c>
      <c r="C396" t="s">
        <v>413</v>
      </c>
      <c r="D396">
        <v>199</v>
      </c>
      <c r="E396" s="113">
        <v>52</v>
      </c>
      <c r="F396" s="113">
        <v>3</v>
      </c>
      <c r="G396" s="113"/>
      <c r="H396" s="113"/>
      <c r="I396"/>
      <c r="J396" s="112"/>
      <c r="K396" s="224">
        <v>7</v>
      </c>
      <c r="L396" s="390">
        <v>41625</v>
      </c>
      <c r="M396"/>
      <c r="N396" s="224"/>
      <c r="O396"/>
      <c r="P396"/>
      <c r="Q396"/>
      <c r="R396" s="153"/>
      <c r="S396" s="224"/>
      <c r="T396" s="224"/>
      <c r="U396"/>
      <c r="V396"/>
      <c r="W396"/>
      <c r="X396"/>
      <c r="Y396" s="225"/>
      <c r="Z396" s="224"/>
      <c r="AA396" s="226"/>
      <c r="AB396" s="224"/>
      <c r="AC396" s="225"/>
      <c r="AD396" s="224"/>
      <c r="AE396" s="224"/>
      <c r="AF396" s="224"/>
      <c r="AG396">
        <v>4.0199999999999996</v>
      </c>
      <c r="AH396"/>
      <c r="AI396">
        <v>140</v>
      </c>
      <c r="AJ396" s="194">
        <v>41785</v>
      </c>
      <c r="AK396"/>
      <c r="AL396"/>
      <c r="AM396"/>
      <c r="AN396"/>
      <c r="AO396"/>
      <c r="AP396"/>
      <c r="AQ396" s="227"/>
      <c r="AR396" s="227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>
        <v>51.9</v>
      </c>
      <c r="BT396"/>
      <c r="BU396">
        <v>16.91</v>
      </c>
      <c r="BV396"/>
      <c r="BW396" s="229"/>
      <c r="BX396"/>
      <c r="BY396"/>
      <c r="BZ396"/>
      <c r="CA396"/>
      <c r="CB396" s="136"/>
      <c r="CC396"/>
      <c r="CD396"/>
      <c r="CE396">
        <v>4.4800000000000004</v>
      </c>
      <c r="CF396"/>
      <c r="CG396">
        <v>0.39</v>
      </c>
      <c r="CH396"/>
      <c r="CI396"/>
      <c r="CJ396"/>
      <c r="CK396" t="s">
        <v>8820</v>
      </c>
      <c r="CL396"/>
      <c r="CM396"/>
    </row>
    <row r="397" spans="1:91" s="242" customFormat="1" ht="15">
      <c r="A397" s="364" t="s">
        <v>7805</v>
      </c>
      <c r="B397" t="s">
        <v>267</v>
      </c>
      <c r="C397" t="s">
        <v>413</v>
      </c>
      <c r="D397">
        <v>200</v>
      </c>
      <c r="E397" s="113">
        <v>71</v>
      </c>
      <c r="F397" s="113">
        <v>3</v>
      </c>
      <c r="G397" s="113"/>
      <c r="H397" s="113"/>
      <c r="I397"/>
      <c r="J397" s="112"/>
      <c r="K397" s="224">
        <v>7</v>
      </c>
      <c r="L397" s="390">
        <v>41625</v>
      </c>
      <c r="M397"/>
      <c r="N397" s="224"/>
      <c r="O397"/>
      <c r="P397"/>
      <c r="Q397"/>
      <c r="R397" s="153"/>
      <c r="S397" s="224"/>
      <c r="T397" s="224"/>
      <c r="U397"/>
      <c r="V397"/>
      <c r="W397"/>
      <c r="X397"/>
      <c r="Y397" s="225"/>
      <c r="Z397" s="224"/>
      <c r="AA397" s="226"/>
      <c r="AB397" s="224"/>
      <c r="AC397" s="225"/>
      <c r="AD397" s="224"/>
      <c r="AE397" s="224"/>
      <c r="AF397" s="224"/>
      <c r="AG397">
        <v>3.32</v>
      </c>
      <c r="AH397"/>
      <c r="AI397">
        <v>140</v>
      </c>
      <c r="AJ397" s="194">
        <v>41785</v>
      </c>
      <c r="AK397"/>
      <c r="AL397"/>
      <c r="AM397"/>
      <c r="AN397"/>
      <c r="AO397"/>
      <c r="AP397"/>
      <c r="AQ397" s="227"/>
      <c r="AR397" s="22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>
        <v>52.7</v>
      </c>
      <c r="BT397"/>
      <c r="BU397">
        <v>16.86</v>
      </c>
      <c r="BV397"/>
      <c r="BW397" s="229"/>
      <c r="BX397"/>
      <c r="BY397"/>
      <c r="BZ397"/>
      <c r="CA397"/>
      <c r="CB397" s="136"/>
      <c r="CC397"/>
      <c r="CD397"/>
      <c r="CE397">
        <v>5.15</v>
      </c>
      <c r="CF397"/>
      <c r="CG397">
        <v>0.19</v>
      </c>
      <c r="CH397"/>
      <c r="CI397"/>
      <c r="CJ397"/>
      <c r="CK397" t="s">
        <v>8820</v>
      </c>
      <c r="CL397"/>
      <c r="CM397"/>
    </row>
    <row r="398" spans="1:91" s="242" customFormat="1" ht="15">
      <c r="A398" s="364" t="s">
        <v>7806</v>
      </c>
      <c r="B398" t="s">
        <v>267</v>
      </c>
      <c r="C398" t="s">
        <v>413</v>
      </c>
      <c r="D398">
        <v>201</v>
      </c>
      <c r="E398" s="113">
        <v>57</v>
      </c>
      <c r="F398" s="113">
        <v>2</v>
      </c>
      <c r="G398" s="113"/>
      <c r="H398" s="113"/>
      <c r="I398"/>
      <c r="J398" s="112"/>
      <c r="K398" s="224">
        <v>7</v>
      </c>
      <c r="L398" s="390">
        <v>41625</v>
      </c>
      <c r="M398"/>
      <c r="N398" s="224"/>
      <c r="O398"/>
      <c r="P398"/>
      <c r="Q398"/>
      <c r="R398" s="153"/>
      <c r="S398" s="224"/>
      <c r="T398" s="224"/>
      <c r="U398"/>
      <c r="V398"/>
      <c r="W398"/>
      <c r="X398"/>
      <c r="Y398" s="225"/>
      <c r="Z398" s="224"/>
      <c r="AA398" s="226"/>
      <c r="AB398" s="224"/>
      <c r="AC398" s="225"/>
      <c r="AD398" s="224"/>
      <c r="AE398" s="224"/>
      <c r="AF398" s="224"/>
      <c r="AG398">
        <v>3.97</v>
      </c>
      <c r="AH398"/>
      <c r="AI398">
        <v>140</v>
      </c>
      <c r="AJ398" s="194">
        <v>41785</v>
      </c>
      <c r="AK398"/>
      <c r="AL398"/>
      <c r="AM398"/>
      <c r="AN398"/>
      <c r="AO398"/>
      <c r="AP398"/>
      <c r="AQ398" s="227"/>
      <c r="AR398" s="227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>
        <v>52.5</v>
      </c>
      <c r="BT398"/>
      <c r="BU398">
        <v>16.440000000000001</v>
      </c>
      <c r="BV398"/>
      <c r="BW398" s="229"/>
      <c r="BX398"/>
      <c r="BY398"/>
      <c r="BZ398"/>
      <c r="CA398"/>
      <c r="CB398" s="136"/>
      <c r="CC398"/>
      <c r="CD398"/>
      <c r="CE398">
        <v>4.0999999999999996</v>
      </c>
      <c r="CF398"/>
      <c r="CG398">
        <v>0.38</v>
      </c>
      <c r="CH398"/>
      <c r="CI398"/>
      <c r="CJ398"/>
      <c r="CK398" t="s">
        <v>8820</v>
      </c>
      <c r="CL398"/>
      <c r="CM398"/>
    </row>
    <row r="399" spans="1:91" s="242" customFormat="1" ht="15">
      <c r="A399" s="364" t="s">
        <v>7807</v>
      </c>
      <c r="B399" t="s">
        <v>267</v>
      </c>
      <c r="C399" t="s">
        <v>413</v>
      </c>
      <c r="D399">
        <v>202</v>
      </c>
      <c r="E399" s="113">
        <v>63</v>
      </c>
      <c r="F399" s="113">
        <v>1</v>
      </c>
      <c r="G399" s="233"/>
      <c r="H399" s="233"/>
      <c r="I399" s="232"/>
      <c r="J399" s="234"/>
      <c r="K399" s="235">
        <v>7</v>
      </c>
      <c r="L399" s="390">
        <v>41625</v>
      </c>
      <c r="M399" s="232"/>
      <c r="N399" s="235"/>
      <c r="O399" s="232"/>
      <c r="P399" s="232"/>
      <c r="Q399" s="232"/>
      <c r="R399" s="236"/>
      <c r="S399" s="235"/>
      <c r="T399" s="235"/>
      <c r="U399" s="232"/>
      <c r="V399" s="232"/>
      <c r="W399" s="232"/>
      <c r="X399" s="232"/>
      <c r="Y399" s="237"/>
      <c r="Z399" s="235"/>
      <c r="AA399" s="238"/>
      <c r="AB399" s="235"/>
      <c r="AC399" s="237"/>
      <c r="AD399" s="235"/>
      <c r="AE399" s="235"/>
      <c r="AF399" s="235"/>
      <c r="AG399" s="232">
        <v>3.79</v>
      </c>
      <c r="AH399" s="232"/>
      <c r="AI399" s="232">
        <v>130</v>
      </c>
      <c r="AJ399" s="194">
        <v>41785</v>
      </c>
      <c r="AK399" s="232"/>
      <c r="AL399" s="232"/>
      <c r="AM399" s="232"/>
      <c r="AN399" s="232"/>
      <c r="AO399" s="232"/>
      <c r="AP399" s="232"/>
      <c r="AQ399" s="239"/>
      <c r="AR399" s="239"/>
      <c r="AS399" s="232"/>
      <c r="AT399" s="232"/>
      <c r="AU399" s="232"/>
      <c r="AV399" s="232"/>
      <c r="AW399" s="232"/>
      <c r="AX399" s="232"/>
      <c r="AY399" s="232"/>
      <c r="AZ399" s="232"/>
      <c r="BA399" s="232"/>
      <c r="BB399" s="232"/>
      <c r="BC399" s="232"/>
      <c r="BD399" s="232"/>
      <c r="BE399" s="232"/>
      <c r="BF399" s="232"/>
      <c r="BG399" s="232"/>
      <c r="BH399" s="232"/>
      <c r="BI399" s="232"/>
      <c r="BJ399" s="232"/>
      <c r="BK399" s="232"/>
      <c r="BL399" s="232"/>
      <c r="BM399" s="232"/>
      <c r="BN399" s="232"/>
      <c r="BO399" s="232"/>
      <c r="BP399" s="232"/>
      <c r="BQ399" s="232"/>
      <c r="BR399" s="232"/>
      <c r="BS399" s="232">
        <v>51.3</v>
      </c>
      <c r="BT399" s="232"/>
      <c r="BU399" s="232">
        <v>15.4</v>
      </c>
      <c r="BV399" s="232"/>
      <c r="BW399" s="240"/>
      <c r="BX399" s="232"/>
      <c r="BY399" s="232"/>
      <c r="BZ399" s="232"/>
      <c r="CA399" s="232"/>
      <c r="CB399" s="241"/>
      <c r="CC399" s="232"/>
      <c r="CD399" s="232"/>
      <c r="CE399" s="232">
        <v>4.3</v>
      </c>
      <c r="CF399" s="232"/>
      <c r="CG399" s="232">
        <v>0.38</v>
      </c>
      <c r="CH399" s="232"/>
      <c r="CI399" s="232"/>
      <c r="CJ399" s="232"/>
      <c r="CK399" t="s">
        <v>8820</v>
      </c>
      <c r="CL399" s="232"/>
      <c r="CM399" s="232"/>
    </row>
    <row r="400" spans="1:91" s="242" customFormat="1" ht="15">
      <c r="A400" s="364" t="s">
        <v>7808</v>
      </c>
      <c r="B400" t="s">
        <v>267</v>
      </c>
      <c r="C400" t="s">
        <v>413</v>
      </c>
      <c r="D400" s="232">
        <v>203</v>
      </c>
      <c r="E400" s="113">
        <v>50</v>
      </c>
      <c r="F400" s="113">
        <v>6</v>
      </c>
      <c r="G400" s="113"/>
      <c r="H400" s="113"/>
      <c r="I400"/>
      <c r="J400" s="112"/>
      <c r="K400" s="224">
        <v>7</v>
      </c>
      <c r="L400" s="390">
        <v>41625</v>
      </c>
      <c r="M400"/>
      <c r="N400" s="224"/>
      <c r="O400"/>
      <c r="P400"/>
      <c r="Q400"/>
      <c r="R400" s="153"/>
      <c r="S400" s="224"/>
      <c r="T400" s="224"/>
      <c r="U400"/>
      <c r="V400"/>
      <c r="W400"/>
      <c r="X400"/>
      <c r="Y400" s="225"/>
      <c r="Z400" s="224"/>
      <c r="AA400" s="226"/>
      <c r="AB400" s="224"/>
      <c r="AC400" s="225"/>
      <c r="AD400" s="224"/>
      <c r="AE400" s="224"/>
      <c r="AF400" s="224"/>
      <c r="AG400">
        <v>4.46</v>
      </c>
      <c r="AH400"/>
      <c r="AI400">
        <v>130</v>
      </c>
      <c r="AJ400" s="194">
        <v>41785</v>
      </c>
      <c r="AK400"/>
      <c r="AL400"/>
      <c r="AM400"/>
      <c r="AN400"/>
      <c r="AO400"/>
      <c r="AP400"/>
      <c r="AQ400" s="227"/>
      <c r="AR400" s="227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>
        <v>53.1</v>
      </c>
      <c r="BT400"/>
      <c r="BU400">
        <v>16.11</v>
      </c>
      <c r="BV400"/>
      <c r="BW400" s="229"/>
      <c r="BX400"/>
      <c r="BY400"/>
      <c r="BZ400"/>
      <c r="CA400"/>
      <c r="CB400" s="136"/>
      <c r="CC400"/>
      <c r="CD400"/>
      <c r="CE400">
        <v>4.46</v>
      </c>
      <c r="CF400"/>
      <c r="CG400">
        <v>0.49</v>
      </c>
      <c r="CH400"/>
      <c r="CI400"/>
      <c r="CJ400"/>
      <c r="CK400" t="s">
        <v>8820</v>
      </c>
      <c r="CL400"/>
      <c r="CM400"/>
    </row>
    <row r="401" spans="1:91" s="242" customFormat="1" ht="15">
      <c r="A401" s="364" t="s">
        <v>7809</v>
      </c>
      <c r="B401" t="s">
        <v>267</v>
      </c>
      <c r="C401" t="s">
        <v>413</v>
      </c>
      <c r="D401">
        <v>204</v>
      </c>
      <c r="E401" s="113">
        <v>53</v>
      </c>
      <c r="F401" s="113">
        <v>2</v>
      </c>
      <c r="G401" s="113"/>
      <c r="H401" s="113"/>
      <c r="I401"/>
      <c r="J401" s="112"/>
      <c r="K401" s="224">
        <v>6</v>
      </c>
      <c r="L401" s="390">
        <v>41625</v>
      </c>
      <c r="M401"/>
      <c r="N401" s="224"/>
      <c r="O401"/>
      <c r="P401"/>
      <c r="Q401"/>
      <c r="R401" s="153"/>
      <c r="S401" s="224"/>
      <c r="T401" s="224"/>
      <c r="U401"/>
      <c r="V401"/>
      <c r="W401"/>
      <c r="X401"/>
      <c r="Y401" s="225"/>
      <c r="Z401" s="224"/>
      <c r="AA401" s="226"/>
      <c r="AB401" s="224"/>
      <c r="AC401" s="225"/>
      <c r="AD401" s="224"/>
      <c r="AE401" s="224"/>
      <c r="AF401" s="224"/>
      <c r="AG401">
        <v>4</v>
      </c>
      <c r="AH401"/>
      <c r="AI401">
        <v>140</v>
      </c>
      <c r="AJ401" s="194">
        <v>41785</v>
      </c>
      <c r="AK401"/>
      <c r="AL401"/>
      <c r="AM401"/>
      <c r="AN401"/>
      <c r="AO401"/>
      <c r="AP401"/>
      <c r="AQ401" s="227"/>
      <c r="AR401" s="227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>
        <v>51.6</v>
      </c>
      <c r="BT401"/>
      <c r="BU401">
        <v>16.29</v>
      </c>
      <c r="BV401"/>
      <c r="BW401" s="229"/>
      <c r="BX401"/>
      <c r="BY401"/>
      <c r="BZ401"/>
      <c r="CA401"/>
      <c r="CB401" s="136"/>
      <c r="CC401"/>
      <c r="CD401"/>
      <c r="CE401">
        <v>4.0999999999999996</v>
      </c>
      <c r="CF401"/>
      <c r="CG401">
        <v>0.67</v>
      </c>
      <c r="CH401"/>
      <c r="CI401"/>
      <c r="CJ401"/>
      <c r="CK401" t="s">
        <v>8820</v>
      </c>
      <c r="CL401"/>
      <c r="CM401"/>
    </row>
    <row r="402" spans="1:91" s="242" customFormat="1" ht="15">
      <c r="A402" s="364" t="s">
        <v>7810</v>
      </c>
      <c r="B402" t="s">
        <v>267</v>
      </c>
      <c r="C402" t="s">
        <v>413</v>
      </c>
      <c r="D402">
        <v>205</v>
      </c>
      <c r="E402" s="113">
        <v>48</v>
      </c>
      <c r="F402" s="113">
        <v>5</v>
      </c>
      <c r="G402" s="113"/>
      <c r="H402" s="113"/>
      <c r="I402"/>
      <c r="J402" s="112"/>
      <c r="K402" s="224">
        <v>6</v>
      </c>
      <c r="L402" s="390">
        <v>41625</v>
      </c>
      <c r="M402"/>
      <c r="N402" s="224"/>
      <c r="O402"/>
      <c r="P402"/>
      <c r="Q402"/>
      <c r="R402" s="153"/>
      <c r="S402" s="224"/>
      <c r="T402" s="224"/>
      <c r="U402"/>
      <c r="V402"/>
      <c r="W402"/>
      <c r="X402"/>
      <c r="Y402" s="225"/>
      <c r="Z402" s="224"/>
      <c r="AA402" s="226"/>
      <c r="AB402" s="224"/>
      <c r="AC402" s="225"/>
      <c r="AD402" s="224"/>
      <c r="AE402" s="224"/>
      <c r="AF402" s="224"/>
      <c r="AG402">
        <v>3.86</v>
      </c>
      <c r="AH402"/>
      <c r="AI402">
        <v>130</v>
      </c>
      <c r="AJ402" s="194">
        <v>41785</v>
      </c>
      <c r="AK402"/>
      <c r="AL402"/>
      <c r="AM402"/>
      <c r="AN402"/>
      <c r="AO402"/>
      <c r="AP402"/>
      <c r="AQ402" s="227"/>
      <c r="AR402" s="227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>
        <v>53.3</v>
      </c>
      <c r="BT402"/>
      <c r="BU402">
        <v>15.16</v>
      </c>
      <c r="BV402"/>
      <c r="BW402" s="229"/>
      <c r="BX402"/>
      <c r="BY402"/>
      <c r="BZ402"/>
      <c r="CA402"/>
      <c r="CB402" s="136"/>
      <c r="CC402"/>
      <c r="CD402"/>
      <c r="CE402">
        <v>6.67</v>
      </c>
      <c r="CF402"/>
      <c r="CG402">
        <v>0.19</v>
      </c>
      <c r="CH402"/>
      <c r="CI402"/>
      <c r="CJ402"/>
      <c r="CK402" t="s">
        <v>8820</v>
      </c>
      <c r="CL402"/>
      <c r="CM402"/>
    </row>
    <row r="403" spans="1:91" s="242" customFormat="1" ht="15">
      <c r="A403" s="364" t="s">
        <v>7811</v>
      </c>
      <c r="B403" t="s">
        <v>267</v>
      </c>
      <c r="C403" t="s">
        <v>413</v>
      </c>
      <c r="D403">
        <v>206</v>
      </c>
      <c r="E403" s="113">
        <v>58</v>
      </c>
      <c r="F403" s="113">
        <v>1</v>
      </c>
      <c r="G403" s="233"/>
      <c r="H403" s="233"/>
      <c r="I403" s="232"/>
      <c r="J403" s="234"/>
      <c r="K403" s="235">
        <v>6</v>
      </c>
      <c r="L403" s="390">
        <v>41625</v>
      </c>
      <c r="M403" s="232"/>
      <c r="N403" s="235"/>
      <c r="O403" s="232"/>
      <c r="P403" s="232"/>
      <c r="Q403" s="232"/>
      <c r="R403" s="236"/>
      <c r="S403" s="235"/>
      <c r="T403" s="235"/>
      <c r="U403" s="232"/>
      <c r="V403" s="232"/>
      <c r="W403" s="232"/>
      <c r="X403" s="232"/>
      <c r="Y403" s="237"/>
      <c r="Z403" s="235"/>
      <c r="AA403" s="238"/>
      <c r="AB403" s="235"/>
      <c r="AC403" s="237"/>
      <c r="AD403" s="235"/>
      <c r="AE403" s="235"/>
      <c r="AF403" s="235"/>
      <c r="AG403" s="232">
        <v>3.87</v>
      </c>
      <c r="AH403" s="232"/>
      <c r="AI403" s="232">
        <v>130</v>
      </c>
      <c r="AJ403" s="194">
        <v>41785</v>
      </c>
      <c r="AK403" s="232"/>
      <c r="AL403" s="232"/>
      <c r="AM403" s="232"/>
      <c r="AN403" s="232"/>
      <c r="AO403" s="232"/>
      <c r="AP403" s="232"/>
      <c r="AQ403" s="239"/>
      <c r="AR403" s="239"/>
      <c r="AS403" s="232"/>
      <c r="AT403" s="232"/>
      <c r="AU403" s="232"/>
      <c r="AV403" s="232"/>
      <c r="AW403" s="232"/>
      <c r="AX403" s="232"/>
      <c r="AY403" s="232"/>
      <c r="AZ403" s="232"/>
      <c r="BA403" s="232"/>
      <c r="BB403" s="232"/>
      <c r="BC403" s="232"/>
      <c r="BD403" s="232"/>
      <c r="BE403" s="232"/>
      <c r="BF403" s="232"/>
      <c r="BG403" s="232"/>
      <c r="BH403" s="232"/>
      <c r="BI403" s="232"/>
      <c r="BJ403" s="232"/>
      <c r="BK403" s="232"/>
      <c r="BL403" s="232"/>
      <c r="BM403" s="232"/>
      <c r="BN403" s="232"/>
      <c r="BO403" s="232"/>
      <c r="BP403" s="232"/>
      <c r="BQ403" s="232"/>
      <c r="BR403" s="232"/>
      <c r="BS403" s="232">
        <v>52.9</v>
      </c>
      <c r="BT403" s="232"/>
      <c r="BU403" s="232">
        <v>14.98</v>
      </c>
      <c r="BV403" s="232"/>
      <c r="BW403" s="240"/>
      <c r="BX403" s="232"/>
      <c r="BY403" s="232"/>
      <c r="BZ403" s="232"/>
      <c r="CA403" s="232"/>
      <c r="CB403" s="241"/>
      <c r="CC403" s="232"/>
      <c r="CD403" s="232"/>
      <c r="CE403" s="232">
        <v>4.1900000000000004</v>
      </c>
      <c r="CF403" s="232"/>
      <c r="CG403" s="232">
        <v>0.39</v>
      </c>
      <c r="CH403" s="232"/>
      <c r="CI403" s="232"/>
      <c r="CJ403" s="232"/>
      <c r="CK403" t="s">
        <v>8820</v>
      </c>
      <c r="CL403" s="232"/>
      <c r="CM403" s="232"/>
    </row>
    <row r="404" spans="1:91" s="242" customFormat="1" ht="15">
      <c r="A404" s="364" t="s">
        <v>7887</v>
      </c>
      <c r="B404" t="s">
        <v>267</v>
      </c>
      <c r="C404" t="s">
        <v>413</v>
      </c>
      <c r="D404">
        <v>207</v>
      </c>
      <c r="E404" s="113">
        <v>67</v>
      </c>
      <c r="F404" s="113">
        <v>5</v>
      </c>
      <c r="G404" s="113"/>
      <c r="H404" s="113"/>
      <c r="I404"/>
      <c r="J404" s="112"/>
      <c r="K404" s="224">
        <v>7</v>
      </c>
      <c r="L404" s="390">
        <v>41625</v>
      </c>
      <c r="M404"/>
      <c r="N404" s="224"/>
      <c r="O404"/>
      <c r="P404"/>
      <c r="Q404"/>
      <c r="R404" s="153"/>
      <c r="S404" s="224"/>
      <c r="T404" s="224"/>
      <c r="U404"/>
      <c r="V404"/>
      <c r="W404"/>
      <c r="X404"/>
      <c r="Y404" s="225"/>
      <c r="Z404" s="224"/>
      <c r="AA404" s="226"/>
      <c r="AB404" s="224"/>
      <c r="AC404" s="225"/>
      <c r="AD404" s="224"/>
      <c r="AE404" s="224"/>
      <c r="AF404" s="224"/>
      <c r="AG404">
        <v>4.0599999999999996</v>
      </c>
      <c r="AH404"/>
      <c r="AI404">
        <v>140</v>
      </c>
      <c r="AJ404" s="194">
        <v>41785</v>
      </c>
      <c r="AK404"/>
      <c r="AL404"/>
      <c r="AM404"/>
      <c r="AN404"/>
      <c r="AO404"/>
      <c r="AP404"/>
      <c r="AQ404" s="227"/>
      <c r="AR404" s="227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>
        <v>53.7</v>
      </c>
      <c r="BT404"/>
      <c r="BU404">
        <v>15.88</v>
      </c>
      <c r="BV404"/>
      <c r="BW404" s="229"/>
      <c r="BX404"/>
      <c r="BY404"/>
      <c r="BZ404"/>
      <c r="CA404"/>
      <c r="CB404" s="136"/>
      <c r="CC404"/>
      <c r="CD404"/>
      <c r="CE404">
        <v>5.31</v>
      </c>
      <c r="CF404"/>
      <c r="CG404">
        <v>0.28999999999999998</v>
      </c>
      <c r="CH404"/>
      <c r="CI404"/>
      <c r="CJ404"/>
      <c r="CK404" t="s">
        <v>8820</v>
      </c>
      <c r="CL404"/>
      <c r="CM404"/>
    </row>
    <row r="405" spans="1:91" s="242" customFormat="1" ht="15">
      <c r="A405" s="364" t="s">
        <v>7887</v>
      </c>
      <c r="B405" t="s">
        <v>267</v>
      </c>
      <c r="C405" t="s">
        <v>413</v>
      </c>
      <c r="D405" s="232">
        <v>208</v>
      </c>
      <c r="E405" s="113">
        <v>70</v>
      </c>
      <c r="F405" s="113">
        <v>1</v>
      </c>
      <c r="G405" s="113"/>
      <c r="H405" s="113"/>
      <c r="I405"/>
      <c r="J405" s="112"/>
      <c r="K405" s="224">
        <v>6</v>
      </c>
      <c r="L405" s="390">
        <v>41625</v>
      </c>
      <c r="M405"/>
      <c r="N405" s="224"/>
      <c r="O405"/>
      <c r="P405"/>
      <c r="Q405"/>
      <c r="R405" s="153"/>
      <c r="S405" s="224"/>
      <c r="T405" s="224"/>
      <c r="U405"/>
      <c r="V405"/>
      <c r="W405"/>
      <c r="X405"/>
      <c r="Y405" s="225"/>
      <c r="Z405" s="224"/>
      <c r="AA405" s="226"/>
      <c r="AB405" s="224"/>
      <c r="AC405" s="225"/>
      <c r="AD405" s="224"/>
      <c r="AE405" s="224"/>
      <c r="AF405" s="224"/>
      <c r="AG405">
        <v>4.3600000000000003</v>
      </c>
      <c r="AH405"/>
      <c r="AI405">
        <v>125</v>
      </c>
      <c r="AJ405" s="194">
        <v>41785</v>
      </c>
      <c r="AK405"/>
      <c r="AL405"/>
      <c r="AM405"/>
      <c r="AN405"/>
      <c r="AO405"/>
      <c r="AP405"/>
      <c r="AQ405" s="227"/>
      <c r="AR405" s="227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>
        <v>53.8</v>
      </c>
      <c r="BT405"/>
      <c r="BU405">
        <v>16.329999999999998</v>
      </c>
      <c r="BV405"/>
      <c r="BW405" s="229"/>
      <c r="BX405"/>
      <c r="BY405"/>
      <c r="BZ405"/>
      <c r="CA405"/>
      <c r="CB405" s="136"/>
      <c r="CC405"/>
      <c r="CD405"/>
      <c r="CE405">
        <v>5.27</v>
      </c>
      <c r="CF405"/>
      <c r="CG405">
        <v>0.48</v>
      </c>
      <c r="CH405"/>
      <c r="CI405"/>
      <c r="CJ405"/>
      <c r="CK405" t="s">
        <v>8820</v>
      </c>
      <c r="CL405"/>
      <c r="CM405"/>
    </row>
    <row r="406" spans="1:91" s="242" customFormat="1" ht="15">
      <c r="A406" s="364" t="s">
        <v>7887</v>
      </c>
      <c r="B406" t="s">
        <v>267</v>
      </c>
      <c r="C406" t="s">
        <v>413</v>
      </c>
      <c r="D406">
        <v>209</v>
      </c>
      <c r="E406" s="113">
        <v>42</v>
      </c>
      <c r="F406" s="113">
        <v>1</v>
      </c>
      <c r="G406" s="233"/>
      <c r="H406" s="233"/>
      <c r="I406" s="232"/>
      <c r="J406" s="234"/>
      <c r="K406" s="235">
        <v>6</v>
      </c>
      <c r="L406" s="390">
        <v>41625</v>
      </c>
      <c r="M406" s="232"/>
      <c r="N406" s="235"/>
      <c r="O406" s="232"/>
      <c r="P406" s="232"/>
      <c r="Q406" s="232"/>
      <c r="R406" s="236"/>
      <c r="S406" s="235"/>
      <c r="T406" s="235"/>
      <c r="U406" s="232"/>
      <c r="V406" s="232"/>
      <c r="W406" s="232"/>
      <c r="X406" s="232"/>
      <c r="Y406" s="237"/>
      <c r="Z406" s="235"/>
      <c r="AA406" s="238"/>
      <c r="AB406" s="235"/>
      <c r="AC406" s="237"/>
      <c r="AD406" s="235"/>
      <c r="AE406" s="235"/>
      <c r="AF406" s="235"/>
      <c r="AG406" s="232">
        <v>3.98</v>
      </c>
      <c r="AH406" s="232"/>
      <c r="AI406" s="232">
        <v>130</v>
      </c>
      <c r="AJ406" s="194">
        <v>41785</v>
      </c>
      <c r="AK406" s="232"/>
      <c r="AL406" s="232"/>
      <c r="AM406" s="232"/>
      <c r="AN406" s="232"/>
      <c r="AO406" s="232"/>
      <c r="AP406" s="232"/>
      <c r="AQ406" s="239"/>
      <c r="AR406" s="239"/>
      <c r="AS406" s="232"/>
      <c r="AT406" s="232"/>
      <c r="AU406" s="232"/>
      <c r="AV406" s="232"/>
      <c r="AW406" s="232"/>
      <c r="AX406" s="232"/>
      <c r="AY406" s="232"/>
      <c r="AZ406" s="232"/>
      <c r="BA406" s="232"/>
      <c r="BB406" s="232"/>
      <c r="BC406" s="232"/>
      <c r="BD406" s="232"/>
      <c r="BE406" s="232"/>
      <c r="BF406" s="232"/>
      <c r="BG406" s="232"/>
      <c r="BH406" s="232"/>
      <c r="BI406" s="232"/>
      <c r="BJ406" s="232"/>
      <c r="BK406" s="232"/>
      <c r="BL406" s="232"/>
      <c r="BM406" s="232"/>
      <c r="BN406" s="232"/>
      <c r="BO406" s="232"/>
      <c r="BP406" s="232"/>
      <c r="BQ406" s="232"/>
      <c r="BR406" s="232"/>
      <c r="BS406" s="232">
        <v>54</v>
      </c>
      <c r="BT406" s="232"/>
      <c r="BU406" s="232">
        <v>15.46</v>
      </c>
      <c r="BV406" s="232"/>
      <c r="BW406" s="240"/>
      <c r="BX406" s="232"/>
      <c r="BY406" s="232"/>
      <c r="BZ406" s="232"/>
      <c r="CA406" s="232"/>
      <c r="CB406" s="241"/>
      <c r="CC406" s="232"/>
      <c r="CD406" s="232"/>
      <c r="CE406" s="232">
        <v>4.82</v>
      </c>
      <c r="CF406" s="232"/>
      <c r="CG406" s="232">
        <v>0.1</v>
      </c>
      <c r="CH406" s="232"/>
      <c r="CI406" s="232"/>
      <c r="CJ406" s="232"/>
      <c r="CK406" t="s">
        <v>8820</v>
      </c>
      <c r="CL406" s="232"/>
      <c r="CM406" s="232"/>
    </row>
    <row r="407" spans="1:91" s="242" customFormat="1" ht="15">
      <c r="A407" s="364" t="s">
        <v>7887</v>
      </c>
      <c r="B407" t="s">
        <v>267</v>
      </c>
      <c r="C407" t="s">
        <v>413</v>
      </c>
      <c r="D407">
        <v>210</v>
      </c>
      <c r="E407" s="113">
        <v>52</v>
      </c>
      <c r="F407" s="113">
        <v>4</v>
      </c>
      <c r="G407" s="233"/>
      <c r="H407" s="233"/>
      <c r="I407" s="232"/>
      <c r="J407" s="234"/>
      <c r="K407" s="235">
        <v>7</v>
      </c>
      <c r="L407" s="390">
        <v>41625</v>
      </c>
      <c r="M407" s="232"/>
      <c r="N407" s="235"/>
      <c r="O407" s="232"/>
      <c r="P407" s="232"/>
      <c r="Q407" s="232"/>
      <c r="R407" s="236"/>
      <c r="S407" s="235"/>
      <c r="T407" s="235"/>
      <c r="U407" s="232"/>
      <c r="V407" s="232"/>
      <c r="W407" s="232"/>
      <c r="X407" s="232"/>
      <c r="Y407" s="237"/>
      <c r="Z407" s="235"/>
      <c r="AA407" s="238"/>
      <c r="AB407" s="235"/>
      <c r="AC407" s="237"/>
      <c r="AD407" s="235"/>
      <c r="AE407" s="235"/>
      <c r="AF407" s="235"/>
      <c r="AG407" s="232">
        <v>4.1399999999999997</v>
      </c>
      <c r="AH407" s="232"/>
      <c r="AI407" s="232">
        <v>145</v>
      </c>
      <c r="AJ407" s="194">
        <v>41785</v>
      </c>
      <c r="AK407" s="232"/>
      <c r="AL407" s="232"/>
      <c r="AM407" s="232"/>
      <c r="AN407" s="232"/>
      <c r="AO407" s="232"/>
      <c r="AP407" s="232"/>
      <c r="AQ407" s="239"/>
      <c r="AR407" s="239"/>
      <c r="AS407" s="232"/>
      <c r="AT407" s="232"/>
      <c r="AU407" s="232"/>
      <c r="AV407" s="232"/>
      <c r="AW407" s="232"/>
      <c r="AX407" s="232"/>
      <c r="AY407" s="232"/>
      <c r="AZ407" s="232"/>
      <c r="BA407" s="232"/>
      <c r="BB407" s="232"/>
      <c r="BC407" s="232"/>
      <c r="BD407" s="232"/>
      <c r="BE407" s="232"/>
      <c r="BF407" s="232"/>
      <c r="BG407" s="232"/>
      <c r="BH407" s="232"/>
      <c r="BI407" s="232"/>
      <c r="BJ407" s="232"/>
      <c r="BK407" s="232"/>
      <c r="BL407" s="232"/>
      <c r="BM407" s="232"/>
      <c r="BN407" s="232"/>
      <c r="BO407" s="232"/>
      <c r="BP407" s="232"/>
      <c r="BQ407" s="232"/>
      <c r="BR407" s="232"/>
      <c r="BS407" s="232">
        <v>53.8</v>
      </c>
      <c r="BT407" s="232"/>
      <c r="BU407" s="232">
        <v>15.85</v>
      </c>
      <c r="BV407" s="232"/>
      <c r="BW407" s="240"/>
      <c r="BX407" s="232"/>
      <c r="BY407" s="232"/>
      <c r="BZ407" s="232"/>
      <c r="CA407" s="232"/>
      <c r="CB407" s="241"/>
      <c r="CC407" s="232"/>
      <c r="CD407" s="232"/>
      <c r="CE407" s="232">
        <v>4.1900000000000004</v>
      </c>
      <c r="CF407" s="232"/>
      <c r="CG407" s="232">
        <v>0.59</v>
      </c>
      <c r="CH407" s="232"/>
      <c r="CI407" s="232"/>
      <c r="CJ407" s="232"/>
      <c r="CK407" t="s">
        <v>8820</v>
      </c>
      <c r="CL407" s="232"/>
      <c r="CM407" s="232"/>
    </row>
    <row r="408" spans="1:91" s="242" customFormat="1" ht="15">
      <c r="A408" s="364" t="s">
        <v>7887</v>
      </c>
      <c r="B408" t="s">
        <v>267</v>
      </c>
      <c r="C408" t="s">
        <v>413</v>
      </c>
      <c r="D408">
        <v>211</v>
      </c>
      <c r="E408" s="113">
        <v>41</v>
      </c>
      <c r="F408" s="113">
        <v>4</v>
      </c>
      <c r="G408" s="113"/>
      <c r="H408" s="113"/>
      <c r="I408"/>
      <c r="J408" s="112"/>
      <c r="K408" s="224">
        <v>7</v>
      </c>
      <c r="L408" s="390">
        <v>41625</v>
      </c>
      <c r="M408"/>
      <c r="N408" s="224"/>
      <c r="O408"/>
      <c r="P408"/>
      <c r="Q408"/>
      <c r="R408" s="153"/>
      <c r="S408" s="224"/>
      <c r="T408" s="224"/>
      <c r="U408"/>
      <c r="V408"/>
      <c r="W408"/>
      <c r="X408"/>
      <c r="Y408" s="225"/>
      <c r="Z408" s="224"/>
      <c r="AA408" s="226"/>
      <c r="AB408" s="224"/>
      <c r="AC408" s="225"/>
      <c r="AD408" s="224"/>
      <c r="AE408" s="224"/>
      <c r="AF408" s="224"/>
      <c r="AG408">
        <v>4.2</v>
      </c>
      <c r="AH408"/>
      <c r="AI408">
        <v>140</v>
      </c>
      <c r="AJ408" s="194">
        <v>41785</v>
      </c>
      <c r="AK408"/>
      <c r="AL408"/>
      <c r="AM408"/>
      <c r="AN408"/>
      <c r="AO408"/>
      <c r="AP408"/>
      <c r="AQ408" s="227"/>
      <c r="AR408" s="227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>
        <v>54</v>
      </c>
      <c r="BT408"/>
      <c r="BU408">
        <v>16.07</v>
      </c>
      <c r="BV408"/>
      <c r="BW408" s="229"/>
      <c r="BX408"/>
      <c r="BY408"/>
      <c r="BZ408"/>
      <c r="CA408"/>
      <c r="CB408" s="136"/>
      <c r="CC408"/>
      <c r="CD408"/>
      <c r="CE408">
        <v>4.74</v>
      </c>
      <c r="CF408"/>
      <c r="CG408">
        <v>0.19</v>
      </c>
      <c r="CH408"/>
      <c r="CI408"/>
      <c r="CJ408"/>
      <c r="CK408" t="s">
        <v>8820</v>
      </c>
      <c r="CL408"/>
      <c r="CM408"/>
    </row>
    <row r="409" spans="1:91" s="242" customFormat="1">
      <c r="A409" s="123" t="s">
        <v>8646</v>
      </c>
      <c r="B409" t="s">
        <v>267</v>
      </c>
      <c r="C409" t="s">
        <v>413</v>
      </c>
      <c r="D409" s="232">
        <v>212</v>
      </c>
      <c r="E409" s="113">
        <v>66</v>
      </c>
      <c r="F409" s="113">
        <v>2</v>
      </c>
      <c r="G409" s="113"/>
      <c r="H409" s="113"/>
      <c r="I409"/>
      <c r="J409" s="112"/>
      <c r="K409" s="224">
        <v>7</v>
      </c>
      <c r="L409" s="390">
        <v>41625</v>
      </c>
      <c r="M409"/>
      <c r="N409" s="224"/>
      <c r="O409"/>
      <c r="P409"/>
      <c r="Q409"/>
      <c r="R409" s="153"/>
      <c r="S409" s="224"/>
      <c r="T409" s="224"/>
      <c r="U409"/>
      <c r="V409"/>
      <c r="W409"/>
      <c r="X409"/>
      <c r="Y409" s="225"/>
      <c r="Z409" s="224"/>
      <c r="AA409" s="226"/>
      <c r="AB409" s="224"/>
      <c r="AC409" s="225"/>
      <c r="AD409" s="224"/>
      <c r="AE409" s="224"/>
      <c r="AF409" s="224"/>
      <c r="AG409">
        <v>4.2300000000000004</v>
      </c>
      <c r="AH409"/>
      <c r="AI409">
        <v>155</v>
      </c>
      <c r="AJ409" s="194">
        <v>41785</v>
      </c>
      <c r="AK409"/>
      <c r="AL409"/>
      <c r="AM409"/>
      <c r="AN409"/>
      <c r="AO409"/>
      <c r="AP409"/>
      <c r="AQ409" s="227"/>
      <c r="AR409" s="227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>
        <v>53.3</v>
      </c>
      <c r="BT409"/>
      <c r="BU409">
        <v>16.29</v>
      </c>
      <c r="BV409"/>
      <c r="BW409" s="229"/>
      <c r="BX409"/>
      <c r="BY409"/>
      <c r="BZ409"/>
      <c r="CA409"/>
      <c r="CB409" s="136"/>
      <c r="CC409"/>
      <c r="CD409"/>
      <c r="CE409">
        <v>5.6</v>
      </c>
      <c r="CF409"/>
      <c r="CG409">
        <v>0.28999999999999998</v>
      </c>
      <c r="CH409"/>
      <c r="CI409"/>
      <c r="CJ409"/>
      <c r="CK409" t="s">
        <v>8820</v>
      </c>
      <c r="CL409"/>
      <c r="CM409"/>
    </row>
    <row r="410" spans="1:91" s="242" customFormat="1">
      <c r="A410" s="123" t="s">
        <v>8646</v>
      </c>
      <c r="B410" t="s">
        <v>267</v>
      </c>
      <c r="C410" t="s">
        <v>413</v>
      </c>
      <c r="D410">
        <v>213</v>
      </c>
      <c r="E410" s="113">
        <v>42</v>
      </c>
      <c r="F410" s="113">
        <v>2</v>
      </c>
      <c r="G410" s="113"/>
      <c r="H410" s="113"/>
      <c r="I410"/>
      <c r="J410" s="112"/>
      <c r="K410" s="224">
        <v>7</v>
      </c>
      <c r="L410" s="390">
        <v>41625</v>
      </c>
      <c r="M410"/>
      <c r="N410" s="224"/>
      <c r="O410"/>
      <c r="P410"/>
      <c r="Q410"/>
      <c r="R410" s="153"/>
      <c r="S410" s="224"/>
      <c r="T410" s="224"/>
      <c r="U410"/>
      <c r="V410"/>
      <c r="W410"/>
      <c r="X410"/>
      <c r="Y410" s="225"/>
      <c r="Z410" s="224"/>
      <c r="AA410" s="226"/>
      <c r="AB410" s="224"/>
      <c r="AC410" s="225"/>
      <c r="AD410" s="224"/>
      <c r="AE410" s="224"/>
      <c r="AF410" s="224"/>
      <c r="AG410">
        <v>3.84</v>
      </c>
      <c r="AH410"/>
      <c r="AI410">
        <v>155</v>
      </c>
      <c r="AJ410" s="194">
        <v>41785</v>
      </c>
      <c r="AK410"/>
      <c r="AL410"/>
      <c r="AM410"/>
      <c r="AN410"/>
      <c r="AO410"/>
      <c r="AP410"/>
      <c r="AQ410" s="227"/>
      <c r="AR410" s="227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>
        <v>52.5</v>
      </c>
      <c r="BT410"/>
      <c r="BU410">
        <v>16.690000000000001</v>
      </c>
      <c r="BV410"/>
      <c r="BW410" s="229"/>
      <c r="BX410"/>
      <c r="BY410"/>
      <c r="BZ410"/>
      <c r="CA410"/>
      <c r="CB410" s="136"/>
      <c r="CC410"/>
      <c r="CD410"/>
      <c r="CE410">
        <v>4.92</v>
      </c>
      <c r="CF410"/>
      <c r="CG410">
        <v>0.19</v>
      </c>
      <c r="CH410"/>
      <c r="CI410"/>
      <c r="CJ410"/>
      <c r="CK410" t="s">
        <v>8820</v>
      </c>
      <c r="CL410"/>
      <c r="CM410"/>
    </row>
    <row r="411" spans="1:91" s="242" customFormat="1">
      <c r="A411" s="123" t="s">
        <v>8646</v>
      </c>
      <c r="B411" t="s">
        <v>267</v>
      </c>
      <c r="C411" t="s">
        <v>413</v>
      </c>
      <c r="D411">
        <v>214</v>
      </c>
      <c r="E411" s="113">
        <v>37</v>
      </c>
      <c r="F411" s="113">
        <v>3</v>
      </c>
      <c r="G411" s="233"/>
      <c r="H411" s="233"/>
      <c r="I411" s="232"/>
      <c r="J411" s="234"/>
      <c r="K411" s="235">
        <v>7</v>
      </c>
      <c r="L411" s="390">
        <v>41625</v>
      </c>
      <c r="M411" s="232"/>
      <c r="N411" s="235"/>
      <c r="O411" s="232"/>
      <c r="P411" s="232"/>
      <c r="Q411" s="232"/>
      <c r="R411" s="236"/>
      <c r="S411" s="235"/>
      <c r="T411" s="235"/>
      <c r="U411" s="232"/>
      <c r="V411" s="232"/>
      <c r="W411" s="232"/>
      <c r="X411" s="232"/>
      <c r="Y411" s="237"/>
      <c r="Z411" s="235"/>
      <c r="AA411" s="238"/>
      <c r="AB411" s="235"/>
      <c r="AC411" s="237"/>
      <c r="AD411" s="235"/>
      <c r="AE411" s="235"/>
      <c r="AF411" s="235"/>
      <c r="AG411" s="232">
        <v>4</v>
      </c>
      <c r="AH411" s="232"/>
      <c r="AI411" s="232">
        <v>160</v>
      </c>
      <c r="AJ411" s="194">
        <v>41785</v>
      </c>
      <c r="AK411" s="232"/>
      <c r="AL411" s="232"/>
      <c r="AM411" s="232"/>
      <c r="AN411" s="232"/>
      <c r="AO411" s="232"/>
      <c r="AP411" s="232"/>
      <c r="AQ411" s="239"/>
      <c r="AR411" s="239"/>
      <c r="AS411" s="232"/>
      <c r="AT411" s="232"/>
      <c r="AU411" s="232"/>
      <c r="AV411" s="232"/>
      <c r="AW411" s="232"/>
      <c r="AX411" s="232"/>
      <c r="AY411" s="232"/>
      <c r="AZ411" s="232"/>
      <c r="BA411" s="232"/>
      <c r="BB411" s="232"/>
      <c r="BC411" s="232"/>
      <c r="BD411" s="232"/>
      <c r="BE411" s="232"/>
      <c r="BF411" s="232"/>
      <c r="BG411" s="232"/>
      <c r="BH411" s="232"/>
      <c r="BI411" s="232"/>
      <c r="BJ411" s="232"/>
      <c r="BK411" s="232"/>
      <c r="BL411" s="232"/>
      <c r="BM411" s="232"/>
      <c r="BN411" s="232"/>
      <c r="BO411" s="232"/>
      <c r="BP411" s="232"/>
      <c r="BQ411" s="232"/>
      <c r="BR411" s="232"/>
      <c r="BS411" s="232">
        <v>53</v>
      </c>
      <c r="BT411" s="232"/>
      <c r="BU411" s="232">
        <v>16.21</v>
      </c>
      <c r="BV411" s="232"/>
      <c r="BW411" s="240"/>
      <c r="BX411" s="232"/>
      <c r="BY411" s="232"/>
      <c r="BZ411" s="232"/>
      <c r="CA411" s="232"/>
      <c r="CB411" s="241"/>
      <c r="CC411" s="232"/>
      <c r="CD411" s="232"/>
      <c r="CE411" s="232">
        <v>4.82</v>
      </c>
      <c r="CF411" s="232"/>
      <c r="CG411" s="232">
        <v>0.19</v>
      </c>
      <c r="CH411" s="232"/>
      <c r="CI411" s="232"/>
      <c r="CJ411" s="232"/>
      <c r="CK411" t="s">
        <v>8820</v>
      </c>
      <c r="CL411" s="232"/>
      <c r="CM411" s="232"/>
    </row>
    <row r="412" spans="1:91" s="242" customFormat="1">
      <c r="A412" s="123" t="s">
        <v>7888</v>
      </c>
      <c r="B412" t="s">
        <v>267</v>
      </c>
      <c r="C412" t="s">
        <v>413</v>
      </c>
      <c r="D412" s="232">
        <v>215</v>
      </c>
      <c r="E412" s="113">
        <v>39</v>
      </c>
      <c r="F412" s="113">
        <v>1</v>
      </c>
      <c r="G412" s="113"/>
      <c r="H412" s="113"/>
      <c r="I412"/>
      <c r="J412" s="112"/>
      <c r="K412" s="224">
        <v>6</v>
      </c>
      <c r="L412" s="390">
        <v>41625</v>
      </c>
      <c r="M412"/>
      <c r="N412" s="224"/>
      <c r="O412"/>
      <c r="P412"/>
      <c r="Q412"/>
      <c r="R412" s="153"/>
      <c r="S412" s="224"/>
      <c r="T412" s="224"/>
      <c r="U412"/>
      <c r="V412"/>
      <c r="W412"/>
      <c r="X412"/>
      <c r="Y412" s="225"/>
      <c r="Z412" s="224"/>
      <c r="AA412" s="226"/>
      <c r="AB412" s="224"/>
      <c r="AC412" s="225"/>
      <c r="AD412" s="224"/>
      <c r="AE412" s="224"/>
      <c r="AF412" s="224"/>
      <c r="AG412">
        <v>3.62</v>
      </c>
      <c r="AH412"/>
      <c r="AI412">
        <v>150</v>
      </c>
      <c r="AJ412" s="194">
        <v>41785</v>
      </c>
      <c r="AK412"/>
      <c r="AL412"/>
      <c r="AM412"/>
      <c r="AN412"/>
      <c r="AO412"/>
      <c r="AP412"/>
      <c r="AQ412" s="227"/>
      <c r="AR412" s="227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>
        <v>52.8</v>
      </c>
      <c r="BT412"/>
      <c r="BU412">
        <v>16.079999999999998</v>
      </c>
      <c r="BV412"/>
      <c r="BW412" s="229"/>
      <c r="BX412"/>
      <c r="BY412"/>
      <c r="BZ412"/>
      <c r="CA412"/>
      <c r="CB412" s="136"/>
      <c r="CC412"/>
      <c r="CD412"/>
      <c r="CE412">
        <v>4.8899999999999997</v>
      </c>
      <c r="CF412"/>
      <c r="CG412">
        <v>0.28999999999999998</v>
      </c>
      <c r="CH412"/>
      <c r="CI412"/>
      <c r="CJ412"/>
      <c r="CK412" t="s">
        <v>8820</v>
      </c>
      <c r="CL412"/>
      <c r="CM412"/>
    </row>
    <row r="413" spans="1:91" s="242" customFormat="1" ht="13.5" thickBot="1">
      <c r="A413" s="123" t="s">
        <v>7888</v>
      </c>
      <c r="B413" s="345" t="s">
        <v>267</v>
      </c>
      <c r="C413" s="345" t="s">
        <v>413</v>
      </c>
      <c r="D413">
        <v>216</v>
      </c>
      <c r="E413" s="113">
        <v>46</v>
      </c>
      <c r="F413" s="113">
        <v>5</v>
      </c>
      <c r="G413" s="113"/>
      <c r="H413" s="113"/>
      <c r="I413"/>
      <c r="J413" s="112"/>
      <c r="K413" s="224">
        <v>7</v>
      </c>
      <c r="L413" s="390">
        <v>41625</v>
      </c>
      <c r="M413"/>
      <c r="N413" s="224"/>
      <c r="O413"/>
      <c r="P413"/>
      <c r="Q413"/>
      <c r="R413" s="153"/>
      <c r="S413" s="224"/>
      <c r="T413" s="224"/>
      <c r="U413"/>
      <c r="V413"/>
      <c r="W413"/>
      <c r="X413"/>
      <c r="Y413" s="225"/>
      <c r="Z413" s="224"/>
      <c r="AA413" s="226"/>
      <c r="AB413" s="224"/>
      <c r="AC413" s="225"/>
      <c r="AD413" s="224"/>
      <c r="AE413" s="224"/>
      <c r="AF413" s="224"/>
      <c r="AG413">
        <v>3.56</v>
      </c>
      <c r="AH413"/>
      <c r="AI413">
        <v>160</v>
      </c>
      <c r="AJ413" s="194">
        <v>41785</v>
      </c>
      <c r="AK413"/>
      <c r="AL413"/>
      <c r="AM413"/>
      <c r="AN413"/>
      <c r="AO413"/>
      <c r="AP413"/>
      <c r="AQ413" s="227"/>
      <c r="AR413" s="227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>
        <v>54.2</v>
      </c>
      <c r="BT413"/>
      <c r="BU413">
        <v>15.01</v>
      </c>
      <c r="BV413"/>
      <c r="BW413" s="229"/>
      <c r="BX413"/>
      <c r="BY413"/>
      <c r="BZ413"/>
      <c r="CA413"/>
      <c r="CB413" s="136"/>
      <c r="CC413"/>
      <c r="CD413"/>
      <c r="CE413">
        <v>5.12</v>
      </c>
      <c r="CF413"/>
      <c r="CG413">
        <v>0.1</v>
      </c>
      <c r="CH413"/>
      <c r="CI413"/>
      <c r="CJ413"/>
      <c r="CK413" t="s">
        <v>8820</v>
      </c>
      <c r="CL413"/>
      <c r="CM413"/>
    </row>
    <row r="414" spans="1:91" s="242" customFormat="1" ht="15.75" thickTop="1">
      <c r="A414" s="364" t="s">
        <v>7606</v>
      </c>
      <c r="B414" t="s">
        <v>265</v>
      </c>
      <c r="C414" t="s">
        <v>8213</v>
      </c>
      <c r="D414">
        <v>1</v>
      </c>
      <c r="E414" s="113">
        <v>61</v>
      </c>
      <c r="F414" s="113">
        <v>10</v>
      </c>
      <c r="G414" s="113"/>
      <c r="H414" s="113"/>
      <c r="I414"/>
      <c r="J414" s="112"/>
      <c r="K414" s="224">
        <v>7</v>
      </c>
      <c r="L414" s="390">
        <v>41625</v>
      </c>
      <c r="M414"/>
      <c r="N414" s="224"/>
      <c r="O414"/>
      <c r="P414"/>
      <c r="Q414"/>
      <c r="R414" s="153"/>
      <c r="S414" s="224"/>
      <c r="T414" s="224"/>
      <c r="U414"/>
      <c r="V414"/>
      <c r="W414"/>
      <c r="X414"/>
      <c r="Y414" s="225"/>
      <c r="Z414" s="224"/>
      <c r="AA414" s="226"/>
      <c r="AB414" s="224"/>
      <c r="AC414" s="225"/>
      <c r="AD414" s="224"/>
      <c r="AE414" s="224"/>
      <c r="AF414" s="224"/>
      <c r="AG414">
        <v>3.45</v>
      </c>
      <c r="AH414"/>
      <c r="AI414">
        <v>140</v>
      </c>
      <c r="AJ414" s="194">
        <v>41785</v>
      </c>
      <c r="AK414"/>
      <c r="AL414"/>
      <c r="AM414"/>
      <c r="AN414"/>
      <c r="AO414"/>
      <c r="AP414"/>
      <c r="AQ414" s="227"/>
      <c r="AR414" s="227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>
        <v>53.6</v>
      </c>
      <c r="BT414"/>
      <c r="BU414">
        <v>12.6</v>
      </c>
      <c r="BV414"/>
      <c r="BW414" s="229"/>
      <c r="BX414"/>
      <c r="BY414"/>
      <c r="BZ414"/>
      <c r="CA414"/>
      <c r="CB414" s="136"/>
      <c r="CC414"/>
      <c r="CD414"/>
      <c r="CE414">
        <v>5.3</v>
      </c>
      <c r="CF414"/>
      <c r="CG414">
        <v>1</v>
      </c>
      <c r="CH414"/>
      <c r="CI414"/>
      <c r="CJ414"/>
      <c r="CK414" t="s">
        <v>8820</v>
      </c>
      <c r="CL414">
        <v>7</v>
      </c>
      <c r="CM414" s="392">
        <v>41802</v>
      </c>
    </row>
    <row r="415" spans="1:91" s="242" customFormat="1" ht="15">
      <c r="A415" s="364" t="s">
        <v>7607</v>
      </c>
      <c r="B415" t="s">
        <v>265</v>
      </c>
      <c r="C415" t="s">
        <v>8213</v>
      </c>
      <c r="D415">
        <v>2</v>
      </c>
      <c r="E415" s="113">
        <v>50</v>
      </c>
      <c r="F415" s="113">
        <v>10</v>
      </c>
      <c r="G415" s="113"/>
      <c r="H415" s="113"/>
      <c r="I415"/>
      <c r="J415" s="112"/>
      <c r="K415" s="224">
        <v>7</v>
      </c>
      <c r="L415" s="390">
        <v>41625</v>
      </c>
      <c r="M415"/>
      <c r="N415" s="224"/>
      <c r="O415"/>
      <c r="P415"/>
      <c r="Q415"/>
      <c r="R415" s="153"/>
      <c r="S415" s="224"/>
      <c r="T415" s="224"/>
      <c r="U415"/>
      <c r="V415"/>
      <c r="W415"/>
      <c r="X415"/>
      <c r="Y415" s="225"/>
      <c r="Z415" s="224"/>
      <c r="AA415" s="226"/>
      <c r="AB415" s="224"/>
      <c r="AC415" s="225"/>
      <c r="AD415" s="224"/>
      <c r="AE415" s="224"/>
      <c r="AF415" s="224"/>
      <c r="AG415">
        <v>4.41</v>
      </c>
      <c r="AH415"/>
      <c r="AI415">
        <v>155</v>
      </c>
      <c r="AJ415" s="194">
        <v>41785</v>
      </c>
      <c r="AK415"/>
      <c r="AL415"/>
      <c r="AM415"/>
      <c r="AN415"/>
      <c r="AO415"/>
      <c r="AP415"/>
      <c r="AQ415" s="227"/>
      <c r="AR415" s="227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>
        <v>53.6</v>
      </c>
      <c r="BT415"/>
      <c r="BU415">
        <v>14.5</v>
      </c>
      <c r="BV415"/>
      <c r="BW415" s="229"/>
      <c r="BX415"/>
      <c r="BY415"/>
      <c r="BZ415"/>
      <c r="CA415"/>
      <c r="CB415" s="136"/>
      <c r="CC415"/>
      <c r="CD415"/>
      <c r="CE415">
        <v>4.8</v>
      </c>
      <c r="CF415"/>
      <c r="CG415">
        <v>0.3</v>
      </c>
      <c r="CH415"/>
      <c r="CI415"/>
      <c r="CJ415"/>
      <c r="CK415" t="s">
        <v>8820</v>
      </c>
      <c r="CL415">
        <v>3</v>
      </c>
      <c r="CM415" s="392">
        <v>41802</v>
      </c>
    </row>
    <row r="416" spans="1:91" s="242" customFormat="1" ht="15">
      <c r="A416" s="364" t="s">
        <v>7608</v>
      </c>
      <c r="B416" t="s">
        <v>265</v>
      </c>
      <c r="C416" t="s">
        <v>8213</v>
      </c>
      <c r="D416" s="232">
        <v>3</v>
      </c>
      <c r="E416" s="113">
        <v>63</v>
      </c>
      <c r="F416" s="113">
        <v>9</v>
      </c>
      <c r="G416" s="113"/>
      <c r="H416" s="113"/>
      <c r="I416"/>
      <c r="J416" s="112"/>
      <c r="K416" s="224">
        <v>7</v>
      </c>
      <c r="L416" s="390">
        <v>41625</v>
      </c>
      <c r="M416"/>
      <c r="N416" s="224"/>
      <c r="O416"/>
      <c r="P416"/>
      <c r="Q416"/>
      <c r="R416" s="153"/>
      <c r="S416" s="224"/>
      <c r="T416" s="224"/>
      <c r="U416"/>
      <c r="V416"/>
      <c r="W416"/>
      <c r="X416"/>
      <c r="Y416" s="225"/>
      <c r="Z416" s="224"/>
      <c r="AA416" s="226"/>
      <c r="AB416" s="224"/>
      <c r="AC416" s="225"/>
      <c r="AD416" s="224"/>
      <c r="AE416" s="224"/>
      <c r="AF416" s="224"/>
      <c r="AG416">
        <v>4.26</v>
      </c>
      <c r="AH416"/>
      <c r="AI416">
        <v>140</v>
      </c>
      <c r="AJ416" s="194">
        <v>41785</v>
      </c>
      <c r="AK416"/>
      <c r="AL416"/>
      <c r="AM416"/>
      <c r="AN416"/>
      <c r="AO416"/>
      <c r="AP416"/>
      <c r="AQ416" s="227"/>
      <c r="AR416" s="227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>
        <v>52.3</v>
      </c>
      <c r="BT416"/>
      <c r="BU416">
        <v>15.5</v>
      </c>
      <c r="BV416"/>
      <c r="BW416" s="229"/>
      <c r="BX416"/>
      <c r="BY416"/>
      <c r="BZ416"/>
      <c r="CA416"/>
      <c r="CB416" s="136"/>
      <c r="CC416"/>
      <c r="CD416"/>
      <c r="CE416">
        <v>5.5</v>
      </c>
      <c r="CF416"/>
      <c r="CG416">
        <v>0.3</v>
      </c>
      <c r="CH416"/>
      <c r="CI416"/>
      <c r="CJ416"/>
      <c r="CK416" t="s">
        <v>8820</v>
      </c>
      <c r="CL416">
        <v>5</v>
      </c>
      <c r="CM416" s="392">
        <v>41802</v>
      </c>
    </row>
    <row r="417" spans="1:91" s="242" customFormat="1" ht="15">
      <c r="A417" s="364" t="s">
        <v>7609</v>
      </c>
      <c r="B417" t="s">
        <v>265</v>
      </c>
      <c r="C417" t="s">
        <v>8213</v>
      </c>
      <c r="D417">
        <v>4</v>
      </c>
      <c r="E417" s="113">
        <v>58</v>
      </c>
      <c r="F417" s="113">
        <v>11</v>
      </c>
      <c r="G417" s="113"/>
      <c r="H417" s="113"/>
      <c r="I417"/>
      <c r="J417" s="112"/>
      <c r="K417" s="224">
        <v>7</v>
      </c>
      <c r="L417" s="390">
        <v>41625</v>
      </c>
      <c r="M417"/>
      <c r="N417" s="224"/>
      <c r="O417"/>
      <c r="P417"/>
      <c r="Q417"/>
      <c r="R417" s="153"/>
      <c r="S417" s="224"/>
      <c r="T417" s="224"/>
      <c r="U417"/>
      <c r="V417"/>
      <c r="W417"/>
      <c r="X417"/>
      <c r="Y417" s="225"/>
      <c r="Z417" s="224"/>
      <c r="AA417" s="226"/>
      <c r="AB417" s="224"/>
      <c r="AC417" s="225"/>
      <c r="AD417" s="224"/>
      <c r="AE417" s="224"/>
      <c r="AF417" s="224"/>
      <c r="AG417">
        <v>4.04</v>
      </c>
      <c r="AH417"/>
      <c r="AI417">
        <v>155</v>
      </c>
      <c r="AJ417" s="194">
        <v>41785</v>
      </c>
      <c r="AK417"/>
      <c r="AL417"/>
      <c r="AM417"/>
      <c r="AN417"/>
      <c r="AO417"/>
      <c r="AP417"/>
      <c r="AQ417" s="227"/>
      <c r="AR417" s="22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>
        <v>52.1</v>
      </c>
      <c r="BT417"/>
      <c r="BU417">
        <v>16.399999999999999</v>
      </c>
      <c r="BV417"/>
      <c r="BW417" s="229"/>
      <c r="BX417"/>
      <c r="BY417"/>
      <c r="BZ417"/>
      <c r="CA417"/>
      <c r="CB417" s="136"/>
      <c r="CC417"/>
      <c r="CD417"/>
      <c r="CE417">
        <v>5</v>
      </c>
      <c r="CF417"/>
      <c r="CG417">
        <v>0.5</v>
      </c>
      <c r="CH417"/>
      <c r="CI417"/>
      <c r="CJ417"/>
      <c r="CK417" t="s">
        <v>8820</v>
      </c>
      <c r="CL417">
        <v>3</v>
      </c>
      <c r="CM417" s="392">
        <v>41802</v>
      </c>
    </row>
    <row r="418" spans="1:91" s="242" customFormat="1" ht="15">
      <c r="A418" s="364" t="s">
        <v>7610</v>
      </c>
      <c r="B418" t="s">
        <v>265</v>
      </c>
      <c r="C418" t="s">
        <v>8213</v>
      </c>
      <c r="D418" s="232">
        <v>5</v>
      </c>
      <c r="E418" s="113">
        <v>66</v>
      </c>
      <c r="F418" s="113">
        <v>8</v>
      </c>
      <c r="G418" s="113"/>
      <c r="H418" s="113"/>
      <c r="I418"/>
      <c r="J418" s="112"/>
      <c r="K418" s="224">
        <v>7</v>
      </c>
      <c r="L418" s="390">
        <v>41625</v>
      </c>
      <c r="M418"/>
      <c r="N418" s="224"/>
      <c r="O418"/>
      <c r="P418"/>
      <c r="Q418"/>
      <c r="R418" s="153"/>
      <c r="S418" s="224"/>
      <c r="T418" s="224"/>
      <c r="U418"/>
      <c r="V418"/>
      <c r="W418"/>
      <c r="X418"/>
      <c r="Y418" s="225"/>
      <c r="Z418" s="224"/>
      <c r="AA418" s="226"/>
      <c r="AB418" s="224"/>
      <c r="AC418" s="225"/>
      <c r="AD418" s="224"/>
      <c r="AE418" s="224"/>
      <c r="AF418" s="224"/>
      <c r="AG418">
        <v>4.26</v>
      </c>
      <c r="AH418"/>
      <c r="AI418">
        <v>145</v>
      </c>
      <c r="AJ418" s="194">
        <v>41785</v>
      </c>
      <c r="AK418"/>
      <c r="AL418"/>
      <c r="AM418"/>
      <c r="AN418"/>
      <c r="AO418"/>
      <c r="AP418"/>
      <c r="AQ418" s="227"/>
      <c r="AR418" s="227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>
        <v>54.4</v>
      </c>
      <c r="BT418"/>
      <c r="BU418">
        <v>14.2</v>
      </c>
      <c r="BV418"/>
      <c r="BW418" s="229"/>
      <c r="BX418"/>
      <c r="BY418"/>
      <c r="BZ418"/>
      <c r="CA418"/>
      <c r="CB418" s="136"/>
      <c r="CC418"/>
      <c r="CD418"/>
      <c r="CE418">
        <v>5.9</v>
      </c>
      <c r="CF418"/>
      <c r="CG418">
        <v>0.5</v>
      </c>
      <c r="CH418"/>
      <c r="CI418"/>
      <c r="CJ418"/>
      <c r="CK418" t="s">
        <v>8820</v>
      </c>
      <c r="CL418">
        <v>1</v>
      </c>
      <c r="CM418" s="392">
        <v>41802</v>
      </c>
    </row>
    <row r="419" spans="1:91" s="242" customFormat="1" ht="15">
      <c r="A419" s="364" t="s">
        <v>7611</v>
      </c>
      <c r="B419" t="s">
        <v>265</v>
      </c>
      <c r="C419" t="s">
        <v>8213</v>
      </c>
      <c r="D419" s="232">
        <v>6</v>
      </c>
      <c r="E419" s="113">
        <v>45</v>
      </c>
      <c r="F419" s="113">
        <v>12</v>
      </c>
      <c r="G419" s="113"/>
      <c r="H419" s="113"/>
      <c r="I419"/>
      <c r="J419" s="112"/>
      <c r="K419" s="224">
        <v>6</v>
      </c>
      <c r="L419" s="390">
        <v>41625</v>
      </c>
      <c r="M419"/>
      <c r="N419" s="224"/>
      <c r="O419"/>
      <c r="P419"/>
      <c r="Q419"/>
      <c r="R419" s="153"/>
      <c r="S419" s="224"/>
      <c r="T419" s="224"/>
      <c r="U419"/>
      <c r="V419"/>
      <c r="W419"/>
      <c r="X419"/>
      <c r="Y419" s="225"/>
      <c r="Z419" s="224"/>
      <c r="AA419" s="226"/>
      <c r="AB419" s="224"/>
      <c r="AC419" s="225"/>
      <c r="AD419" s="224"/>
      <c r="AE419" s="224"/>
      <c r="AF419" s="224"/>
      <c r="AG419">
        <v>4.74</v>
      </c>
      <c r="AH419"/>
      <c r="AI419">
        <v>160</v>
      </c>
      <c r="AJ419" s="194">
        <v>41785</v>
      </c>
      <c r="AK419"/>
      <c r="AL419"/>
      <c r="AM419"/>
      <c r="AN419"/>
      <c r="AO419"/>
      <c r="AP419"/>
      <c r="AQ419" s="227"/>
      <c r="AR419" s="227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>
        <v>53.8</v>
      </c>
      <c r="BT419"/>
      <c r="BU419">
        <v>15.9</v>
      </c>
      <c r="BV419"/>
      <c r="BW419" s="229"/>
      <c r="BX419"/>
      <c r="BY419"/>
      <c r="BZ419"/>
      <c r="CA419"/>
      <c r="CB419" s="136"/>
      <c r="CC419"/>
      <c r="CD419"/>
      <c r="CE419">
        <v>5.9</v>
      </c>
      <c r="CF419"/>
      <c r="CG419">
        <v>0.4</v>
      </c>
      <c r="CH419"/>
      <c r="CI419"/>
      <c r="CJ419"/>
      <c r="CK419" t="s">
        <v>8820</v>
      </c>
      <c r="CL419">
        <v>1</v>
      </c>
      <c r="CM419" s="392">
        <v>41802</v>
      </c>
    </row>
    <row r="420" spans="1:91" s="242" customFormat="1" ht="15">
      <c r="A420" s="364" t="s">
        <v>7612</v>
      </c>
      <c r="B420" t="s">
        <v>265</v>
      </c>
      <c r="C420" t="s">
        <v>8213</v>
      </c>
      <c r="D420">
        <v>7</v>
      </c>
      <c r="E420" s="113">
        <v>56</v>
      </c>
      <c r="F420" s="113">
        <v>8</v>
      </c>
      <c r="G420" s="113"/>
      <c r="H420" s="113"/>
      <c r="I420"/>
      <c r="J420" s="112"/>
      <c r="K420" s="224">
        <v>7</v>
      </c>
      <c r="L420" s="390">
        <v>41625</v>
      </c>
      <c r="M420"/>
      <c r="N420" s="224"/>
      <c r="O420"/>
      <c r="P420"/>
      <c r="Q420"/>
      <c r="R420" s="153"/>
      <c r="S420" s="224"/>
      <c r="T420" s="224"/>
      <c r="U420"/>
      <c r="V420"/>
      <c r="W420"/>
      <c r="X420"/>
      <c r="Y420" s="225"/>
      <c r="Z420" s="224"/>
      <c r="AA420" s="226"/>
      <c r="AB420" s="224"/>
      <c r="AC420" s="225"/>
      <c r="AD420" s="224"/>
      <c r="AE420" s="224"/>
      <c r="AF420" s="224"/>
      <c r="AG420">
        <v>5.13</v>
      </c>
      <c r="AH420"/>
      <c r="AI420">
        <v>115</v>
      </c>
      <c r="AJ420" s="194">
        <v>41785</v>
      </c>
      <c r="AK420"/>
      <c r="AL420"/>
      <c r="AM420"/>
      <c r="AN420"/>
      <c r="AO420"/>
      <c r="AP420"/>
      <c r="AQ420" s="227"/>
      <c r="AR420" s="227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>
        <v>51.7</v>
      </c>
      <c r="BT420"/>
      <c r="BU420">
        <v>17.600000000000001</v>
      </c>
      <c r="BV420"/>
      <c r="BW420" s="229"/>
      <c r="BX420"/>
      <c r="BY420"/>
      <c r="BZ420"/>
      <c r="CA420"/>
      <c r="CB420" s="136"/>
      <c r="CC420"/>
      <c r="CD420"/>
      <c r="CE420">
        <v>5.2</v>
      </c>
      <c r="CF420"/>
      <c r="CG420">
        <v>0.8</v>
      </c>
      <c r="CH420"/>
      <c r="CI420"/>
      <c r="CJ420"/>
      <c r="CK420" t="s">
        <v>8820</v>
      </c>
      <c r="CL420">
        <v>5</v>
      </c>
      <c r="CM420" s="392">
        <v>41802</v>
      </c>
    </row>
    <row r="421" spans="1:91" s="242" customFormat="1" ht="15">
      <c r="A421" s="364" t="s">
        <v>7613</v>
      </c>
      <c r="B421" t="s">
        <v>265</v>
      </c>
      <c r="C421" t="s">
        <v>8213</v>
      </c>
      <c r="D421">
        <v>8</v>
      </c>
      <c r="E421" s="113">
        <v>67</v>
      </c>
      <c r="F421" s="113">
        <v>10</v>
      </c>
      <c r="G421" s="113"/>
      <c r="H421" s="113"/>
      <c r="I421"/>
      <c r="J421" s="112"/>
      <c r="K421" s="224">
        <v>7</v>
      </c>
      <c r="L421" s="390">
        <v>41625</v>
      </c>
      <c r="M421"/>
      <c r="N421" s="224"/>
      <c r="O421"/>
      <c r="P421"/>
      <c r="Q421"/>
      <c r="R421" s="153"/>
      <c r="S421" s="224"/>
      <c r="T421" s="224"/>
      <c r="U421"/>
      <c r="V421"/>
      <c r="W421"/>
      <c r="X421"/>
      <c r="Y421" s="225"/>
      <c r="Z421" s="224"/>
      <c r="AA421" s="226"/>
      <c r="AB421" s="224"/>
      <c r="AC421" s="225"/>
      <c r="AD421" s="224"/>
      <c r="AE421" s="224"/>
      <c r="AF421" s="224"/>
      <c r="AG421">
        <v>5.74</v>
      </c>
      <c r="AH421"/>
      <c r="AI421">
        <v>155</v>
      </c>
      <c r="AJ421" s="194">
        <v>41785</v>
      </c>
      <c r="AK421"/>
      <c r="AL421"/>
      <c r="AM421"/>
      <c r="AN421"/>
      <c r="AO421"/>
      <c r="AP421"/>
      <c r="AQ421" s="227"/>
      <c r="AR421" s="227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>
        <v>54.3</v>
      </c>
      <c r="BT421"/>
      <c r="BU421">
        <v>15.8</v>
      </c>
      <c r="BV421"/>
      <c r="BW421" s="229"/>
      <c r="BX421"/>
      <c r="BY421"/>
      <c r="BZ421"/>
      <c r="CA421"/>
      <c r="CB421" s="136"/>
      <c r="CC421"/>
      <c r="CD421"/>
      <c r="CE421">
        <v>6.5</v>
      </c>
      <c r="CF421"/>
      <c r="CG421">
        <v>0.8</v>
      </c>
      <c r="CH421"/>
      <c r="CI421"/>
      <c r="CJ421"/>
      <c r="CK421" t="s">
        <v>8820</v>
      </c>
      <c r="CL421">
        <v>1.4</v>
      </c>
      <c r="CM421" s="392">
        <v>41802</v>
      </c>
    </row>
    <row r="422" spans="1:91" ht="15">
      <c r="A422" s="364" t="s">
        <v>7614</v>
      </c>
      <c r="B422" t="s">
        <v>265</v>
      </c>
      <c r="C422" t="s">
        <v>8213</v>
      </c>
      <c r="D422" s="232">
        <v>9</v>
      </c>
      <c r="E422" s="113">
        <v>62</v>
      </c>
      <c r="F422" s="113">
        <v>9</v>
      </c>
      <c r="I422"/>
      <c r="K422" s="224">
        <v>7</v>
      </c>
      <c r="L422" s="390">
        <v>41625</v>
      </c>
      <c r="M422"/>
      <c r="N422" s="224"/>
      <c r="O422"/>
      <c r="P422"/>
      <c r="Q422"/>
      <c r="S422" s="224"/>
      <c r="T422" s="224"/>
      <c r="U422"/>
      <c r="V422"/>
      <c r="W422"/>
      <c r="X422"/>
      <c r="Y422" s="225"/>
      <c r="Z422" s="224"/>
      <c r="AA422" s="226"/>
      <c r="AB422" s="224"/>
      <c r="AC422" s="225"/>
      <c r="AD422" s="224"/>
      <c r="AE422" s="224"/>
      <c r="AF422" s="224"/>
      <c r="AG422">
        <v>4.1900000000000004</v>
      </c>
      <c r="AH422"/>
      <c r="AI422">
        <v>145</v>
      </c>
      <c r="AJ422" s="194">
        <v>41785</v>
      </c>
      <c r="AK422"/>
      <c r="AL422"/>
      <c r="AM422"/>
      <c r="AN422"/>
      <c r="AO422"/>
      <c r="AP422"/>
      <c r="AQ422" s="227"/>
      <c r="AR422" s="227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>
        <v>52.5</v>
      </c>
      <c r="BT422"/>
      <c r="BU422">
        <v>16.3</v>
      </c>
      <c r="BV422"/>
      <c r="BW422" s="229"/>
      <c r="BX422"/>
      <c r="BY422"/>
      <c r="BZ422"/>
      <c r="CA422"/>
      <c r="CC422"/>
      <c r="CD422"/>
      <c r="CE422">
        <v>4.9000000000000004</v>
      </c>
      <c r="CF422"/>
      <c r="CG422">
        <v>0.7</v>
      </c>
      <c r="CH422"/>
      <c r="CI422"/>
      <c r="CJ422"/>
      <c r="CK422" t="s">
        <v>8820</v>
      </c>
      <c r="CL422">
        <v>7</v>
      </c>
      <c r="CM422" s="392">
        <v>41802</v>
      </c>
    </row>
    <row r="423" spans="1:91" ht="15">
      <c r="A423" s="364" t="s">
        <v>7615</v>
      </c>
      <c r="B423" t="s">
        <v>265</v>
      </c>
      <c r="C423" t="s">
        <v>8213</v>
      </c>
      <c r="D423">
        <v>10</v>
      </c>
      <c r="E423" s="113">
        <v>63</v>
      </c>
      <c r="F423" s="113">
        <v>11</v>
      </c>
      <c r="I423"/>
      <c r="K423" s="224">
        <v>7</v>
      </c>
      <c r="L423" s="390">
        <v>41625</v>
      </c>
      <c r="M423"/>
      <c r="N423" s="224"/>
      <c r="O423"/>
      <c r="P423"/>
      <c r="Q423"/>
      <c r="S423" s="224"/>
      <c r="T423" s="224"/>
      <c r="U423"/>
      <c r="V423"/>
      <c r="W423"/>
      <c r="X423"/>
      <c r="Y423" s="225"/>
      <c r="Z423" s="224"/>
      <c r="AA423" s="226"/>
      <c r="AB423" s="224"/>
      <c r="AC423" s="225"/>
      <c r="AD423" s="224"/>
      <c r="AE423" s="224"/>
      <c r="AF423" s="224"/>
      <c r="AG423">
        <v>4.1500000000000004</v>
      </c>
      <c r="AH423"/>
      <c r="AI423">
        <v>150</v>
      </c>
      <c r="AJ423" s="194">
        <v>41785</v>
      </c>
      <c r="AK423"/>
      <c r="AL423"/>
      <c r="AM423"/>
      <c r="AN423"/>
      <c r="AO423"/>
      <c r="AP423"/>
      <c r="AQ423" s="227"/>
      <c r="AR423" s="227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>
        <v>54</v>
      </c>
      <c r="BT423"/>
      <c r="BU423">
        <v>14</v>
      </c>
      <c r="BV423"/>
      <c r="BW423" s="229"/>
      <c r="BX423"/>
      <c r="BY423"/>
      <c r="BZ423"/>
      <c r="CA423"/>
      <c r="CC423"/>
      <c r="CD423"/>
      <c r="CE423">
        <v>5</v>
      </c>
      <c r="CF423"/>
      <c r="CG423">
        <v>0.8</v>
      </c>
      <c r="CH423"/>
      <c r="CI423"/>
      <c r="CJ423"/>
      <c r="CK423" t="s">
        <v>8820</v>
      </c>
      <c r="CL423">
        <v>1</v>
      </c>
      <c r="CM423" s="392">
        <v>41802</v>
      </c>
    </row>
    <row r="424" spans="1:91" ht="15">
      <c r="A424" s="364" t="s">
        <v>7616</v>
      </c>
      <c r="B424" t="s">
        <v>265</v>
      </c>
      <c r="C424" t="s">
        <v>8213</v>
      </c>
      <c r="D424">
        <v>11</v>
      </c>
      <c r="E424" s="113">
        <v>61</v>
      </c>
      <c r="F424" s="113">
        <v>8</v>
      </c>
      <c r="I424"/>
      <c r="K424" s="224">
        <v>7</v>
      </c>
      <c r="L424" s="390">
        <v>41625</v>
      </c>
      <c r="M424"/>
      <c r="N424" s="224"/>
      <c r="O424"/>
      <c r="P424"/>
      <c r="Q424"/>
      <c r="S424" s="224"/>
      <c r="T424" s="224"/>
      <c r="U424"/>
      <c r="V424"/>
      <c r="W424"/>
      <c r="X424"/>
      <c r="Y424" s="225"/>
      <c r="Z424" s="224"/>
      <c r="AA424" s="226"/>
      <c r="AB424" s="224"/>
      <c r="AC424" s="225"/>
      <c r="AD424" s="224"/>
      <c r="AE424" s="224"/>
      <c r="AF424" s="224"/>
      <c r="AG424">
        <v>4.3600000000000003</v>
      </c>
      <c r="AH424"/>
      <c r="AI424">
        <v>140</v>
      </c>
      <c r="AJ424" s="194">
        <v>41785</v>
      </c>
      <c r="AK424"/>
      <c r="AL424"/>
      <c r="AM424"/>
      <c r="AN424"/>
      <c r="AO424"/>
      <c r="AP424"/>
      <c r="AQ424" s="227"/>
      <c r="AR424" s="227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>
        <v>54.2</v>
      </c>
      <c r="BT424"/>
      <c r="BU424">
        <v>15</v>
      </c>
      <c r="BV424"/>
      <c r="BW424" s="229"/>
      <c r="BX424"/>
      <c r="BY424"/>
      <c r="BZ424"/>
      <c r="CA424"/>
      <c r="CC424"/>
      <c r="CD424"/>
      <c r="CE424">
        <v>4.7</v>
      </c>
      <c r="CF424"/>
      <c r="CG424">
        <v>0.2</v>
      </c>
      <c r="CH424"/>
      <c r="CI424"/>
      <c r="CJ424"/>
      <c r="CK424" t="s">
        <v>8820</v>
      </c>
      <c r="CL424">
        <v>5</v>
      </c>
      <c r="CM424" s="392">
        <v>41802</v>
      </c>
    </row>
    <row r="425" spans="1:91" ht="15">
      <c r="A425" s="364" t="s">
        <v>7617</v>
      </c>
      <c r="B425" t="s">
        <v>265</v>
      </c>
      <c r="C425" t="s">
        <v>8213</v>
      </c>
      <c r="D425">
        <v>12</v>
      </c>
      <c r="E425" s="113">
        <v>62</v>
      </c>
      <c r="F425" s="113">
        <v>12</v>
      </c>
      <c r="I425"/>
      <c r="K425" s="224">
        <v>7</v>
      </c>
      <c r="L425" s="390">
        <v>41625</v>
      </c>
      <c r="M425"/>
      <c r="N425" s="224"/>
      <c r="O425"/>
      <c r="P425"/>
      <c r="Q425"/>
      <c r="S425" s="224"/>
      <c r="T425" s="224"/>
      <c r="U425"/>
      <c r="V425"/>
      <c r="W425"/>
      <c r="X425"/>
      <c r="Y425" s="225"/>
      <c r="Z425" s="224"/>
      <c r="AA425" s="226"/>
      <c r="AB425" s="224"/>
      <c r="AC425" s="225"/>
      <c r="AD425" s="224"/>
      <c r="AE425" s="224"/>
      <c r="AF425" s="224"/>
      <c r="AG425">
        <v>3.88</v>
      </c>
      <c r="AH425"/>
      <c r="AI425">
        <v>160</v>
      </c>
      <c r="AJ425" s="194">
        <v>41785</v>
      </c>
      <c r="AK425"/>
      <c r="AL425"/>
      <c r="AM425"/>
      <c r="AN425"/>
      <c r="AO425"/>
      <c r="AP425"/>
      <c r="AQ425" s="227"/>
      <c r="AR425" s="227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>
        <v>54.8</v>
      </c>
      <c r="BT425"/>
      <c r="BU425">
        <v>13.2</v>
      </c>
      <c r="BV425"/>
      <c r="BW425" s="229"/>
      <c r="BX425"/>
      <c r="BY425"/>
      <c r="BZ425"/>
      <c r="CA425"/>
      <c r="CC425"/>
      <c r="CD425"/>
      <c r="CE425">
        <v>5.5</v>
      </c>
      <c r="CF425"/>
      <c r="CG425">
        <v>0.8</v>
      </c>
      <c r="CH425"/>
      <c r="CI425"/>
      <c r="CJ425"/>
      <c r="CK425" t="s">
        <v>8820</v>
      </c>
      <c r="CL425">
        <v>1</v>
      </c>
      <c r="CM425" s="392">
        <v>41802</v>
      </c>
    </row>
    <row r="426" spans="1:91" ht="15">
      <c r="A426" s="364" t="s">
        <v>7618</v>
      </c>
      <c r="B426" t="s">
        <v>265</v>
      </c>
      <c r="C426" t="s">
        <v>8213</v>
      </c>
      <c r="D426">
        <v>13</v>
      </c>
      <c r="E426" s="113">
        <v>44</v>
      </c>
      <c r="F426" s="113">
        <v>9</v>
      </c>
      <c r="I426"/>
      <c r="K426" s="224">
        <v>7</v>
      </c>
      <c r="L426" s="390">
        <v>41625</v>
      </c>
      <c r="M426"/>
      <c r="N426" s="224"/>
      <c r="O426"/>
      <c r="P426"/>
      <c r="Q426"/>
      <c r="S426" s="224"/>
      <c r="T426" s="224"/>
      <c r="U426"/>
      <c r="V426"/>
      <c r="W426"/>
      <c r="X426"/>
      <c r="Y426" s="225"/>
      <c r="Z426" s="224"/>
      <c r="AA426" s="226"/>
      <c r="AB426" s="224"/>
      <c r="AC426" s="225"/>
      <c r="AD426" s="224"/>
      <c r="AE426" s="224"/>
      <c r="AF426" s="224"/>
      <c r="AG426">
        <v>4.47</v>
      </c>
      <c r="AH426"/>
      <c r="AI426">
        <v>150</v>
      </c>
      <c r="AJ426" s="194">
        <v>41785</v>
      </c>
      <c r="AK426"/>
      <c r="AL426"/>
      <c r="AM426"/>
      <c r="AN426"/>
      <c r="AO426"/>
      <c r="AP426"/>
      <c r="AQ426" s="227"/>
      <c r="AR426" s="227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>
        <v>54.9</v>
      </c>
      <c r="BT426"/>
      <c r="BU426">
        <v>14.4</v>
      </c>
      <c r="BV426"/>
      <c r="BW426" s="229"/>
      <c r="BX426"/>
      <c r="BY426"/>
      <c r="BZ426"/>
      <c r="CA426"/>
      <c r="CC426"/>
      <c r="CD426"/>
      <c r="CE426">
        <v>6.5</v>
      </c>
      <c r="CF426"/>
      <c r="CG426">
        <v>0.2</v>
      </c>
      <c r="CH426"/>
      <c r="CI426"/>
      <c r="CJ426"/>
      <c r="CK426" t="s">
        <v>8820</v>
      </c>
      <c r="CL426">
        <v>7</v>
      </c>
      <c r="CM426" s="392">
        <v>41802</v>
      </c>
    </row>
    <row r="427" spans="1:91" ht="15">
      <c r="A427" s="364" t="s">
        <v>7619</v>
      </c>
      <c r="B427" t="s">
        <v>265</v>
      </c>
      <c r="C427" t="s">
        <v>8213</v>
      </c>
      <c r="D427" s="232">
        <v>14</v>
      </c>
      <c r="E427" s="113">
        <v>69</v>
      </c>
      <c r="F427" s="113">
        <v>9</v>
      </c>
      <c r="G427" s="233"/>
      <c r="H427" s="233"/>
      <c r="I427" s="232"/>
      <c r="J427" s="234"/>
      <c r="K427" s="235">
        <v>7</v>
      </c>
      <c r="L427" s="390">
        <v>41625</v>
      </c>
      <c r="M427" s="232"/>
      <c r="N427" s="235"/>
      <c r="O427" s="232"/>
      <c r="P427" s="232"/>
      <c r="Q427" s="232"/>
      <c r="R427" s="236"/>
      <c r="S427" s="235"/>
      <c r="T427" s="235"/>
      <c r="U427" s="232"/>
      <c r="V427" s="232"/>
      <c r="W427" s="232"/>
      <c r="X427" s="232"/>
      <c r="Y427" s="237"/>
      <c r="Z427" s="235"/>
      <c r="AA427" s="238"/>
      <c r="AB427" s="235"/>
      <c r="AC427" s="237"/>
      <c r="AD427" s="235"/>
      <c r="AE427" s="235"/>
      <c r="AF427" s="235"/>
      <c r="AG427" s="232">
        <v>3.52</v>
      </c>
      <c r="AH427" s="232"/>
      <c r="AI427" s="232">
        <v>120</v>
      </c>
      <c r="AJ427" s="194">
        <v>41785</v>
      </c>
      <c r="AK427" s="232"/>
      <c r="AL427" s="232"/>
      <c r="AM427" s="232"/>
      <c r="AN427" s="232"/>
      <c r="AO427" s="232"/>
      <c r="AP427" s="232"/>
      <c r="AQ427" s="239"/>
      <c r="AR427" s="239"/>
      <c r="AS427" s="232"/>
      <c r="AT427" s="232"/>
      <c r="AU427" s="232"/>
      <c r="AV427" s="232"/>
      <c r="AW427" s="232"/>
      <c r="AX427" s="232"/>
      <c r="AY427" s="232"/>
      <c r="AZ427" s="232"/>
      <c r="BA427" s="232"/>
      <c r="BB427" s="232"/>
      <c r="BC427" s="232"/>
      <c r="BD427" s="232"/>
      <c r="BE427" s="232"/>
      <c r="BF427" s="232"/>
      <c r="BG427" s="232"/>
      <c r="BH427" s="232"/>
      <c r="BI427" s="232"/>
      <c r="BJ427" s="232"/>
      <c r="BK427" s="232"/>
      <c r="BL427" s="232"/>
      <c r="BM427" s="232"/>
      <c r="BN427" s="232"/>
      <c r="BO427" s="232"/>
      <c r="BP427" s="232"/>
      <c r="BQ427" s="232"/>
      <c r="BR427" s="232"/>
      <c r="BS427" s="232">
        <v>52.9</v>
      </c>
      <c r="BT427" s="232"/>
      <c r="BU427" s="232">
        <v>15.2</v>
      </c>
      <c r="BV427" s="232"/>
      <c r="BW427" s="240"/>
      <c r="BX427" s="232"/>
      <c r="BY427" s="232"/>
      <c r="BZ427" s="232"/>
      <c r="CA427" s="232"/>
      <c r="CB427" s="241"/>
      <c r="CC427" s="232"/>
      <c r="CD427" s="232"/>
      <c r="CE427" s="232">
        <v>6.3</v>
      </c>
      <c r="CF427" s="232"/>
      <c r="CG427" s="232">
        <v>0.7</v>
      </c>
      <c r="CH427" s="232"/>
      <c r="CI427" s="232"/>
      <c r="CJ427" s="232"/>
      <c r="CK427" t="s">
        <v>8820</v>
      </c>
      <c r="CL427" s="232">
        <v>3.4</v>
      </c>
      <c r="CM427" s="392">
        <v>41802</v>
      </c>
    </row>
    <row r="428" spans="1:91" ht="15">
      <c r="A428" s="364" t="s">
        <v>7620</v>
      </c>
      <c r="B428" t="s">
        <v>265</v>
      </c>
      <c r="C428" t="s">
        <v>8213</v>
      </c>
      <c r="D428">
        <v>15</v>
      </c>
      <c r="E428" s="113">
        <v>43</v>
      </c>
      <c r="F428" s="113">
        <v>11</v>
      </c>
      <c r="I428"/>
      <c r="K428" s="224">
        <v>6</v>
      </c>
      <c r="L428" s="390">
        <v>41625</v>
      </c>
      <c r="M428"/>
      <c r="N428" s="224"/>
      <c r="O428"/>
      <c r="P428"/>
      <c r="Q428"/>
      <c r="S428" s="224"/>
      <c r="T428" s="224"/>
      <c r="U428"/>
      <c r="V428"/>
      <c r="W428"/>
      <c r="X428"/>
      <c r="Y428" s="225"/>
      <c r="Z428" s="224"/>
      <c r="AA428" s="226"/>
      <c r="AB428" s="224"/>
      <c r="AC428" s="225"/>
      <c r="AD428" s="224"/>
      <c r="AE428" s="224"/>
      <c r="AF428" s="224"/>
      <c r="AG428">
        <v>3.26</v>
      </c>
      <c r="AH428"/>
      <c r="AI428">
        <v>120</v>
      </c>
      <c r="AJ428" s="194">
        <v>41785</v>
      </c>
      <c r="AK428"/>
      <c r="AL428"/>
      <c r="AM428"/>
      <c r="AN428"/>
      <c r="AO428"/>
      <c r="AP428"/>
      <c r="AQ428" s="227"/>
      <c r="AR428" s="227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>
        <v>55.3</v>
      </c>
      <c r="BT428"/>
      <c r="BU428">
        <v>15</v>
      </c>
      <c r="BV428"/>
      <c r="BW428" s="229"/>
      <c r="BX428"/>
      <c r="BY428"/>
      <c r="BZ428"/>
      <c r="CA428"/>
      <c r="CC428"/>
      <c r="CD428"/>
      <c r="CE428">
        <v>7.5</v>
      </c>
      <c r="CF428"/>
      <c r="CG428">
        <v>1.8</v>
      </c>
      <c r="CH428"/>
      <c r="CI428"/>
      <c r="CJ428"/>
      <c r="CK428" t="s">
        <v>8820</v>
      </c>
      <c r="CL428">
        <v>1</v>
      </c>
      <c r="CM428" s="392">
        <v>41802</v>
      </c>
    </row>
    <row r="429" spans="1:91" ht="15">
      <c r="A429" s="364" t="s">
        <v>7622</v>
      </c>
      <c r="B429" t="s">
        <v>265</v>
      </c>
      <c r="C429" t="s">
        <v>8213</v>
      </c>
      <c r="D429">
        <v>17</v>
      </c>
      <c r="E429" s="113">
        <v>62</v>
      </c>
      <c r="F429" s="113">
        <v>7</v>
      </c>
      <c r="I429"/>
      <c r="K429" s="224">
        <v>7</v>
      </c>
      <c r="L429" s="390">
        <v>41625</v>
      </c>
      <c r="M429"/>
      <c r="N429" s="224"/>
      <c r="O429"/>
      <c r="P429"/>
      <c r="Q429"/>
      <c r="S429" s="224"/>
      <c r="T429" s="224"/>
      <c r="U429"/>
      <c r="V429"/>
      <c r="W429"/>
      <c r="X429"/>
      <c r="Y429" s="225"/>
      <c r="Z429" s="224"/>
      <c r="AA429" s="226"/>
      <c r="AB429" s="224"/>
      <c r="AC429" s="225"/>
      <c r="AD429" s="224"/>
      <c r="AE429" s="224"/>
      <c r="AF429" s="224"/>
      <c r="AG429">
        <v>4.13</v>
      </c>
      <c r="AH429"/>
      <c r="AI429">
        <v>140</v>
      </c>
      <c r="AJ429" s="194">
        <v>41785</v>
      </c>
      <c r="AK429"/>
      <c r="AL429"/>
      <c r="AM429"/>
      <c r="AN429"/>
      <c r="AO429"/>
      <c r="AP429"/>
      <c r="AQ429" s="227"/>
      <c r="AR429" s="227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>
        <v>53</v>
      </c>
      <c r="BT429"/>
      <c r="BU429">
        <v>16.2</v>
      </c>
      <c r="BV429"/>
      <c r="BW429" s="229"/>
      <c r="BX429"/>
      <c r="BY429"/>
      <c r="BZ429"/>
      <c r="CA429"/>
      <c r="CC429"/>
      <c r="CD429"/>
      <c r="CE429">
        <v>5</v>
      </c>
      <c r="CF429"/>
      <c r="CG429">
        <v>0.4</v>
      </c>
      <c r="CH429"/>
      <c r="CI429"/>
      <c r="CJ429"/>
      <c r="CK429" t="s">
        <v>8820</v>
      </c>
      <c r="CL429">
        <v>3</v>
      </c>
      <c r="CM429" s="392">
        <v>41802</v>
      </c>
    </row>
    <row r="430" spans="1:91" s="242" customFormat="1" ht="15">
      <c r="A430" s="364" t="s">
        <v>7624</v>
      </c>
      <c r="B430" t="s">
        <v>265</v>
      </c>
      <c r="C430" t="s">
        <v>8213</v>
      </c>
      <c r="D430">
        <v>19</v>
      </c>
      <c r="E430" s="113">
        <v>48</v>
      </c>
      <c r="F430" s="113">
        <v>7</v>
      </c>
      <c r="G430" s="113"/>
      <c r="H430" s="113"/>
      <c r="I430"/>
      <c r="J430" s="112"/>
      <c r="K430" s="224">
        <v>7</v>
      </c>
      <c r="L430" s="390">
        <v>41625</v>
      </c>
      <c r="M430"/>
      <c r="N430" s="224"/>
      <c r="O430"/>
      <c r="P430"/>
      <c r="Q430"/>
      <c r="R430" s="153"/>
      <c r="S430" s="224"/>
      <c r="T430" s="224"/>
      <c r="U430"/>
      <c r="V430"/>
      <c r="W430"/>
      <c r="X430"/>
      <c r="Y430" s="225"/>
      <c r="Z430" s="224"/>
      <c r="AA430" s="226"/>
      <c r="AB430" s="224"/>
      <c r="AC430" s="225"/>
      <c r="AD430" s="224"/>
      <c r="AE430" s="224"/>
      <c r="AF430" s="224"/>
      <c r="AG430">
        <v>5.08</v>
      </c>
      <c r="AH430"/>
      <c r="AI430">
        <v>150</v>
      </c>
      <c r="AJ430" s="194">
        <v>41785</v>
      </c>
      <c r="AK430"/>
      <c r="AL430"/>
      <c r="AM430"/>
      <c r="AN430"/>
      <c r="AO430"/>
      <c r="AP430"/>
      <c r="AQ430" s="227"/>
      <c r="AR430" s="227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>
        <v>52.1</v>
      </c>
      <c r="BT430"/>
      <c r="BU430">
        <v>17.600000000000001</v>
      </c>
      <c r="BV430"/>
      <c r="BW430" s="229"/>
      <c r="BX430"/>
      <c r="BY430"/>
      <c r="BZ430"/>
      <c r="CA430"/>
      <c r="CB430" s="136"/>
      <c r="CC430"/>
      <c r="CD430"/>
      <c r="CE430">
        <v>7.9</v>
      </c>
      <c r="CF430"/>
      <c r="CG430">
        <v>0.5</v>
      </c>
      <c r="CH430"/>
      <c r="CI430"/>
      <c r="CJ430"/>
      <c r="CK430" t="s">
        <v>8820</v>
      </c>
      <c r="CL430">
        <v>1.8</v>
      </c>
      <c r="CM430" s="392">
        <v>41802</v>
      </c>
    </row>
    <row r="431" spans="1:91" s="242" customFormat="1" ht="15">
      <c r="A431" s="364" t="s">
        <v>7625</v>
      </c>
      <c r="B431" t="s">
        <v>265</v>
      </c>
      <c r="C431" t="s">
        <v>8213</v>
      </c>
      <c r="D431">
        <v>20</v>
      </c>
      <c r="E431" s="113">
        <v>57</v>
      </c>
      <c r="F431" s="113">
        <v>8</v>
      </c>
      <c r="G431" s="113"/>
      <c r="H431" s="113"/>
      <c r="I431"/>
      <c r="J431" s="112"/>
      <c r="K431" s="224">
        <v>7</v>
      </c>
      <c r="L431" s="390">
        <v>41625</v>
      </c>
      <c r="M431"/>
      <c r="N431" s="224"/>
      <c r="O431"/>
      <c r="P431"/>
      <c r="Q431"/>
      <c r="R431" s="153"/>
      <c r="S431" s="224"/>
      <c r="T431" s="224"/>
      <c r="U431"/>
      <c r="V431"/>
      <c r="W431"/>
      <c r="X431"/>
      <c r="Y431" s="225"/>
      <c r="Z431" s="224"/>
      <c r="AA431" s="226"/>
      <c r="AB431" s="224"/>
      <c r="AC431" s="225"/>
      <c r="AD431" s="224"/>
      <c r="AE431" s="224"/>
      <c r="AF431" s="224"/>
      <c r="AG431">
        <v>3.52</v>
      </c>
      <c r="AH431"/>
      <c r="AI431">
        <v>150</v>
      </c>
      <c r="AJ431" s="194">
        <v>41785</v>
      </c>
      <c r="AK431"/>
      <c r="AL431"/>
      <c r="AM431"/>
      <c r="AN431"/>
      <c r="AO431"/>
      <c r="AP431"/>
      <c r="AQ431" s="227"/>
      <c r="AR431" s="227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>
        <v>53.6</v>
      </c>
      <c r="BT431"/>
      <c r="BU431">
        <v>14.5</v>
      </c>
      <c r="BV431"/>
      <c r="BW431" s="229"/>
      <c r="BX431"/>
      <c r="BY431"/>
      <c r="BZ431"/>
      <c r="CA431"/>
      <c r="CB431" s="136"/>
      <c r="CC431"/>
      <c r="CD431"/>
      <c r="CE431">
        <v>4.8</v>
      </c>
      <c r="CF431"/>
      <c r="CG431">
        <v>1.3</v>
      </c>
      <c r="CH431"/>
      <c r="CI431"/>
      <c r="CJ431"/>
      <c r="CK431" t="s">
        <v>8820</v>
      </c>
      <c r="CL431">
        <v>6.4</v>
      </c>
      <c r="CM431" s="392">
        <v>41802</v>
      </c>
    </row>
    <row r="432" spans="1:91" ht="15">
      <c r="A432" s="364" t="s">
        <v>7626</v>
      </c>
      <c r="B432" t="s">
        <v>265</v>
      </c>
      <c r="C432" t="s">
        <v>8213</v>
      </c>
      <c r="D432">
        <v>21</v>
      </c>
      <c r="E432" s="113">
        <v>58</v>
      </c>
      <c r="F432" s="113">
        <v>10</v>
      </c>
      <c r="I432"/>
      <c r="K432" s="224">
        <v>7</v>
      </c>
      <c r="L432" s="390">
        <v>41625</v>
      </c>
      <c r="M432"/>
      <c r="N432" s="224"/>
      <c r="O432"/>
      <c r="P432"/>
      <c r="Q432"/>
      <c r="S432" s="224"/>
      <c r="T432" s="224"/>
      <c r="U432"/>
      <c r="V432"/>
      <c r="W432"/>
      <c r="X432"/>
      <c r="Y432" s="225"/>
      <c r="Z432" s="224"/>
      <c r="AA432" s="226"/>
      <c r="AB432" s="224"/>
      <c r="AC432" s="225"/>
      <c r="AD432" s="224"/>
      <c r="AE432" s="224"/>
      <c r="AF432" s="224"/>
      <c r="AG432">
        <v>4.67</v>
      </c>
      <c r="AH432"/>
      <c r="AI432">
        <v>135</v>
      </c>
      <c r="AJ432" s="194">
        <v>41785</v>
      </c>
      <c r="AK432"/>
      <c r="AL432"/>
      <c r="AM432"/>
      <c r="AN432"/>
      <c r="AO432"/>
      <c r="AP432"/>
      <c r="AQ432" s="227"/>
      <c r="AR432" s="227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>
        <v>52.8</v>
      </c>
      <c r="BT432"/>
      <c r="BU432">
        <v>13.7</v>
      </c>
      <c r="BV432"/>
      <c r="BW432" s="229"/>
      <c r="BX432"/>
      <c r="BY432"/>
      <c r="BZ432"/>
      <c r="CA432"/>
      <c r="CC432"/>
      <c r="CD432"/>
      <c r="CE432">
        <v>4.7</v>
      </c>
      <c r="CF432"/>
      <c r="CG432">
        <v>0.3</v>
      </c>
      <c r="CH432"/>
      <c r="CI432"/>
      <c r="CJ432"/>
      <c r="CK432" t="s">
        <v>8820</v>
      </c>
      <c r="CL432">
        <v>3</v>
      </c>
      <c r="CM432" s="392">
        <v>41802</v>
      </c>
    </row>
    <row r="433" spans="1:91" ht="15">
      <c r="A433" s="364" t="s">
        <v>7627</v>
      </c>
      <c r="B433" t="s">
        <v>265</v>
      </c>
      <c r="C433" t="s">
        <v>8213</v>
      </c>
      <c r="D433">
        <v>22</v>
      </c>
      <c r="E433" s="113">
        <v>39</v>
      </c>
      <c r="F433" s="113">
        <v>7</v>
      </c>
      <c r="I433"/>
      <c r="K433" s="224">
        <v>6</v>
      </c>
      <c r="L433" s="390">
        <v>41625</v>
      </c>
      <c r="M433"/>
      <c r="N433" s="224"/>
      <c r="O433"/>
      <c r="P433"/>
      <c r="Q433"/>
      <c r="S433" s="224"/>
      <c r="T433" s="224"/>
      <c r="U433"/>
      <c r="V433"/>
      <c r="W433"/>
      <c r="X433"/>
      <c r="Y433" s="225"/>
      <c r="Z433" s="224"/>
      <c r="AA433" s="226"/>
      <c r="AB433" s="224"/>
      <c r="AC433" s="225"/>
      <c r="AD433" s="224"/>
      <c r="AE433" s="224"/>
      <c r="AF433" s="224"/>
      <c r="AG433">
        <v>3.83</v>
      </c>
      <c r="AH433"/>
      <c r="AI433">
        <v>140</v>
      </c>
      <c r="AJ433" s="194">
        <v>41785</v>
      </c>
      <c r="AK433"/>
      <c r="AL433"/>
      <c r="AM433"/>
      <c r="AN433"/>
      <c r="AO433"/>
      <c r="AP433"/>
      <c r="AQ433" s="227"/>
      <c r="AR433" s="227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>
        <v>52.8</v>
      </c>
      <c r="BT433"/>
      <c r="BU433">
        <v>14.4</v>
      </c>
      <c r="BV433"/>
      <c r="BW433"/>
      <c r="BX433" s="228"/>
      <c r="BY433"/>
      <c r="BZ433"/>
      <c r="CA433"/>
      <c r="CC433"/>
      <c r="CD433"/>
      <c r="CE433">
        <v>7.4</v>
      </c>
      <c r="CF433"/>
      <c r="CG433">
        <v>1.3</v>
      </c>
      <c r="CH433"/>
      <c r="CI433"/>
      <c r="CJ433"/>
      <c r="CK433" t="s">
        <v>8820</v>
      </c>
      <c r="CL433">
        <v>1</v>
      </c>
      <c r="CM433" s="392">
        <v>41802</v>
      </c>
    </row>
    <row r="434" spans="1:91" ht="15">
      <c r="A434" s="364" t="s">
        <v>7628</v>
      </c>
      <c r="B434" t="s">
        <v>265</v>
      </c>
      <c r="C434" t="s">
        <v>8213</v>
      </c>
      <c r="D434" s="232">
        <v>23</v>
      </c>
      <c r="E434" s="113">
        <v>66</v>
      </c>
      <c r="F434" s="113">
        <v>7</v>
      </c>
      <c r="I434"/>
      <c r="K434" s="224">
        <v>6</v>
      </c>
      <c r="L434" s="390">
        <v>41625</v>
      </c>
      <c r="M434"/>
      <c r="N434" s="224"/>
      <c r="O434"/>
      <c r="P434"/>
      <c r="Q434"/>
      <c r="S434" s="224"/>
      <c r="T434" s="224"/>
      <c r="U434"/>
      <c r="V434"/>
      <c r="W434"/>
      <c r="X434"/>
      <c r="Y434" s="225"/>
      <c r="Z434" s="224"/>
      <c r="AA434" s="226"/>
      <c r="AB434" s="224"/>
      <c r="AC434" s="225"/>
      <c r="AD434" s="224"/>
      <c r="AE434" s="224"/>
      <c r="AF434" s="224"/>
      <c r="AG434">
        <v>4.47</v>
      </c>
      <c r="AH434"/>
      <c r="AI434">
        <v>140</v>
      </c>
      <c r="AJ434" s="194">
        <v>41785</v>
      </c>
      <c r="AK434"/>
      <c r="AL434"/>
      <c r="AM434"/>
      <c r="AN434"/>
      <c r="AO434"/>
      <c r="AP434"/>
      <c r="AQ434" s="227"/>
      <c r="AR434" s="227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>
        <v>51.5</v>
      </c>
      <c r="BT434"/>
      <c r="BU434">
        <v>17.100000000000001</v>
      </c>
      <c r="BV434"/>
      <c r="BW434" s="229"/>
      <c r="BX434"/>
      <c r="BY434"/>
      <c r="BZ434"/>
      <c r="CA434"/>
      <c r="CC434"/>
      <c r="CD434"/>
      <c r="CE434">
        <v>5.8</v>
      </c>
      <c r="CF434"/>
      <c r="CG434">
        <v>0.3</v>
      </c>
      <c r="CH434"/>
      <c r="CI434"/>
      <c r="CJ434"/>
      <c r="CK434" t="s">
        <v>8820</v>
      </c>
      <c r="CL434">
        <v>1</v>
      </c>
      <c r="CM434" s="392">
        <v>41802</v>
      </c>
    </row>
    <row r="435" spans="1:91" ht="15">
      <c r="A435" s="364" t="s">
        <v>7629</v>
      </c>
      <c r="B435" t="s">
        <v>265</v>
      </c>
      <c r="C435" t="s">
        <v>8213</v>
      </c>
      <c r="D435">
        <v>24</v>
      </c>
      <c r="E435" s="113">
        <v>41</v>
      </c>
      <c r="F435" s="113">
        <v>12</v>
      </c>
      <c r="I435"/>
      <c r="K435" s="224">
        <v>7</v>
      </c>
      <c r="L435" s="390">
        <v>41625</v>
      </c>
      <c r="M435"/>
      <c r="N435" s="224"/>
      <c r="O435"/>
      <c r="P435"/>
      <c r="Q435"/>
      <c r="S435" s="224"/>
      <c r="T435" s="224"/>
      <c r="U435"/>
      <c r="V435"/>
      <c r="W435"/>
      <c r="X435"/>
      <c r="Y435" s="225"/>
      <c r="Z435" s="224"/>
      <c r="AA435" s="226"/>
      <c r="AB435" s="224"/>
      <c r="AC435" s="225"/>
      <c r="AD435" s="224"/>
      <c r="AE435" s="224"/>
      <c r="AF435" s="224"/>
      <c r="AG435">
        <v>4.18</v>
      </c>
      <c r="AH435"/>
      <c r="AI435">
        <v>140</v>
      </c>
      <c r="AJ435" s="194">
        <v>41785</v>
      </c>
      <c r="AK435"/>
      <c r="AL435"/>
      <c r="AM435"/>
      <c r="AN435"/>
      <c r="AO435"/>
      <c r="AP435"/>
      <c r="AQ435" s="227"/>
      <c r="AR435" s="227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>
        <v>52.7</v>
      </c>
      <c r="BT435"/>
      <c r="BU435">
        <v>14.8</v>
      </c>
      <c r="BV435"/>
      <c r="BW435" s="229"/>
      <c r="BX435"/>
      <c r="BY435"/>
      <c r="BZ435"/>
      <c r="CA435"/>
      <c r="CC435"/>
      <c r="CD435"/>
      <c r="CE435">
        <v>5.7</v>
      </c>
      <c r="CF435"/>
      <c r="CG435">
        <v>0.2</v>
      </c>
      <c r="CH435"/>
      <c r="CI435"/>
      <c r="CJ435"/>
      <c r="CK435" t="s">
        <v>8820</v>
      </c>
      <c r="CL435">
        <v>1</v>
      </c>
      <c r="CM435" s="392">
        <v>41802</v>
      </c>
    </row>
    <row r="436" spans="1:91" ht="15">
      <c r="A436" s="364" t="s">
        <v>7630</v>
      </c>
      <c r="B436" t="s">
        <v>265</v>
      </c>
      <c r="C436" t="s">
        <v>8213</v>
      </c>
      <c r="D436">
        <v>25</v>
      </c>
      <c r="E436" s="113">
        <v>59</v>
      </c>
      <c r="F436" s="113">
        <v>8</v>
      </c>
      <c r="G436" s="233"/>
      <c r="H436" s="233"/>
      <c r="I436" s="232"/>
      <c r="J436" s="234"/>
      <c r="K436" s="235">
        <v>7</v>
      </c>
      <c r="L436" s="390">
        <v>41625</v>
      </c>
      <c r="M436" s="232"/>
      <c r="N436" s="235"/>
      <c r="O436" s="232"/>
      <c r="P436" s="232"/>
      <c r="Q436" s="232"/>
      <c r="R436" s="236"/>
      <c r="S436" s="235"/>
      <c r="T436" s="235"/>
      <c r="U436" s="232"/>
      <c r="V436" s="232"/>
      <c r="W436" s="232"/>
      <c r="X436" s="232"/>
      <c r="Y436" s="237"/>
      <c r="Z436" s="235"/>
      <c r="AA436" s="238"/>
      <c r="AB436" s="235"/>
      <c r="AC436" s="237"/>
      <c r="AD436" s="235"/>
      <c r="AE436" s="235"/>
      <c r="AF436" s="235"/>
      <c r="AG436" s="232">
        <v>3.86</v>
      </c>
      <c r="AH436" s="232"/>
      <c r="AI436" s="232">
        <v>140</v>
      </c>
      <c r="AJ436" s="194">
        <v>41785</v>
      </c>
      <c r="AK436" s="232"/>
      <c r="AL436" s="232"/>
      <c r="AM436" s="232"/>
      <c r="AN436" s="232"/>
      <c r="AO436" s="232"/>
      <c r="AP436" s="232"/>
      <c r="AQ436" s="239"/>
      <c r="AR436" s="239"/>
      <c r="AS436" s="232"/>
      <c r="AT436" s="232"/>
      <c r="AU436" s="232"/>
      <c r="AV436" s="232"/>
      <c r="AW436" s="232"/>
      <c r="AX436" s="232"/>
      <c r="AY436" s="232"/>
      <c r="AZ436" s="232"/>
      <c r="BA436" s="232"/>
      <c r="BB436" s="232"/>
      <c r="BC436" s="232"/>
      <c r="BD436" s="232"/>
      <c r="BE436" s="232"/>
      <c r="BF436" s="232"/>
      <c r="BG436" s="232"/>
      <c r="BH436" s="232"/>
      <c r="BI436" s="232"/>
      <c r="BJ436" s="232"/>
      <c r="BK436" s="232"/>
      <c r="BL436" s="232"/>
      <c r="BM436" s="232"/>
      <c r="BN436" s="232"/>
      <c r="BO436" s="232"/>
      <c r="BP436" s="232"/>
      <c r="BQ436" s="232"/>
      <c r="BR436" s="232"/>
      <c r="BS436" s="232">
        <v>52.4</v>
      </c>
      <c r="BT436" s="232"/>
      <c r="BU436" s="232">
        <v>16</v>
      </c>
      <c r="BV436" s="232"/>
      <c r="BW436" s="240"/>
      <c r="BX436" s="232"/>
      <c r="BY436" s="232"/>
      <c r="BZ436" s="232"/>
      <c r="CA436" s="232"/>
      <c r="CB436" s="241"/>
      <c r="CC436" s="232"/>
      <c r="CD436" s="232"/>
      <c r="CE436" s="232">
        <v>5.3</v>
      </c>
      <c r="CF436" s="232"/>
      <c r="CG436" s="232">
        <v>0.5</v>
      </c>
      <c r="CH436" s="232"/>
      <c r="CI436" s="232"/>
      <c r="CJ436" s="232"/>
      <c r="CK436" t="s">
        <v>8820</v>
      </c>
      <c r="CL436" s="232">
        <v>7.8</v>
      </c>
      <c r="CM436" s="392">
        <v>41802</v>
      </c>
    </row>
    <row r="437" spans="1:91" ht="15">
      <c r="A437" s="364" t="s">
        <v>7632</v>
      </c>
      <c r="B437" t="s">
        <v>265</v>
      </c>
      <c r="C437" t="s">
        <v>8213</v>
      </c>
      <c r="D437">
        <v>27</v>
      </c>
      <c r="E437" s="113">
        <v>71</v>
      </c>
      <c r="F437" s="113">
        <v>12</v>
      </c>
      <c r="G437" s="233"/>
      <c r="H437" s="233"/>
      <c r="I437" s="232"/>
      <c r="J437" s="234"/>
      <c r="K437" s="235">
        <v>8</v>
      </c>
      <c r="L437" s="390">
        <v>41625</v>
      </c>
      <c r="M437" s="232"/>
      <c r="N437" s="235"/>
      <c r="O437" s="232"/>
      <c r="P437" s="232"/>
      <c r="Q437" s="232"/>
      <c r="R437" s="236"/>
      <c r="S437" s="235"/>
      <c r="T437" s="235"/>
      <c r="U437" s="232"/>
      <c r="V437" s="232"/>
      <c r="W437" s="232"/>
      <c r="X437" s="232"/>
      <c r="Y437" s="237"/>
      <c r="Z437" s="235"/>
      <c r="AA437" s="238"/>
      <c r="AB437" s="235"/>
      <c r="AC437" s="237"/>
      <c r="AD437" s="235"/>
      <c r="AE437" s="235"/>
      <c r="AF437" s="235"/>
      <c r="AG437" s="232">
        <v>4.33</v>
      </c>
      <c r="AH437" s="232"/>
      <c r="AI437" s="232">
        <v>145</v>
      </c>
      <c r="AJ437" s="194">
        <v>41785</v>
      </c>
      <c r="AK437" s="232"/>
      <c r="AL437" s="232"/>
      <c r="AM437" s="232"/>
      <c r="AN437" s="232"/>
      <c r="AO437" s="232"/>
      <c r="AP437" s="232"/>
      <c r="AQ437" s="239"/>
      <c r="AR437" s="239"/>
      <c r="AS437" s="232"/>
      <c r="AT437" s="232"/>
      <c r="AU437" s="232"/>
      <c r="AV437" s="232"/>
      <c r="AW437" s="232"/>
      <c r="AX437" s="232"/>
      <c r="AY437" s="232"/>
      <c r="AZ437" s="232"/>
      <c r="BA437" s="232"/>
      <c r="BB437" s="232"/>
      <c r="BC437" s="232"/>
      <c r="BD437" s="232"/>
      <c r="BE437" s="232"/>
      <c r="BF437" s="232"/>
      <c r="BG437" s="232"/>
      <c r="BH437" s="232"/>
      <c r="BI437" s="232"/>
      <c r="BJ437" s="232"/>
      <c r="BK437" s="232"/>
      <c r="BL437" s="232"/>
      <c r="BM437" s="232"/>
      <c r="BN437" s="232"/>
      <c r="BO437" s="232"/>
      <c r="BP437" s="232"/>
      <c r="BQ437" s="232"/>
      <c r="BR437" s="232"/>
      <c r="BS437" s="232">
        <v>50.3</v>
      </c>
      <c r="BT437" s="232"/>
      <c r="BU437" s="232">
        <v>18</v>
      </c>
      <c r="BV437" s="232"/>
      <c r="BW437" s="240"/>
      <c r="BX437" s="232"/>
      <c r="BY437" s="232"/>
      <c r="BZ437" s="232"/>
      <c r="CA437" s="232"/>
      <c r="CB437" s="241"/>
      <c r="CC437" s="232"/>
      <c r="CD437" s="232"/>
      <c r="CE437" s="232">
        <v>6.6</v>
      </c>
      <c r="CF437" s="232"/>
      <c r="CG437" s="232">
        <v>0.8</v>
      </c>
      <c r="CH437" s="232"/>
      <c r="CI437" s="232"/>
      <c r="CJ437" s="232"/>
      <c r="CK437" t="s">
        <v>8820</v>
      </c>
      <c r="CL437" s="232">
        <v>1.2</v>
      </c>
      <c r="CM437" s="392">
        <v>41802</v>
      </c>
    </row>
    <row r="438" spans="1:91" ht="15">
      <c r="A438" s="364" t="s">
        <v>7633</v>
      </c>
      <c r="B438" t="s">
        <v>265</v>
      </c>
      <c r="C438" t="s">
        <v>8213</v>
      </c>
      <c r="D438">
        <v>28</v>
      </c>
      <c r="E438" s="113">
        <v>71</v>
      </c>
      <c r="F438" s="113">
        <v>8</v>
      </c>
      <c r="G438" s="233"/>
      <c r="H438" s="233"/>
      <c r="I438" s="232"/>
      <c r="J438" s="234"/>
      <c r="K438" s="235">
        <v>7</v>
      </c>
      <c r="L438" s="390">
        <v>41625</v>
      </c>
      <c r="M438" s="232"/>
      <c r="N438" s="235"/>
      <c r="O438" s="232"/>
      <c r="P438" s="232"/>
      <c r="Q438" s="232"/>
      <c r="R438" s="236"/>
      <c r="S438" s="235"/>
      <c r="T438" s="235"/>
      <c r="U438" s="232"/>
      <c r="V438" s="232"/>
      <c r="W438" s="232"/>
      <c r="X438" s="232"/>
      <c r="Y438" s="237"/>
      <c r="Z438" s="235"/>
      <c r="AA438" s="238"/>
      <c r="AB438" s="235"/>
      <c r="AC438" s="237"/>
      <c r="AD438" s="235"/>
      <c r="AE438" s="235"/>
      <c r="AF438" s="235"/>
      <c r="AG438" s="232">
        <v>4.59</v>
      </c>
      <c r="AH438" s="232"/>
      <c r="AI438" s="232">
        <v>165</v>
      </c>
      <c r="AJ438" s="194">
        <v>41785</v>
      </c>
      <c r="AK438" s="232"/>
      <c r="AL438" s="232"/>
      <c r="AM438" s="232"/>
      <c r="AN438" s="232"/>
      <c r="AO438" s="232"/>
      <c r="AP438" s="232"/>
      <c r="AQ438" s="239"/>
      <c r="AR438" s="239"/>
      <c r="AS438" s="232"/>
      <c r="AT438" s="232"/>
      <c r="AU438" s="232"/>
      <c r="AV438" s="232"/>
      <c r="AW438" s="232"/>
      <c r="AX438" s="232"/>
      <c r="AY438" s="232"/>
      <c r="AZ438" s="232"/>
      <c r="BA438" s="232"/>
      <c r="BB438" s="232"/>
      <c r="BC438" s="232"/>
      <c r="BD438" s="232"/>
      <c r="BE438" s="232"/>
      <c r="BF438" s="232"/>
      <c r="BG438" s="232"/>
      <c r="BH438" s="232"/>
      <c r="BI438" s="232"/>
      <c r="BJ438" s="232"/>
      <c r="BK438" s="232"/>
      <c r="BL438" s="232"/>
      <c r="BM438" s="232"/>
      <c r="BN438" s="232"/>
      <c r="BO438" s="232"/>
      <c r="BP438" s="232"/>
      <c r="BQ438" s="232"/>
      <c r="BR438" s="232"/>
      <c r="BS438" s="232">
        <v>53.5</v>
      </c>
      <c r="BT438" s="232"/>
      <c r="BU438" s="232">
        <v>15.5</v>
      </c>
      <c r="BV438" s="232"/>
      <c r="BW438" s="240"/>
      <c r="BX438" s="232"/>
      <c r="BY438" s="232"/>
      <c r="BZ438" s="232"/>
      <c r="CA438" s="232"/>
      <c r="CB438" s="241"/>
      <c r="CC438" s="232"/>
      <c r="CD438" s="232"/>
      <c r="CE438" s="232">
        <v>6.4</v>
      </c>
      <c r="CF438" s="232"/>
      <c r="CG438" s="232">
        <v>0.2</v>
      </c>
      <c r="CH438" s="232"/>
      <c r="CI438" s="232"/>
      <c r="CJ438" s="232"/>
      <c r="CK438" t="s">
        <v>8820</v>
      </c>
      <c r="CL438" s="232">
        <v>4.5999999999999996</v>
      </c>
      <c r="CM438" s="392">
        <v>41802</v>
      </c>
    </row>
    <row r="439" spans="1:91" ht="15">
      <c r="A439" s="364" t="s">
        <v>7634</v>
      </c>
      <c r="B439" t="s">
        <v>265</v>
      </c>
      <c r="C439" t="s">
        <v>8213</v>
      </c>
      <c r="D439">
        <v>29</v>
      </c>
      <c r="E439" s="113">
        <v>63</v>
      </c>
      <c r="F439" s="113">
        <v>8</v>
      </c>
      <c r="I439"/>
      <c r="K439" s="224">
        <v>7</v>
      </c>
      <c r="L439" s="390">
        <v>41625</v>
      </c>
      <c r="M439"/>
      <c r="N439" s="224"/>
      <c r="O439"/>
      <c r="P439"/>
      <c r="Q439"/>
      <c r="S439" s="224"/>
      <c r="T439" s="224"/>
      <c r="U439"/>
      <c r="V439"/>
      <c r="W439"/>
      <c r="X439"/>
      <c r="Y439" s="225"/>
      <c r="Z439" s="224"/>
      <c r="AA439" s="226"/>
      <c r="AB439" s="224"/>
      <c r="AC439" s="225"/>
      <c r="AD439" s="224"/>
      <c r="AE439" s="224"/>
      <c r="AF439" s="224"/>
      <c r="AG439">
        <v>4.76</v>
      </c>
      <c r="AH439"/>
      <c r="AI439">
        <v>125</v>
      </c>
      <c r="AJ439" s="194">
        <v>41785</v>
      </c>
      <c r="AK439"/>
      <c r="AL439"/>
      <c r="AM439"/>
      <c r="AN439"/>
      <c r="AO439"/>
      <c r="AP439"/>
      <c r="AQ439" s="227"/>
      <c r="AR439" s="227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>
        <v>54</v>
      </c>
      <c r="BT439"/>
      <c r="BU439">
        <v>15.5</v>
      </c>
      <c r="BV439"/>
      <c r="BW439" s="229"/>
      <c r="BX439"/>
      <c r="BY439"/>
      <c r="BZ439"/>
      <c r="CA439"/>
      <c r="CC439"/>
      <c r="CD439"/>
      <c r="CE439">
        <v>5.0999999999999996</v>
      </c>
      <c r="CF439"/>
      <c r="CG439">
        <v>0.4</v>
      </c>
      <c r="CH439"/>
      <c r="CI439"/>
      <c r="CJ439"/>
      <c r="CK439" t="s">
        <v>8820</v>
      </c>
      <c r="CL439">
        <v>3.8</v>
      </c>
      <c r="CM439" s="392">
        <v>41802</v>
      </c>
    </row>
    <row r="440" spans="1:91" ht="15">
      <c r="A440" s="364" t="s">
        <v>7635</v>
      </c>
      <c r="B440" t="s">
        <v>265</v>
      </c>
      <c r="C440" t="s">
        <v>8213</v>
      </c>
      <c r="D440">
        <v>30</v>
      </c>
      <c r="E440" s="113">
        <v>37</v>
      </c>
      <c r="F440" s="113">
        <v>9</v>
      </c>
      <c r="I440"/>
      <c r="K440" s="224">
        <v>7</v>
      </c>
      <c r="L440" s="390">
        <v>41625</v>
      </c>
      <c r="M440"/>
      <c r="N440" s="224"/>
      <c r="O440"/>
      <c r="P440"/>
      <c r="Q440"/>
      <c r="S440" s="224"/>
      <c r="T440" s="224"/>
      <c r="U440"/>
      <c r="V440"/>
      <c r="W440"/>
      <c r="X440"/>
      <c r="Y440" s="225"/>
      <c r="Z440" s="224"/>
      <c r="AA440" s="226"/>
      <c r="AB440" s="224"/>
      <c r="AC440" s="225"/>
      <c r="AD440" s="224"/>
      <c r="AE440" s="224"/>
      <c r="AF440" s="224"/>
      <c r="AG440">
        <v>3.81</v>
      </c>
      <c r="AH440"/>
      <c r="AI440">
        <v>140</v>
      </c>
      <c r="AJ440" s="194">
        <v>41785</v>
      </c>
      <c r="AK440"/>
      <c r="AL440"/>
      <c r="AM440"/>
      <c r="AN440"/>
      <c r="AO440"/>
      <c r="AP440"/>
      <c r="AQ440" s="227"/>
      <c r="AR440" s="227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>
        <v>53.6</v>
      </c>
      <c r="BT440"/>
      <c r="BU440">
        <v>14.2</v>
      </c>
      <c r="BV440"/>
      <c r="BW440" s="229"/>
      <c r="BX440"/>
      <c r="BY440"/>
      <c r="BZ440"/>
      <c r="CA440"/>
      <c r="CC440"/>
      <c r="CD440"/>
      <c r="CE440">
        <v>6.1</v>
      </c>
      <c r="CF440"/>
      <c r="CG440">
        <v>0.3</v>
      </c>
      <c r="CH440"/>
      <c r="CI440"/>
      <c r="CJ440"/>
      <c r="CK440" t="s">
        <v>8820</v>
      </c>
      <c r="CL440">
        <v>5</v>
      </c>
      <c r="CM440" s="392">
        <v>41802</v>
      </c>
    </row>
    <row r="441" spans="1:91" ht="15">
      <c r="A441" s="364" t="s">
        <v>7636</v>
      </c>
      <c r="B441" t="s">
        <v>265</v>
      </c>
      <c r="C441" t="s">
        <v>8213</v>
      </c>
      <c r="D441">
        <v>31</v>
      </c>
      <c r="E441" s="113">
        <v>43</v>
      </c>
      <c r="F441" s="113">
        <v>10</v>
      </c>
      <c r="I441"/>
      <c r="K441" s="224">
        <v>7</v>
      </c>
      <c r="L441" s="390">
        <v>41625</v>
      </c>
      <c r="M441"/>
      <c r="N441" s="224"/>
      <c r="O441"/>
      <c r="P441"/>
      <c r="Q441"/>
      <c r="S441" s="224"/>
      <c r="T441" s="224"/>
      <c r="U441"/>
      <c r="V441"/>
      <c r="W441"/>
      <c r="X441"/>
      <c r="Y441" s="225"/>
      <c r="Z441" s="224"/>
      <c r="AA441" s="226"/>
      <c r="AB441" s="224"/>
      <c r="AC441" s="225"/>
      <c r="AD441" s="224"/>
      <c r="AE441" s="224"/>
      <c r="AF441" s="224"/>
      <c r="AG441">
        <v>4.5999999999999996</v>
      </c>
      <c r="AH441"/>
      <c r="AI441">
        <v>125</v>
      </c>
      <c r="AJ441" s="194">
        <v>41785</v>
      </c>
      <c r="AK441"/>
      <c r="AL441"/>
      <c r="AM441"/>
      <c r="AN441"/>
      <c r="AO441"/>
      <c r="AP441"/>
      <c r="AQ441" s="227"/>
      <c r="AR441" s="227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>
        <v>56</v>
      </c>
      <c r="BT441"/>
      <c r="BU441">
        <v>11.2</v>
      </c>
      <c r="BV441"/>
      <c r="BW441" s="229"/>
      <c r="BX441"/>
      <c r="BY441"/>
      <c r="BZ441"/>
      <c r="CA441"/>
      <c r="CC441"/>
      <c r="CD441"/>
      <c r="CE441">
        <v>6.9</v>
      </c>
      <c r="CF441"/>
      <c r="CG441">
        <v>1.1000000000000001</v>
      </c>
      <c r="CH441"/>
      <c r="CI441"/>
      <c r="CJ441"/>
      <c r="CK441" t="s">
        <v>8820</v>
      </c>
      <c r="CL441">
        <v>1</v>
      </c>
      <c r="CM441" s="392">
        <v>41802</v>
      </c>
    </row>
    <row r="442" spans="1:91" ht="15">
      <c r="A442" s="364" t="s">
        <v>7637</v>
      </c>
      <c r="B442" t="s">
        <v>265</v>
      </c>
      <c r="C442" t="s">
        <v>8213</v>
      </c>
      <c r="D442">
        <v>32</v>
      </c>
      <c r="E442" s="113">
        <v>56</v>
      </c>
      <c r="F442" s="113">
        <v>7</v>
      </c>
      <c r="I442"/>
      <c r="K442" s="224">
        <v>7</v>
      </c>
      <c r="L442" s="390">
        <v>41625</v>
      </c>
      <c r="M442"/>
      <c r="N442" s="224"/>
      <c r="O442"/>
      <c r="P442"/>
      <c r="Q442"/>
      <c r="S442" s="224"/>
      <c r="T442" s="224"/>
      <c r="U442"/>
      <c r="V442"/>
      <c r="W442"/>
      <c r="X442"/>
      <c r="Y442" s="225"/>
      <c r="Z442" s="224"/>
      <c r="AA442" s="226"/>
      <c r="AB442" s="224"/>
      <c r="AC442" s="225"/>
      <c r="AD442" s="224"/>
      <c r="AE442" s="224"/>
      <c r="AF442" s="224"/>
      <c r="AG442">
        <v>4.05</v>
      </c>
      <c r="AH442"/>
      <c r="AI442">
        <v>140</v>
      </c>
      <c r="AJ442" s="194">
        <v>41785</v>
      </c>
      <c r="AK442"/>
      <c r="AL442"/>
      <c r="AM442"/>
      <c r="AN442"/>
      <c r="AO442"/>
      <c r="AP442"/>
      <c r="AQ442" s="227"/>
      <c r="AR442" s="227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>
        <v>55.6</v>
      </c>
      <c r="BT442"/>
      <c r="BU442">
        <v>12.6</v>
      </c>
      <c r="BV442"/>
      <c r="BW442" s="229"/>
      <c r="BX442"/>
      <c r="BY442"/>
      <c r="BZ442"/>
      <c r="CA442"/>
      <c r="CC442"/>
      <c r="CD442"/>
      <c r="CE442">
        <v>4.2</v>
      </c>
      <c r="CF442"/>
      <c r="CG442">
        <v>1</v>
      </c>
      <c r="CH442"/>
      <c r="CI442"/>
      <c r="CJ442"/>
      <c r="CK442" t="s">
        <v>8820</v>
      </c>
      <c r="CL442">
        <v>1</v>
      </c>
      <c r="CM442" s="392">
        <v>41802</v>
      </c>
    </row>
    <row r="443" spans="1:91" ht="15">
      <c r="A443" s="364" t="s">
        <v>7638</v>
      </c>
      <c r="B443" t="s">
        <v>265</v>
      </c>
      <c r="C443" t="s">
        <v>8213</v>
      </c>
      <c r="D443">
        <v>33</v>
      </c>
      <c r="E443" s="113">
        <v>55</v>
      </c>
      <c r="F443" s="113">
        <v>9</v>
      </c>
      <c r="G443" s="233"/>
      <c r="H443" s="233"/>
      <c r="I443" s="232"/>
      <c r="J443" s="234"/>
      <c r="K443" s="235">
        <v>7</v>
      </c>
      <c r="L443" s="390">
        <v>41625</v>
      </c>
      <c r="M443" s="232"/>
      <c r="N443" s="235"/>
      <c r="O443" s="232"/>
      <c r="P443" s="232"/>
      <c r="Q443" s="232"/>
      <c r="R443" s="236"/>
      <c r="S443" s="235"/>
      <c r="T443" s="235"/>
      <c r="U443" s="232"/>
      <c r="V443" s="232"/>
      <c r="W443" s="232"/>
      <c r="X443" s="232"/>
      <c r="Y443" s="237"/>
      <c r="Z443" s="235"/>
      <c r="AA443" s="238"/>
      <c r="AB443" s="235"/>
      <c r="AC443" s="237"/>
      <c r="AD443" s="235"/>
      <c r="AE443" s="235"/>
      <c r="AF443" s="235"/>
      <c r="AG443" s="232">
        <v>3.96</v>
      </c>
      <c r="AH443" s="232"/>
      <c r="AI443" s="232">
        <v>140</v>
      </c>
      <c r="AJ443" s="194">
        <v>41785</v>
      </c>
      <c r="AK443" s="232"/>
      <c r="AL443" s="232"/>
      <c r="AM443" s="232"/>
      <c r="AN443" s="232"/>
      <c r="AO443" s="232"/>
      <c r="AP443" s="232"/>
      <c r="AQ443" s="239"/>
      <c r="AR443" s="239"/>
      <c r="AS443" s="232"/>
      <c r="AT443" s="232"/>
      <c r="AU443" s="232"/>
      <c r="AV443" s="232"/>
      <c r="AW443" s="232"/>
      <c r="AX443" s="232"/>
      <c r="AY443" s="232"/>
      <c r="AZ443" s="232"/>
      <c r="BA443" s="232"/>
      <c r="BB443" s="232"/>
      <c r="BC443" s="232"/>
      <c r="BD443" s="232"/>
      <c r="BE443" s="232"/>
      <c r="BF443" s="232"/>
      <c r="BG443" s="232"/>
      <c r="BH443" s="232"/>
      <c r="BI443" s="232"/>
      <c r="BJ443" s="232"/>
      <c r="BK443" s="232"/>
      <c r="BL443" s="232"/>
      <c r="BM443" s="232"/>
      <c r="BN443" s="232"/>
      <c r="BO443" s="232"/>
      <c r="BP443" s="232"/>
      <c r="BQ443" s="232"/>
      <c r="BR443" s="232"/>
      <c r="BS443" s="232">
        <v>49</v>
      </c>
      <c r="BT443" s="232"/>
      <c r="BU443" s="232">
        <v>19.899999999999999</v>
      </c>
      <c r="BV443" s="232"/>
      <c r="BW443" s="240"/>
      <c r="BX443" s="232"/>
      <c r="BY443" s="232"/>
      <c r="BZ443" s="232"/>
      <c r="CA443" s="232"/>
      <c r="CB443" s="241"/>
      <c r="CC443" s="232"/>
      <c r="CD443" s="232"/>
      <c r="CE443" s="232">
        <v>5.2</v>
      </c>
      <c r="CF443" s="232"/>
      <c r="CG443" s="232">
        <v>0.2</v>
      </c>
      <c r="CH443" s="232"/>
      <c r="CI443" s="232"/>
      <c r="CJ443" s="232"/>
      <c r="CK443" t="s">
        <v>8820</v>
      </c>
      <c r="CL443" s="232">
        <v>3</v>
      </c>
      <c r="CM443" s="392">
        <v>41802</v>
      </c>
    </row>
    <row r="444" spans="1:91" ht="15">
      <c r="A444" s="364" t="s">
        <v>7639</v>
      </c>
      <c r="B444" t="s">
        <v>265</v>
      </c>
      <c r="C444" t="s">
        <v>8213</v>
      </c>
      <c r="D444">
        <v>34</v>
      </c>
      <c r="E444" s="113">
        <v>63</v>
      </c>
      <c r="F444" s="113">
        <v>10</v>
      </c>
      <c r="G444" s="233"/>
      <c r="H444" s="233"/>
      <c r="I444" s="232"/>
      <c r="J444" s="234"/>
      <c r="K444" s="235">
        <v>7</v>
      </c>
      <c r="L444" s="390">
        <v>41625</v>
      </c>
      <c r="M444" s="232"/>
      <c r="N444" s="235"/>
      <c r="O444" s="232"/>
      <c r="P444" s="232"/>
      <c r="Q444" s="232"/>
      <c r="R444" s="236"/>
      <c r="S444" s="235"/>
      <c r="T444" s="235"/>
      <c r="U444" s="232"/>
      <c r="V444" s="232"/>
      <c r="W444" s="232"/>
      <c r="X444" s="232"/>
      <c r="Y444" s="237"/>
      <c r="Z444" s="235"/>
      <c r="AA444" s="238"/>
      <c r="AB444" s="235"/>
      <c r="AC444" s="237"/>
      <c r="AD444" s="235"/>
      <c r="AE444" s="235"/>
      <c r="AF444" s="235"/>
      <c r="AG444" s="232">
        <v>4.3</v>
      </c>
      <c r="AH444" s="232"/>
      <c r="AI444" s="232">
        <v>145</v>
      </c>
      <c r="AJ444" s="194">
        <v>41785</v>
      </c>
      <c r="AK444" s="232"/>
      <c r="AL444" s="232"/>
      <c r="AM444" s="232"/>
      <c r="AN444" s="232"/>
      <c r="AO444" s="232"/>
      <c r="AP444" s="232"/>
      <c r="AQ444" s="239"/>
      <c r="AR444" s="239"/>
      <c r="AS444" s="232"/>
      <c r="AT444" s="232"/>
      <c r="AU444" s="232"/>
      <c r="AV444" s="232"/>
      <c r="AW444" s="232"/>
      <c r="AX444" s="232"/>
      <c r="AY444" s="232"/>
      <c r="AZ444" s="232"/>
      <c r="BA444" s="232"/>
      <c r="BB444" s="232"/>
      <c r="BC444" s="232"/>
      <c r="BD444" s="232"/>
      <c r="BE444" s="232"/>
      <c r="BF444" s="232"/>
      <c r="BG444" s="232"/>
      <c r="BH444" s="232"/>
      <c r="BI444" s="232"/>
      <c r="BJ444" s="232"/>
      <c r="BK444" s="232"/>
      <c r="BL444" s="232"/>
      <c r="BM444" s="232"/>
      <c r="BN444" s="232"/>
      <c r="BO444" s="232"/>
      <c r="BP444" s="232"/>
      <c r="BQ444" s="232"/>
      <c r="BR444" s="232"/>
      <c r="BS444" s="232">
        <v>50.1</v>
      </c>
      <c r="BT444" s="232"/>
      <c r="BU444" s="232">
        <v>18.100000000000001</v>
      </c>
      <c r="BV444" s="232"/>
      <c r="BW444" s="240"/>
      <c r="BX444" s="232"/>
      <c r="BY444" s="232"/>
      <c r="BZ444" s="232"/>
      <c r="CA444" s="232"/>
      <c r="CB444" s="241"/>
      <c r="CC444" s="232"/>
      <c r="CD444" s="232"/>
      <c r="CE444" s="232">
        <v>5.2</v>
      </c>
      <c r="CF444" s="232"/>
      <c r="CG444" s="232">
        <v>0.4</v>
      </c>
      <c r="CH444" s="232"/>
      <c r="CI444" s="232"/>
      <c r="CJ444" s="232"/>
      <c r="CK444" t="s">
        <v>8820</v>
      </c>
      <c r="CL444" s="232">
        <v>1</v>
      </c>
      <c r="CM444" s="392">
        <v>41802</v>
      </c>
    </row>
    <row r="445" spans="1:91" ht="15">
      <c r="A445" s="364" t="s">
        <v>7640</v>
      </c>
      <c r="B445" t="s">
        <v>265</v>
      </c>
      <c r="C445" t="s">
        <v>8213</v>
      </c>
      <c r="D445">
        <v>35</v>
      </c>
      <c r="E445" s="113">
        <v>42</v>
      </c>
      <c r="F445" s="113">
        <v>7</v>
      </c>
      <c r="G445" s="233"/>
      <c r="H445" s="233"/>
      <c r="I445" s="232"/>
      <c r="J445" s="234"/>
      <c r="K445" s="235">
        <v>6</v>
      </c>
      <c r="L445" s="390">
        <v>41625</v>
      </c>
      <c r="M445" s="232"/>
      <c r="N445" s="235"/>
      <c r="O445" s="232"/>
      <c r="P445" s="232"/>
      <c r="Q445" s="232"/>
      <c r="R445" s="236"/>
      <c r="S445" s="235"/>
      <c r="T445" s="235"/>
      <c r="U445" s="232"/>
      <c r="V445" s="232"/>
      <c r="W445" s="232"/>
      <c r="X445" s="232"/>
      <c r="Y445" s="237"/>
      <c r="Z445" s="235"/>
      <c r="AA445" s="238"/>
      <c r="AB445" s="235"/>
      <c r="AC445" s="237"/>
      <c r="AD445" s="235"/>
      <c r="AE445" s="235"/>
      <c r="AF445" s="235"/>
      <c r="AG445" s="232">
        <v>6.82</v>
      </c>
      <c r="AH445" s="232"/>
      <c r="AI445" s="232">
        <v>145</v>
      </c>
      <c r="AJ445" s="194">
        <v>41785</v>
      </c>
      <c r="AK445" s="232"/>
      <c r="AL445" s="232"/>
      <c r="AM445" s="232"/>
      <c r="AN445" s="232"/>
      <c r="AO445" s="232"/>
      <c r="AP445" s="232"/>
      <c r="AQ445" s="239"/>
      <c r="AR445" s="239"/>
      <c r="AS445" s="232"/>
      <c r="AT445" s="232"/>
      <c r="AU445" s="232"/>
      <c r="AV445" s="232"/>
      <c r="AW445" s="232"/>
      <c r="AX445" s="232"/>
      <c r="AY445" s="232"/>
      <c r="AZ445" s="232"/>
      <c r="BA445" s="232"/>
      <c r="BB445" s="232"/>
      <c r="BC445" s="232"/>
      <c r="BD445" s="232"/>
      <c r="BE445" s="232"/>
      <c r="BF445" s="232"/>
      <c r="BG445" s="232"/>
      <c r="BH445" s="232"/>
      <c r="BI445" s="232"/>
      <c r="BJ445" s="232"/>
      <c r="BK445" s="232"/>
      <c r="BL445" s="232"/>
      <c r="BM445" s="232"/>
      <c r="BN445" s="232"/>
      <c r="BO445" s="232"/>
      <c r="BP445" s="232"/>
      <c r="BQ445" s="232"/>
      <c r="BR445" s="232"/>
      <c r="BS445" s="232">
        <v>47.3</v>
      </c>
      <c r="BT445" s="232"/>
      <c r="BU445" s="232">
        <v>20.6</v>
      </c>
      <c r="BV445" s="232"/>
      <c r="BW445" s="240"/>
      <c r="BX445" s="232"/>
      <c r="BY445" s="232"/>
      <c r="BZ445" s="232"/>
      <c r="CA445" s="232"/>
      <c r="CB445" s="241"/>
      <c r="CC445" s="232"/>
      <c r="CD445" s="232"/>
      <c r="CE445" s="232">
        <v>6.1</v>
      </c>
      <c r="CF445" s="232"/>
      <c r="CG445" s="232">
        <v>0.8</v>
      </c>
      <c r="CH445" s="232"/>
      <c r="CI445" s="232"/>
      <c r="CJ445" s="232"/>
      <c r="CK445" t="s">
        <v>8820</v>
      </c>
      <c r="CL445" s="232">
        <v>1</v>
      </c>
      <c r="CM445" s="392">
        <v>41802</v>
      </c>
    </row>
    <row r="446" spans="1:91" ht="15.75" thickBot="1">
      <c r="A446" s="364" t="s">
        <v>7641</v>
      </c>
      <c r="B446" s="344" t="s">
        <v>265</v>
      </c>
      <c r="C446" s="344" t="s">
        <v>8213</v>
      </c>
      <c r="D446" s="232">
        <v>36</v>
      </c>
      <c r="E446" s="113">
        <v>53</v>
      </c>
      <c r="F446" s="113">
        <v>7</v>
      </c>
      <c r="G446" s="233"/>
      <c r="H446" s="233"/>
      <c r="I446" s="232"/>
      <c r="J446" s="234"/>
      <c r="K446" s="235">
        <v>5</v>
      </c>
      <c r="L446" s="390">
        <v>41625</v>
      </c>
      <c r="M446" s="232"/>
      <c r="N446" s="235"/>
      <c r="O446" s="232"/>
      <c r="P446" s="232"/>
      <c r="Q446" s="232"/>
      <c r="R446" s="236"/>
      <c r="S446" s="235"/>
      <c r="T446" s="235"/>
      <c r="U446" s="232"/>
      <c r="V446" s="232"/>
      <c r="W446" s="232"/>
      <c r="X446" s="232"/>
      <c r="Y446" s="237"/>
      <c r="Z446" s="235"/>
      <c r="AA446" s="238"/>
      <c r="AB446" s="235"/>
      <c r="AC446" s="237"/>
      <c r="AD446" s="235"/>
      <c r="AE446" s="235"/>
      <c r="AF446" s="235"/>
      <c r="AG446" s="232">
        <v>3.54</v>
      </c>
      <c r="AH446" s="232"/>
      <c r="AI446" s="232">
        <v>140</v>
      </c>
      <c r="AJ446" s="194">
        <v>41785</v>
      </c>
      <c r="AK446" s="232"/>
      <c r="AL446" s="232"/>
      <c r="AM446" s="232"/>
      <c r="AN446" s="232"/>
      <c r="AO446" s="232"/>
      <c r="AP446" s="232"/>
      <c r="AQ446" s="239"/>
      <c r="AR446" s="239"/>
      <c r="AS446" s="232"/>
      <c r="AT446" s="232"/>
      <c r="AU446" s="232"/>
      <c r="AV446" s="232"/>
      <c r="AW446" s="232"/>
      <c r="AX446" s="232"/>
      <c r="AY446" s="232"/>
      <c r="AZ446" s="232"/>
      <c r="BA446" s="232"/>
      <c r="BB446" s="232"/>
      <c r="BC446" s="232"/>
      <c r="BD446" s="232"/>
      <c r="BE446" s="232"/>
      <c r="BF446" s="232"/>
      <c r="BG446" s="232"/>
      <c r="BH446" s="232"/>
      <c r="BI446" s="232"/>
      <c r="BJ446" s="232"/>
      <c r="BK446" s="232"/>
      <c r="BL446" s="232"/>
      <c r="BM446" s="232"/>
      <c r="BN446" s="232"/>
      <c r="BO446" s="232"/>
      <c r="BP446" s="232"/>
      <c r="BQ446" s="232"/>
      <c r="BR446" s="232"/>
      <c r="BS446" s="232">
        <v>52.4</v>
      </c>
      <c r="BT446" s="232"/>
      <c r="BU446" s="232">
        <v>15.8</v>
      </c>
      <c r="BV446" s="232"/>
      <c r="BW446" s="240"/>
      <c r="BX446" s="232"/>
      <c r="BY446" s="232"/>
      <c r="BZ446" s="232"/>
      <c r="CA446" s="232"/>
      <c r="CB446" s="241"/>
      <c r="CC446" s="232"/>
      <c r="CD446" s="232"/>
      <c r="CE446" s="232">
        <v>4.3</v>
      </c>
      <c r="CF446" s="232"/>
      <c r="CG446" s="232">
        <v>0.7</v>
      </c>
      <c r="CH446" s="232"/>
      <c r="CI446" s="232"/>
      <c r="CJ446" s="232"/>
      <c r="CK446" t="s">
        <v>8820</v>
      </c>
      <c r="CL446" s="232">
        <v>1</v>
      </c>
      <c r="CM446" s="392">
        <v>41802</v>
      </c>
    </row>
    <row r="447" spans="1:91" ht="15">
      <c r="A447" s="364" t="s">
        <v>7642</v>
      </c>
      <c r="B447" t="s">
        <v>265</v>
      </c>
      <c r="C447" t="s">
        <v>8213</v>
      </c>
      <c r="D447" s="232">
        <v>37</v>
      </c>
      <c r="E447" s="113">
        <v>57</v>
      </c>
      <c r="F447" s="113">
        <v>10</v>
      </c>
      <c r="I447"/>
      <c r="K447" s="224">
        <v>7</v>
      </c>
      <c r="L447" s="390">
        <v>41625</v>
      </c>
      <c r="M447"/>
      <c r="N447" s="224"/>
      <c r="O447"/>
      <c r="P447"/>
      <c r="Q447"/>
      <c r="S447" s="224"/>
      <c r="T447" s="224"/>
      <c r="U447"/>
      <c r="V447"/>
      <c r="W447"/>
      <c r="X447"/>
      <c r="Y447" s="225"/>
      <c r="Z447" s="224"/>
      <c r="AA447" s="226"/>
      <c r="AB447" s="224"/>
      <c r="AC447" s="225"/>
      <c r="AD447" s="224"/>
      <c r="AE447" s="224"/>
      <c r="AF447" s="224"/>
      <c r="AG447">
        <v>4.22</v>
      </c>
      <c r="AH447"/>
      <c r="AI447">
        <v>140</v>
      </c>
      <c r="AJ447" s="194">
        <v>41785</v>
      </c>
      <c r="AK447"/>
      <c r="AL447"/>
      <c r="AM447"/>
      <c r="AN447"/>
      <c r="AO447"/>
      <c r="AP447"/>
      <c r="AQ447" s="227"/>
      <c r="AR447" s="22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>
        <v>51.2</v>
      </c>
      <c r="BT447"/>
      <c r="BU447">
        <v>15.5</v>
      </c>
      <c r="BV447"/>
      <c r="BW447" s="229"/>
      <c r="BX447"/>
      <c r="BY447"/>
      <c r="BZ447"/>
      <c r="CA447"/>
      <c r="CC447"/>
      <c r="CD447"/>
      <c r="CE447">
        <v>4.2</v>
      </c>
      <c r="CF447"/>
      <c r="CG447">
        <v>0.9</v>
      </c>
      <c r="CH447"/>
      <c r="CI447"/>
      <c r="CJ447"/>
      <c r="CK447" t="s">
        <v>8820</v>
      </c>
      <c r="CL447">
        <v>5</v>
      </c>
      <c r="CM447" s="392">
        <v>41802</v>
      </c>
    </row>
    <row r="448" spans="1:91" ht="15">
      <c r="A448" s="364" t="s">
        <v>7643</v>
      </c>
      <c r="B448" t="s">
        <v>265</v>
      </c>
      <c r="C448" t="s">
        <v>8213</v>
      </c>
      <c r="D448">
        <v>38</v>
      </c>
      <c r="E448" s="113">
        <v>48</v>
      </c>
      <c r="F448" s="113">
        <v>9</v>
      </c>
      <c r="I448"/>
      <c r="K448" s="224">
        <v>7</v>
      </c>
      <c r="L448" s="390">
        <v>41625</v>
      </c>
      <c r="M448"/>
      <c r="N448" s="224"/>
      <c r="O448"/>
      <c r="P448"/>
      <c r="Q448"/>
      <c r="S448" s="224"/>
      <c r="T448" s="224"/>
      <c r="U448"/>
      <c r="V448"/>
      <c r="W448"/>
      <c r="X448"/>
      <c r="Y448" s="225"/>
      <c r="Z448" s="224"/>
      <c r="AA448" s="226"/>
      <c r="AB448" s="224"/>
      <c r="AC448" s="225"/>
      <c r="AD448" s="224"/>
      <c r="AE448" s="224"/>
      <c r="AF448" s="224"/>
      <c r="AG448">
        <v>6.76</v>
      </c>
      <c r="AH448"/>
      <c r="AI448">
        <v>140</v>
      </c>
      <c r="AJ448" s="194">
        <v>41785</v>
      </c>
      <c r="AK448"/>
      <c r="AL448"/>
      <c r="AM448"/>
      <c r="AN448"/>
      <c r="AO448"/>
      <c r="AP448"/>
      <c r="AQ448" s="227"/>
      <c r="AR448" s="227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>
        <v>47.1</v>
      </c>
      <c r="BT448"/>
      <c r="BU448">
        <v>21.3</v>
      </c>
      <c r="BV448"/>
      <c r="BW448" s="229"/>
      <c r="BX448"/>
      <c r="BY448"/>
      <c r="BZ448"/>
      <c r="CA448"/>
      <c r="CC448"/>
      <c r="CD448"/>
      <c r="CE448">
        <v>7.1</v>
      </c>
      <c r="CF448"/>
      <c r="CG448">
        <v>0.3</v>
      </c>
      <c r="CH448"/>
      <c r="CI448"/>
      <c r="CJ448"/>
      <c r="CK448" t="s">
        <v>8820</v>
      </c>
      <c r="CL448">
        <v>1</v>
      </c>
      <c r="CM448" s="392">
        <v>41802</v>
      </c>
    </row>
    <row r="449" spans="1:91" ht="15">
      <c r="A449" s="364" t="s">
        <v>7644</v>
      </c>
      <c r="B449" t="s">
        <v>265</v>
      </c>
      <c r="C449" t="s">
        <v>8213</v>
      </c>
      <c r="D449">
        <v>39</v>
      </c>
      <c r="E449" s="113">
        <v>47</v>
      </c>
      <c r="F449" s="113">
        <v>8</v>
      </c>
      <c r="I449"/>
      <c r="K449" s="224">
        <v>6</v>
      </c>
      <c r="L449" s="390">
        <v>41625</v>
      </c>
      <c r="M449"/>
      <c r="N449" s="224"/>
      <c r="O449"/>
      <c r="P449"/>
      <c r="Q449"/>
      <c r="S449" s="224"/>
      <c r="T449" s="224"/>
      <c r="U449"/>
      <c r="V449"/>
      <c r="W449"/>
      <c r="X449"/>
      <c r="Y449" s="225"/>
      <c r="Z449" s="224"/>
      <c r="AA449" s="226"/>
      <c r="AB449" s="224"/>
      <c r="AC449" s="225"/>
      <c r="AD449" s="224"/>
      <c r="AE449" s="224"/>
      <c r="AF449" s="224"/>
      <c r="AG449">
        <v>4.5999999999999996</v>
      </c>
      <c r="AH449"/>
      <c r="AI449">
        <v>155</v>
      </c>
      <c r="AJ449" s="194">
        <v>41785</v>
      </c>
      <c r="AK449"/>
      <c r="AL449"/>
      <c r="AM449"/>
      <c r="AN449"/>
      <c r="AO449"/>
      <c r="AP449"/>
      <c r="AQ449" s="227"/>
      <c r="AR449" s="227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>
        <v>50</v>
      </c>
      <c r="BT449"/>
      <c r="BU449">
        <v>17.7</v>
      </c>
      <c r="BV449"/>
      <c r="BW449" s="229"/>
      <c r="BX449"/>
      <c r="BY449"/>
      <c r="BZ449"/>
      <c r="CA449"/>
      <c r="CC449"/>
      <c r="CD449"/>
      <c r="CE449">
        <v>6.7</v>
      </c>
      <c r="CF449"/>
      <c r="CG449">
        <v>0.3</v>
      </c>
      <c r="CH449"/>
      <c r="CI449"/>
      <c r="CJ449"/>
      <c r="CK449" t="s">
        <v>8820</v>
      </c>
      <c r="CL449">
        <v>1</v>
      </c>
      <c r="CM449" s="392">
        <v>41802</v>
      </c>
    </row>
    <row r="450" spans="1:91" ht="15">
      <c r="A450" s="364" t="s">
        <v>7645</v>
      </c>
      <c r="B450" t="s">
        <v>265</v>
      </c>
      <c r="C450" t="s">
        <v>8213</v>
      </c>
      <c r="D450" s="232">
        <v>40</v>
      </c>
      <c r="E450" s="113">
        <v>61</v>
      </c>
      <c r="F450" s="113">
        <v>9</v>
      </c>
      <c r="I450"/>
      <c r="K450" s="224">
        <v>7</v>
      </c>
      <c r="L450" s="390">
        <v>41625</v>
      </c>
      <c r="M450"/>
      <c r="N450" s="224"/>
      <c r="O450"/>
      <c r="P450"/>
      <c r="Q450"/>
      <c r="S450" s="224"/>
      <c r="T450" s="224"/>
      <c r="U450"/>
      <c r="V450"/>
      <c r="W450"/>
      <c r="X450"/>
      <c r="Y450" s="225"/>
      <c r="Z450" s="224"/>
      <c r="AA450" s="226"/>
      <c r="AB450" s="224"/>
      <c r="AC450" s="225"/>
      <c r="AD450" s="224"/>
      <c r="AE450" s="224"/>
      <c r="AF450" s="224"/>
      <c r="AG450">
        <v>4.76</v>
      </c>
      <c r="AH450"/>
      <c r="AI450">
        <v>135</v>
      </c>
      <c r="AJ450" s="194">
        <v>41785</v>
      </c>
      <c r="AK450"/>
      <c r="AL450"/>
      <c r="AM450"/>
      <c r="AN450"/>
      <c r="AO450"/>
      <c r="AP450"/>
      <c r="AQ450" s="227"/>
      <c r="AR450" s="227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>
        <v>49.7</v>
      </c>
      <c r="BT450"/>
      <c r="BU450">
        <v>16.7</v>
      </c>
      <c r="BV450"/>
      <c r="BW450" s="229"/>
      <c r="BX450"/>
      <c r="BY450"/>
      <c r="BZ450"/>
      <c r="CA450"/>
      <c r="CC450"/>
      <c r="CD450"/>
      <c r="CE450">
        <v>4.7</v>
      </c>
      <c r="CF450"/>
      <c r="CG450">
        <v>1.5</v>
      </c>
      <c r="CH450"/>
      <c r="CI450"/>
      <c r="CJ450"/>
      <c r="CK450" t="s">
        <v>8820</v>
      </c>
      <c r="CL450">
        <v>2.4</v>
      </c>
      <c r="CM450" s="392">
        <v>41802</v>
      </c>
    </row>
    <row r="451" spans="1:91" ht="15">
      <c r="A451" s="364" t="s">
        <v>7646</v>
      </c>
      <c r="B451" t="s">
        <v>265</v>
      </c>
      <c r="C451" t="s">
        <v>8213</v>
      </c>
      <c r="D451">
        <v>41</v>
      </c>
      <c r="E451" s="113">
        <v>67</v>
      </c>
      <c r="F451" s="113">
        <v>9</v>
      </c>
      <c r="I451"/>
      <c r="K451" s="224">
        <v>7</v>
      </c>
      <c r="L451" s="390">
        <v>41625</v>
      </c>
      <c r="M451"/>
      <c r="N451" s="224"/>
      <c r="O451"/>
      <c r="P451"/>
      <c r="Q451"/>
      <c r="S451" s="224"/>
      <c r="T451" s="224"/>
      <c r="U451"/>
      <c r="V451"/>
      <c r="W451"/>
      <c r="X451"/>
      <c r="Y451" s="225"/>
      <c r="Z451" s="224"/>
      <c r="AA451" s="226"/>
      <c r="AB451" s="224"/>
      <c r="AC451" s="225"/>
      <c r="AD451" s="224"/>
      <c r="AE451" s="224"/>
      <c r="AF451" s="224"/>
      <c r="AG451">
        <v>4.79</v>
      </c>
      <c r="AH451"/>
      <c r="AI451">
        <v>130</v>
      </c>
      <c r="AJ451" s="194">
        <v>41785</v>
      </c>
      <c r="AK451"/>
      <c r="AL451"/>
      <c r="AM451"/>
      <c r="AN451"/>
      <c r="AO451"/>
      <c r="AP451"/>
      <c r="AQ451" s="227"/>
      <c r="AR451" s="227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>
        <v>48.1</v>
      </c>
      <c r="BT451"/>
      <c r="BU451">
        <v>19.2</v>
      </c>
      <c r="BV451"/>
      <c r="BW451" s="229"/>
      <c r="BX451"/>
      <c r="BY451"/>
      <c r="BZ451"/>
      <c r="CA451"/>
      <c r="CC451"/>
      <c r="CD451"/>
      <c r="CE451">
        <v>7.2</v>
      </c>
      <c r="CF451"/>
      <c r="CG451">
        <v>0.2</v>
      </c>
      <c r="CH451"/>
      <c r="CI451"/>
      <c r="CJ451"/>
      <c r="CK451" t="s">
        <v>8820</v>
      </c>
      <c r="CL451">
        <v>3</v>
      </c>
      <c r="CM451" s="392">
        <v>41802</v>
      </c>
    </row>
    <row r="452" spans="1:91" ht="15">
      <c r="A452" s="364" t="s">
        <v>7648</v>
      </c>
      <c r="B452" s="362" t="s">
        <v>265</v>
      </c>
      <c r="C452" s="362" t="s">
        <v>8213</v>
      </c>
      <c r="D452">
        <v>43</v>
      </c>
      <c r="E452" s="113">
        <v>72</v>
      </c>
      <c r="F452" s="113">
        <v>10</v>
      </c>
      <c r="I452"/>
      <c r="K452" s="224">
        <v>7</v>
      </c>
      <c r="L452" s="390">
        <v>41625</v>
      </c>
      <c r="M452"/>
      <c r="N452" s="224"/>
      <c r="O452"/>
      <c r="P452"/>
      <c r="Q452"/>
      <c r="S452" s="224"/>
      <c r="T452" s="224"/>
      <c r="U452"/>
      <c r="V452"/>
      <c r="W452"/>
      <c r="X452"/>
      <c r="Y452" s="225"/>
      <c r="Z452" s="224"/>
      <c r="AA452" s="226"/>
      <c r="AB452" s="224"/>
      <c r="AC452" s="225"/>
      <c r="AD452" s="224"/>
      <c r="AE452" s="224"/>
      <c r="AF452" s="224"/>
      <c r="AG452">
        <v>3.99</v>
      </c>
      <c r="AH452"/>
      <c r="AI452">
        <v>155</v>
      </c>
      <c r="AJ452" s="194">
        <v>41785</v>
      </c>
      <c r="AK452"/>
      <c r="AL452"/>
      <c r="AM452"/>
      <c r="AN452"/>
      <c r="AO452"/>
      <c r="AP452"/>
      <c r="AQ452" s="227"/>
      <c r="AR452" s="227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>
        <v>52.8</v>
      </c>
      <c r="BT452"/>
      <c r="BU452">
        <v>17.2</v>
      </c>
      <c r="BV452"/>
      <c r="BW452" s="229"/>
      <c r="BX452"/>
      <c r="BY452"/>
      <c r="BZ452"/>
      <c r="CA452"/>
      <c r="CC452"/>
      <c r="CD452"/>
      <c r="CE452">
        <v>7.3</v>
      </c>
      <c r="CF452"/>
      <c r="CG452">
        <v>0.2</v>
      </c>
      <c r="CH452"/>
      <c r="CI452"/>
      <c r="CJ452"/>
      <c r="CK452" t="s">
        <v>8820</v>
      </c>
      <c r="CL452">
        <v>5</v>
      </c>
      <c r="CM452" s="392">
        <v>41802</v>
      </c>
    </row>
    <row r="453" spans="1:91" ht="15">
      <c r="A453" s="364" t="s">
        <v>7649</v>
      </c>
      <c r="B453" t="s">
        <v>265</v>
      </c>
      <c r="C453" t="s">
        <v>8213</v>
      </c>
      <c r="D453">
        <v>44</v>
      </c>
      <c r="E453" s="113">
        <v>61</v>
      </c>
      <c r="F453" s="113">
        <v>11</v>
      </c>
      <c r="I453"/>
      <c r="K453" s="224">
        <v>6</v>
      </c>
      <c r="L453" s="390">
        <v>41625</v>
      </c>
      <c r="M453"/>
      <c r="N453" s="224"/>
      <c r="O453"/>
      <c r="P453"/>
      <c r="Q453"/>
      <c r="S453" s="224"/>
      <c r="T453" s="224"/>
      <c r="U453"/>
      <c r="V453"/>
      <c r="W453"/>
      <c r="X453"/>
      <c r="Y453" s="225"/>
      <c r="Z453" s="224"/>
      <c r="AA453" s="226"/>
      <c r="AB453" s="224"/>
      <c r="AC453" s="225"/>
      <c r="AD453" s="224"/>
      <c r="AE453" s="224"/>
      <c r="AF453" s="224"/>
      <c r="AG453">
        <v>3.89</v>
      </c>
      <c r="AH453"/>
      <c r="AI453">
        <v>155</v>
      </c>
      <c r="AJ453" s="194">
        <v>41785</v>
      </c>
      <c r="AK453"/>
      <c r="AL453"/>
      <c r="AM453"/>
      <c r="AN453"/>
      <c r="AO453"/>
      <c r="AP453"/>
      <c r="AQ453" s="227"/>
      <c r="AR453" s="227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>
        <v>48.9</v>
      </c>
      <c r="BT453"/>
      <c r="BU453">
        <v>18.3</v>
      </c>
      <c r="BV453"/>
      <c r="BW453" s="229"/>
      <c r="BX453"/>
      <c r="BY453"/>
      <c r="BZ453"/>
      <c r="CA453"/>
      <c r="CC453"/>
      <c r="CD453"/>
      <c r="CE453">
        <v>5</v>
      </c>
      <c r="CF453"/>
      <c r="CG453">
        <v>0.3</v>
      </c>
      <c r="CH453"/>
      <c r="CI453"/>
      <c r="CJ453"/>
      <c r="CK453" t="s">
        <v>8820</v>
      </c>
      <c r="CL453">
        <v>3</v>
      </c>
      <c r="CM453" s="392">
        <v>41802</v>
      </c>
    </row>
    <row r="454" spans="1:91" ht="15">
      <c r="A454" s="364" t="s">
        <v>7650</v>
      </c>
      <c r="B454" t="s">
        <v>265</v>
      </c>
      <c r="C454" t="s">
        <v>8213</v>
      </c>
      <c r="D454">
        <v>45</v>
      </c>
      <c r="E454" s="113">
        <v>71</v>
      </c>
      <c r="F454" s="113">
        <v>7</v>
      </c>
      <c r="I454"/>
      <c r="K454" s="224">
        <v>7</v>
      </c>
      <c r="L454" s="390">
        <v>41625</v>
      </c>
      <c r="M454"/>
      <c r="N454" s="224"/>
      <c r="O454"/>
      <c r="P454"/>
      <c r="Q454"/>
      <c r="S454" s="224"/>
      <c r="T454" s="224"/>
      <c r="U454"/>
      <c r="V454"/>
      <c r="W454"/>
      <c r="X454"/>
      <c r="Y454" s="225"/>
      <c r="Z454" s="224"/>
      <c r="AA454" s="226"/>
      <c r="AB454" s="224"/>
      <c r="AC454" s="225"/>
      <c r="AD454" s="224"/>
      <c r="AE454" s="224"/>
      <c r="AF454" s="224"/>
      <c r="AG454">
        <v>3.43</v>
      </c>
      <c r="AH454"/>
      <c r="AI454">
        <v>160</v>
      </c>
      <c r="AJ454" s="194">
        <v>41785</v>
      </c>
      <c r="AK454"/>
      <c r="AL454"/>
      <c r="AM454"/>
      <c r="AN454"/>
      <c r="AO454"/>
      <c r="AP454"/>
      <c r="AQ454" s="227"/>
      <c r="AR454" s="227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>
        <v>49.7</v>
      </c>
      <c r="BT454"/>
      <c r="BU454">
        <v>17.100000000000001</v>
      </c>
      <c r="BV454"/>
      <c r="BW454" s="229"/>
      <c r="BX454"/>
      <c r="BY454"/>
      <c r="BZ454"/>
      <c r="CA454"/>
      <c r="CC454"/>
      <c r="CD454"/>
      <c r="CE454">
        <v>5.6</v>
      </c>
      <c r="CF454"/>
      <c r="CG454">
        <v>0.4</v>
      </c>
      <c r="CH454"/>
      <c r="CI454"/>
      <c r="CJ454"/>
      <c r="CK454" t="s">
        <v>8820</v>
      </c>
      <c r="CL454">
        <v>5</v>
      </c>
      <c r="CM454" s="392">
        <v>41802</v>
      </c>
    </row>
    <row r="455" spans="1:91" ht="15">
      <c r="A455" s="364" t="s">
        <v>7651</v>
      </c>
      <c r="B455" t="s">
        <v>265</v>
      </c>
      <c r="C455" t="s">
        <v>8213</v>
      </c>
      <c r="D455">
        <v>46</v>
      </c>
      <c r="E455" s="113">
        <v>57</v>
      </c>
      <c r="F455" s="113">
        <v>11</v>
      </c>
      <c r="I455"/>
      <c r="K455" s="224">
        <v>7</v>
      </c>
      <c r="L455" s="390">
        <v>41625</v>
      </c>
      <c r="M455"/>
      <c r="N455" s="224"/>
      <c r="O455"/>
      <c r="P455"/>
      <c r="Q455"/>
      <c r="S455" s="224"/>
      <c r="T455" s="224"/>
      <c r="U455"/>
      <c r="V455"/>
      <c r="W455"/>
      <c r="X455"/>
      <c r="Y455" s="225"/>
      <c r="Z455" s="224"/>
      <c r="AA455" s="226"/>
      <c r="AB455" s="224"/>
      <c r="AC455" s="225"/>
      <c r="AD455" s="224"/>
      <c r="AE455" s="224"/>
      <c r="AF455" s="224"/>
      <c r="AG455">
        <v>3.61</v>
      </c>
      <c r="AH455"/>
      <c r="AI455">
        <v>150</v>
      </c>
      <c r="AJ455" s="194">
        <v>41785</v>
      </c>
      <c r="AK455"/>
      <c r="AL455"/>
      <c r="AM455"/>
      <c r="AN455"/>
      <c r="AO455"/>
      <c r="AP455"/>
      <c r="AQ455" s="227"/>
      <c r="AR455" s="227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>
        <v>47.6</v>
      </c>
      <c r="BT455"/>
      <c r="BU455">
        <v>19.8</v>
      </c>
      <c r="BV455"/>
      <c r="BW455" s="229"/>
      <c r="BX455"/>
      <c r="BY455"/>
      <c r="BZ455"/>
      <c r="CA455"/>
      <c r="CC455"/>
      <c r="CD455"/>
      <c r="CE455">
        <v>5</v>
      </c>
      <c r="CF455"/>
      <c r="CG455">
        <v>1</v>
      </c>
      <c r="CH455"/>
      <c r="CI455"/>
      <c r="CJ455"/>
      <c r="CK455" t="s">
        <v>8820</v>
      </c>
      <c r="CL455">
        <v>9</v>
      </c>
      <c r="CM455" s="392">
        <v>41802</v>
      </c>
    </row>
    <row r="456" spans="1:91" ht="15">
      <c r="A456" s="364" t="s">
        <v>7652</v>
      </c>
      <c r="B456" t="s">
        <v>265</v>
      </c>
      <c r="C456" t="s">
        <v>8213</v>
      </c>
      <c r="D456">
        <v>47</v>
      </c>
      <c r="E456" s="113">
        <v>54</v>
      </c>
      <c r="F456" s="113">
        <v>7</v>
      </c>
      <c r="I456"/>
      <c r="K456" s="224">
        <v>7</v>
      </c>
      <c r="L456" s="390">
        <v>41625</v>
      </c>
      <c r="M456"/>
      <c r="N456" s="224"/>
      <c r="O456"/>
      <c r="P456"/>
      <c r="Q456"/>
      <c r="S456" s="224"/>
      <c r="T456" s="224"/>
      <c r="U456"/>
      <c r="V456"/>
      <c r="W456"/>
      <c r="X456"/>
      <c r="Y456" s="225"/>
      <c r="Z456" s="224"/>
      <c r="AA456" s="226"/>
      <c r="AB456" s="224"/>
      <c r="AC456" s="225"/>
      <c r="AD456" s="224"/>
      <c r="AE456" s="224"/>
      <c r="AF456" s="224"/>
      <c r="AG456">
        <v>3.85</v>
      </c>
      <c r="AH456"/>
      <c r="AI456">
        <v>125</v>
      </c>
      <c r="AJ456" s="194">
        <v>41785</v>
      </c>
      <c r="AK456"/>
      <c r="AL456"/>
      <c r="AM456"/>
      <c r="AN456"/>
      <c r="AO456"/>
      <c r="AP456"/>
      <c r="AQ456" s="227"/>
      <c r="AR456" s="227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>
        <v>52.7</v>
      </c>
      <c r="BT456"/>
      <c r="BU456">
        <v>17.600000000000001</v>
      </c>
      <c r="BV456"/>
      <c r="BW456" s="229"/>
      <c r="BX456"/>
      <c r="BY456"/>
      <c r="BZ456"/>
      <c r="CA456"/>
      <c r="CC456"/>
      <c r="CD456"/>
      <c r="CE456">
        <v>4.2</v>
      </c>
      <c r="CF456"/>
      <c r="CG456">
        <v>0.9</v>
      </c>
      <c r="CH456"/>
      <c r="CI456"/>
      <c r="CJ456"/>
      <c r="CK456" t="s">
        <v>8820</v>
      </c>
      <c r="CL456">
        <v>1</v>
      </c>
      <c r="CM456" s="392">
        <v>41802</v>
      </c>
    </row>
    <row r="457" spans="1:91" ht="15">
      <c r="A457" s="364" t="s">
        <v>7653</v>
      </c>
      <c r="B457" t="s">
        <v>265</v>
      </c>
      <c r="C457" t="s">
        <v>8213</v>
      </c>
      <c r="D457">
        <v>48</v>
      </c>
      <c r="E457" s="113">
        <v>53</v>
      </c>
      <c r="F457" s="113">
        <v>9</v>
      </c>
      <c r="I457"/>
      <c r="K457" s="224">
        <v>7</v>
      </c>
      <c r="L457" s="390">
        <v>41625</v>
      </c>
      <c r="M457"/>
      <c r="N457" s="224"/>
      <c r="O457"/>
      <c r="P457"/>
      <c r="Q457"/>
      <c r="S457" s="224"/>
      <c r="T457" s="224"/>
      <c r="U457"/>
      <c r="V457"/>
      <c r="W457"/>
      <c r="X457"/>
      <c r="Y457" s="225"/>
      <c r="Z457" s="224"/>
      <c r="AA457" s="226"/>
      <c r="AB457" s="224"/>
      <c r="AC457" s="225"/>
      <c r="AD457" s="224"/>
      <c r="AE457" s="224"/>
      <c r="AF457" s="224"/>
      <c r="AG457">
        <v>3.99</v>
      </c>
      <c r="AH457"/>
      <c r="AI457">
        <v>145</v>
      </c>
      <c r="AJ457" s="194">
        <v>41785</v>
      </c>
      <c r="AK457"/>
      <c r="AL457"/>
      <c r="AM457"/>
      <c r="AN457"/>
      <c r="AO457"/>
      <c r="AP457"/>
      <c r="AQ457" s="227"/>
      <c r="AR457" s="22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>
        <v>50</v>
      </c>
      <c r="BT457"/>
      <c r="BU457">
        <v>17.899999999999999</v>
      </c>
      <c r="BV457"/>
      <c r="BW457" s="229"/>
      <c r="BX457"/>
      <c r="BY457"/>
      <c r="BZ457"/>
      <c r="CA457"/>
      <c r="CC457"/>
      <c r="CD457"/>
      <c r="CE457">
        <v>4.5</v>
      </c>
      <c r="CF457"/>
      <c r="CG457">
        <v>1.1000000000000001</v>
      </c>
      <c r="CH457"/>
      <c r="CI457"/>
      <c r="CJ457"/>
      <c r="CK457" t="s">
        <v>8820</v>
      </c>
      <c r="CL457">
        <v>7</v>
      </c>
      <c r="CM457" s="392">
        <v>41802</v>
      </c>
    </row>
    <row r="458" spans="1:91" ht="15">
      <c r="A458" s="364" t="s">
        <v>7654</v>
      </c>
      <c r="B458" t="s">
        <v>265</v>
      </c>
      <c r="C458" t="s">
        <v>8213</v>
      </c>
      <c r="D458">
        <v>49</v>
      </c>
      <c r="E458" s="113">
        <v>59</v>
      </c>
      <c r="F458" s="113">
        <v>11</v>
      </c>
      <c r="I458"/>
      <c r="K458" s="224">
        <v>7</v>
      </c>
      <c r="L458" s="390">
        <v>41625</v>
      </c>
      <c r="M458"/>
      <c r="N458" s="224"/>
      <c r="O458"/>
      <c r="P458"/>
      <c r="Q458"/>
      <c r="S458" s="224"/>
      <c r="T458" s="224"/>
      <c r="U458"/>
      <c r="V458"/>
      <c r="W458"/>
      <c r="X458"/>
      <c r="Y458" s="225"/>
      <c r="Z458" s="224"/>
      <c r="AA458" s="226"/>
      <c r="AB458" s="224"/>
      <c r="AC458" s="225"/>
      <c r="AD458" s="224"/>
      <c r="AE458" s="224"/>
      <c r="AF458" s="224"/>
      <c r="AG458">
        <v>4.99</v>
      </c>
      <c r="AH458"/>
      <c r="AI458">
        <v>130</v>
      </c>
      <c r="AJ458" s="194">
        <v>41785</v>
      </c>
      <c r="AK458"/>
      <c r="AL458"/>
      <c r="AM458"/>
      <c r="AN458"/>
      <c r="AO458"/>
      <c r="AP458"/>
      <c r="AQ458" s="227"/>
      <c r="AR458" s="227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>
        <v>50.8</v>
      </c>
      <c r="BT458"/>
      <c r="BU458">
        <v>16.600000000000001</v>
      </c>
      <c r="BV458"/>
      <c r="BW458" s="229"/>
      <c r="BX458"/>
      <c r="BY458"/>
      <c r="BZ458"/>
      <c r="CA458"/>
      <c r="CC458"/>
      <c r="CD458"/>
      <c r="CE458">
        <v>4.7</v>
      </c>
      <c r="CF458"/>
      <c r="CG458">
        <v>1.1000000000000001</v>
      </c>
      <c r="CH458"/>
      <c r="CI458"/>
      <c r="CJ458"/>
      <c r="CK458" t="s">
        <v>8820</v>
      </c>
      <c r="CL458">
        <v>1</v>
      </c>
      <c r="CM458" s="392">
        <v>41802</v>
      </c>
    </row>
    <row r="459" spans="1:91" ht="15">
      <c r="A459" s="364" t="s">
        <v>7655</v>
      </c>
      <c r="B459" t="s">
        <v>265</v>
      </c>
      <c r="C459" t="s">
        <v>8213</v>
      </c>
      <c r="D459" s="232">
        <v>50</v>
      </c>
      <c r="E459" s="113">
        <v>38</v>
      </c>
      <c r="F459" s="113">
        <v>7</v>
      </c>
      <c r="G459" s="233"/>
      <c r="H459" s="233"/>
      <c r="I459" s="232"/>
      <c r="J459" s="234"/>
      <c r="K459" s="235">
        <v>7</v>
      </c>
      <c r="L459" s="390">
        <v>41625</v>
      </c>
      <c r="M459" s="232"/>
      <c r="N459" s="235"/>
      <c r="O459" s="232"/>
      <c r="P459" s="232"/>
      <c r="Q459" s="232"/>
      <c r="R459" s="236"/>
      <c r="S459" s="235"/>
      <c r="T459" s="235"/>
      <c r="U459" s="232"/>
      <c r="V459" s="232"/>
      <c r="W459" s="232"/>
      <c r="X459" s="232"/>
      <c r="Y459" s="237"/>
      <c r="Z459" s="235"/>
      <c r="AA459" s="238"/>
      <c r="AB459" s="235"/>
      <c r="AC459" s="237"/>
      <c r="AD459" s="235"/>
      <c r="AE459" s="235"/>
      <c r="AF459" s="235"/>
      <c r="AG459" s="232">
        <v>4.93</v>
      </c>
      <c r="AH459" s="232"/>
      <c r="AI459" s="232">
        <v>165</v>
      </c>
      <c r="AJ459" s="194">
        <v>41785</v>
      </c>
      <c r="AK459" s="232"/>
      <c r="AL459" s="232"/>
      <c r="AM459" s="232"/>
      <c r="AN459" s="232"/>
      <c r="AO459" s="232"/>
      <c r="AP459" s="232"/>
      <c r="AQ459" s="239"/>
      <c r="AR459" s="239"/>
      <c r="AS459" s="232"/>
      <c r="AT459" s="232"/>
      <c r="AU459" s="232"/>
      <c r="AV459" s="232"/>
      <c r="AW459" s="232"/>
      <c r="AX459" s="232"/>
      <c r="AY459" s="232"/>
      <c r="AZ459" s="232"/>
      <c r="BA459" s="232"/>
      <c r="BB459" s="232"/>
      <c r="BC459" s="232"/>
      <c r="BD459" s="232"/>
      <c r="BE459" s="232"/>
      <c r="BF459" s="232"/>
      <c r="BG459" s="232"/>
      <c r="BH459" s="232"/>
      <c r="BI459" s="232"/>
      <c r="BJ459" s="232"/>
      <c r="BK459" s="232"/>
      <c r="BL459" s="232"/>
      <c r="BM459" s="232"/>
      <c r="BN459" s="232"/>
      <c r="BO459" s="232"/>
      <c r="BP459" s="232"/>
      <c r="BQ459" s="232"/>
      <c r="BR459" s="232"/>
      <c r="BS459" s="232">
        <v>50.2</v>
      </c>
      <c r="BT459" s="232"/>
      <c r="BU459" s="232">
        <v>19.3</v>
      </c>
      <c r="BV459" s="232"/>
      <c r="BW459" s="240"/>
      <c r="BX459" s="232"/>
      <c r="BY459" s="232"/>
      <c r="BZ459" s="232"/>
      <c r="CA459" s="232"/>
      <c r="CB459" s="241"/>
      <c r="CC459" s="232"/>
      <c r="CD459" s="232"/>
      <c r="CE459" s="232">
        <v>5.0999999999999996</v>
      </c>
      <c r="CF459" s="232"/>
      <c r="CG459" s="232">
        <v>0.3</v>
      </c>
      <c r="CH459" s="232"/>
      <c r="CI459" s="232"/>
      <c r="CJ459" s="232"/>
      <c r="CK459" t="s">
        <v>8820</v>
      </c>
      <c r="CL459" s="232">
        <v>3</v>
      </c>
      <c r="CM459" s="392">
        <v>41802</v>
      </c>
    </row>
    <row r="460" spans="1:91" ht="15">
      <c r="A460" s="364" t="s">
        <v>7656</v>
      </c>
      <c r="B460" t="s">
        <v>265</v>
      </c>
      <c r="C460" t="s">
        <v>8213</v>
      </c>
      <c r="D460">
        <v>51</v>
      </c>
      <c r="E460" s="113">
        <v>61</v>
      </c>
      <c r="F460" s="113">
        <v>12</v>
      </c>
      <c r="I460"/>
      <c r="K460" s="224">
        <v>7</v>
      </c>
      <c r="L460" s="390">
        <v>41625</v>
      </c>
      <c r="M460"/>
      <c r="N460" s="224"/>
      <c r="O460"/>
      <c r="P460"/>
      <c r="Q460"/>
      <c r="S460" s="224"/>
      <c r="T460" s="224"/>
      <c r="U460"/>
      <c r="V460"/>
      <c r="W460"/>
      <c r="X460"/>
      <c r="Y460" s="225"/>
      <c r="Z460" s="224"/>
      <c r="AA460" s="226"/>
      <c r="AB460" s="224"/>
      <c r="AC460" s="225"/>
      <c r="AD460" s="224"/>
      <c r="AE460" s="224"/>
      <c r="AF460" s="224"/>
      <c r="AG460">
        <v>4.79</v>
      </c>
      <c r="AH460"/>
      <c r="AI460">
        <v>130</v>
      </c>
      <c r="AJ460" s="194">
        <v>41785</v>
      </c>
      <c r="AK460"/>
      <c r="AL460"/>
      <c r="AM460"/>
      <c r="AN460"/>
      <c r="AO460"/>
      <c r="AP460"/>
      <c r="AQ460" s="227"/>
      <c r="AR460" s="227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>
        <v>52</v>
      </c>
      <c r="BT460"/>
      <c r="BU460">
        <v>15.5</v>
      </c>
      <c r="BV460"/>
      <c r="BW460" s="229"/>
      <c r="BX460"/>
      <c r="BY460"/>
      <c r="BZ460"/>
      <c r="CA460"/>
      <c r="CC460"/>
      <c r="CD460"/>
      <c r="CE460">
        <v>5</v>
      </c>
      <c r="CF460"/>
      <c r="CG460">
        <v>0.7</v>
      </c>
      <c r="CH460"/>
      <c r="CI460"/>
      <c r="CJ460"/>
      <c r="CK460" t="s">
        <v>8820</v>
      </c>
      <c r="CL460">
        <v>1</v>
      </c>
      <c r="CM460" s="392">
        <v>41802</v>
      </c>
    </row>
    <row r="461" spans="1:91" ht="15">
      <c r="A461" s="364" t="s">
        <v>7658</v>
      </c>
      <c r="B461" t="s">
        <v>265</v>
      </c>
      <c r="C461" t="s">
        <v>8213</v>
      </c>
      <c r="D461">
        <v>53</v>
      </c>
      <c r="E461" s="113">
        <v>39</v>
      </c>
      <c r="F461" s="113">
        <v>8</v>
      </c>
      <c r="I461"/>
      <c r="K461" s="224">
        <v>6</v>
      </c>
      <c r="L461" s="390">
        <v>41625</v>
      </c>
      <c r="M461"/>
      <c r="N461" s="224"/>
      <c r="O461"/>
      <c r="P461"/>
      <c r="Q461"/>
      <c r="S461" s="224"/>
      <c r="T461" s="224"/>
      <c r="U461"/>
      <c r="V461"/>
      <c r="W461"/>
      <c r="X461"/>
      <c r="Y461" s="225"/>
      <c r="Z461" s="224"/>
      <c r="AA461" s="226"/>
      <c r="AB461" s="224"/>
      <c r="AC461" s="225"/>
      <c r="AD461" s="224"/>
      <c r="AE461" s="224"/>
      <c r="AF461" s="224"/>
      <c r="AG461">
        <v>4.21</v>
      </c>
      <c r="AH461"/>
      <c r="AI461">
        <v>155</v>
      </c>
      <c r="AJ461" s="194">
        <v>41785</v>
      </c>
      <c r="AK461"/>
      <c r="AL461"/>
      <c r="AM461"/>
      <c r="AN461"/>
      <c r="AO461"/>
      <c r="AP461"/>
      <c r="AQ461" s="227"/>
      <c r="AR461" s="227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>
        <v>53.8</v>
      </c>
      <c r="BT461"/>
      <c r="BU461">
        <v>13.9</v>
      </c>
      <c r="BV461"/>
      <c r="BW461" s="229"/>
      <c r="BX461"/>
      <c r="BY461"/>
      <c r="BZ461"/>
      <c r="CA461"/>
      <c r="CC461"/>
      <c r="CD461"/>
      <c r="CE461">
        <v>5.0999999999999996</v>
      </c>
      <c r="CF461"/>
      <c r="CG461">
        <v>0.2</v>
      </c>
      <c r="CH461"/>
      <c r="CI461"/>
      <c r="CJ461"/>
      <c r="CK461" t="s">
        <v>8820</v>
      </c>
      <c r="CL461">
        <v>1</v>
      </c>
      <c r="CM461" s="392">
        <v>41802</v>
      </c>
    </row>
    <row r="462" spans="1:91" ht="15">
      <c r="A462" s="364" t="s">
        <v>7659</v>
      </c>
      <c r="B462" t="s">
        <v>265</v>
      </c>
      <c r="C462" t="s">
        <v>8213</v>
      </c>
      <c r="D462">
        <v>54</v>
      </c>
      <c r="E462" s="113">
        <v>38</v>
      </c>
      <c r="F462" s="113">
        <v>12</v>
      </c>
      <c r="G462" s="233"/>
      <c r="H462" s="233"/>
      <c r="I462" s="232"/>
      <c r="J462" s="234"/>
      <c r="K462" s="235">
        <v>7</v>
      </c>
      <c r="L462" s="390">
        <v>41625</v>
      </c>
      <c r="M462" s="232"/>
      <c r="N462" s="235"/>
      <c r="O462" s="232"/>
      <c r="P462" s="232"/>
      <c r="Q462" s="232"/>
      <c r="R462" s="236"/>
      <c r="S462" s="235"/>
      <c r="T462" s="235"/>
      <c r="U462" s="232"/>
      <c r="V462" s="232"/>
      <c r="W462" s="232"/>
      <c r="X462" s="232"/>
      <c r="Y462" s="237"/>
      <c r="Z462" s="235"/>
      <c r="AA462" s="238"/>
      <c r="AB462" s="235"/>
      <c r="AC462" s="237"/>
      <c r="AD462" s="235"/>
      <c r="AE462" s="235"/>
      <c r="AF462" s="235"/>
      <c r="AG462" s="232">
        <v>3.83</v>
      </c>
      <c r="AH462" s="232"/>
      <c r="AI462" s="232">
        <v>140</v>
      </c>
      <c r="AJ462" s="194">
        <v>41785</v>
      </c>
      <c r="AK462" s="232"/>
      <c r="AL462" s="232"/>
      <c r="AM462" s="232"/>
      <c r="AN462" s="232"/>
      <c r="AO462" s="232"/>
      <c r="AP462" s="232"/>
      <c r="AQ462" s="239"/>
      <c r="AR462" s="239"/>
      <c r="AS462" s="232"/>
      <c r="AT462" s="232"/>
      <c r="AU462" s="232"/>
      <c r="AV462" s="232"/>
      <c r="AW462" s="232"/>
      <c r="AX462" s="232"/>
      <c r="AY462" s="232"/>
      <c r="AZ462" s="232"/>
      <c r="BA462" s="232"/>
      <c r="BB462" s="232"/>
      <c r="BC462" s="232"/>
      <c r="BD462" s="232"/>
      <c r="BE462" s="232"/>
      <c r="BF462" s="232"/>
      <c r="BG462" s="232"/>
      <c r="BH462" s="232"/>
      <c r="BI462" s="232"/>
      <c r="BJ462" s="232"/>
      <c r="BK462" s="232"/>
      <c r="BL462" s="232"/>
      <c r="BM462" s="232"/>
      <c r="BN462" s="232"/>
      <c r="BO462" s="232"/>
      <c r="BP462" s="232"/>
      <c r="BQ462" s="232"/>
      <c r="BR462" s="232"/>
      <c r="BS462" s="232">
        <v>52.5</v>
      </c>
      <c r="BT462" s="232"/>
      <c r="BU462" s="232">
        <v>15.4</v>
      </c>
      <c r="BV462" s="232"/>
      <c r="BW462" s="240"/>
      <c r="BX462" s="232"/>
      <c r="BY462" s="232"/>
      <c r="BZ462" s="232"/>
      <c r="CA462" s="232"/>
      <c r="CB462" s="241"/>
      <c r="CC462" s="232"/>
      <c r="CD462" s="232"/>
      <c r="CE462" s="232">
        <v>5.5</v>
      </c>
      <c r="CF462" s="232"/>
      <c r="CG462" s="232">
        <v>0.2</v>
      </c>
      <c r="CH462" s="232"/>
      <c r="CI462" s="232"/>
      <c r="CJ462" s="232"/>
      <c r="CK462" t="s">
        <v>8820</v>
      </c>
      <c r="CL462" s="232">
        <v>1</v>
      </c>
      <c r="CM462" s="392">
        <v>41802</v>
      </c>
    </row>
    <row r="463" spans="1:91" ht="15">
      <c r="A463" s="364" t="s">
        <v>7660</v>
      </c>
      <c r="B463" t="s">
        <v>265</v>
      </c>
      <c r="C463" t="s">
        <v>8213</v>
      </c>
      <c r="D463">
        <v>55</v>
      </c>
      <c r="E463" s="113">
        <v>52</v>
      </c>
      <c r="F463" s="113">
        <v>10</v>
      </c>
      <c r="I463"/>
      <c r="K463" s="224">
        <v>7</v>
      </c>
      <c r="L463" s="390">
        <v>41625</v>
      </c>
      <c r="M463"/>
      <c r="N463" s="224"/>
      <c r="O463"/>
      <c r="P463"/>
      <c r="Q463"/>
      <c r="S463" s="224"/>
      <c r="T463" s="224"/>
      <c r="U463"/>
      <c r="V463"/>
      <c r="W463"/>
      <c r="X463"/>
      <c r="Y463" s="225"/>
      <c r="Z463" s="224"/>
      <c r="AA463" s="226"/>
      <c r="AB463" s="224"/>
      <c r="AC463" s="225"/>
      <c r="AD463" s="224"/>
      <c r="AE463" s="224"/>
      <c r="AF463" s="224"/>
      <c r="AG463">
        <v>3.82</v>
      </c>
      <c r="AH463"/>
      <c r="AI463">
        <v>140</v>
      </c>
      <c r="AJ463" s="194">
        <v>41785</v>
      </c>
      <c r="AK463"/>
      <c r="AL463"/>
      <c r="AM463"/>
      <c r="AN463"/>
      <c r="AO463"/>
      <c r="AP463"/>
      <c r="AQ463" s="227"/>
      <c r="AR463" s="227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>
        <v>51.1</v>
      </c>
      <c r="BT463"/>
      <c r="BU463">
        <v>16.2</v>
      </c>
      <c r="BV463"/>
      <c r="BW463" s="229"/>
      <c r="BX463"/>
      <c r="BY463"/>
      <c r="BZ463"/>
      <c r="CA463"/>
      <c r="CC463"/>
      <c r="CD463"/>
      <c r="CE463">
        <v>5.5</v>
      </c>
      <c r="CF463"/>
      <c r="CG463">
        <v>1.3</v>
      </c>
      <c r="CH463"/>
      <c r="CI463"/>
      <c r="CJ463"/>
      <c r="CK463" t="s">
        <v>8820</v>
      </c>
      <c r="CL463">
        <v>1</v>
      </c>
      <c r="CM463" s="392">
        <v>41802</v>
      </c>
    </row>
    <row r="464" spans="1:91" ht="15">
      <c r="A464" s="364" t="s">
        <v>7661</v>
      </c>
      <c r="B464" t="s">
        <v>265</v>
      </c>
      <c r="C464" t="s">
        <v>8213</v>
      </c>
      <c r="D464">
        <v>56</v>
      </c>
      <c r="E464" s="113">
        <v>65</v>
      </c>
      <c r="F464" s="113">
        <v>11</v>
      </c>
      <c r="I464"/>
      <c r="K464" s="224">
        <v>7</v>
      </c>
      <c r="L464" s="390">
        <v>41625</v>
      </c>
      <c r="M464"/>
      <c r="N464" s="224"/>
      <c r="O464"/>
      <c r="P464"/>
      <c r="Q464"/>
      <c r="S464" s="224"/>
      <c r="T464" s="224"/>
      <c r="U464"/>
      <c r="V464"/>
      <c r="W464"/>
      <c r="X464"/>
      <c r="Y464" s="225"/>
      <c r="Z464" s="224"/>
      <c r="AA464" s="226"/>
      <c r="AB464" s="224"/>
      <c r="AC464" s="225"/>
      <c r="AD464" s="224"/>
      <c r="AE464" s="224"/>
      <c r="AF464" s="224"/>
      <c r="AG464">
        <v>3.91</v>
      </c>
      <c r="AH464"/>
      <c r="AI464">
        <v>145</v>
      </c>
      <c r="AJ464" s="194">
        <v>41785</v>
      </c>
      <c r="AK464"/>
      <c r="AL464"/>
      <c r="AM464"/>
      <c r="AN464"/>
      <c r="AO464"/>
      <c r="AP464"/>
      <c r="AQ464" s="227"/>
      <c r="AR464" s="227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>
        <v>52.1</v>
      </c>
      <c r="BT464"/>
      <c r="BU464">
        <v>16.2</v>
      </c>
      <c r="BV464"/>
      <c r="BW464"/>
      <c r="BX464" s="228"/>
      <c r="BY464"/>
      <c r="BZ464"/>
      <c r="CA464"/>
      <c r="CC464"/>
      <c r="CD464"/>
      <c r="CE464">
        <v>4.7</v>
      </c>
      <c r="CF464"/>
      <c r="CG464">
        <v>0.7</v>
      </c>
      <c r="CH464"/>
      <c r="CI464"/>
      <c r="CJ464"/>
      <c r="CK464" t="s">
        <v>8820</v>
      </c>
      <c r="CL464">
        <v>1</v>
      </c>
      <c r="CM464" s="392">
        <v>41802</v>
      </c>
    </row>
    <row r="465" spans="1:91" ht="15">
      <c r="A465" s="364" t="s">
        <v>7662</v>
      </c>
      <c r="B465" t="s">
        <v>265</v>
      </c>
      <c r="C465" t="s">
        <v>8213</v>
      </c>
      <c r="D465">
        <v>57</v>
      </c>
      <c r="E465" s="113">
        <v>67</v>
      </c>
      <c r="F465" s="113">
        <v>8</v>
      </c>
      <c r="G465" s="233"/>
      <c r="H465" s="233"/>
      <c r="I465" s="232"/>
      <c r="J465" s="234"/>
      <c r="K465" s="235">
        <v>7</v>
      </c>
      <c r="L465" s="390">
        <v>41625</v>
      </c>
      <c r="M465" s="232"/>
      <c r="N465" s="235"/>
      <c r="O465" s="232"/>
      <c r="P465" s="232"/>
      <c r="Q465" s="232"/>
      <c r="R465" s="236"/>
      <c r="S465" s="235"/>
      <c r="T465" s="235"/>
      <c r="U465" s="232"/>
      <c r="V465" s="232"/>
      <c r="W465" s="232"/>
      <c r="X465" s="232"/>
      <c r="Y465" s="237"/>
      <c r="Z465" s="235"/>
      <c r="AA465" s="238"/>
      <c r="AB465" s="235"/>
      <c r="AC465" s="237"/>
      <c r="AD465" s="235"/>
      <c r="AE465" s="235"/>
      <c r="AF465" s="235"/>
      <c r="AG465" s="232">
        <v>4.17</v>
      </c>
      <c r="AH465" s="232"/>
      <c r="AI465" s="232">
        <v>140</v>
      </c>
      <c r="AJ465" s="194">
        <v>41785</v>
      </c>
      <c r="AK465" s="232"/>
      <c r="AL465" s="232"/>
      <c r="AM465" s="232"/>
      <c r="AN465" s="232"/>
      <c r="AO465" s="232"/>
      <c r="AP465" s="232"/>
      <c r="AQ465" s="239"/>
      <c r="AR465" s="239"/>
      <c r="AS465" s="232"/>
      <c r="AT465" s="232"/>
      <c r="AU465" s="232"/>
      <c r="AV465" s="232"/>
      <c r="AW465" s="232"/>
      <c r="AX465" s="232"/>
      <c r="AY465" s="232"/>
      <c r="AZ465" s="232"/>
      <c r="BA465" s="232"/>
      <c r="BB465" s="232"/>
      <c r="BC465" s="232"/>
      <c r="BD465" s="232"/>
      <c r="BE465" s="232"/>
      <c r="BF465" s="232"/>
      <c r="BG465" s="232"/>
      <c r="BH465" s="232"/>
      <c r="BI465" s="232"/>
      <c r="BJ465" s="232"/>
      <c r="BK465" s="232"/>
      <c r="BL465" s="232"/>
      <c r="BM465" s="232"/>
      <c r="BN465" s="232"/>
      <c r="BO465" s="232"/>
      <c r="BP465" s="232"/>
      <c r="BQ465" s="232"/>
      <c r="BR465" s="232"/>
      <c r="BS465" s="232">
        <v>52.6</v>
      </c>
      <c r="BT465" s="232"/>
      <c r="BU465" s="232">
        <v>15.2</v>
      </c>
      <c r="BV465" s="232"/>
      <c r="BW465" s="240"/>
      <c r="BX465" s="232"/>
      <c r="BY465" s="232"/>
      <c r="BZ465" s="232"/>
      <c r="CA465" s="232"/>
      <c r="CB465" s="241"/>
      <c r="CC465" s="232"/>
      <c r="CD465" s="232"/>
      <c r="CE465" s="232">
        <v>7.2</v>
      </c>
      <c r="CF465" s="232"/>
      <c r="CG465" s="232">
        <v>0.5</v>
      </c>
      <c r="CH465" s="232"/>
      <c r="CI465" s="232"/>
      <c r="CJ465" s="232"/>
      <c r="CK465" t="s">
        <v>8820</v>
      </c>
      <c r="CL465" s="232">
        <v>1</v>
      </c>
      <c r="CM465" s="392">
        <v>41802</v>
      </c>
    </row>
    <row r="466" spans="1:91" ht="15">
      <c r="A466" s="364" t="s">
        <v>7663</v>
      </c>
      <c r="B466" t="s">
        <v>265</v>
      </c>
      <c r="C466" t="s">
        <v>8213</v>
      </c>
      <c r="D466">
        <v>58</v>
      </c>
      <c r="E466" s="113">
        <v>64</v>
      </c>
      <c r="F466" s="113">
        <v>7</v>
      </c>
      <c r="G466" s="233"/>
      <c r="H466" s="233"/>
      <c r="I466" s="232"/>
      <c r="J466" s="234"/>
      <c r="K466" s="235">
        <v>6</v>
      </c>
      <c r="L466" s="390">
        <v>41625</v>
      </c>
      <c r="M466" s="232"/>
      <c r="N466" s="235"/>
      <c r="O466" s="232"/>
      <c r="P466" s="232"/>
      <c r="Q466" s="232"/>
      <c r="R466" s="236"/>
      <c r="S466" s="235"/>
      <c r="T466" s="235"/>
      <c r="U466" s="232"/>
      <c r="V466" s="232"/>
      <c r="W466" s="232"/>
      <c r="X466" s="232"/>
      <c r="Y466" s="237"/>
      <c r="Z466" s="235"/>
      <c r="AA466" s="238"/>
      <c r="AB466" s="235"/>
      <c r="AC466" s="237"/>
      <c r="AD466" s="235"/>
      <c r="AE466" s="235"/>
      <c r="AF466" s="235"/>
      <c r="AG466" s="232">
        <v>3.74</v>
      </c>
      <c r="AH466" s="232"/>
      <c r="AI466" s="232">
        <v>145</v>
      </c>
      <c r="AJ466" s="194">
        <v>41785</v>
      </c>
      <c r="AK466" s="232"/>
      <c r="AL466" s="232"/>
      <c r="AM466" s="232"/>
      <c r="AN466" s="232"/>
      <c r="AO466" s="232"/>
      <c r="AP466" s="232"/>
      <c r="AQ466" s="239"/>
      <c r="AR466" s="239"/>
      <c r="AS466" s="232"/>
      <c r="AT466" s="232"/>
      <c r="AU466" s="232"/>
      <c r="AV466" s="232"/>
      <c r="AW466" s="232"/>
      <c r="AX466" s="232"/>
      <c r="AY466" s="232"/>
      <c r="AZ466" s="232"/>
      <c r="BA466" s="232"/>
      <c r="BB466" s="232"/>
      <c r="BC466" s="232"/>
      <c r="BD466" s="232"/>
      <c r="BE466" s="232"/>
      <c r="BF466" s="232"/>
      <c r="BG466" s="232"/>
      <c r="BH466" s="232"/>
      <c r="BI466" s="232"/>
      <c r="BJ466" s="232"/>
      <c r="BK466" s="232"/>
      <c r="BL466" s="232"/>
      <c r="BM466" s="232"/>
      <c r="BN466" s="232"/>
      <c r="BO466" s="232"/>
      <c r="BP466" s="232"/>
      <c r="BQ466" s="232"/>
      <c r="BR466" s="232"/>
      <c r="BS466" s="232">
        <v>50.4</v>
      </c>
      <c r="BT466" s="232"/>
      <c r="BU466" s="232">
        <v>16.600000000000001</v>
      </c>
      <c r="BV466" s="232"/>
      <c r="BW466" s="240"/>
      <c r="BX466" s="232"/>
      <c r="BY466" s="232"/>
      <c r="BZ466" s="232"/>
      <c r="CA466" s="232"/>
      <c r="CB466" s="241"/>
      <c r="CC466" s="232"/>
      <c r="CD466" s="232"/>
      <c r="CE466" s="232">
        <v>5.3</v>
      </c>
      <c r="CF466" s="232"/>
      <c r="CG466" s="232">
        <v>0.6</v>
      </c>
      <c r="CH466" s="232"/>
      <c r="CI466" s="232"/>
      <c r="CJ466" s="232"/>
      <c r="CK466" t="s">
        <v>8820</v>
      </c>
      <c r="CL466" s="232">
        <v>1</v>
      </c>
      <c r="CM466" s="392">
        <v>41802</v>
      </c>
    </row>
    <row r="467" spans="1:91" ht="15">
      <c r="A467" s="364" t="s">
        <v>7664</v>
      </c>
      <c r="B467" t="s">
        <v>265</v>
      </c>
      <c r="C467" t="s">
        <v>8213</v>
      </c>
      <c r="D467" s="232">
        <v>59</v>
      </c>
      <c r="E467" s="113">
        <v>46</v>
      </c>
      <c r="F467" s="113">
        <v>8</v>
      </c>
      <c r="I467"/>
      <c r="K467" s="224">
        <v>7</v>
      </c>
      <c r="L467" s="390">
        <v>41625</v>
      </c>
      <c r="M467"/>
      <c r="N467" s="224"/>
      <c r="O467"/>
      <c r="P467"/>
      <c r="Q467"/>
      <c r="S467" s="224"/>
      <c r="T467" s="224"/>
      <c r="U467"/>
      <c r="V467"/>
      <c r="W467"/>
      <c r="X467"/>
      <c r="Y467" s="225"/>
      <c r="Z467" s="224"/>
      <c r="AA467" s="226"/>
      <c r="AB467" s="224"/>
      <c r="AC467" s="225"/>
      <c r="AD467" s="224"/>
      <c r="AE467" s="224"/>
      <c r="AF467" s="224"/>
      <c r="AG467">
        <v>3.85</v>
      </c>
      <c r="AH467"/>
      <c r="AI467">
        <v>150</v>
      </c>
      <c r="AJ467" s="194">
        <v>41785</v>
      </c>
      <c r="AK467"/>
      <c r="AL467"/>
      <c r="AM467"/>
      <c r="AN467"/>
      <c r="AO467"/>
      <c r="AP467"/>
      <c r="AQ467" s="227"/>
      <c r="AR467" s="22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>
        <v>53.1</v>
      </c>
      <c r="BT467"/>
      <c r="BU467">
        <v>15.5</v>
      </c>
      <c r="BV467"/>
      <c r="BW467" s="229"/>
      <c r="BX467"/>
      <c r="BY467"/>
      <c r="BZ467"/>
      <c r="CA467"/>
      <c r="CC467"/>
      <c r="CD467"/>
      <c r="CE467">
        <v>5.9</v>
      </c>
      <c r="CF467"/>
      <c r="CG467">
        <v>0.1</v>
      </c>
      <c r="CH467"/>
      <c r="CI467"/>
      <c r="CJ467"/>
      <c r="CK467" t="s">
        <v>8820</v>
      </c>
      <c r="CL467">
        <v>1</v>
      </c>
      <c r="CM467" s="392">
        <v>41802</v>
      </c>
    </row>
    <row r="468" spans="1:91" ht="15">
      <c r="A468" s="364" t="s">
        <v>7665</v>
      </c>
      <c r="B468" t="s">
        <v>265</v>
      </c>
      <c r="C468" t="s">
        <v>8213</v>
      </c>
      <c r="D468" s="232">
        <v>60</v>
      </c>
      <c r="E468" s="113">
        <v>42</v>
      </c>
      <c r="F468" s="113">
        <v>11</v>
      </c>
      <c r="I468"/>
      <c r="K468" s="224">
        <v>7</v>
      </c>
      <c r="L468" s="390">
        <v>41625</v>
      </c>
      <c r="M468"/>
      <c r="N468" s="224"/>
      <c r="O468"/>
      <c r="P468"/>
      <c r="Q468"/>
      <c r="S468" s="224"/>
      <c r="T468" s="224"/>
      <c r="U468"/>
      <c r="V468"/>
      <c r="W468"/>
      <c r="X468"/>
      <c r="Y468" s="225"/>
      <c r="Z468" s="224"/>
      <c r="AA468" s="226"/>
      <c r="AB468" s="224"/>
      <c r="AC468" s="225"/>
      <c r="AD468" s="224"/>
      <c r="AE468" s="224"/>
      <c r="AF468" s="224"/>
      <c r="AG468">
        <v>3.98</v>
      </c>
      <c r="AH468"/>
      <c r="AI468">
        <v>130</v>
      </c>
      <c r="AJ468" s="194">
        <v>41785</v>
      </c>
      <c r="AK468"/>
      <c r="AL468"/>
      <c r="AM468"/>
      <c r="AN468"/>
      <c r="AO468"/>
      <c r="AP468"/>
      <c r="AQ468" s="227"/>
      <c r="AR468" s="227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>
        <v>52.9</v>
      </c>
      <c r="BT468"/>
      <c r="BU468">
        <v>15.1</v>
      </c>
      <c r="BV468"/>
      <c r="BW468" s="229"/>
      <c r="BX468"/>
      <c r="BY468"/>
      <c r="BZ468"/>
      <c r="CA468"/>
      <c r="CC468"/>
      <c r="CD468"/>
      <c r="CE468">
        <v>6.1</v>
      </c>
      <c r="CF468"/>
      <c r="CG468">
        <v>0.2</v>
      </c>
      <c r="CH468"/>
      <c r="CI468"/>
      <c r="CJ468"/>
      <c r="CK468" t="s">
        <v>8820</v>
      </c>
      <c r="CL468">
        <v>1</v>
      </c>
      <c r="CM468" s="392">
        <v>41802</v>
      </c>
    </row>
    <row r="469" spans="1:91" ht="15">
      <c r="A469" s="364" t="s">
        <v>7666</v>
      </c>
      <c r="B469" t="s">
        <v>265</v>
      </c>
      <c r="C469" t="s">
        <v>8213</v>
      </c>
      <c r="D469">
        <v>61</v>
      </c>
      <c r="E469" s="113">
        <v>65</v>
      </c>
      <c r="F469" s="113">
        <v>8</v>
      </c>
      <c r="I469"/>
      <c r="K469" s="224">
        <v>6</v>
      </c>
      <c r="L469" s="390">
        <v>41625</v>
      </c>
      <c r="M469"/>
      <c r="N469" s="224"/>
      <c r="O469"/>
      <c r="P469"/>
      <c r="Q469"/>
      <c r="S469" s="224"/>
      <c r="T469" s="224"/>
      <c r="U469"/>
      <c r="V469"/>
      <c r="W469"/>
      <c r="X469"/>
      <c r="Y469" s="225"/>
      <c r="Z469" s="224"/>
      <c r="AA469" s="226"/>
      <c r="AB469" s="224"/>
      <c r="AC469" s="225"/>
      <c r="AD469" s="224"/>
      <c r="AE469" s="224"/>
      <c r="AF469" s="224"/>
      <c r="AG469">
        <v>4.05</v>
      </c>
      <c r="AH469"/>
      <c r="AI469">
        <v>140</v>
      </c>
      <c r="AJ469" s="194">
        <v>41785</v>
      </c>
      <c r="AK469"/>
      <c r="AL469"/>
      <c r="AM469"/>
      <c r="AN469"/>
      <c r="AO469"/>
      <c r="AP469"/>
      <c r="AQ469" s="227"/>
      <c r="AR469" s="227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>
        <v>52.8</v>
      </c>
      <c r="BT469"/>
      <c r="BU469">
        <v>15.1</v>
      </c>
      <c r="BV469"/>
      <c r="BW469" s="229"/>
      <c r="BX469"/>
      <c r="BY469"/>
      <c r="BZ469"/>
      <c r="CA469"/>
      <c r="CC469"/>
      <c r="CD469"/>
      <c r="CE469">
        <v>4.9000000000000004</v>
      </c>
      <c r="CF469"/>
      <c r="CG469">
        <v>0.7</v>
      </c>
      <c r="CH469"/>
      <c r="CI469"/>
      <c r="CJ469"/>
      <c r="CK469" t="s">
        <v>8820</v>
      </c>
      <c r="CL469">
        <v>1</v>
      </c>
      <c r="CM469" s="392">
        <v>41802</v>
      </c>
    </row>
    <row r="470" spans="1:91" ht="15">
      <c r="A470" s="364" t="s">
        <v>7667</v>
      </c>
      <c r="B470" t="s">
        <v>265</v>
      </c>
      <c r="C470" t="s">
        <v>8213</v>
      </c>
      <c r="D470">
        <v>62</v>
      </c>
      <c r="E470" s="113">
        <v>56</v>
      </c>
      <c r="F470" s="113">
        <v>9</v>
      </c>
      <c r="I470"/>
      <c r="K470" s="224">
        <v>7</v>
      </c>
      <c r="L470" s="390">
        <v>41625</v>
      </c>
      <c r="M470"/>
      <c r="N470" s="224"/>
      <c r="O470"/>
      <c r="P470"/>
      <c r="Q470"/>
      <c r="S470" s="224"/>
      <c r="T470" s="224"/>
      <c r="U470"/>
      <c r="V470"/>
      <c r="W470"/>
      <c r="X470"/>
      <c r="Y470" s="225"/>
      <c r="Z470" s="224"/>
      <c r="AA470" s="226"/>
      <c r="AB470" s="224"/>
      <c r="AC470" s="225"/>
      <c r="AD470" s="224"/>
      <c r="AE470" s="224"/>
      <c r="AF470" s="224"/>
      <c r="AG470">
        <v>4.2300000000000004</v>
      </c>
      <c r="AH470"/>
      <c r="AI470">
        <v>130</v>
      </c>
      <c r="AJ470" s="194">
        <v>41785</v>
      </c>
      <c r="AK470"/>
      <c r="AL470"/>
      <c r="AM470"/>
      <c r="AN470"/>
      <c r="AO470"/>
      <c r="AP470"/>
      <c r="AQ470" s="227"/>
      <c r="AR470" s="227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>
        <v>49.8</v>
      </c>
      <c r="BT470"/>
      <c r="BU470">
        <v>19.100000000000001</v>
      </c>
      <c r="BV470"/>
      <c r="BW470" s="229"/>
      <c r="BX470"/>
      <c r="BY470"/>
      <c r="BZ470"/>
      <c r="CA470"/>
      <c r="CC470"/>
      <c r="CD470"/>
      <c r="CE470">
        <v>4.8</v>
      </c>
      <c r="CF470"/>
      <c r="CG470">
        <v>1.5</v>
      </c>
      <c r="CH470"/>
      <c r="CI470"/>
      <c r="CJ470"/>
      <c r="CK470" t="s">
        <v>8820</v>
      </c>
      <c r="CL470">
        <v>1</v>
      </c>
      <c r="CM470" s="392">
        <v>41802</v>
      </c>
    </row>
    <row r="471" spans="1:91" ht="15">
      <c r="A471" s="364" t="s">
        <v>7668</v>
      </c>
      <c r="B471" s="362" t="s">
        <v>265</v>
      </c>
      <c r="C471" s="362" t="s">
        <v>8213</v>
      </c>
      <c r="D471" s="232">
        <v>63</v>
      </c>
      <c r="E471" s="113">
        <v>72</v>
      </c>
      <c r="F471" s="113">
        <v>12</v>
      </c>
      <c r="I471"/>
      <c r="K471" s="224">
        <v>6</v>
      </c>
      <c r="L471" s="390">
        <v>41625</v>
      </c>
      <c r="M471"/>
      <c r="N471" s="224"/>
      <c r="O471"/>
      <c r="P471"/>
      <c r="Q471"/>
      <c r="S471" s="224"/>
      <c r="T471" s="224"/>
      <c r="U471"/>
      <c r="V471"/>
      <c r="W471"/>
      <c r="X471"/>
      <c r="Y471" s="225"/>
      <c r="Z471" s="224"/>
      <c r="AA471" s="226"/>
      <c r="AB471" s="224"/>
      <c r="AC471" s="225"/>
      <c r="AD471" s="224"/>
      <c r="AE471" s="224"/>
      <c r="AF471" s="224"/>
      <c r="AG471">
        <v>4.2300000000000004</v>
      </c>
      <c r="AH471"/>
      <c r="AI471">
        <v>155</v>
      </c>
      <c r="AJ471" s="194">
        <v>41785</v>
      </c>
      <c r="AK471"/>
      <c r="AL471"/>
      <c r="AM471"/>
      <c r="AN471"/>
      <c r="AO471"/>
      <c r="AP471"/>
      <c r="AQ471" s="227"/>
      <c r="AR471" s="227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>
        <v>52.7</v>
      </c>
      <c r="BT471"/>
      <c r="BU471">
        <v>16.600000000000001</v>
      </c>
      <c r="BV471"/>
      <c r="BW471" s="229"/>
      <c r="BX471"/>
      <c r="BY471"/>
      <c r="BZ471"/>
      <c r="CA471"/>
      <c r="CC471"/>
      <c r="CD471"/>
      <c r="CE471">
        <v>8.4</v>
      </c>
      <c r="CF471"/>
      <c r="CG471">
        <v>0.2</v>
      </c>
      <c r="CH471"/>
      <c r="CI471"/>
      <c r="CJ471"/>
      <c r="CK471" t="s">
        <v>8820</v>
      </c>
      <c r="CL471">
        <v>1</v>
      </c>
      <c r="CM471" s="392">
        <v>41802</v>
      </c>
    </row>
    <row r="472" spans="1:91" ht="15">
      <c r="A472" s="364" t="s">
        <v>7669</v>
      </c>
      <c r="B472" t="s">
        <v>265</v>
      </c>
      <c r="C472" t="s">
        <v>8213</v>
      </c>
      <c r="D472">
        <v>64</v>
      </c>
      <c r="E472" s="113">
        <v>65</v>
      </c>
      <c r="F472" s="113">
        <v>7</v>
      </c>
      <c r="I472"/>
      <c r="K472" s="224">
        <v>6</v>
      </c>
      <c r="L472" s="390">
        <v>41625</v>
      </c>
      <c r="M472"/>
      <c r="N472" s="224"/>
      <c r="O472"/>
      <c r="P472"/>
      <c r="Q472"/>
      <c r="S472" s="224"/>
      <c r="T472" s="224"/>
      <c r="U472"/>
      <c r="V472"/>
      <c r="W472"/>
      <c r="X472"/>
      <c r="Y472" s="225"/>
      <c r="Z472" s="224"/>
      <c r="AA472" s="226"/>
      <c r="AB472" s="224"/>
      <c r="AC472" s="225"/>
      <c r="AD472" s="224"/>
      <c r="AE472" s="224"/>
      <c r="AF472" s="224"/>
      <c r="AG472">
        <v>4.5999999999999996</v>
      </c>
      <c r="AH472"/>
      <c r="AI472">
        <v>140</v>
      </c>
      <c r="AJ472" s="194">
        <v>41785</v>
      </c>
      <c r="AK472"/>
      <c r="AL472"/>
      <c r="AM472"/>
      <c r="AN472"/>
      <c r="AO472"/>
      <c r="AP472"/>
      <c r="AQ472" s="227"/>
      <c r="AR472" s="227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>
        <v>52.2</v>
      </c>
      <c r="BT472"/>
      <c r="BU472">
        <v>15.7</v>
      </c>
      <c r="BV472"/>
      <c r="BW472" s="229"/>
      <c r="BX472"/>
      <c r="BY472"/>
      <c r="BZ472"/>
      <c r="CA472"/>
      <c r="CC472"/>
      <c r="CD472"/>
      <c r="CE472">
        <v>4.8</v>
      </c>
      <c r="CF472"/>
      <c r="CG472">
        <v>0.8</v>
      </c>
      <c r="CH472"/>
      <c r="CI472"/>
      <c r="CJ472"/>
      <c r="CK472" t="s">
        <v>8820</v>
      </c>
      <c r="CL472">
        <v>6.4</v>
      </c>
      <c r="CM472" s="392">
        <v>41802</v>
      </c>
    </row>
    <row r="473" spans="1:91" ht="15">
      <c r="A473" s="364" t="s">
        <v>7670</v>
      </c>
      <c r="B473" s="362" t="s">
        <v>265</v>
      </c>
      <c r="C473" s="362" t="s">
        <v>8213</v>
      </c>
      <c r="D473">
        <v>65</v>
      </c>
      <c r="E473" s="113">
        <v>72</v>
      </c>
      <c r="F473" s="113">
        <v>8</v>
      </c>
      <c r="I473"/>
      <c r="K473" s="224">
        <v>7</v>
      </c>
      <c r="L473" s="390">
        <v>41625</v>
      </c>
      <c r="M473"/>
      <c r="N473" s="224"/>
      <c r="O473"/>
      <c r="P473"/>
      <c r="Q473"/>
      <c r="S473" s="224"/>
      <c r="T473" s="224"/>
      <c r="U473"/>
      <c r="V473"/>
      <c r="W473"/>
      <c r="X473"/>
      <c r="Y473" s="225"/>
      <c r="Z473" s="224"/>
      <c r="AA473" s="226"/>
      <c r="AB473" s="224"/>
      <c r="AC473" s="225"/>
      <c r="AD473" s="224"/>
      <c r="AE473" s="224"/>
      <c r="AF473" s="224"/>
      <c r="AG473">
        <v>4.93</v>
      </c>
      <c r="AH473"/>
      <c r="AI473">
        <v>160</v>
      </c>
      <c r="AJ473" s="194">
        <v>41785</v>
      </c>
      <c r="AK473"/>
      <c r="AL473"/>
      <c r="AM473"/>
      <c r="AN473"/>
      <c r="AO473"/>
      <c r="AP473"/>
      <c r="AQ473" s="227"/>
      <c r="AR473" s="227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>
        <v>52.6</v>
      </c>
      <c r="BT473"/>
      <c r="BU473">
        <v>16.600000000000001</v>
      </c>
      <c r="BV473"/>
      <c r="BW473" s="229"/>
      <c r="BX473"/>
      <c r="BY473"/>
      <c r="BZ473"/>
      <c r="CA473"/>
      <c r="CC473"/>
      <c r="CD473"/>
      <c r="CE473">
        <v>8.8000000000000007</v>
      </c>
      <c r="CF473"/>
      <c r="CG473">
        <v>0.4</v>
      </c>
      <c r="CH473"/>
      <c r="CI473"/>
      <c r="CJ473"/>
      <c r="CK473" t="s">
        <v>8820</v>
      </c>
      <c r="CL473">
        <v>1</v>
      </c>
      <c r="CM473" s="392">
        <v>41802</v>
      </c>
    </row>
    <row r="474" spans="1:91" ht="15">
      <c r="A474" s="364" t="s">
        <v>7671</v>
      </c>
      <c r="B474" t="s">
        <v>265</v>
      </c>
      <c r="C474" t="s">
        <v>8213</v>
      </c>
      <c r="D474">
        <v>66</v>
      </c>
      <c r="E474" s="113">
        <v>60</v>
      </c>
      <c r="F474" s="113">
        <v>7</v>
      </c>
      <c r="G474" s="233"/>
      <c r="H474" s="233"/>
      <c r="I474" s="232"/>
      <c r="J474" s="234"/>
      <c r="K474" s="235">
        <v>7</v>
      </c>
      <c r="L474" s="390">
        <v>41625</v>
      </c>
      <c r="M474" s="232"/>
      <c r="N474" s="235"/>
      <c r="O474" s="232"/>
      <c r="P474" s="232"/>
      <c r="Q474" s="232"/>
      <c r="R474" s="236"/>
      <c r="S474" s="235"/>
      <c r="T474" s="235"/>
      <c r="U474" s="232"/>
      <c r="V474" s="232"/>
      <c r="W474" s="232"/>
      <c r="X474" s="232"/>
      <c r="Y474" s="237"/>
      <c r="Z474" s="235"/>
      <c r="AA474" s="238"/>
      <c r="AB474" s="235"/>
      <c r="AC474" s="237"/>
      <c r="AD474" s="235"/>
      <c r="AE474" s="235"/>
      <c r="AF474" s="235"/>
      <c r="AG474" s="232">
        <v>4.28</v>
      </c>
      <c r="AH474" s="232"/>
      <c r="AI474" s="232">
        <v>125</v>
      </c>
      <c r="AJ474" s="194">
        <v>41785</v>
      </c>
      <c r="AK474" s="232"/>
      <c r="AL474" s="232"/>
      <c r="AM474" s="232"/>
      <c r="AN474" s="232"/>
      <c r="AO474" s="232"/>
      <c r="AP474" s="232"/>
      <c r="AQ474" s="239"/>
      <c r="AR474" s="239"/>
      <c r="AS474" s="232"/>
      <c r="AT474" s="232"/>
      <c r="AU474" s="232"/>
      <c r="AV474" s="232"/>
      <c r="AW474" s="232"/>
      <c r="AX474" s="232"/>
      <c r="AY474" s="232"/>
      <c r="AZ474" s="232"/>
      <c r="BA474" s="232"/>
      <c r="BB474" s="232"/>
      <c r="BC474" s="232"/>
      <c r="BD474" s="232"/>
      <c r="BE474" s="232"/>
      <c r="BF474" s="232"/>
      <c r="BG474" s="232"/>
      <c r="BH474" s="232"/>
      <c r="BI474" s="232"/>
      <c r="BJ474" s="232"/>
      <c r="BK474" s="232"/>
      <c r="BL474" s="232"/>
      <c r="BM474" s="232"/>
      <c r="BN474" s="232"/>
      <c r="BO474" s="232"/>
      <c r="BP474" s="232"/>
      <c r="BQ474" s="232"/>
      <c r="BR474" s="232"/>
      <c r="BS474" s="232">
        <v>52.4</v>
      </c>
      <c r="BT474" s="232"/>
      <c r="BU474" s="232">
        <v>15.8</v>
      </c>
      <c r="BV474" s="232"/>
      <c r="BW474" s="240"/>
      <c r="BX474" s="232"/>
      <c r="BY474" s="232"/>
      <c r="BZ474" s="232"/>
      <c r="CA474" s="232"/>
      <c r="CB474" s="241"/>
      <c r="CC474" s="232"/>
      <c r="CD474" s="232"/>
      <c r="CE474" s="232">
        <v>5</v>
      </c>
      <c r="CF474" s="232"/>
      <c r="CG474" s="232">
        <v>1.2</v>
      </c>
      <c r="CH474" s="232"/>
      <c r="CI474" s="232"/>
      <c r="CJ474" s="232"/>
      <c r="CK474" t="s">
        <v>8820</v>
      </c>
      <c r="CL474" s="232">
        <v>1</v>
      </c>
      <c r="CM474" s="392">
        <v>41802</v>
      </c>
    </row>
    <row r="475" spans="1:91" ht="15">
      <c r="A475" s="364" t="s">
        <v>7672</v>
      </c>
      <c r="B475" t="s">
        <v>265</v>
      </c>
      <c r="C475" t="s">
        <v>8213</v>
      </c>
      <c r="D475">
        <v>67</v>
      </c>
      <c r="E475" s="113">
        <v>52</v>
      </c>
      <c r="F475" s="113">
        <v>8</v>
      </c>
      <c r="I475"/>
      <c r="K475" s="224">
        <v>6</v>
      </c>
      <c r="L475" s="390">
        <v>41625</v>
      </c>
      <c r="M475"/>
      <c r="N475" s="224"/>
      <c r="O475"/>
      <c r="P475"/>
      <c r="Q475"/>
      <c r="S475" s="224"/>
      <c r="T475" s="224"/>
      <c r="U475"/>
      <c r="V475"/>
      <c r="W475"/>
      <c r="X475"/>
      <c r="Y475" s="225"/>
      <c r="Z475" s="224"/>
      <c r="AA475" s="226"/>
      <c r="AB475" s="224"/>
      <c r="AC475" s="225"/>
      <c r="AD475" s="224"/>
      <c r="AE475" s="224"/>
      <c r="AF475" s="224"/>
      <c r="AG475">
        <v>4.54</v>
      </c>
      <c r="AH475"/>
      <c r="AI475">
        <v>140</v>
      </c>
      <c r="AJ475" s="194">
        <v>41785</v>
      </c>
      <c r="AK475"/>
      <c r="AL475"/>
      <c r="AM475"/>
      <c r="AN475"/>
      <c r="AO475"/>
      <c r="AP475"/>
      <c r="AQ475" s="227"/>
      <c r="AR475" s="227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>
        <v>52.1</v>
      </c>
      <c r="BT475"/>
      <c r="BU475">
        <v>17.100000000000001</v>
      </c>
      <c r="BV475"/>
      <c r="BW475" s="229"/>
      <c r="BX475"/>
      <c r="BY475"/>
      <c r="BZ475"/>
      <c r="CA475"/>
      <c r="CC475"/>
      <c r="CD475"/>
      <c r="CE475">
        <v>5.8</v>
      </c>
      <c r="CF475"/>
      <c r="CG475">
        <v>0.9</v>
      </c>
      <c r="CH475"/>
      <c r="CI475"/>
      <c r="CJ475"/>
      <c r="CK475" t="s">
        <v>8820</v>
      </c>
      <c r="CL475">
        <v>1</v>
      </c>
      <c r="CM475" s="392">
        <v>41802</v>
      </c>
    </row>
    <row r="476" spans="1:91" ht="15">
      <c r="A476" s="364" t="s">
        <v>7673</v>
      </c>
      <c r="B476" t="s">
        <v>265</v>
      </c>
      <c r="C476" t="s">
        <v>8213</v>
      </c>
      <c r="D476">
        <v>68</v>
      </c>
      <c r="E476" s="113">
        <v>40</v>
      </c>
      <c r="F476" s="113">
        <v>11</v>
      </c>
      <c r="I476"/>
      <c r="K476" s="224">
        <v>7</v>
      </c>
      <c r="L476" s="390">
        <v>41625</v>
      </c>
      <c r="M476"/>
      <c r="N476" s="224"/>
      <c r="O476"/>
      <c r="P476"/>
      <c r="Q476"/>
      <c r="S476" s="224"/>
      <c r="T476" s="224"/>
      <c r="U476"/>
      <c r="V476"/>
      <c r="W476"/>
      <c r="X476"/>
      <c r="Y476" s="225"/>
      <c r="Z476" s="224"/>
      <c r="AA476" s="226"/>
      <c r="AB476" s="224"/>
      <c r="AC476" s="225"/>
      <c r="AD476" s="224"/>
      <c r="AE476" s="224"/>
      <c r="AF476" s="224"/>
      <c r="AG476">
        <v>5.05</v>
      </c>
      <c r="AH476"/>
      <c r="AI476">
        <v>166</v>
      </c>
      <c r="AJ476" s="194">
        <v>41785</v>
      </c>
      <c r="AK476"/>
      <c r="AL476"/>
      <c r="AM476"/>
      <c r="AN476"/>
      <c r="AO476"/>
      <c r="AP476"/>
      <c r="AQ476" s="227"/>
      <c r="AR476" s="227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>
        <v>51.4</v>
      </c>
      <c r="BT476"/>
      <c r="BU476">
        <v>17</v>
      </c>
      <c r="BV476"/>
      <c r="BW476"/>
      <c r="BX476"/>
      <c r="BY476"/>
      <c r="BZ476"/>
      <c r="CA476"/>
      <c r="CC476"/>
      <c r="CD476"/>
      <c r="CE476">
        <v>5.5</v>
      </c>
      <c r="CF476"/>
      <c r="CG476">
        <v>1.2</v>
      </c>
      <c r="CH476"/>
      <c r="CI476"/>
      <c r="CJ476"/>
      <c r="CK476" t="s">
        <v>8820</v>
      </c>
      <c r="CL476">
        <v>1</v>
      </c>
      <c r="CM476" s="392">
        <v>41802</v>
      </c>
    </row>
    <row r="477" spans="1:91" ht="15">
      <c r="A477" s="364" t="s">
        <v>7674</v>
      </c>
      <c r="B477" t="s">
        <v>265</v>
      </c>
      <c r="C477" t="s">
        <v>8213</v>
      </c>
      <c r="D477">
        <v>69</v>
      </c>
      <c r="E477" s="113">
        <v>53</v>
      </c>
      <c r="F477" s="113">
        <v>8</v>
      </c>
      <c r="I477"/>
      <c r="K477" s="224">
        <v>6</v>
      </c>
      <c r="L477" s="390">
        <v>41625</v>
      </c>
      <c r="M477"/>
      <c r="N477" s="224"/>
      <c r="O477"/>
      <c r="P477"/>
      <c r="Q477"/>
      <c r="S477" s="224"/>
      <c r="T477" s="224"/>
      <c r="U477"/>
      <c r="V477"/>
      <c r="W477"/>
      <c r="X477"/>
      <c r="Y477" s="225"/>
      <c r="Z477" s="224"/>
      <c r="AA477" s="226"/>
      <c r="AB477" s="224"/>
      <c r="AC477" s="225"/>
      <c r="AD477" s="224"/>
      <c r="AE477" s="224"/>
      <c r="AF477" s="224"/>
      <c r="AG477">
        <v>4.79</v>
      </c>
      <c r="AH477"/>
      <c r="AI477">
        <v>69</v>
      </c>
      <c r="AJ477" s="194">
        <v>41785</v>
      </c>
      <c r="AK477"/>
      <c r="AL477"/>
      <c r="AM477"/>
      <c r="AN477"/>
      <c r="AO477"/>
      <c r="AP477"/>
      <c r="AQ477" s="227"/>
      <c r="AR477" s="22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>
        <v>51.4</v>
      </c>
      <c r="BT477"/>
      <c r="BU477">
        <v>17.3</v>
      </c>
      <c r="BV477"/>
      <c r="BW477" s="229"/>
      <c r="BX477"/>
      <c r="BY477"/>
      <c r="BZ477"/>
      <c r="CA477"/>
      <c r="CC477"/>
      <c r="CD477"/>
      <c r="CE477">
        <v>4.5999999999999996</v>
      </c>
      <c r="CF477"/>
      <c r="CG477">
        <v>0.5</v>
      </c>
      <c r="CH477"/>
      <c r="CI477"/>
      <c r="CJ477"/>
      <c r="CK477" t="s">
        <v>8820</v>
      </c>
      <c r="CL477">
        <v>1</v>
      </c>
      <c r="CM477" s="392">
        <v>41802</v>
      </c>
    </row>
    <row r="478" spans="1:91" ht="15">
      <c r="A478" s="364" t="s">
        <v>7675</v>
      </c>
      <c r="B478" t="s">
        <v>265</v>
      </c>
      <c r="C478" t="s">
        <v>8213</v>
      </c>
      <c r="D478" s="232">
        <v>70</v>
      </c>
      <c r="E478" s="113">
        <v>69</v>
      </c>
      <c r="F478" s="113">
        <v>8</v>
      </c>
      <c r="I478"/>
      <c r="K478" s="224">
        <v>7</v>
      </c>
      <c r="L478" s="390">
        <v>41625</v>
      </c>
      <c r="M478"/>
      <c r="N478" s="224"/>
      <c r="O478"/>
      <c r="P478"/>
      <c r="Q478"/>
      <c r="S478" s="224"/>
      <c r="T478" s="224"/>
      <c r="U478"/>
      <c r="V478"/>
      <c r="W478"/>
      <c r="X478"/>
      <c r="Y478" s="225"/>
      <c r="Z478" s="224"/>
      <c r="AA478" s="226"/>
      <c r="AB478" s="224"/>
      <c r="AC478" s="225"/>
      <c r="AD478" s="224"/>
      <c r="AE478" s="224"/>
      <c r="AF478" s="224"/>
      <c r="AG478">
        <v>4.5</v>
      </c>
      <c r="AH478"/>
      <c r="AI478">
        <v>140</v>
      </c>
      <c r="AJ478" s="194">
        <v>41785</v>
      </c>
      <c r="AK478"/>
      <c r="AL478"/>
      <c r="AM478"/>
      <c r="AN478"/>
      <c r="AO478"/>
      <c r="AP478"/>
      <c r="AQ478" s="227"/>
      <c r="AR478" s="227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>
        <v>52.6</v>
      </c>
      <c r="BT478"/>
      <c r="BU478">
        <v>15.4</v>
      </c>
      <c r="BV478"/>
      <c r="BW478" s="229"/>
      <c r="BX478"/>
      <c r="BY478"/>
      <c r="BZ478"/>
      <c r="CA478"/>
      <c r="CC478"/>
      <c r="CD478"/>
      <c r="CE478">
        <v>5.6</v>
      </c>
      <c r="CF478"/>
      <c r="CG478">
        <v>0.3</v>
      </c>
      <c r="CH478"/>
      <c r="CI478"/>
      <c r="CJ478"/>
      <c r="CK478" t="s">
        <v>8820</v>
      </c>
      <c r="CL478">
        <v>1</v>
      </c>
      <c r="CM478" s="392">
        <v>41802</v>
      </c>
    </row>
    <row r="479" spans="1:91" ht="15">
      <c r="A479" s="364" t="s">
        <v>7676</v>
      </c>
      <c r="B479" t="s">
        <v>265</v>
      </c>
      <c r="C479" t="s">
        <v>8213</v>
      </c>
      <c r="D479">
        <v>71</v>
      </c>
      <c r="E479" s="113">
        <v>64</v>
      </c>
      <c r="F479" s="113">
        <v>8</v>
      </c>
      <c r="I479"/>
      <c r="K479" s="224">
        <v>6</v>
      </c>
      <c r="L479" s="390">
        <v>41625</v>
      </c>
      <c r="M479"/>
      <c r="N479" s="224"/>
      <c r="O479"/>
      <c r="P479"/>
      <c r="Q479"/>
      <c r="S479" s="224"/>
      <c r="T479" s="224"/>
      <c r="U479"/>
      <c r="V479"/>
      <c r="W479"/>
      <c r="X479"/>
      <c r="Y479" s="225"/>
      <c r="Z479" s="224"/>
      <c r="AA479" s="226"/>
      <c r="AB479" s="224"/>
      <c r="AC479" s="225"/>
      <c r="AD479" s="224"/>
      <c r="AE479" s="224"/>
      <c r="AF479" s="224"/>
      <c r="AG479">
        <v>4.08</v>
      </c>
      <c r="AH479"/>
      <c r="AI479">
        <v>140</v>
      </c>
      <c r="AJ479" s="194">
        <v>41785</v>
      </c>
      <c r="AK479"/>
      <c r="AL479"/>
      <c r="AM479"/>
      <c r="AN479"/>
      <c r="AO479"/>
      <c r="AP479"/>
      <c r="AQ479" s="227"/>
      <c r="AR479" s="227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>
        <v>51.4</v>
      </c>
      <c r="BT479"/>
      <c r="BU479">
        <v>16</v>
      </c>
      <c r="BV479"/>
      <c r="BW479" s="229"/>
      <c r="BX479"/>
      <c r="BY479"/>
      <c r="BZ479"/>
      <c r="CA479"/>
      <c r="CC479"/>
      <c r="CD479"/>
      <c r="CE479">
        <v>4.3</v>
      </c>
      <c r="CF479"/>
      <c r="CG479">
        <v>0.7</v>
      </c>
      <c r="CH479"/>
      <c r="CI479"/>
      <c r="CJ479"/>
      <c r="CK479" t="s">
        <v>8820</v>
      </c>
      <c r="CL479">
        <v>1</v>
      </c>
      <c r="CM479" s="392">
        <v>41802</v>
      </c>
    </row>
    <row r="480" spans="1:91" ht="15.75" thickBot="1">
      <c r="A480" s="364" t="s">
        <v>7677</v>
      </c>
      <c r="B480" s="344" t="s">
        <v>265</v>
      </c>
      <c r="C480" s="344" t="s">
        <v>8213</v>
      </c>
      <c r="D480">
        <v>72</v>
      </c>
      <c r="E480" s="113">
        <v>70</v>
      </c>
      <c r="F480" s="113">
        <v>8</v>
      </c>
      <c r="I480"/>
      <c r="K480" s="224">
        <v>7</v>
      </c>
      <c r="L480" s="390">
        <v>41625</v>
      </c>
      <c r="M480"/>
      <c r="N480" s="224"/>
      <c r="O480"/>
      <c r="P480"/>
      <c r="Q480"/>
      <c r="S480" s="224"/>
      <c r="T480" s="224"/>
      <c r="U480"/>
      <c r="V480"/>
      <c r="W480"/>
      <c r="X480"/>
      <c r="Y480" s="225"/>
      <c r="Z480" s="224"/>
      <c r="AA480" s="226"/>
      <c r="AB480" s="224"/>
      <c r="AC480" s="225"/>
      <c r="AD480" s="224"/>
      <c r="AE480" s="224"/>
      <c r="AF480" s="224"/>
      <c r="AG480">
        <v>3.98</v>
      </c>
      <c r="AH480"/>
      <c r="AI480">
        <v>145</v>
      </c>
      <c r="AJ480" s="194">
        <v>41785</v>
      </c>
      <c r="AK480"/>
      <c r="AL480"/>
      <c r="AM480"/>
      <c r="AN480"/>
      <c r="AO480"/>
      <c r="AP480"/>
      <c r="AQ480" s="227"/>
      <c r="AR480" s="227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>
        <v>52.5</v>
      </c>
      <c r="BT480"/>
      <c r="BU480">
        <v>15.9</v>
      </c>
      <c r="BV480"/>
      <c r="BW480" s="229"/>
      <c r="BX480"/>
      <c r="BY480"/>
      <c r="BZ480"/>
      <c r="CA480"/>
      <c r="CC480"/>
      <c r="CD480"/>
      <c r="CE480">
        <v>5.6</v>
      </c>
      <c r="CF480"/>
      <c r="CG480">
        <v>0.7</v>
      </c>
      <c r="CH480"/>
      <c r="CI480"/>
      <c r="CJ480"/>
      <c r="CK480" t="s">
        <v>8820</v>
      </c>
      <c r="CL480">
        <v>1</v>
      </c>
      <c r="CM480" s="392">
        <v>41802</v>
      </c>
    </row>
    <row r="481" spans="1:91" ht="15">
      <c r="A481" s="364" t="s">
        <v>7678</v>
      </c>
      <c r="B481" t="s">
        <v>265</v>
      </c>
      <c r="C481" t="s">
        <v>8213</v>
      </c>
      <c r="D481">
        <v>73</v>
      </c>
      <c r="E481" s="113">
        <v>52</v>
      </c>
      <c r="F481" s="113">
        <v>7</v>
      </c>
      <c r="I481"/>
      <c r="K481" s="224">
        <v>7</v>
      </c>
      <c r="L481" s="390">
        <v>41625</v>
      </c>
      <c r="M481"/>
      <c r="N481" s="224"/>
      <c r="O481"/>
      <c r="P481"/>
      <c r="Q481"/>
      <c r="S481" s="224"/>
      <c r="T481" s="224"/>
      <c r="U481"/>
      <c r="V481"/>
      <c r="W481"/>
      <c r="X481"/>
      <c r="Y481" s="225"/>
      <c r="Z481" s="224"/>
      <c r="AA481" s="226"/>
      <c r="AB481" s="224"/>
      <c r="AC481" s="225"/>
      <c r="AD481" s="224"/>
      <c r="AE481" s="224"/>
      <c r="AF481" s="224"/>
      <c r="AG481">
        <v>3.96</v>
      </c>
      <c r="AH481"/>
      <c r="AI481">
        <v>135</v>
      </c>
      <c r="AJ481" s="194">
        <v>41785</v>
      </c>
      <c r="AK481"/>
      <c r="AL481"/>
      <c r="AM481"/>
      <c r="AN481"/>
      <c r="AO481"/>
      <c r="AP481"/>
      <c r="AQ481" s="227"/>
      <c r="AR481" s="227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>
        <v>52.6</v>
      </c>
      <c r="BT481"/>
      <c r="BU481">
        <v>15.9</v>
      </c>
      <c r="BV481"/>
      <c r="BW481" s="229"/>
      <c r="BX481"/>
      <c r="BY481"/>
      <c r="BZ481"/>
      <c r="CA481"/>
      <c r="CC481"/>
      <c r="CD481"/>
      <c r="CE481">
        <v>5.4</v>
      </c>
      <c r="CF481"/>
      <c r="CG481">
        <v>1</v>
      </c>
      <c r="CH481"/>
      <c r="CI481"/>
      <c r="CJ481"/>
      <c r="CK481" t="s">
        <v>8820</v>
      </c>
      <c r="CL481">
        <v>1</v>
      </c>
      <c r="CM481" s="392">
        <v>41802</v>
      </c>
    </row>
    <row r="482" spans="1:91" ht="15">
      <c r="A482" s="364" t="s">
        <v>7679</v>
      </c>
      <c r="B482" t="s">
        <v>265</v>
      </c>
      <c r="C482" t="s">
        <v>8213</v>
      </c>
      <c r="D482">
        <v>74</v>
      </c>
      <c r="E482" s="113">
        <v>48</v>
      </c>
      <c r="F482" s="113">
        <v>11</v>
      </c>
      <c r="I482"/>
      <c r="K482" s="224">
        <v>7</v>
      </c>
      <c r="L482" s="390">
        <v>41625</v>
      </c>
      <c r="M482"/>
      <c r="N482" s="224"/>
      <c r="O482"/>
      <c r="P482"/>
      <c r="Q482"/>
      <c r="S482" s="224"/>
      <c r="T482" s="224"/>
      <c r="U482"/>
      <c r="V482"/>
      <c r="W482"/>
      <c r="X482"/>
      <c r="Y482" s="225"/>
      <c r="Z482" s="224"/>
      <c r="AA482" s="226"/>
      <c r="AB482" s="224"/>
      <c r="AC482" s="225"/>
      <c r="AD482" s="224"/>
      <c r="AE482" s="224"/>
      <c r="AF482" s="224"/>
      <c r="AG482">
        <v>5.05</v>
      </c>
      <c r="AH482"/>
      <c r="AI482">
        <v>140</v>
      </c>
      <c r="AJ482" s="194">
        <v>41785</v>
      </c>
      <c r="AK482"/>
      <c r="AL482"/>
      <c r="AM482"/>
      <c r="AN482"/>
      <c r="AO482"/>
      <c r="AP482"/>
      <c r="AQ482" s="227"/>
      <c r="AR482" s="227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>
        <v>51.7</v>
      </c>
      <c r="BT482"/>
      <c r="BU482">
        <v>18.100000000000001</v>
      </c>
      <c r="BV482"/>
      <c r="BW482" s="229"/>
      <c r="BX482"/>
      <c r="BY482"/>
      <c r="BZ482"/>
      <c r="CA482"/>
      <c r="CC482"/>
      <c r="CD482"/>
      <c r="CE482">
        <v>6.7</v>
      </c>
      <c r="CF482"/>
      <c r="CG482">
        <v>0.4</v>
      </c>
      <c r="CH482"/>
      <c r="CI482"/>
      <c r="CJ482"/>
      <c r="CK482" t="s">
        <v>8820</v>
      </c>
      <c r="CL482">
        <v>1</v>
      </c>
      <c r="CM482" s="392">
        <v>41802</v>
      </c>
    </row>
    <row r="483" spans="1:91" ht="15">
      <c r="A483" s="364" t="s">
        <v>7680</v>
      </c>
      <c r="B483" t="s">
        <v>265</v>
      </c>
      <c r="C483" t="s">
        <v>8213</v>
      </c>
      <c r="D483">
        <v>75</v>
      </c>
      <c r="E483" s="113">
        <v>67</v>
      </c>
      <c r="F483" s="113">
        <v>11</v>
      </c>
      <c r="I483"/>
      <c r="K483" s="224">
        <v>7</v>
      </c>
      <c r="L483" s="390">
        <v>41625</v>
      </c>
      <c r="M483"/>
      <c r="N483" s="224"/>
      <c r="O483"/>
      <c r="P483"/>
      <c r="Q483"/>
      <c r="S483" s="224"/>
      <c r="T483" s="224"/>
      <c r="U483"/>
      <c r="V483"/>
      <c r="W483"/>
      <c r="X483"/>
      <c r="Y483" s="225"/>
      <c r="Z483" s="224"/>
      <c r="AA483" s="226"/>
      <c r="AB483" s="224"/>
      <c r="AC483" s="225"/>
      <c r="AD483" s="224"/>
      <c r="AE483" s="224"/>
      <c r="AF483" s="224"/>
      <c r="AG483">
        <v>4.3499999999999996</v>
      </c>
      <c r="AH483"/>
      <c r="AI483">
        <v>130</v>
      </c>
      <c r="AJ483" s="194">
        <v>41785</v>
      </c>
      <c r="AK483"/>
      <c r="AL483"/>
      <c r="AM483"/>
      <c r="AN483"/>
      <c r="AO483"/>
      <c r="AP483"/>
      <c r="AQ483" s="227"/>
      <c r="AR483" s="227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>
        <v>52</v>
      </c>
      <c r="BT483"/>
      <c r="BU483">
        <v>17.5</v>
      </c>
      <c r="BV483"/>
      <c r="BW483" s="229"/>
      <c r="BX483"/>
      <c r="BY483"/>
      <c r="BZ483"/>
      <c r="CA483"/>
      <c r="CC483"/>
      <c r="CD483"/>
      <c r="CE483">
        <v>6.4</v>
      </c>
      <c r="CF483"/>
      <c r="CG483">
        <v>0.4</v>
      </c>
      <c r="CH483"/>
      <c r="CI483"/>
      <c r="CJ483"/>
      <c r="CK483" t="s">
        <v>8820</v>
      </c>
      <c r="CL483">
        <v>1</v>
      </c>
      <c r="CM483" s="392">
        <v>41802</v>
      </c>
    </row>
    <row r="484" spans="1:91" ht="15">
      <c r="A484" s="364" t="s">
        <v>7681</v>
      </c>
      <c r="B484" t="s">
        <v>265</v>
      </c>
      <c r="C484" t="s">
        <v>8213</v>
      </c>
      <c r="D484">
        <v>76</v>
      </c>
      <c r="E484" s="113">
        <v>59</v>
      </c>
      <c r="F484" s="113">
        <v>9</v>
      </c>
      <c r="I484"/>
      <c r="K484" s="224">
        <v>7</v>
      </c>
      <c r="L484" s="390">
        <v>41625</v>
      </c>
      <c r="M484"/>
      <c r="N484" s="224"/>
      <c r="O484"/>
      <c r="P484"/>
      <c r="Q484"/>
      <c r="S484" s="224"/>
      <c r="T484" s="224"/>
      <c r="U484"/>
      <c r="V484"/>
      <c r="W484"/>
      <c r="X484"/>
      <c r="Y484" s="225"/>
      <c r="Z484" s="224"/>
      <c r="AA484" s="226"/>
      <c r="AB484" s="224"/>
      <c r="AC484" s="225"/>
      <c r="AD484" s="224"/>
      <c r="AE484" s="224"/>
      <c r="AF484" s="224"/>
      <c r="AG484">
        <v>3.51</v>
      </c>
      <c r="AH484"/>
      <c r="AI484">
        <v>140</v>
      </c>
      <c r="AJ484" s="194">
        <v>41785</v>
      </c>
      <c r="AK484"/>
      <c r="AL484"/>
      <c r="AM484"/>
      <c r="AN484"/>
      <c r="AO484"/>
      <c r="AP484"/>
      <c r="AQ484" s="227"/>
      <c r="AR484" s="227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>
        <v>52.2</v>
      </c>
      <c r="BT484"/>
      <c r="BU484">
        <v>15.9</v>
      </c>
      <c r="BV484"/>
      <c r="BW484" s="229"/>
      <c r="BX484"/>
      <c r="BY484"/>
      <c r="BZ484"/>
      <c r="CA484"/>
      <c r="CC484"/>
      <c r="CD484"/>
      <c r="CE484">
        <v>4.5999999999999996</v>
      </c>
      <c r="CF484"/>
      <c r="CG484">
        <v>0.6</v>
      </c>
      <c r="CH484"/>
      <c r="CI484"/>
      <c r="CJ484"/>
      <c r="CK484" t="s">
        <v>8820</v>
      </c>
      <c r="CL484">
        <v>1</v>
      </c>
      <c r="CM484" s="392">
        <v>41802</v>
      </c>
    </row>
    <row r="485" spans="1:91" ht="15">
      <c r="A485" s="364" t="s">
        <v>7682</v>
      </c>
      <c r="B485" t="s">
        <v>265</v>
      </c>
      <c r="C485" t="s">
        <v>8213</v>
      </c>
      <c r="D485">
        <v>77</v>
      </c>
      <c r="E485" s="113">
        <v>55</v>
      </c>
      <c r="F485" s="113">
        <v>7</v>
      </c>
      <c r="I485"/>
      <c r="K485" s="224">
        <v>7</v>
      </c>
      <c r="L485" s="390">
        <v>41625</v>
      </c>
      <c r="M485"/>
      <c r="N485" s="224"/>
      <c r="O485"/>
      <c r="P485"/>
      <c r="Q485"/>
      <c r="S485" s="224"/>
      <c r="T485" s="224"/>
      <c r="U485"/>
      <c r="V485"/>
      <c r="W485"/>
      <c r="X485"/>
      <c r="Y485" s="225"/>
      <c r="Z485" s="224"/>
      <c r="AA485" s="226"/>
      <c r="AB485" s="224"/>
      <c r="AC485" s="225"/>
      <c r="AD485" s="224"/>
      <c r="AE485" s="224"/>
      <c r="AF485" s="224"/>
      <c r="AG485">
        <v>4.5999999999999996</v>
      </c>
      <c r="AH485"/>
      <c r="AI485">
        <v>130</v>
      </c>
      <c r="AJ485" s="194">
        <v>41785</v>
      </c>
      <c r="AK485"/>
      <c r="AL485"/>
      <c r="AM485"/>
      <c r="AN485"/>
      <c r="AO485"/>
      <c r="AP485"/>
      <c r="AQ485" s="227"/>
      <c r="AR485" s="227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>
        <v>50.9</v>
      </c>
      <c r="BT485"/>
      <c r="BU485">
        <v>16.7</v>
      </c>
      <c r="BV485"/>
      <c r="BW485" s="229"/>
      <c r="BX485"/>
      <c r="BY485"/>
      <c r="BZ485"/>
      <c r="CA485"/>
      <c r="CC485"/>
      <c r="CD485"/>
      <c r="CE485">
        <v>4.7</v>
      </c>
      <c r="CF485"/>
      <c r="CG485">
        <v>0.6</v>
      </c>
      <c r="CH485"/>
      <c r="CI485"/>
      <c r="CJ485"/>
      <c r="CK485" t="s">
        <v>8820</v>
      </c>
      <c r="CL485">
        <v>1</v>
      </c>
      <c r="CM485" s="392">
        <v>41802</v>
      </c>
    </row>
    <row r="486" spans="1:91" ht="15">
      <c r="A486" s="364" t="s">
        <v>7683</v>
      </c>
      <c r="B486" t="s">
        <v>265</v>
      </c>
      <c r="C486" t="s">
        <v>8213</v>
      </c>
      <c r="D486">
        <v>78</v>
      </c>
      <c r="E486" s="113">
        <v>43</v>
      </c>
      <c r="F486" s="113">
        <v>7</v>
      </c>
      <c r="G486" s="233"/>
      <c r="H486" s="233"/>
      <c r="I486" s="232"/>
      <c r="J486" s="234"/>
      <c r="K486" s="235">
        <v>6</v>
      </c>
      <c r="L486" s="390">
        <v>41625</v>
      </c>
      <c r="M486" s="232"/>
      <c r="N486" s="235"/>
      <c r="O486" s="232"/>
      <c r="P486" s="232"/>
      <c r="Q486" s="232"/>
      <c r="R486" s="236"/>
      <c r="S486" s="235"/>
      <c r="T486" s="235"/>
      <c r="U486" s="232"/>
      <c r="V486" s="232"/>
      <c r="W486" s="232"/>
      <c r="X486" s="232"/>
      <c r="Y486" s="237"/>
      <c r="Z486" s="235"/>
      <c r="AA486" s="238"/>
      <c r="AB486" s="235"/>
      <c r="AC486" s="237"/>
      <c r="AD486" s="235"/>
      <c r="AE486" s="235"/>
      <c r="AF486" s="235"/>
      <c r="AG486" s="232">
        <v>4.38</v>
      </c>
      <c r="AH486" s="232"/>
      <c r="AI486" s="232">
        <v>130</v>
      </c>
      <c r="AJ486" s="194">
        <v>41785</v>
      </c>
      <c r="AK486" s="232"/>
      <c r="AL486" s="232"/>
      <c r="AM486" s="232"/>
      <c r="AN486" s="232"/>
      <c r="AO486" s="232"/>
      <c r="AP486" s="232"/>
      <c r="AQ486" s="239"/>
      <c r="AR486" s="239"/>
      <c r="AS486" s="232"/>
      <c r="AT486" s="232"/>
      <c r="AU486" s="232"/>
      <c r="AV486" s="232"/>
      <c r="AW486" s="232"/>
      <c r="AX486" s="232"/>
      <c r="AY486" s="232"/>
      <c r="AZ486" s="232"/>
      <c r="BA486" s="232"/>
      <c r="BB486" s="232"/>
      <c r="BC486" s="232"/>
      <c r="BD486" s="232"/>
      <c r="BE486" s="232"/>
      <c r="BF486" s="232"/>
      <c r="BG486" s="232"/>
      <c r="BH486" s="232"/>
      <c r="BI486" s="232"/>
      <c r="BJ486" s="232"/>
      <c r="BK486" s="232"/>
      <c r="BL486" s="232"/>
      <c r="BM486" s="232"/>
      <c r="BN486" s="232"/>
      <c r="BO486" s="232"/>
      <c r="BP486" s="232"/>
      <c r="BQ486" s="232"/>
      <c r="BR486" s="232"/>
      <c r="BS486" s="232">
        <v>53.9</v>
      </c>
      <c r="BT486" s="232"/>
      <c r="BU486" s="232">
        <v>14.9</v>
      </c>
      <c r="BV486" s="232"/>
      <c r="BW486" s="240"/>
      <c r="BX486" s="232"/>
      <c r="BY486" s="232"/>
      <c r="BZ486" s="232"/>
      <c r="CA486" s="232"/>
      <c r="CB486" s="241"/>
      <c r="CC486" s="232"/>
      <c r="CD486" s="232"/>
      <c r="CE486" s="232">
        <v>6.8</v>
      </c>
      <c r="CF486" s="232"/>
      <c r="CG486" s="232">
        <v>0.7</v>
      </c>
      <c r="CH486" s="232"/>
      <c r="CI486" s="232"/>
      <c r="CJ486" s="232"/>
      <c r="CK486" t="s">
        <v>8820</v>
      </c>
      <c r="CL486" s="232">
        <v>7</v>
      </c>
      <c r="CM486" s="392">
        <v>41802</v>
      </c>
    </row>
    <row r="487" spans="1:91" ht="15">
      <c r="A487" s="364" t="s">
        <v>7684</v>
      </c>
      <c r="B487" t="s">
        <v>265</v>
      </c>
      <c r="C487" t="s">
        <v>8213</v>
      </c>
      <c r="D487" s="232">
        <v>79</v>
      </c>
      <c r="E487" s="113">
        <v>50</v>
      </c>
      <c r="F487" s="113">
        <v>8</v>
      </c>
      <c r="I487"/>
      <c r="K487" s="224">
        <v>6</v>
      </c>
      <c r="L487" s="390">
        <v>41625</v>
      </c>
      <c r="M487"/>
      <c r="N487" s="224"/>
      <c r="O487"/>
      <c r="P487"/>
      <c r="Q487"/>
      <c r="S487" s="224"/>
      <c r="T487" s="224"/>
      <c r="U487"/>
      <c r="V487"/>
      <c r="W487"/>
      <c r="X487"/>
      <c r="Y487" s="225"/>
      <c r="Z487" s="224"/>
      <c r="AA487" s="226"/>
      <c r="AB487" s="224"/>
      <c r="AC487" s="225"/>
      <c r="AD487" s="224"/>
      <c r="AE487" s="224"/>
      <c r="AF487" s="224"/>
      <c r="AG487">
        <v>3.75</v>
      </c>
      <c r="AH487"/>
      <c r="AI487">
        <v>145</v>
      </c>
      <c r="AJ487" s="194">
        <v>41785</v>
      </c>
      <c r="AK487"/>
      <c r="AL487"/>
      <c r="AM487"/>
      <c r="AN487"/>
      <c r="AO487"/>
      <c r="AP487"/>
      <c r="AQ487" s="227"/>
      <c r="AR487" s="22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>
        <v>53.5</v>
      </c>
      <c r="BT487"/>
      <c r="BU487">
        <v>14.8</v>
      </c>
      <c r="BV487"/>
      <c r="BW487" s="229"/>
      <c r="BX487"/>
      <c r="BY487"/>
      <c r="BZ487"/>
      <c r="CA487"/>
      <c r="CC487"/>
      <c r="CD487"/>
      <c r="CE487">
        <v>5.6</v>
      </c>
      <c r="CF487"/>
      <c r="CG487">
        <v>0.8</v>
      </c>
      <c r="CH487"/>
      <c r="CI487"/>
      <c r="CJ487"/>
      <c r="CK487" t="s">
        <v>8820</v>
      </c>
      <c r="CL487">
        <v>1</v>
      </c>
      <c r="CM487" s="392">
        <v>41802</v>
      </c>
    </row>
    <row r="488" spans="1:91" ht="15">
      <c r="A488" s="364" t="s">
        <v>7685</v>
      </c>
      <c r="B488" t="s">
        <v>265</v>
      </c>
      <c r="C488" t="s">
        <v>8213</v>
      </c>
      <c r="D488">
        <v>80</v>
      </c>
      <c r="E488" s="113">
        <v>45</v>
      </c>
      <c r="F488" s="113">
        <v>9</v>
      </c>
      <c r="I488"/>
      <c r="K488" s="224">
        <v>7</v>
      </c>
      <c r="L488" s="390">
        <v>41625</v>
      </c>
      <c r="M488"/>
      <c r="N488" s="224"/>
      <c r="O488"/>
      <c r="P488"/>
      <c r="Q488"/>
      <c r="S488" s="224"/>
      <c r="T488" s="224"/>
      <c r="U488"/>
      <c r="V488"/>
      <c r="W488"/>
      <c r="X488"/>
      <c r="Y488" s="225"/>
      <c r="Z488" s="224"/>
      <c r="AA488" s="226"/>
      <c r="AB488" s="224"/>
      <c r="AC488" s="225"/>
      <c r="AD488" s="224"/>
      <c r="AE488" s="224"/>
      <c r="AF488" s="224"/>
      <c r="AG488">
        <v>4.49</v>
      </c>
      <c r="AH488"/>
      <c r="AI488">
        <v>130</v>
      </c>
      <c r="AJ488" s="194">
        <v>41785</v>
      </c>
      <c r="AK488"/>
      <c r="AL488"/>
      <c r="AM488"/>
      <c r="AN488"/>
      <c r="AO488"/>
      <c r="AP488"/>
      <c r="AQ488" s="227"/>
      <c r="AR488" s="227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>
        <v>52.9</v>
      </c>
      <c r="BT488"/>
      <c r="BU488">
        <v>16.600000000000001</v>
      </c>
      <c r="BV488"/>
      <c r="BW488" s="229"/>
      <c r="BX488"/>
      <c r="BY488"/>
      <c r="BZ488"/>
      <c r="CA488"/>
      <c r="CC488"/>
      <c r="CD488"/>
      <c r="CE488">
        <v>7.3</v>
      </c>
      <c r="CF488"/>
      <c r="CG488">
        <v>0.2</v>
      </c>
      <c r="CH488"/>
      <c r="CI488"/>
      <c r="CJ488"/>
      <c r="CK488" t="s">
        <v>8820</v>
      </c>
      <c r="CL488">
        <v>1</v>
      </c>
      <c r="CM488" s="392">
        <v>41802</v>
      </c>
    </row>
    <row r="489" spans="1:91" ht="15">
      <c r="A489" s="364" t="s">
        <v>7686</v>
      </c>
      <c r="B489" t="s">
        <v>265</v>
      </c>
      <c r="C489" t="s">
        <v>8213</v>
      </c>
      <c r="D489">
        <v>81</v>
      </c>
      <c r="E489" s="113">
        <v>55</v>
      </c>
      <c r="F489" s="113">
        <v>11</v>
      </c>
      <c r="I489"/>
      <c r="K489" s="224">
        <v>7</v>
      </c>
      <c r="L489" s="390">
        <v>41625</v>
      </c>
      <c r="M489"/>
      <c r="N489" s="224"/>
      <c r="O489"/>
      <c r="P489"/>
      <c r="Q489"/>
      <c r="S489" s="224"/>
      <c r="T489" s="224"/>
      <c r="U489"/>
      <c r="V489"/>
      <c r="W489"/>
      <c r="X489"/>
      <c r="Y489" s="225"/>
      <c r="Z489" s="224"/>
      <c r="AA489" s="226"/>
      <c r="AB489" s="224"/>
      <c r="AC489" s="225"/>
      <c r="AD489" s="224"/>
      <c r="AE489" s="224"/>
      <c r="AF489" s="224"/>
      <c r="AG489">
        <v>4.4000000000000004</v>
      </c>
      <c r="AH489"/>
      <c r="AI489">
        <v>130</v>
      </c>
      <c r="AJ489" s="194">
        <v>41785</v>
      </c>
      <c r="AK489"/>
      <c r="AL489"/>
      <c r="AM489"/>
      <c r="AN489"/>
      <c r="AO489"/>
      <c r="AP489"/>
      <c r="AQ489" s="227"/>
      <c r="AR489" s="227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>
        <v>51.5</v>
      </c>
      <c r="BT489"/>
      <c r="BU489">
        <v>16</v>
      </c>
      <c r="BV489"/>
      <c r="BW489" s="229"/>
      <c r="BX489"/>
      <c r="BY489"/>
      <c r="BZ489"/>
      <c r="CA489"/>
      <c r="CC489"/>
      <c r="CD489"/>
      <c r="CE489">
        <v>4.5999999999999996</v>
      </c>
      <c r="CF489"/>
      <c r="CG489">
        <v>1.2</v>
      </c>
      <c r="CH489"/>
      <c r="CI489"/>
      <c r="CJ489"/>
      <c r="CK489" t="s">
        <v>8820</v>
      </c>
      <c r="CL489">
        <v>1</v>
      </c>
      <c r="CM489" s="392">
        <v>41802</v>
      </c>
    </row>
    <row r="490" spans="1:91" ht="15">
      <c r="A490" s="364" t="s">
        <v>7687</v>
      </c>
      <c r="B490" t="s">
        <v>265</v>
      </c>
      <c r="C490" t="s">
        <v>8213</v>
      </c>
      <c r="D490" s="232">
        <v>82</v>
      </c>
      <c r="E490" s="113">
        <v>46</v>
      </c>
      <c r="F490" s="113">
        <v>9</v>
      </c>
      <c r="G490" s="233"/>
      <c r="H490" s="233"/>
      <c r="I490" s="232"/>
      <c r="J490" s="234"/>
      <c r="K490" s="235">
        <v>7</v>
      </c>
      <c r="L490" s="390">
        <v>41625</v>
      </c>
      <c r="M490" s="232"/>
      <c r="N490" s="235"/>
      <c r="O490" s="232"/>
      <c r="P490" s="232"/>
      <c r="Q490" s="232"/>
      <c r="R490" s="236"/>
      <c r="S490" s="235"/>
      <c r="T490" s="235"/>
      <c r="U490" s="232"/>
      <c r="V490" s="232"/>
      <c r="W490" s="232"/>
      <c r="X490" s="232"/>
      <c r="Y490" s="237"/>
      <c r="Z490" s="235"/>
      <c r="AA490" s="238"/>
      <c r="AB490" s="235"/>
      <c r="AC490" s="237"/>
      <c r="AD490" s="235"/>
      <c r="AE490" s="235"/>
      <c r="AF490" s="235"/>
      <c r="AG490" s="232">
        <v>4.3</v>
      </c>
      <c r="AH490" s="232"/>
      <c r="AI490" s="232">
        <v>140</v>
      </c>
      <c r="AJ490" s="194">
        <v>41785</v>
      </c>
      <c r="AK490" s="232"/>
      <c r="AL490" s="232"/>
      <c r="AM490" s="232"/>
      <c r="AN490" s="232"/>
      <c r="AO490" s="232"/>
      <c r="AP490" s="232"/>
      <c r="AQ490" s="239"/>
      <c r="AR490" s="239"/>
      <c r="AS490" s="232"/>
      <c r="AT490" s="232"/>
      <c r="AU490" s="232"/>
      <c r="AV490" s="232"/>
      <c r="AW490" s="232"/>
      <c r="AX490" s="232"/>
      <c r="AY490" s="232"/>
      <c r="AZ490" s="232"/>
      <c r="BA490" s="232"/>
      <c r="BB490" s="232"/>
      <c r="BC490" s="232"/>
      <c r="BD490" s="232"/>
      <c r="BE490" s="232"/>
      <c r="BF490" s="232"/>
      <c r="BG490" s="232"/>
      <c r="BH490" s="232"/>
      <c r="BI490" s="232"/>
      <c r="BJ490" s="232"/>
      <c r="BK490" s="232"/>
      <c r="BL490" s="232"/>
      <c r="BM490" s="232"/>
      <c r="BN490" s="232"/>
      <c r="BO490" s="232"/>
      <c r="BP490" s="232"/>
      <c r="BQ490" s="232"/>
      <c r="BR490" s="232"/>
      <c r="BS490" s="232">
        <v>51.6</v>
      </c>
      <c r="BT490" s="232"/>
      <c r="BU490" s="232">
        <v>15.9</v>
      </c>
      <c r="BV490" s="232"/>
      <c r="BW490" s="240"/>
      <c r="BX490" s="232"/>
      <c r="BY490" s="232"/>
      <c r="BZ490" s="232"/>
      <c r="CA490" s="232"/>
      <c r="CB490" s="241"/>
      <c r="CC490" s="232"/>
      <c r="CD490" s="232"/>
      <c r="CE490" s="232">
        <v>6.1</v>
      </c>
      <c r="CF490" s="232"/>
      <c r="CG490" s="232">
        <v>0.2</v>
      </c>
      <c r="CH490" s="232"/>
      <c r="CI490" s="232"/>
      <c r="CJ490" s="232"/>
      <c r="CK490" t="s">
        <v>8820</v>
      </c>
      <c r="CL490" s="232">
        <v>1</v>
      </c>
      <c r="CM490" s="392">
        <v>41802</v>
      </c>
    </row>
    <row r="491" spans="1:91" ht="15">
      <c r="A491" s="364" t="s">
        <v>7688</v>
      </c>
      <c r="B491" t="s">
        <v>265</v>
      </c>
      <c r="C491" t="s">
        <v>8213</v>
      </c>
      <c r="D491">
        <v>83</v>
      </c>
      <c r="E491" s="113">
        <v>37</v>
      </c>
      <c r="F491" s="113">
        <v>8</v>
      </c>
      <c r="I491"/>
      <c r="K491" s="224">
        <v>7</v>
      </c>
      <c r="L491" s="390">
        <v>41625</v>
      </c>
      <c r="M491"/>
      <c r="N491" s="224"/>
      <c r="O491"/>
      <c r="P491"/>
      <c r="Q491"/>
      <c r="S491" s="224"/>
      <c r="T491" s="224"/>
      <c r="U491"/>
      <c r="V491"/>
      <c r="W491"/>
      <c r="X491"/>
      <c r="Y491" s="225"/>
      <c r="Z491" s="224"/>
      <c r="AA491" s="226"/>
      <c r="AB491" s="224"/>
      <c r="AC491" s="225"/>
      <c r="AD491" s="224"/>
      <c r="AE491" s="224"/>
      <c r="AF491" s="224"/>
      <c r="AG491">
        <v>3.86</v>
      </c>
      <c r="AH491"/>
      <c r="AI491">
        <v>135</v>
      </c>
      <c r="AJ491" s="194">
        <v>41785</v>
      </c>
      <c r="AK491"/>
      <c r="AL491"/>
      <c r="AM491"/>
      <c r="AN491"/>
      <c r="AO491"/>
      <c r="AP491"/>
      <c r="AQ491" s="227"/>
      <c r="AR491" s="227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>
        <v>52</v>
      </c>
      <c r="BT491"/>
      <c r="BU491">
        <v>16.7</v>
      </c>
      <c r="BV491"/>
      <c r="BW491" s="229"/>
      <c r="BX491"/>
      <c r="BY491"/>
      <c r="BZ491"/>
      <c r="CA491"/>
      <c r="CC491"/>
      <c r="CD491"/>
      <c r="CE491">
        <v>5.7</v>
      </c>
      <c r="CF491"/>
      <c r="CG491">
        <v>0.1</v>
      </c>
      <c r="CH491"/>
      <c r="CI491"/>
      <c r="CJ491"/>
      <c r="CK491" t="s">
        <v>8820</v>
      </c>
      <c r="CL491">
        <v>1</v>
      </c>
      <c r="CM491" s="392">
        <v>41802</v>
      </c>
    </row>
    <row r="492" spans="1:91" ht="15">
      <c r="A492" s="364" t="s">
        <v>7689</v>
      </c>
      <c r="B492" t="s">
        <v>265</v>
      </c>
      <c r="C492" t="s">
        <v>8213</v>
      </c>
      <c r="D492" s="232">
        <v>84</v>
      </c>
      <c r="E492" s="113">
        <v>54</v>
      </c>
      <c r="F492" s="113">
        <v>8</v>
      </c>
      <c r="I492"/>
      <c r="K492" s="224">
        <v>7</v>
      </c>
      <c r="L492" s="390">
        <v>41625</v>
      </c>
      <c r="M492"/>
      <c r="N492" s="224"/>
      <c r="O492"/>
      <c r="P492"/>
      <c r="Q492"/>
      <c r="S492" s="224"/>
      <c r="T492" s="224"/>
      <c r="U492"/>
      <c r="V492"/>
      <c r="W492"/>
      <c r="X492"/>
      <c r="Y492" s="225"/>
      <c r="Z492" s="224"/>
      <c r="AA492" s="226"/>
      <c r="AB492" s="224"/>
      <c r="AC492" s="225"/>
      <c r="AD492" s="224"/>
      <c r="AE492" s="224"/>
      <c r="AF492" s="224"/>
      <c r="AG492">
        <v>4.2</v>
      </c>
      <c r="AH492"/>
      <c r="AI492">
        <v>135</v>
      </c>
      <c r="AJ492" s="194">
        <v>41785</v>
      </c>
      <c r="AK492"/>
      <c r="AL492"/>
      <c r="AM492"/>
      <c r="AN492"/>
      <c r="AO492"/>
      <c r="AP492"/>
      <c r="AQ492" s="227"/>
      <c r="AR492" s="227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>
        <v>51.8</v>
      </c>
      <c r="BT492"/>
      <c r="BU492">
        <v>16.3</v>
      </c>
      <c r="BV492"/>
      <c r="BW492" s="229"/>
      <c r="BX492"/>
      <c r="BY492"/>
      <c r="BZ492"/>
      <c r="CA492"/>
      <c r="CC492"/>
      <c r="CD492"/>
      <c r="CE492">
        <v>5.0999999999999996</v>
      </c>
      <c r="CF492"/>
      <c r="CG492">
        <v>0.7</v>
      </c>
      <c r="CH492"/>
      <c r="CI492"/>
      <c r="CJ492"/>
      <c r="CK492" t="s">
        <v>8820</v>
      </c>
      <c r="CL492">
        <v>1</v>
      </c>
      <c r="CM492" s="392">
        <v>41802</v>
      </c>
    </row>
    <row r="493" spans="1:91" ht="15">
      <c r="A493" s="364" t="s">
        <v>7690</v>
      </c>
      <c r="B493" t="s">
        <v>265</v>
      </c>
      <c r="C493" t="s">
        <v>8213</v>
      </c>
      <c r="D493">
        <v>85</v>
      </c>
      <c r="E493" s="113">
        <v>38</v>
      </c>
      <c r="F493" s="113">
        <v>11</v>
      </c>
      <c r="I493"/>
      <c r="K493" s="224">
        <v>7</v>
      </c>
      <c r="L493" s="390">
        <v>41625</v>
      </c>
      <c r="M493"/>
      <c r="N493" s="224"/>
      <c r="O493"/>
      <c r="P493"/>
      <c r="Q493"/>
      <c r="S493" s="224"/>
      <c r="T493" s="224"/>
      <c r="U493"/>
      <c r="V493"/>
      <c r="W493"/>
      <c r="X493"/>
      <c r="Y493" s="225"/>
      <c r="Z493" s="224"/>
      <c r="AA493" s="226"/>
      <c r="AB493" s="224"/>
      <c r="AC493" s="225"/>
      <c r="AD493" s="224"/>
      <c r="AE493" s="224"/>
      <c r="AF493" s="224"/>
      <c r="AG493">
        <v>3.74</v>
      </c>
      <c r="AH493"/>
      <c r="AI493">
        <v>145</v>
      </c>
      <c r="AJ493" s="194">
        <v>41785</v>
      </c>
      <c r="AK493"/>
      <c r="AL493"/>
      <c r="AM493"/>
      <c r="AN493"/>
      <c r="AO493"/>
      <c r="AP493"/>
      <c r="AQ493" s="227"/>
      <c r="AR493" s="227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>
        <v>52.4</v>
      </c>
      <c r="BT493"/>
      <c r="BU493">
        <v>16.399999999999999</v>
      </c>
      <c r="BV493"/>
      <c r="BW493" s="229"/>
      <c r="BX493"/>
      <c r="BY493"/>
      <c r="BZ493"/>
      <c r="CA493"/>
      <c r="CC493"/>
      <c r="CD493"/>
      <c r="CE493">
        <v>5.9</v>
      </c>
      <c r="CF493"/>
      <c r="CG493">
        <v>0.6</v>
      </c>
      <c r="CH493"/>
      <c r="CI493"/>
      <c r="CJ493"/>
      <c r="CK493" t="s">
        <v>8820</v>
      </c>
      <c r="CL493">
        <v>1</v>
      </c>
      <c r="CM493" s="392">
        <v>41802</v>
      </c>
    </row>
    <row r="494" spans="1:91" ht="15">
      <c r="A494" s="364" t="s">
        <v>7691</v>
      </c>
      <c r="B494" t="s">
        <v>265</v>
      </c>
      <c r="C494" t="s">
        <v>8213</v>
      </c>
      <c r="D494">
        <v>86</v>
      </c>
      <c r="E494" s="113">
        <v>44</v>
      </c>
      <c r="F494" s="113">
        <v>10</v>
      </c>
      <c r="I494"/>
      <c r="K494" s="224">
        <v>7</v>
      </c>
      <c r="L494" s="390">
        <v>41625</v>
      </c>
      <c r="M494"/>
      <c r="N494" s="224"/>
      <c r="O494"/>
      <c r="P494"/>
      <c r="Q494"/>
      <c r="S494" s="224"/>
      <c r="T494" s="224"/>
      <c r="U494"/>
      <c r="V494"/>
      <c r="W494"/>
      <c r="X494"/>
      <c r="Y494" s="225"/>
      <c r="Z494" s="224"/>
      <c r="AA494" s="226"/>
      <c r="AB494" s="224"/>
      <c r="AC494" s="225"/>
      <c r="AD494" s="224"/>
      <c r="AE494" s="224"/>
      <c r="AF494" s="224"/>
      <c r="AG494">
        <v>4.45</v>
      </c>
      <c r="AH494"/>
      <c r="AI494">
        <v>125</v>
      </c>
      <c r="AJ494" s="194">
        <v>41785</v>
      </c>
      <c r="AK494"/>
      <c r="AL494"/>
      <c r="AM494"/>
      <c r="AN494"/>
      <c r="AO494"/>
      <c r="AP494"/>
      <c r="AQ494" s="227"/>
      <c r="AR494" s="227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>
        <v>52.1</v>
      </c>
      <c r="BT494"/>
      <c r="BU494">
        <v>16.7</v>
      </c>
      <c r="BV494"/>
      <c r="BW494" s="229"/>
      <c r="BX494"/>
      <c r="BY494"/>
      <c r="BZ494"/>
      <c r="CA494"/>
      <c r="CC494"/>
      <c r="CD494"/>
      <c r="CE494">
        <v>6.6</v>
      </c>
      <c r="CF494"/>
      <c r="CG494">
        <v>0.1</v>
      </c>
      <c r="CH494"/>
      <c r="CI494"/>
      <c r="CJ494"/>
      <c r="CK494" t="s">
        <v>8820</v>
      </c>
      <c r="CL494">
        <v>1</v>
      </c>
      <c r="CM494" s="392">
        <v>41802</v>
      </c>
    </row>
    <row r="495" spans="1:91" ht="15">
      <c r="A495" s="364" t="s">
        <v>7692</v>
      </c>
      <c r="B495" t="s">
        <v>265</v>
      </c>
      <c r="C495" t="s">
        <v>8213</v>
      </c>
      <c r="D495">
        <v>87</v>
      </c>
      <c r="E495" s="113">
        <v>51</v>
      </c>
      <c r="F495" s="113">
        <v>8</v>
      </c>
      <c r="I495"/>
      <c r="K495" s="224">
        <v>6</v>
      </c>
      <c r="L495" s="390">
        <v>41625</v>
      </c>
      <c r="M495"/>
      <c r="N495" s="224"/>
      <c r="O495"/>
      <c r="P495"/>
      <c r="Q495"/>
      <c r="S495" s="224"/>
      <c r="T495" s="224"/>
      <c r="U495"/>
      <c r="V495"/>
      <c r="W495"/>
      <c r="X495"/>
      <c r="Y495" s="225"/>
      <c r="Z495" s="224"/>
      <c r="AA495" s="226"/>
      <c r="AB495" s="224"/>
      <c r="AC495" s="225"/>
      <c r="AD495" s="224"/>
      <c r="AE495" s="224"/>
      <c r="AF495" s="224"/>
      <c r="AG495">
        <v>3.8</v>
      </c>
      <c r="AH495"/>
      <c r="AI495">
        <v>140</v>
      </c>
      <c r="AJ495" s="194">
        <v>41785</v>
      </c>
      <c r="AK495"/>
      <c r="AL495"/>
      <c r="AM495"/>
      <c r="AN495"/>
      <c r="AO495"/>
      <c r="AP495"/>
      <c r="AQ495" s="227"/>
      <c r="AR495" s="227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>
        <v>52.7</v>
      </c>
      <c r="BT495"/>
      <c r="BU495">
        <v>16.600000000000001</v>
      </c>
      <c r="BV495"/>
      <c r="BW495" s="229"/>
      <c r="BX495"/>
      <c r="BY495"/>
      <c r="BZ495"/>
      <c r="CA495"/>
      <c r="CC495"/>
      <c r="CD495"/>
      <c r="CE495">
        <v>5.0999999999999996</v>
      </c>
      <c r="CF495"/>
      <c r="CG495">
        <v>1.1000000000000001</v>
      </c>
      <c r="CH495"/>
      <c r="CI495"/>
      <c r="CJ495"/>
      <c r="CK495" t="s">
        <v>8820</v>
      </c>
      <c r="CL495">
        <v>1</v>
      </c>
      <c r="CM495" s="392">
        <v>41802</v>
      </c>
    </row>
    <row r="496" spans="1:91" ht="15">
      <c r="A496" s="364" t="s">
        <v>7693</v>
      </c>
      <c r="B496" t="s">
        <v>265</v>
      </c>
      <c r="C496" t="s">
        <v>8213</v>
      </c>
      <c r="D496">
        <v>88</v>
      </c>
      <c r="E496" s="113">
        <v>53</v>
      </c>
      <c r="F496" s="113">
        <v>11</v>
      </c>
      <c r="I496"/>
      <c r="K496" s="224">
        <v>7</v>
      </c>
      <c r="L496" s="390">
        <v>41625</v>
      </c>
      <c r="M496"/>
      <c r="N496" s="224"/>
      <c r="O496"/>
      <c r="P496"/>
      <c r="Q496"/>
      <c r="S496" s="224"/>
      <c r="T496" s="224"/>
      <c r="U496"/>
      <c r="V496"/>
      <c r="W496"/>
      <c r="X496"/>
      <c r="Y496" s="225"/>
      <c r="Z496" s="224"/>
      <c r="AA496" s="226"/>
      <c r="AB496" s="224"/>
      <c r="AC496" s="225"/>
      <c r="AD496" s="224"/>
      <c r="AE496" s="224"/>
      <c r="AF496" s="224"/>
      <c r="AG496">
        <v>3.49</v>
      </c>
      <c r="AH496"/>
      <c r="AI496">
        <v>150</v>
      </c>
      <c r="AJ496" s="194">
        <v>41785</v>
      </c>
      <c r="AK496"/>
      <c r="AL496"/>
      <c r="AM496"/>
      <c r="AN496"/>
      <c r="AO496"/>
      <c r="AP496"/>
      <c r="AQ496" s="227"/>
      <c r="AR496" s="227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>
        <v>55</v>
      </c>
      <c r="BT496"/>
      <c r="BU496">
        <v>13.4</v>
      </c>
      <c r="BV496"/>
      <c r="BW496" s="229"/>
      <c r="BX496"/>
      <c r="BY496"/>
      <c r="BZ496"/>
      <c r="CA496"/>
      <c r="CC496"/>
      <c r="CD496"/>
      <c r="CE496">
        <v>4.9000000000000004</v>
      </c>
      <c r="CF496"/>
      <c r="CG496">
        <v>0.6</v>
      </c>
      <c r="CH496"/>
      <c r="CI496"/>
      <c r="CJ496"/>
      <c r="CK496" t="s">
        <v>8820</v>
      </c>
      <c r="CL496">
        <v>1</v>
      </c>
      <c r="CM496" s="392">
        <v>41802</v>
      </c>
    </row>
    <row r="497" spans="1:91" ht="15">
      <c r="A497" s="364" t="s">
        <v>7694</v>
      </c>
      <c r="B497" t="s">
        <v>265</v>
      </c>
      <c r="C497" t="s">
        <v>8213</v>
      </c>
      <c r="D497" s="232">
        <v>89</v>
      </c>
      <c r="E497" s="113">
        <v>54</v>
      </c>
      <c r="F497" s="113">
        <v>9</v>
      </c>
      <c r="G497" s="233"/>
      <c r="H497" s="233"/>
      <c r="I497" s="232"/>
      <c r="J497" s="234"/>
      <c r="K497" s="235">
        <v>7</v>
      </c>
      <c r="L497" s="390">
        <v>41625</v>
      </c>
      <c r="M497" s="232"/>
      <c r="N497" s="235"/>
      <c r="O497" s="232"/>
      <c r="P497" s="232"/>
      <c r="Q497" s="232"/>
      <c r="R497" s="236"/>
      <c r="S497" s="235"/>
      <c r="T497" s="235"/>
      <c r="U497" s="232"/>
      <c r="V497" s="232"/>
      <c r="W497" s="232"/>
      <c r="X497" s="232"/>
      <c r="Y497" s="237"/>
      <c r="Z497" s="235"/>
      <c r="AA497" s="238"/>
      <c r="AB497" s="235"/>
      <c r="AC497" s="237"/>
      <c r="AD497" s="235"/>
      <c r="AE497" s="235"/>
      <c r="AF497" s="235"/>
      <c r="AG497" s="232">
        <v>4.5199999999999996</v>
      </c>
      <c r="AH497" s="232"/>
      <c r="AI497" s="232">
        <v>140</v>
      </c>
      <c r="AJ497" s="194">
        <v>41785</v>
      </c>
      <c r="AK497" s="232"/>
      <c r="AL497" s="232"/>
      <c r="AM497" s="232"/>
      <c r="AN497" s="232"/>
      <c r="AO497" s="232"/>
      <c r="AP497" s="232"/>
      <c r="AQ497" s="239"/>
      <c r="AR497" s="239"/>
      <c r="AS497" s="232"/>
      <c r="AT497" s="232"/>
      <c r="AU497" s="232"/>
      <c r="AV497" s="232"/>
      <c r="AW497" s="232"/>
      <c r="AX497" s="232"/>
      <c r="AY497" s="232"/>
      <c r="AZ497" s="232"/>
      <c r="BA497" s="232"/>
      <c r="BB497" s="232"/>
      <c r="BC497" s="232"/>
      <c r="BD497" s="232"/>
      <c r="BE497" s="232"/>
      <c r="BF497" s="232"/>
      <c r="BG497" s="232"/>
      <c r="BH497" s="232"/>
      <c r="BI497" s="232"/>
      <c r="BJ497" s="232"/>
      <c r="BK497" s="232"/>
      <c r="BL497" s="232"/>
      <c r="BM497" s="232"/>
      <c r="BN497" s="232"/>
      <c r="BO497" s="232"/>
      <c r="BP497" s="232"/>
      <c r="BQ497" s="232"/>
      <c r="BR497" s="232"/>
      <c r="BS497" s="232">
        <v>51.9</v>
      </c>
      <c r="BT497" s="232"/>
      <c r="BU497" s="232">
        <v>17.2</v>
      </c>
      <c r="BV497" s="232"/>
      <c r="BW497" s="232"/>
      <c r="BX497" s="243"/>
      <c r="BY497" s="232"/>
      <c r="BZ497" s="232"/>
      <c r="CA497" s="232"/>
      <c r="CB497" s="241"/>
      <c r="CC497" s="232"/>
      <c r="CD497" s="232"/>
      <c r="CE497" s="232">
        <v>4.5</v>
      </c>
      <c r="CF497" s="232"/>
      <c r="CG497" s="232">
        <v>0.6</v>
      </c>
      <c r="CH497" s="232"/>
      <c r="CI497" s="232"/>
      <c r="CJ497" s="232"/>
      <c r="CK497" t="s">
        <v>8820</v>
      </c>
      <c r="CL497" s="232">
        <v>1</v>
      </c>
      <c r="CM497" s="392">
        <v>41802</v>
      </c>
    </row>
    <row r="498" spans="1:91" ht="15">
      <c r="A498" s="364" t="s">
        <v>7695</v>
      </c>
      <c r="B498" t="s">
        <v>265</v>
      </c>
      <c r="C498" t="s">
        <v>8213</v>
      </c>
      <c r="D498" s="232">
        <v>90</v>
      </c>
      <c r="E498" s="113">
        <v>38</v>
      </c>
      <c r="F498" s="113">
        <v>8</v>
      </c>
      <c r="I498"/>
      <c r="K498" s="224">
        <v>6</v>
      </c>
      <c r="L498" s="390">
        <v>41625</v>
      </c>
      <c r="M498"/>
      <c r="N498" s="224"/>
      <c r="O498"/>
      <c r="P498"/>
      <c r="Q498"/>
      <c r="S498" s="224"/>
      <c r="T498" s="224"/>
      <c r="U498"/>
      <c r="V498"/>
      <c r="W498"/>
      <c r="X498"/>
      <c r="Y498" s="225"/>
      <c r="Z498" s="224"/>
      <c r="AA498" s="226"/>
      <c r="AB498" s="224"/>
      <c r="AC498" s="225"/>
      <c r="AD498" s="224"/>
      <c r="AE498" s="224"/>
      <c r="AF498" s="224"/>
      <c r="AG498">
        <v>4.04</v>
      </c>
      <c r="AH498"/>
      <c r="AI498">
        <v>125</v>
      </c>
      <c r="AJ498" s="194">
        <v>41785</v>
      </c>
      <c r="AK498"/>
      <c r="AL498"/>
      <c r="AM498"/>
      <c r="AN498"/>
      <c r="AO498"/>
      <c r="AP498"/>
      <c r="AQ498" s="227"/>
      <c r="AR498" s="227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>
        <v>52.1</v>
      </c>
      <c r="BT498"/>
      <c r="BU498">
        <v>17.8</v>
      </c>
      <c r="BV498"/>
      <c r="BW498" s="229"/>
      <c r="BX498"/>
      <c r="BY498"/>
      <c r="BZ498"/>
      <c r="CA498"/>
      <c r="CC498"/>
      <c r="CD498"/>
      <c r="CE498">
        <v>5.5</v>
      </c>
      <c r="CF498"/>
      <c r="CG498">
        <v>0.3</v>
      </c>
      <c r="CH498"/>
      <c r="CI498"/>
      <c r="CJ498"/>
      <c r="CK498" t="s">
        <v>8820</v>
      </c>
      <c r="CL498">
        <v>1</v>
      </c>
      <c r="CM498" s="392">
        <v>41802</v>
      </c>
    </row>
    <row r="499" spans="1:91" ht="15">
      <c r="A499" s="364" t="s">
        <v>7696</v>
      </c>
      <c r="B499" t="s">
        <v>265</v>
      </c>
      <c r="C499" t="s">
        <v>8213</v>
      </c>
      <c r="D499">
        <v>91</v>
      </c>
      <c r="E499" s="113">
        <v>50</v>
      </c>
      <c r="F499" s="113">
        <v>9</v>
      </c>
      <c r="I499"/>
      <c r="K499" s="224">
        <v>7</v>
      </c>
      <c r="L499" s="390">
        <v>41625</v>
      </c>
      <c r="M499"/>
      <c r="N499" s="224"/>
      <c r="O499"/>
      <c r="P499"/>
      <c r="Q499"/>
      <c r="S499" s="224"/>
      <c r="T499" s="224"/>
      <c r="U499"/>
      <c r="V499"/>
      <c r="W499"/>
      <c r="X499"/>
      <c r="Y499" s="225"/>
      <c r="Z499" s="224"/>
      <c r="AA499" s="226"/>
      <c r="AB499" s="224"/>
      <c r="AC499" s="225"/>
      <c r="AD499" s="224"/>
      <c r="AE499" s="224"/>
      <c r="AF499" s="224"/>
      <c r="AG499">
        <v>4.41</v>
      </c>
      <c r="AH499"/>
      <c r="AI499">
        <v>135</v>
      </c>
      <c r="AJ499" s="194">
        <v>41785</v>
      </c>
      <c r="AK499"/>
      <c r="AL499"/>
      <c r="AM499"/>
      <c r="AN499"/>
      <c r="AO499"/>
      <c r="AP499"/>
      <c r="AQ499" s="227"/>
      <c r="AR499" s="227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>
        <v>50.2</v>
      </c>
      <c r="BT499"/>
      <c r="BU499">
        <v>18.2</v>
      </c>
      <c r="BV499"/>
      <c r="BW499" s="229"/>
      <c r="BX499"/>
      <c r="BY499"/>
      <c r="BZ499"/>
      <c r="CA499"/>
      <c r="CC499"/>
      <c r="CD499"/>
      <c r="CE499">
        <v>5.2</v>
      </c>
      <c r="CF499"/>
      <c r="CG499">
        <v>0.7</v>
      </c>
      <c r="CH499"/>
      <c r="CI499"/>
      <c r="CJ499"/>
      <c r="CK499" t="s">
        <v>8820</v>
      </c>
      <c r="CL499">
        <v>1</v>
      </c>
      <c r="CM499" s="392">
        <v>41802</v>
      </c>
    </row>
    <row r="500" spans="1:91" ht="15">
      <c r="A500" s="364" t="s">
        <v>7697</v>
      </c>
      <c r="B500" t="s">
        <v>265</v>
      </c>
      <c r="C500" t="s">
        <v>8213</v>
      </c>
      <c r="D500">
        <v>92</v>
      </c>
      <c r="E500" s="113">
        <v>65</v>
      </c>
      <c r="F500" s="113">
        <v>9</v>
      </c>
      <c r="I500"/>
      <c r="K500" s="224">
        <v>7</v>
      </c>
      <c r="L500" s="390">
        <v>41625</v>
      </c>
      <c r="M500"/>
      <c r="N500" s="224"/>
      <c r="O500"/>
      <c r="P500"/>
      <c r="Q500"/>
      <c r="S500" s="224"/>
      <c r="T500" s="224"/>
      <c r="U500"/>
      <c r="V500"/>
      <c r="W500"/>
      <c r="X500"/>
      <c r="Y500" s="225"/>
      <c r="Z500" s="224"/>
      <c r="AA500" s="226"/>
      <c r="AB500" s="224"/>
      <c r="AC500" s="225"/>
      <c r="AD500" s="224"/>
      <c r="AE500" s="224"/>
      <c r="AF500" s="224"/>
      <c r="AG500">
        <v>4.0599999999999996</v>
      </c>
      <c r="AH500"/>
      <c r="AI500">
        <v>150</v>
      </c>
      <c r="AJ500" s="194">
        <v>41785</v>
      </c>
      <c r="AK500"/>
      <c r="AL500"/>
      <c r="AM500"/>
      <c r="AN500"/>
      <c r="AO500"/>
      <c r="AP500"/>
      <c r="AQ500" s="227"/>
      <c r="AR500" s="227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>
        <v>51.8</v>
      </c>
      <c r="BT500"/>
      <c r="BU500">
        <v>16.600000000000001</v>
      </c>
      <c r="BV500"/>
      <c r="BW500" s="229"/>
      <c r="BX500"/>
      <c r="BY500"/>
      <c r="BZ500"/>
      <c r="CA500"/>
      <c r="CC500"/>
      <c r="CD500"/>
      <c r="CE500">
        <v>5.5</v>
      </c>
      <c r="CF500"/>
      <c r="CG500">
        <v>0.9</v>
      </c>
      <c r="CH500"/>
      <c r="CI500"/>
      <c r="CJ500"/>
      <c r="CK500" t="s">
        <v>8820</v>
      </c>
      <c r="CL500">
        <v>1</v>
      </c>
      <c r="CM500" s="392">
        <v>41802</v>
      </c>
    </row>
    <row r="501" spans="1:91" ht="15">
      <c r="A501" s="364" t="s">
        <v>7698</v>
      </c>
      <c r="B501" t="s">
        <v>265</v>
      </c>
      <c r="C501" t="s">
        <v>8213</v>
      </c>
      <c r="D501">
        <v>93</v>
      </c>
      <c r="E501" s="113">
        <v>51</v>
      </c>
      <c r="F501" s="113">
        <v>12</v>
      </c>
      <c r="I501"/>
      <c r="K501" s="224">
        <v>7</v>
      </c>
      <c r="L501" s="390">
        <v>41625</v>
      </c>
      <c r="M501"/>
      <c r="N501" s="224"/>
      <c r="O501"/>
      <c r="P501"/>
      <c r="Q501"/>
      <c r="S501" s="224"/>
      <c r="T501" s="224"/>
      <c r="U501"/>
      <c r="V501"/>
      <c r="W501"/>
      <c r="X501"/>
      <c r="Y501" s="225"/>
      <c r="Z501" s="224"/>
      <c r="AA501" s="226"/>
      <c r="AB501" s="224"/>
      <c r="AC501" s="225"/>
      <c r="AD501" s="224"/>
      <c r="AE501" s="224"/>
      <c r="AF501" s="224"/>
      <c r="AG501">
        <v>4.47</v>
      </c>
      <c r="AH501"/>
      <c r="AI501">
        <v>140</v>
      </c>
      <c r="AJ501" s="194">
        <v>41785</v>
      </c>
      <c r="AK501"/>
      <c r="AL501"/>
      <c r="AM501"/>
      <c r="AN501"/>
      <c r="AO501"/>
      <c r="AP501"/>
      <c r="AQ501" s="227"/>
      <c r="AR501" s="227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>
        <v>51</v>
      </c>
      <c r="BT501"/>
      <c r="BU501">
        <v>14.8</v>
      </c>
      <c r="BV501"/>
      <c r="BW501" s="229"/>
      <c r="BX501"/>
      <c r="BY501"/>
      <c r="BZ501"/>
      <c r="CA501"/>
      <c r="CC501"/>
      <c r="CD501"/>
      <c r="CE501">
        <v>5.3</v>
      </c>
      <c r="CF501"/>
      <c r="CG501">
        <v>0.8</v>
      </c>
      <c r="CH501"/>
      <c r="CI501"/>
      <c r="CJ501"/>
      <c r="CK501" t="s">
        <v>8820</v>
      </c>
      <c r="CL501">
        <v>1</v>
      </c>
      <c r="CM501" s="392">
        <v>41802</v>
      </c>
    </row>
    <row r="502" spans="1:91" ht="15">
      <c r="A502" s="364" t="s">
        <v>7699</v>
      </c>
      <c r="B502" t="s">
        <v>265</v>
      </c>
      <c r="C502" t="s">
        <v>8213</v>
      </c>
      <c r="D502">
        <v>94</v>
      </c>
      <c r="E502" s="113">
        <v>59</v>
      </c>
      <c r="F502" s="113">
        <v>10</v>
      </c>
      <c r="I502"/>
      <c r="K502" s="224">
        <v>7</v>
      </c>
      <c r="L502" s="390">
        <v>41625</v>
      </c>
      <c r="M502"/>
      <c r="N502" s="224"/>
      <c r="O502"/>
      <c r="P502"/>
      <c r="Q502"/>
      <c r="S502" s="224"/>
      <c r="T502" s="224"/>
      <c r="U502"/>
      <c r="V502"/>
      <c r="W502"/>
      <c r="X502"/>
      <c r="Y502" s="225"/>
      <c r="Z502" s="224"/>
      <c r="AA502" s="226"/>
      <c r="AB502" s="224"/>
      <c r="AC502" s="225"/>
      <c r="AD502" s="224"/>
      <c r="AE502" s="224"/>
      <c r="AF502" s="224"/>
      <c r="AG502">
        <v>4.0599999999999996</v>
      </c>
      <c r="AH502"/>
      <c r="AI502">
        <v>145</v>
      </c>
      <c r="AJ502" s="194">
        <v>41785</v>
      </c>
      <c r="AK502"/>
      <c r="AL502"/>
      <c r="AM502"/>
      <c r="AN502"/>
      <c r="AO502"/>
      <c r="AP502"/>
      <c r="AQ502" s="227"/>
      <c r="AR502" s="227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>
        <v>52.3</v>
      </c>
      <c r="BT502"/>
      <c r="BU502">
        <v>15.5</v>
      </c>
      <c r="BV502"/>
      <c r="BW502" s="229"/>
      <c r="BX502"/>
      <c r="BY502"/>
      <c r="BZ502"/>
      <c r="CA502"/>
      <c r="CC502"/>
      <c r="CD502"/>
      <c r="CE502">
        <v>4.4000000000000004</v>
      </c>
      <c r="CF502"/>
      <c r="CG502">
        <v>1.2</v>
      </c>
      <c r="CH502"/>
      <c r="CI502"/>
      <c r="CJ502"/>
      <c r="CK502" t="s">
        <v>8820</v>
      </c>
      <c r="CL502">
        <v>1</v>
      </c>
      <c r="CM502" s="392">
        <v>41802</v>
      </c>
    </row>
    <row r="503" spans="1:91" ht="15">
      <c r="A503" s="364" t="s">
        <v>7700</v>
      </c>
      <c r="B503" t="s">
        <v>265</v>
      </c>
      <c r="C503" t="s">
        <v>8213</v>
      </c>
      <c r="D503">
        <v>95</v>
      </c>
      <c r="E503" s="113">
        <v>60</v>
      </c>
      <c r="F503" s="113">
        <v>9</v>
      </c>
      <c r="I503"/>
      <c r="K503" s="224">
        <v>7</v>
      </c>
      <c r="L503" s="390">
        <v>41625</v>
      </c>
      <c r="M503"/>
      <c r="N503" s="224"/>
      <c r="O503"/>
      <c r="P503"/>
      <c r="Q503"/>
      <c r="S503" s="224"/>
      <c r="T503" s="224"/>
      <c r="U503"/>
      <c r="V503"/>
      <c r="W503"/>
      <c r="X503"/>
      <c r="Y503" s="225"/>
      <c r="Z503" s="224"/>
      <c r="AA503" s="226"/>
      <c r="AB503" s="224"/>
      <c r="AC503" s="225"/>
      <c r="AD503" s="224"/>
      <c r="AE503" s="224"/>
      <c r="AF503" s="224"/>
      <c r="AG503">
        <v>3.77</v>
      </c>
      <c r="AH503"/>
      <c r="AI503">
        <v>140</v>
      </c>
      <c r="AJ503" s="194">
        <v>41785</v>
      </c>
      <c r="AK503"/>
      <c r="AL503"/>
      <c r="AM503"/>
      <c r="AN503"/>
      <c r="AO503"/>
      <c r="AP503"/>
      <c r="AQ503" s="227"/>
      <c r="AR503" s="227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>
        <v>50.6</v>
      </c>
      <c r="BT503"/>
      <c r="BU503">
        <v>18.600000000000001</v>
      </c>
      <c r="BV503"/>
      <c r="BW503" s="229"/>
      <c r="BX503"/>
      <c r="BY503"/>
      <c r="BZ503"/>
      <c r="CA503"/>
      <c r="CC503"/>
      <c r="CD503"/>
      <c r="CE503">
        <v>4.9000000000000004</v>
      </c>
      <c r="CF503"/>
      <c r="CG503">
        <v>1</v>
      </c>
      <c r="CH503"/>
      <c r="CI503"/>
      <c r="CJ503"/>
      <c r="CK503" t="s">
        <v>8820</v>
      </c>
      <c r="CL503">
        <v>1</v>
      </c>
      <c r="CM503" s="392">
        <v>41802</v>
      </c>
    </row>
    <row r="504" spans="1:91" ht="15">
      <c r="A504" s="364" t="s">
        <v>7701</v>
      </c>
      <c r="B504" t="s">
        <v>265</v>
      </c>
      <c r="C504" t="s">
        <v>8213</v>
      </c>
      <c r="D504">
        <v>96</v>
      </c>
      <c r="E504" s="113">
        <v>39</v>
      </c>
      <c r="F504" s="113">
        <v>12</v>
      </c>
      <c r="I504"/>
      <c r="K504" s="224">
        <v>6</v>
      </c>
      <c r="L504" s="390">
        <v>41625</v>
      </c>
      <c r="M504"/>
      <c r="N504" s="224"/>
      <c r="O504"/>
      <c r="P504"/>
      <c r="Q504"/>
      <c r="S504" s="224"/>
      <c r="T504" s="224"/>
      <c r="U504"/>
      <c r="V504"/>
      <c r="W504"/>
      <c r="X504"/>
      <c r="Y504" s="225"/>
      <c r="Z504" s="224"/>
      <c r="AA504" s="226"/>
      <c r="AB504" s="224"/>
      <c r="AC504" s="225"/>
      <c r="AD504" s="224"/>
      <c r="AE504" s="224"/>
      <c r="AF504" s="224"/>
      <c r="AG504">
        <v>3.51</v>
      </c>
      <c r="AH504"/>
      <c r="AI504">
        <v>145</v>
      </c>
      <c r="AJ504" s="194">
        <v>41785</v>
      </c>
      <c r="AK504"/>
      <c r="AL504"/>
      <c r="AM504"/>
      <c r="AN504"/>
      <c r="AO504"/>
      <c r="AP504"/>
      <c r="AQ504" s="227"/>
      <c r="AR504" s="227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>
        <v>54.2</v>
      </c>
      <c r="BT504"/>
      <c r="BU504">
        <v>16.2</v>
      </c>
      <c r="BV504"/>
      <c r="BW504" s="229"/>
      <c r="BX504"/>
      <c r="BY504"/>
      <c r="BZ504"/>
      <c r="CA504"/>
      <c r="CC504"/>
      <c r="CD504"/>
      <c r="CE504">
        <v>5.5</v>
      </c>
      <c r="CF504"/>
      <c r="CG504">
        <v>1.5</v>
      </c>
      <c r="CH504"/>
      <c r="CI504"/>
      <c r="CJ504"/>
      <c r="CK504" t="s">
        <v>8820</v>
      </c>
      <c r="CL504">
        <v>1</v>
      </c>
      <c r="CM504" s="392">
        <v>41802</v>
      </c>
    </row>
    <row r="505" spans="1:91" ht="15">
      <c r="A505" s="364" t="s">
        <v>7702</v>
      </c>
      <c r="B505" t="s">
        <v>265</v>
      </c>
      <c r="C505" t="s">
        <v>8213</v>
      </c>
      <c r="D505">
        <v>97</v>
      </c>
      <c r="E505" s="113">
        <v>40</v>
      </c>
      <c r="F505" s="113">
        <v>12</v>
      </c>
      <c r="I505"/>
      <c r="K505" s="224">
        <v>6</v>
      </c>
      <c r="L505" s="390">
        <v>41625</v>
      </c>
      <c r="M505"/>
      <c r="N505" s="224"/>
      <c r="O505"/>
      <c r="P505"/>
      <c r="Q505"/>
      <c r="S505" s="224"/>
      <c r="T505" s="224"/>
      <c r="U505"/>
      <c r="V505"/>
      <c r="W505"/>
      <c r="X505"/>
      <c r="Y505" s="225"/>
      <c r="Z505" s="224"/>
      <c r="AA505" s="226"/>
      <c r="AB505" s="224"/>
      <c r="AC505" s="225"/>
      <c r="AD505" s="224"/>
      <c r="AE505" s="224"/>
      <c r="AF505" s="224"/>
      <c r="AG505">
        <v>3.86</v>
      </c>
      <c r="AH505"/>
      <c r="AI505">
        <v>145</v>
      </c>
      <c r="AJ505" s="194">
        <v>41785</v>
      </c>
      <c r="AK505"/>
      <c r="AL505"/>
      <c r="AM505"/>
      <c r="AN505"/>
      <c r="AO505"/>
      <c r="AP505"/>
      <c r="AQ505" s="227"/>
      <c r="AR505" s="227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>
        <v>52</v>
      </c>
      <c r="BT505"/>
      <c r="BU505">
        <v>15.5</v>
      </c>
      <c r="BV505"/>
      <c r="BW505"/>
      <c r="BX505" s="228"/>
      <c r="BY505"/>
      <c r="BZ505"/>
      <c r="CA505"/>
      <c r="CC505"/>
      <c r="CD505"/>
      <c r="CE505">
        <v>6.3</v>
      </c>
      <c r="CF505"/>
      <c r="CG505">
        <v>1.4</v>
      </c>
      <c r="CH505"/>
      <c r="CI505"/>
      <c r="CJ505"/>
      <c r="CK505" t="s">
        <v>8820</v>
      </c>
      <c r="CL505">
        <v>1</v>
      </c>
      <c r="CM505" s="392">
        <v>41802</v>
      </c>
    </row>
    <row r="506" spans="1:91" ht="15">
      <c r="A506" s="364" t="s">
        <v>7703</v>
      </c>
      <c r="B506" t="s">
        <v>265</v>
      </c>
      <c r="C506" t="s">
        <v>8213</v>
      </c>
      <c r="D506">
        <v>98</v>
      </c>
      <c r="E506" s="113">
        <v>61</v>
      </c>
      <c r="F506" s="113">
        <v>7</v>
      </c>
      <c r="G506" s="233"/>
      <c r="H506" s="233"/>
      <c r="I506" s="232"/>
      <c r="J506" s="234"/>
      <c r="K506" s="235">
        <v>7</v>
      </c>
      <c r="L506" s="390">
        <v>41625</v>
      </c>
      <c r="M506" s="232"/>
      <c r="N506" s="235"/>
      <c r="O506" s="232"/>
      <c r="P506" s="232"/>
      <c r="Q506" s="232"/>
      <c r="R506" s="236"/>
      <c r="S506" s="235"/>
      <c r="T506" s="235"/>
      <c r="U506" s="232"/>
      <c r="V506" s="232"/>
      <c r="W506" s="232"/>
      <c r="X506" s="232"/>
      <c r="Y506" s="237"/>
      <c r="Z506" s="235"/>
      <c r="AA506" s="238"/>
      <c r="AB506" s="235"/>
      <c r="AC506" s="237"/>
      <c r="AD506" s="235"/>
      <c r="AE506" s="235"/>
      <c r="AF506" s="235"/>
      <c r="AG506" s="232">
        <v>4</v>
      </c>
      <c r="AH506" s="232"/>
      <c r="AI506" s="232">
        <v>135</v>
      </c>
      <c r="AJ506" s="194">
        <v>41785</v>
      </c>
      <c r="AK506" s="232"/>
      <c r="AL506" s="232"/>
      <c r="AM506" s="232"/>
      <c r="AN506" s="232"/>
      <c r="AO506" s="232"/>
      <c r="AP506" s="232"/>
      <c r="AQ506" s="239"/>
      <c r="AR506" s="239"/>
      <c r="AS506" s="232"/>
      <c r="AT506" s="232"/>
      <c r="AU506" s="232"/>
      <c r="AV506" s="232"/>
      <c r="AW506" s="232"/>
      <c r="AX506" s="232"/>
      <c r="AY506" s="232"/>
      <c r="AZ506" s="232"/>
      <c r="BA506" s="232"/>
      <c r="BB506" s="232"/>
      <c r="BC506" s="232"/>
      <c r="BD506" s="232"/>
      <c r="BE506" s="232"/>
      <c r="BF506" s="232"/>
      <c r="BG506" s="232"/>
      <c r="BH506" s="232"/>
      <c r="BI506" s="232"/>
      <c r="BJ506" s="232"/>
      <c r="BK506" s="232"/>
      <c r="BL506" s="232"/>
      <c r="BM506" s="232"/>
      <c r="BN506" s="232"/>
      <c r="BO506" s="232"/>
      <c r="BP506" s="232"/>
      <c r="BQ506" s="232"/>
      <c r="BR506" s="232"/>
      <c r="BS506" s="232">
        <v>52</v>
      </c>
      <c r="BT506" s="232"/>
      <c r="BU506" s="232">
        <v>16</v>
      </c>
      <c r="BV506" s="232"/>
      <c r="BW506" s="240"/>
      <c r="BX506" s="232"/>
      <c r="BY506" s="232"/>
      <c r="BZ506" s="232"/>
      <c r="CA506" s="232"/>
      <c r="CB506" s="241"/>
      <c r="CC506" s="232"/>
      <c r="CD506" s="232"/>
      <c r="CE506" s="232">
        <v>5.2</v>
      </c>
      <c r="CF506" s="232"/>
      <c r="CG506" s="232">
        <v>0.6</v>
      </c>
      <c r="CH506" s="232"/>
      <c r="CI506" s="232"/>
      <c r="CJ506" s="232"/>
      <c r="CK506" t="s">
        <v>8820</v>
      </c>
      <c r="CL506" s="232">
        <v>1.4</v>
      </c>
      <c r="CM506" s="392">
        <v>41802</v>
      </c>
    </row>
    <row r="507" spans="1:91" ht="15">
      <c r="A507" s="364" t="s">
        <v>7704</v>
      </c>
      <c r="B507" t="s">
        <v>265</v>
      </c>
      <c r="C507" t="s">
        <v>8213</v>
      </c>
      <c r="D507">
        <v>99</v>
      </c>
      <c r="E507" s="113">
        <v>50</v>
      </c>
      <c r="F507" s="113">
        <v>12</v>
      </c>
      <c r="I507"/>
      <c r="K507" s="224">
        <v>7</v>
      </c>
      <c r="L507" s="390">
        <v>41625</v>
      </c>
      <c r="M507"/>
      <c r="N507" s="224"/>
      <c r="O507"/>
      <c r="P507"/>
      <c r="Q507"/>
      <c r="S507" s="224"/>
      <c r="T507" s="224"/>
      <c r="U507"/>
      <c r="V507"/>
      <c r="W507"/>
      <c r="X507"/>
      <c r="Y507" s="225"/>
      <c r="Z507" s="224"/>
      <c r="AA507" s="226"/>
      <c r="AB507" s="224"/>
      <c r="AC507" s="225"/>
      <c r="AD507" s="224"/>
      <c r="AE507" s="224"/>
      <c r="AF507" s="224"/>
      <c r="AG507">
        <v>3.79</v>
      </c>
      <c r="AH507"/>
      <c r="AI507">
        <v>130</v>
      </c>
      <c r="AJ507" s="194">
        <v>41785</v>
      </c>
      <c r="AK507"/>
      <c r="AL507"/>
      <c r="AM507"/>
      <c r="AN507"/>
      <c r="AO507"/>
      <c r="AP507"/>
      <c r="AQ507" s="227"/>
      <c r="AR507" s="22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>
        <v>51.5</v>
      </c>
      <c r="BT507"/>
      <c r="BU507">
        <v>15.8</v>
      </c>
      <c r="BV507"/>
      <c r="BW507" s="229"/>
      <c r="BX507"/>
      <c r="BY507"/>
      <c r="BZ507"/>
      <c r="CA507"/>
      <c r="CC507"/>
      <c r="CD507"/>
      <c r="CE507">
        <v>4.7</v>
      </c>
      <c r="CF507"/>
      <c r="CG507">
        <v>0.6</v>
      </c>
      <c r="CH507"/>
      <c r="CI507"/>
      <c r="CJ507"/>
      <c r="CK507" t="s">
        <v>8820</v>
      </c>
      <c r="CL507">
        <v>1</v>
      </c>
      <c r="CM507" s="392">
        <v>41802</v>
      </c>
    </row>
    <row r="508" spans="1:91" ht="15">
      <c r="A508" s="364" t="s">
        <v>7705</v>
      </c>
      <c r="B508" t="s">
        <v>265</v>
      </c>
      <c r="C508" t="s">
        <v>8213</v>
      </c>
      <c r="D508">
        <v>100</v>
      </c>
      <c r="E508" s="113">
        <v>43</v>
      </c>
      <c r="F508" s="113">
        <v>8</v>
      </c>
      <c r="I508"/>
      <c r="K508" s="224">
        <v>6</v>
      </c>
      <c r="L508" s="390">
        <v>41625</v>
      </c>
      <c r="M508"/>
      <c r="N508" s="224"/>
      <c r="O508"/>
      <c r="P508"/>
      <c r="Q508"/>
      <c r="S508" s="224"/>
      <c r="T508" s="224"/>
      <c r="U508"/>
      <c r="V508"/>
      <c r="W508"/>
      <c r="X508"/>
      <c r="Y508" s="225"/>
      <c r="Z508" s="224"/>
      <c r="AA508" s="226"/>
      <c r="AB508" s="224"/>
      <c r="AC508" s="225"/>
      <c r="AD508" s="224"/>
      <c r="AE508" s="224"/>
      <c r="AF508" s="224"/>
      <c r="AG508">
        <v>4.1900000000000004</v>
      </c>
      <c r="AH508"/>
      <c r="AI508">
        <v>125</v>
      </c>
      <c r="AJ508" s="194">
        <v>41785</v>
      </c>
      <c r="AK508"/>
      <c r="AL508"/>
      <c r="AM508"/>
      <c r="AN508"/>
      <c r="AO508"/>
      <c r="AP508"/>
      <c r="AQ508" s="227"/>
      <c r="AR508" s="227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>
        <v>52.8</v>
      </c>
      <c r="BT508"/>
      <c r="BU508">
        <v>16.5</v>
      </c>
      <c r="BV508"/>
      <c r="BW508" s="229"/>
      <c r="BX508"/>
      <c r="BY508"/>
      <c r="BZ508"/>
      <c r="CA508"/>
      <c r="CC508"/>
      <c r="CD508"/>
      <c r="CE508">
        <v>6.1</v>
      </c>
      <c r="CF508"/>
      <c r="CG508">
        <v>0.5</v>
      </c>
      <c r="CH508"/>
      <c r="CI508"/>
      <c r="CJ508"/>
      <c r="CK508" t="s">
        <v>8820</v>
      </c>
      <c r="CL508">
        <v>1</v>
      </c>
      <c r="CM508" s="392">
        <v>41802</v>
      </c>
    </row>
    <row r="509" spans="1:91" ht="15">
      <c r="A509" s="364" t="s">
        <v>7706</v>
      </c>
      <c r="B509" t="s">
        <v>265</v>
      </c>
      <c r="C509" t="s">
        <v>8213</v>
      </c>
      <c r="D509" s="232">
        <v>101</v>
      </c>
      <c r="E509" s="113">
        <v>58</v>
      </c>
      <c r="F509" s="113">
        <v>8</v>
      </c>
      <c r="I509"/>
      <c r="K509" s="224">
        <v>7</v>
      </c>
      <c r="L509" s="390">
        <v>41625</v>
      </c>
      <c r="M509"/>
      <c r="N509" s="224"/>
      <c r="O509"/>
      <c r="P509"/>
      <c r="Q509"/>
      <c r="S509" s="224"/>
      <c r="T509" s="224"/>
      <c r="U509"/>
      <c r="V509"/>
      <c r="W509"/>
      <c r="X509"/>
      <c r="Y509" s="225"/>
      <c r="Z509" s="224"/>
      <c r="AA509" s="226"/>
      <c r="AB509" s="224"/>
      <c r="AC509" s="225"/>
      <c r="AD509" s="224"/>
      <c r="AE509" s="224"/>
      <c r="AF509" s="224"/>
      <c r="AG509">
        <v>3.58</v>
      </c>
      <c r="AH509"/>
      <c r="AI509">
        <v>140</v>
      </c>
      <c r="AJ509" s="194">
        <v>41785</v>
      </c>
      <c r="AK509"/>
      <c r="AL509"/>
      <c r="AM509"/>
      <c r="AN509"/>
      <c r="AO509"/>
      <c r="AP509"/>
      <c r="AQ509" s="227"/>
      <c r="AR509" s="227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>
        <v>52.1</v>
      </c>
      <c r="BT509"/>
      <c r="BU509">
        <v>16</v>
      </c>
      <c r="BV509"/>
      <c r="BW509" s="229"/>
      <c r="BX509"/>
      <c r="BY509"/>
      <c r="BZ509"/>
      <c r="CA509"/>
      <c r="CC509"/>
      <c r="CD509"/>
      <c r="CE509">
        <v>5.0999999999999996</v>
      </c>
      <c r="CF509"/>
      <c r="CG509">
        <v>0.9</v>
      </c>
      <c r="CH509"/>
      <c r="CI509"/>
      <c r="CJ509"/>
      <c r="CK509" t="s">
        <v>8820</v>
      </c>
      <c r="CL509">
        <v>1</v>
      </c>
      <c r="CM509" s="392">
        <v>41802</v>
      </c>
    </row>
    <row r="510" spans="1:91" ht="15">
      <c r="A510" s="364" t="s">
        <v>7707</v>
      </c>
      <c r="B510" t="s">
        <v>265</v>
      </c>
      <c r="C510" t="s">
        <v>8213</v>
      </c>
      <c r="D510">
        <v>102</v>
      </c>
      <c r="E510" s="113">
        <v>47</v>
      </c>
      <c r="F510" s="113">
        <v>12</v>
      </c>
      <c r="I510"/>
      <c r="K510" s="224">
        <v>7</v>
      </c>
      <c r="L510" s="390">
        <v>41625</v>
      </c>
      <c r="M510"/>
      <c r="N510" s="224"/>
      <c r="O510"/>
      <c r="P510"/>
      <c r="Q510"/>
      <c r="S510" s="224"/>
      <c r="T510" s="224"/>
      <c r="U510"/>
      <c r="V510"/>
      <c r="W510"/>
      <c r="X510"/>
      <c r="Y510" s="225"/>
      <c r="Z510" s="224"/>
      <c r="AA510" s="226"/>
      <c r="AB510" s="224"/>
      <c r="AC510" s="225"/>
      <c r="AD510" s="224"/>
      <c r="AE510" s="224"/>
      <c r="AF510" s="224"/>
      <c r="AG510">
        <v>4.75</v>
      </c>
      <c r="AH510"/>
      <c r="AI510">
        <v>135</v>
      </c>
      <c r="AJ510" s="194">
        <v>41785</v>
      </c>
      <c r="AK510"/>
      <c r="AL510"/>
      <c r="AM510"/>
      <c r="AN510"/>
      <c r="AO510"/>
      <c r="AP510"/>
      <c r="AQ510" s="227"/>
      <c r="AR510" s="227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>
        <v>52.5</v>
      </c>
      <c r="BT510"/>
      <c r="BU510">
        <v>17.7</v>
      </c>
      <c r="BV510"/>
      <c r="BW510" s="229"/>
      <c r="BX510"/>
      <c r="BY510"/>
      <c r="BZ510"/>
      <c r="CA510"/>
      <c r="CC510"/>
      <c r="CD510"/>
      <c r="CE510">
        <v>6.5</v>
      </c>
      <c r="CF510"/>
      <c r="CG510">
        <v>0.2</v>
      </c>
      <c r="CH510"/>
      <c r="CI510"/>
      <c r="CJ510"/>
      <c r="CK510" t="s">
        <v>8820</v>
      </c>
      <c r="CL510">
        <v>1</v>
      </c>
      <c r="CM510" s="392">
        <v>41802</v>
      </c>
    </row>
    <row r="511" spans="1:91" ht="15">
      <c r="A511" s="364" t="s">
        <v>7708</v>
      </c>
      <c r="B511" t="s">
        <v>265</v>
      </c>
      <c r="C511" t="s">
        <v>8213</v>
      </c>
      <c r="D511">
        <v>103</v>
      </c>
      <c r="E511" s="113">
        <v>51</v>
      </c>
      <c r="F511" s="113">
        <v>11</v>
      </c>
      <c r="I511"/>
      <c r="K511" s="224">
        <v>8</v>
      </c>
      <c r="L511" s="390">
        <v>41625</v>
      </c>
      <c r="M511"/>
      <c r="N511" s="224"/>
      <c r="O511"/>
      <c r="P511"/>
      <c r="Q511"/>
      <c r="S511" s="224"/>
      <c r="T511" s="224"/>
      <c r="U511"/>
      <c r="V511"/>
      <c r="W511"/>
      <c r="X511"/>
      <c r="Y511" s="225"/>
      <c r="Z511" s="224"/>
      <c r="AA511" s="226"/>
      <c r="AB511" s="224"/>
      <c r="AC511" s="225"/>
      <c r="AD511" s="224"/>
      <c r="AE511" s="224"/>
      <c r="AF511" s="224"/>
      <c r="AG511">
        <v>4.1100000000000003</v>
      </c>
      <c r="AH511"/>
      <c r="AI511">
        <v>150</v>
      </c>
      <c r="AJ511" s="194">
        <v>41785</v>
      </c>
      <c r="AK511"/>
      <c r="AL511"/>
      <c r="AM511"/>
      <c r="AN511"/>
      <c r="AO511"/>
      <c r="AP511"/>
      <c r="AQ511" s="227"/>
      <c r="AR511" s="227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>
        <v>52.4</v>
      </c>
      <c r="BT511"/>
      <c r="BU511">
        <v>15.7</v>
      </c>
      <c r="BV511"/>
      <c r="BW511" s="229"/>
      <c r="BX511"/>
      <c r="BY511"/>
      <c r="BZ511"/>
      <c r="CA511"/>
      <c r="CC511"/>
      <c r="CD511"/>
      <c r="CE511">
        <v>5.4</v>
      </c>
      <c r="CF511"/>
      <c r="CG511">
        <v>0.8</v>
      </c>
      <c r="CH511"/>
      <c r="CI511"/>
      <c r="CJ511"/>
      <c r="CK511" t="s">
        <v>8820</v>
      </c>
      <c r="CL511">
        <v>1</v>
      </c>
      <c r="CM511" s="392">
        <v>41802</v>
      </c>
    </row>
    <row r="512" spans="1:91" ht="15">
      <c r="A512" s="364" t="s">
        <v>7709</v>
      </c>
      <c r="B512" t="s">
        <v>265</v>
      </c>
      <c r="C512" t="s">
        <v>8213</v>
      </c>
      <c r="D512">
        <v>104</v>
      </c>
      <c r="E512" s="113">
        <v>65</v>
      </c>
      <c r="F512" s="113">
        <v>12</v>
      </c>
      <c r="I512"/>
      <c r="K512" s="224">
        <v>7</v>
      </c>
      <c r="L512" s="390">
        <v>41625</v>
      </c>
      <c r="M512"/>
      <c r="N512" s="224"/>
      <c r="O512"/>
      <c r="P512"/>
      <c r="Q512"/>
      <c r="S512" s="224"/>
      <c r="T512" s="224"/>
      <c r="U512"/>
      <c r="V512"/>
      <c r="W512"/>
      <c r="X512"/>
      <c r="Y512" s="225"/>
      <c r="Z512" s="224"/>
      <c r="AA512" s="226"/>
      <c r="AB512" s="224"/>
      <c r="AC512" s="225"/>
      <c r="AD512" s="224"/>
      <c r="AE512" s="224"/>
      <c r="AF512" s="224"/>
      <c r="AG512">
        <v>4.13</v>
      </c>
      <c r="AH512"/>
      <c r="AI512">
        <v>130</v>
      </c>
      <c r="AJ512" s="194">
        <v>41785</v>
      </c>
      <c r="AK512"/>
      <c r="AL512"/>
      <c r="AM512"/>
      <c r="AN512"/>
      <c r="AO512"/>
      <c r="AP512"/>
      <c r="AQ512" s="227"/>
      <c r="AR512" s="227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>
        <v>52.7</v>
      </c>
      <c r="BT512"/>
      <c r="BU512">
        <v>17.2</v>
      </c>
      <c r="BV512"/>
      <c r="BW512" s="229"/>
      <c r="BX512"/>
      <c r="BY512"/>
      <c r="BZ512"/>
      <c r="CA512"/>
      <c r="CC512"/>
      <c r="CD512"/>
      <c r="CE512">
        <v>5</v>
      </c>
      <c r="CF512"/>
      <c r="CG512">
        <v>1</v>
      </c>
      <c r="CH512"/>
      <c r="CI512"/>
      <c r="CJ512"/>
      <c r="CK512" t="s">
        <v>8820</v>
      </c>
      <c r="CL512">
        <v>1</v>
      </c>
      <c r="CM512" s="392">
        <v>41802</v>
      </c>
    </row>
    <row r="513" spans="1:91" ht="15">
      <c r="A513" s="364" t="s">
        <v>7710</v>
      </c>
      <c r="B513" t="s">
        <v>265</v>
      </c>
      <c r="C513" t="s">
        <v>8213</v>
      </c>
      <c r="D513">
        <v>105</v>
      </c>
      <c r="E513" s="113">
        <v>41</v>
      </c>
      <c r="F513" s="113">
        <v>9</v>
      </c>
      <c r="I513"/>
      <c r="K513" s="224">
        <v>7</v>
      </c>
      <c r="L513" s="390">
        <v>41625</v>
      </c>
      <c r="M513"/>
      <c r="N513" s="224"/>
      <c r="O513"/>
      <c r="P513"/>
      <c r="Q513"/>
      <c r="S513" s="224"/>
      <c r="T513" s="224"/>
      <c r="U513"/>
      <c r="V513"/>
      <c r="W513"/>
      <c r="X513"/>
      <c r="Y513" s="225"/>
      <c r="Z513" s="224"/>
      <c r="AA513" s="226"/>
      <c r="AB513" s="224"/>
      <c r="AC513" s="225"/>
      <c r="AD513" s="224"/>
      <c r="AE513" s="224"/>
      <c r="AF513" s="224"/>
      <c r="AG513">
        <v>4.3499999999999996</v>
      </c>
      <c r="AH513"/>
      <c r="AI513">
        <v>135</v>
      </c>
      <c r="AJ513" s="194">
        <v>41785</v>
      </c>
      <c r="AK513"/>
      <c r="AL513"/>
      <c r="AM513"/>
      <c r="AN513"/>
      <c r="AO513"/>
      <c r="AP513"/>
      <c r="AQ513" s="227"/>
      <c r="AR513" s="227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>
        <v>51.1</v>
      </c>
      <c r="BT513"/>
      <c r="BU513">
        <v>16.8</v>
      </c>
      <c r="BV513"/>
      <c r="BW513" s="229"/>
      <c r="BX513"/>
      <c r="BY513"/>
      <c r="BZ513"/>
      <c r="CA513"/>
      <c r="CC513"/>
      <c r="CD513"/>
      <c r="CE513">
        <v>5.3</v>
      </c>
      <c r="CF513"/>
      <c r="CG513">
        <v>0.1</v>
      </c>
      <c r="CH513"/>
      <c r="CI513"/>
      <c r="CJ513"/>
      <c r="CK513" t="s">
        <v>8820</v>
      </c>
      <c r="CL513">
        <v>1</v>
      </c>
      <c r="CM513" s="392">
        <v>41802</v>
      </c>
    </row>
    <row r="514" spans="1:91" ht="15">
      <c r="A514" s="364" t="s">
        <v>7711</v>
      </c>
      <c r="B514" t="s">
        <v>265</v>
      </c>
      <c r="C514" t="s">
        <v>8213</v>
      </c>
      <c r="D514">
        <v>106</v>
      </c>
      <c r="E514" s="113">
        <v>56</v>
      </c>
      <c r="F514" s="113">
        <v>10</v>
      </c>
      <c r="I514"/>
      <c r="K514" s="224">
        <v>5</v>
      </c>
      <c r="L514" s="390">
        <v>41625</v>
      </c>
      <c r="M514"/>
      <c r="N514" s="224"/>
      <c r="O514"/>
      <c r="P514"/>
      <c r="Q514"/>
      <c r="S514" s="224"/>
      <c r="T514" s="224"/>
      <c r="U514"/>
      <c r="V514"/>
      <c r="W514"/>
      <c r="X514"/>
      <c r="Y514" s="225"/>
      <c r="Z514" s="224"/>
      <c r="AA514" s="226"/>
      <c r="AB514" s="224"/>
      <c r="AC514" s="225"/>
      <c r="AD514" s="224"/>
      <c r="AE514" s="224"/>
      <c r="AF514" s="224"/>
      <c r="AG514">
        <v>3.57</v>
      </c>
      <c r="AH514"/>
      <c r="AI514">
        <v>145</v>
      </c>
      <c r="AJ514" s="194">
        <v>41785</v>
      </c>
      <c r="AK514"/>
      <c r="AL514"/>
      <c r="AM514"/>
      <c r="AN514"/>
      <c r="AO514"/>
      <c r="AP514"/>
      <c r="AQ514" s="227"/>
      <c r="AR514" s="227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>
        <v>50.4</v>
      </c>
      <c r="BT514"/>
      <c r="BU514">
        <v>15.5</v>
      </c>
      <c r="BV514"/>
      <c r="BW514" s="229"/>
      <c r="BX514"/>
      <c r="BY514"/>
      <c r="BZ514"/>
      <c r="CA514"/>
      <c r="CC514"/>
      <c r="CD514"/>
      <c r="CE514">
        <v>3.9</v>
      </c>
      <c r="CF514"/>
      <c r="CG514">
        <v>0.7</v>
      </c>
      <c r="CH514"/>
      <c r="CI514"/>
      <c r="CJ514"/>
      <c r="CK514" t="s">
        <v>8820</v>
      </c>
      <c r="CL514">
        <v>1</v>
      </c>
      <c r="CM514" s="392">
        <v>41802</v>
      </c>
    </row>
    <row r="515" spans="1:91" ht="15">
      <c r="A515" s="364" t="s">
        <v>7712</v>
      </c>
      <c r="B515" t="s">
        <v>265</v>
      </c>
      <c r="C515" t="s">
        <v>8213</v>
      </c>
      <c r="D515">
        <v>107</v>
      </c>
      <c r="E515" s="113">
        <v>38</v>
      </c>
      <c r="F515" s="113">
        <v>10</v>
      </c>
      <c r="I515"/>
      <c r="K515" s="224">
        <v>6</v>
      </c>
      <c r="L515" s="390">
        <v>41625</v>
      </c>
      <c r="M515"/>
      <c r="N515" s="224"/>
      <c r="O515"/>
      <c r="P515"/>
      <c r="Q515"/>
      <c r="S515" s="224"/>
      <c r="T515" s="224"/>
      <c r="U515"/>
      <c r="V515"/>
      <c r="W515"/>
      <c r="X515"/>
      <c r="Y515" s="225"/>
      <c r="Z515" s="224"/>
      <c r="AA515" s="226"/>
      <c r="AB515" s="224"/>
      <c r="AC515" s="225"/>
      <c r="AD515" s="224"/>
      <c r="AE515" s="224"/>
      <c r="AF515" s="224"/>
      <c r="AG515">
        <v>3.97</v>
      </c>
      <c r="AH515"/>
      <c r="AI515">
        <v>155</v>
      </c>
      <c r="AJ515" s="194">
        <v>41785</v>
      </c>
      <c r="AK515"/>
      <c r="AL515"/>
      <c r="AM515"/>
      <c r="AN515"/>
      <c r="AO515"/>
      <c r="AP515"/>
      <c r="AQ515" s="227"/>
      <c r="AR515" s="227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>
        <v>54.7</v>
      </c>
      <c r="BT515"/>
      <c r="BU515">
        <v>15</v>
      </c>
      <c r="BV515"/>
      <c r="BW515" s="229"/>
      <c r="BX515"/>
      <c r="BY515"/>
      <c r="BZ515"/>
      <c r="CA515"/>
      <c r="CC515"/>
      <c r="CD515"/>
      <c r="CE515">
        <v>5.5</v>
      </c>
      <c r="CF515"/>
      <c r="CG515">
        <v>0.9</v>
      </c>
      <c r="CH515"/>
      <c r="CI515"/>
      <c r="CJ515"/>
      <c r="CK515" t="s">
        <v>8820</v>
      </c>
      <c r="CL515">
        <v>1</v>
      </c>
      <c r="CM515" s="392">
        <v>41802</v>
      </c>
    </row>
    <row r="516" spans="1:91" ht="15.75" thickBot="1">
      <c r="A516" s="364" t="s">
        <v>7713</v>
      </c>
      <c r="B516" s="344" t="s">
        <v>265</v>
      </c>
      <c r="C516" s="344" t="s">
        <v>8213</v>
      </c>
      <c r="D516">
        <v>108</v>
      </c>
      <c r="E516" s="113">
        <v>40</v>
      </c>
      <c r="F516" s="113">
        <v>10</v>
      </c>
      <c r="I516"/>
      <c r="K516" s="224">
        <v>6</v>
      </c>
      <c r="L516" s="390">
        <v>41625</v>
      </c>
      <c r="M516"/>
      <c r="N516" s="224"/>
      <c r="O516"/>
      <c r="P516"/>
      <c r="Q516"/>
      <c r="S516" s="224"/>
      <c r="T516" s="224"/>
      <c r="U516"/>
      <c r="V516"/>
      <c r="W516"/>
      <c r="X516"/>
      <c r="Y516" s="225"/>
      <c r="Z516" s="224"/>
      <c r="AA516" s="226"/>
      <c r="AB516" s="224"/>
      <c r="AC516" s="225"/>
      <c r="AD516" s="224"/>
      <c r="AE516" s="224"/>
      <c r="AF516" s="224"/>
      <c r="AG516">
        <v>3.5</v>
      </c>
      <c r="AH516"/>
      <c r="AI516">
        <v>145</v>
      </c>
      <c r="AJ516" s="194">
        <v>41785</v>
      </c>
      <c r="AK516"/>
      <c r="AL516"/>
      <c r="AM516"/>
      <c r="AN516"/>
      <c r="AO516"/>
      <c r="AP516"/>
      <c r="AQ516" s="227"/>
      <c r="AR516" s="227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>
        <v>51.8</v>
      </c>
      <c r="BT516"/>
      <c r="BU516">
        <v>15.6</v>
      </c>
      <c r="BV516"/>
      <c r="BW516" s="229"/>
      <c r="BX516"/>
      <c r="BY516"/>
      <c r="BZ516"/>
      <c r="CA516"/>
      <c r="CC516"/>
      <c r="CD516"/>
      <c r="CE516">
        <v>5.2</v>
      </c>
      <c r="CF516"/>
      <c r="CG516">
        <v>4.3</v>
      </c>
      <c r="CH516"/>
      <c r="CI516"/>
      <c r="CJ516"/>
      <c r="CK516" t="s">
        <v>8820</v>
      </c>
      <c r="CL516">
        <v>2.2000000000000002</v>
      </c>
      <c r="CM516" s="392">
        <v>41802</v>
      </c>
    </row>
    <row r="517" spans="1:91" ht="15">
      <c r="A517" s="364" t="s">
        <v>7714</v>
      </c>
      <c r="B517" t="s">
        <v>265</v>
      </c>
      <c r="C517" t="s">
        <v>8213</v>
      </c>
      <c r="D517">
        <v>109</v>
      </c>
      <c r="E517" s="113">
        <v>59</v>
      </c>
      <c r="F517" s="113">
        <v>7</v>
      </c>
      <c r="I517"/>
      <c r="K517" s="224">
        <v>6</v>
      </c>
      <c r="L517" s="390">
        <v>41625</v>
      </c>
      <c r="M517"/>
      <c r="N517" s="224"/>
      <c r="O517"/>
      <c r="P517"/>
      <c r="Q517"/>
      <c r="S517" s="224"/>
      <c r="T517" s="224"/>
      <c r="U517"/>
      <c r="V517"/>
      <c r="W517"/>
      <c r="X517"/>
      <c r="Y517" s="225"/>
      <c r="Z517" s="224"/>
      <c r="AA517" s="226"/>
      <c r="AB517" s="224"/>
      <c r="AC517" s="225"/>
      <c r="AD517" s="224"/>
      <c r="AE517" s="224"/>
      <c r="AF517" s="224"/>
      <c r="AG517">
        <v>3.75</v>
      </c>
      <c r="AH517"/>
      <c r="AI517">
        <v>135</v>
      </c>
      <c r="AJ517" s="194">
        <v>41785</v>
      </c>
      <c r="AK517"/>
      <c r="AL517"/>
      <c r="AM517"/>
      <c r="AN517"/>
      <c r="AO517"/>
      <c r="AP517"/>
      <c r="AQ517" s="227"/>
      <c r="AR517" s="22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>
        <v>53.2</v>
      </c>
      <c r="BT517"/>
      <c r="BU517">
        <v>14.2</v>
      </c>
      <c r="BV517"/>
      <c r="BW517" s="229"/>
      <c r="BX517"/>
      <c r="BY517"/>
      <c r="BZ517"/>
      <c r="CA517"/>
      <c r="CC517"/>
      <c r="CD517"/>
      <c r="CE517">
        <v>4.4000000000000004</v>
      </c>
      <c r="CF517"/>
      <c r="CG517">
        <v>0.9</v>
      </c>
      <c r="CH517"/>
      <c r="CI517"/>
      <c r="CJ517"/>
      <c r="CK517" t="s">
        <v>8820</v>
      </c>
      <c r="CL517">
        <v>1</v>
      </c>
      <c r="CM517" s="392">
        <v>41802</v>
      </c>
    </row>
    <row r="518" spans="1:91" ht="15">
      <c r="A518" s="364" t="s">
        <v>7715</v>
      </c>
      <c r="B518" t="s">
        <v>265</v>
      </c>
      <c r="C518" t="s">
        <v>8213</v>
      </c>
      <c r="D518">
        <v>110</v>
      </c>
      <c r="E518" s="113">
        <v>50</v>
      </c>
      <c r="F518" s="113">
        <v>7</v>
      </c>
      <c r="G518" s="233"/>
      <c r="H518" s="233"/>
      <c r="I518" s="232"/>
      <c r="J518" s="234"/>
      <c r="K518" s="235">
        <v>7</v>
      </c>
      <c r="L518" s="390">
        <v>41625</v>
      </c>
      <c r="M518" s="232"/>
      <c r="N518" s="235"/>
      <c r="O518" s="232"/>
      <c r="P518" s="232"/>
      <c r="Q518" s="232"/>
      <c r="R518" s="236"/>
      <c r="S518" s="235"/>
      <c r="T518" s="235"/>
      <c r="U518" s="232"/>
      <c r="V518" s="232"/>
      <c r="W518" s="232"/>
      <c r="X518" s="232"/>
      <c r="Y518" s="237"/>
      <c r="Z518" s="235"/>
      <c r="AA518" s="238"/>
      <c r="AB518" s="235"/>
      <c r="AC518" s="237"/>
      <c r="AD518" s="235"/>
      <c r="AE518" s="235"/>
      <c r="AF518" s="235"/>
      <c r="AG518" s="232">
        <v>3.73</v>
      </c>
      <c r="AH518" s="232"/>
      <c r="AI518" s="232">
        <v>120</v>
      </c>
      <c r="AJ518" s="194">
        <v>41785</v>
      </c>
      <c r="AK518" s="232"/>
      <c r="AL518" s="232"/>
      <c r="AM518" s="232"/>
      <c r="AN518" s="232"/>
      <c r="AO518" s="232"/>
      <c r="AP518" s="232"/>
      <c r="AQ518" s="239"/>
      <c r="AR518" s="239"/>
      <c r="AS518" s="232"/>
      <c r="AT518" s="232"/>
      <c r="AU518" s="232"/>
      <c r="AV518" s="232"/>
      <c r="AW518" s="232"/>
      <c r="AX518" s="232"/>
      <c r="AY518" s="232"/>
      <c r="AZ518" s="232"/>
      <c r="BA518" s="232"/>
      <c r="BB518" s="232"/>
      <c r="BC518" s="232"/>
      <c r="BD518" s="232"/>
      <c r="BE518" s="232"/>
      <c r="BF518" s="232"/>
      <c r="BG518" s="232"/>
      <c r="BH518" s="232"/>
      <c r="BI518" s="232"/>
      <c r="BJ518" s="232"/>
      <c r="BK518" s="232"/>
      <c r="BL518" s="232"/>
      <c r="BM518" s="232"/>
      <c r="BN518" s="232"/>
      <c r="BO518" s="232"/>
      <c r="BP518" s="232"/>
      <c r="BQ518" s="232"/>
      <c r="BR518" s="232"/>
      <c r="BS518" s="232">
        <v>52.7</v>
      </c>
      <c r="BT518" s="232"/>
      <c r="BU518" s="232">
        <v>15.5</v>
      </c>
      <c r="BV518" s="232"/>
      <c r="BW518" s="240"/>
      <c r="BX518" s="232"/>
      <c r="BY518" s="232"/>
      <c r="BZ518" s="232"/>
      <c r="CA518" s="232"/>
      <c r="CB518" s="241"/>
      <c r="CC518" s="232"/>
      <c r="CD518" s="232"/>
      <c r="CE518" s="232">
        <v>5.7</v>
      </c>
      <c r="CF518" s="232"/>
      <c r="CG518" s="232">
        <v>1.5</v>
      </c>
      <c r="CH518" s="232"/>
      <c r="CI518" s="232"/>
      <c r="CJ518" s="232"/>
      <c r="CK518" t="s">
        <v>8820</v>
      </c>
      <c r="CL518" s="232">
        <v>5</v>
      </c>
      <c r="CM518" s="392">
        <v>41802</v>
      </c>
    </row>
    <row r="519" spans="1:91" ht="15">
      <c r="A519" s="364" t="s">
        <v>7716</v>
      </c>
      <c r="B519" t="s">
        <v>265</v>
      </c>
      <c r="C519" t="s">
        <v>8213</v>
      </c>
      <c r="D519" s="232">
        <v>111</v>
      </c>
      <c r="E519" s="113">
        <v>45</v>
      </c>
      <c r="F519" s="113">
        <v>8</v>
      </c>
      <c r="I519"/>
      <c r="K519" s="224">
        <v>6</v>
      </c>
      <c r="L519" s="390">
        <v>41625</v>
      </c>
      <c r="M519"/>
      <c r="N519" s="224"/>
      <c r="O519"/>
      <c r="P519"/>
      <c r="Q519"/>
      <c r="S519" s="224"/>
      <c r="T519" s="224"/>
      <c r="U519"/>
      <c r="V519"/>
      <c r="W519"/>
      <c r="X519"/>
      <c r="Y519" s="225"/>
      <c r="Z519" s="224"/>
      <c r="AA519" s="226"/>
      <c r="AB519" s="224"/>
      <c r="AC519" s="225"/>
      <c r="AD519" s="224"/>
      <c r="AE519" s="224"/>
      <c r="AF519" s="224"/>
      <c r="AG519">
        <v>3.99</v>
      </c>
      <c r="AH519"/>
      <c r="AI519">
        <v>135</v>
      </c>
      <c r="AJ519" s="194">
        <v>41785</v>
      </c>
      <c r="AK519"/>
      <c r="AL519"/>
      <c r="AM519"/>
      <c r="AN519"/>
      <c r="AO519"/>
      <c r="AP519"/>
      <c r="AQ519" s="227"/>
      <c r="AR519" s="227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>
        <v>52.7</v>
      </c>
      <c r="BT519"/>
      <c r="BU519">
        <v>15.1</v>
      </c>
      <c r="BV519"/>
      <c r="BW519" s="229"/>
      <c r="BX519"/>
      <c r="BY519"/>
      <c r="BZ519"/>
      <c r="CA519"/>
      <c r="CC519"/>
      <c r="CD519"/>
      <c r="CE519">
        <v>6.5</v>
      </c>
      <c r="CF519"/>
      <c r="CG519">
        <v>0.1</v>
      </c>
      <c r="CH519"/>
      <c r="CI519"/>
      <c r="CJ519"/>
      <c r="CK519" t="s">
        <v>8820</v>
      </c>
      <c r="CL519">
        <v>1</v>
      </c>
      <c r="CM519" s="392">
        <v>41802</v>
      </c>
    </row>
    <row r="520" spans="1:91" ht="15">
      <c r="A520" s="364" t="s">
        <v>7717</v>
      </c>
      <c r="B520" t="s">
        <v>265</v>
      </c>
      <c r="C520" t="s">
        <v>8213</v>
      </c>
      <c r="D520" s="232">
        <v>112</v>
      </c>
      <c r="E520" s="113">
        <v>54</v>
      </c>
      <c r="F520" s="113">
        <v>10</v>
      </c>
      <c r="I520"/>
      <c r="K520" s="224">
        <v>7</v>
      </c>
      <c r="L520" s="390">
        <v>41625</v>
      </c>
      <c r="M520"/>
      <c r="N520" s="224"/>
      <c r="O520"/>
      <c r="P520"/>
      <c r="Q520"/>
      <c r="S520" s="224"/>
      <c r="T520" s="224"/>
      <c r="U520"/>
      <c r="V520"/>
      <c r="W520"/>
      <c r="X520"/>
      <c r="Y520" s="225"/>
      <c r="Z520" s="224"/>
      <c r="AA520" s="226"/>
      <c r="AB520" s="224"/>
      <c r="AC520" s="225"/>
      <c r="AD520" s="224"/>
      <c r="AE520" s="224"/>
      <c r="AF520" s="224"/>
      <c r="AG520">
        <v>4.42</v>
      </c>
      <c r="AH520"/>
      <c r="AI520">
        <v>160</v>
      </c>
      <c r="AJ520" s="194">
        <v>41785</v>
      </c>
      <c r="AK520"/>
      <c r="AL520"/>
      <c r="AM520"/>
      <c r="AN520"/>
      <c r="AO520"/>
      <c r="AP520"/>
      <c r="AQ520" s="227"/>
      <c r="AR520" s="227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>
        <v>51.2</v>
      </c>
      <c r="BT520"/>
      <c r="BU520">
        <v>17</v>
      </c>
      <c r="BV520"/>
      <c r="BW520" s="229"/>
      <c r="BX520"/>
      <c r="BY520"/>
      <c r="BZ520"/>
      <c r="CA520"/>
      <c r="CC520"/>
      <c r="CD520"/>
      <c r="CE520">
        <v>3.9</v>
      </c>
      <c r="CF520"/>
      <c r="CG520">
        <v>0.5</v>
      </c>
      <c r="CH520"/>
      <c r="CI520"/>
      <c r="CJ520"/>
      <c r="CK520" t="s">
        <v>8820</v>
      </c>
      <c r="CL520">
        <v>1</v>
      </c>
      <c r="CM520" s="392">
        <v>41802</v>
      </c>
    </row>
    <row r="521" spans="1:91" ht="15">
      <c r="A521" s="364" t="s">
        <v>7718</v>
      </c>
      <c r="B521" t="s">
        <v>265</v>
      </c>
      <c r="C521" t="s">
        <v>8213</v>
      </c>
      <c r="D521">
        <v>113</v>
      </c>
      <c r="E521" s="113">
        <v>48</v>
      </c>
      <c r="F521" s="113">
        <v>12</v>
      </c>
      <c r="I521"/>
      <c r="K521" s="224">
        <v>7</v>
      </c>
      <c r="L521" s="390">
        <v>41625</v>
      </c>
      <c r="M521"/>
      <c r="N521" s="224"/>
      <c r="O521"/>
      <c r="P521"/>
      <c r="Q521"/>
      <c r="S521" s="224"/>
      <c r="T521" s="224"/>
      <c r="U521"/>
      <c r="V521"/>
      <c r="W521"/>
      <c r="X521"/>
      <c r="Y521" s="225"/>
      <c r="Z521" s="224"/>
      <c r="AA521" s="226"/>
      <c r="AB521" s="224"/>
      <c r="AC521" s="225"/>
      <c r="AD521" s="224"/>
      <c r="AE521" s="224"/>
      <c r="AF521" s="224"/>
      <c r="AG521">
        <v>3.74</v>
      </c>
      <c r="AH521"/>
      <c r="AI521">
        <v>135</v>
      </c>
      <c r="AJ521" s="194">
        <v>41785</v>
      </c>
      <c r="AK521"/>
      <c r="AL521"/>
      <c r="AM521"/>
      <c r="AN521"/>
      <c r="AO521"/>
      <c r="AP521"/>
      <c r="AQ521" s="227"/>
      <c r="AR521" s="227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>
        <v>53.7</v>
      </c>
      <c r="BT521"/>
      <c r="BU521">
        <v>14.9</v>
      </c>
      <c r="BV521"/>
      <c r="BW521" s="229"/>
      <c r="BX521"/>
      <c r="BY521"/>
      <c r="BZ521"/>
      <c r="CA521"/>
      <c r="CC521"/>
      <c r="CD521"/>
      <c r="CE521">
        <v>6.7</v>
      </c>
      <c r="CF521"/>
      <c r="CG521">
        <v>0.1</v>
      </c>
      <c r="CH521"/>
      <c r="CI521"/>
      <c r="CJ521"/>
      <c r="CK521" t="s">
        <v>8820</v>
      </c>
      <c r="CL521">
        <v>1</v>
      </c>
      <c r="CM521" s="392">
        <v>41802</v>
      </c>
    </row>
    <row r="522" spans="1:91" ht="15">
      <c r="A522" s="364" t="s">
        <v>7719</v>
      </c>
      <c r="B522" t="s">
        <v>265</v>
      </c>
      <c r="C522" t="s">
        <v>8213</v>
      </c>
      <c r="D522">
        <v>114</v>
      </c>
      <c r="E522" s="113">
        <v>60</v>
      </c>
      <c r="F522" s="113">
        <v>10</v>
      </c>
      <c r="I522"/>
      <c r="K522" s="224">
        <v>7</v>
      </c>
      <c r="L522" s="390">
        <v>41625</v>
      </c>
      <c r="M522"/>
      <c r="N522" s="224"/>
      <c r="O522"/>
      <c r="P522"/>
      <c r="Q522"/>
      <c r="S522" s="224"/>
      <c r="T522" s="224"/>
      <c r="U522"/>
      <c r="V522"/>
      <c r="W522"/>
      <c r="X522"/>
      <c r="Y522" s="225"/>
      <c r="Z522" s="224"/>
      <c r="AA522" s="226"/>
      <c r="AB522" s="224"/>
      <c r="AC522" s="225"/>
      <c r="AD522" s="224"/>
      <c r="AE522" s="224"/>
      <c r="AF522" s="224"/>
      <c r="AG522">
        <v>4.3899999999999997</v>
      </c>
      <c r="AH522"/>
      <c r="AI522">
        <v>135</v>
      </c>
      <c r="AJ522" s="194">
        <v>41785</v>
      </c>
      <c r="AK522"/>
      <c r="AL522"/>
      <c r="AM522"/>
      <c r="AN522"/>
      <c r="AO522"/>
      <c r="AP522"/>
      <c r="AQ522" s="227"/>
      <c r="AR522" s="227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>
        <v>52</v>
      </c>
      <c r="BT522"/>
      <c r="BU522">
        <v>15.8</v>
      </c>
      <c r="BV522"/>
      <c r="BW522" s="229"/>
      <c r="BX522"/>
      <c r="BY522"/>
      <c r="BZ522"/>
      <c r="CA522"/>
      <c r="CC522"/>
      <c r="CD522"/>
      <c r="CE522">
        <v>5.2</v>
      </c>
      <c r="CF522"/>
      <c r="CG522">
        <v>0.4</v>
      </c>
      <c r="CH522"/>
      <c r="CI522"/>
      <c r="CJ522"/>
      <c r="CK522" t="s">
        <v>8820</v>
      </c>
      <c r="CL522">
        <v>1</v>
      </c>
      <c r="CM522" s="392">
        <v>41802</v>
      </c>
    </row>
    <row r="523" spans="1:91" ht="15">
      <c r="A523" s="364" t="s">
        <v>7720</v>
      </c>
      <c r="B523" t="s">
        <v>265</v>
      </c>
      <c r="C523" t="s">
        <v>8213</v>
      </c>
      <c r="D523">
        <v>115</v>
      </c>
      <c r="E523" s="113">
        <v>57</v>
      </c>
      <c r="F523" s="113">
        <v>9</v>
      </c>
      <c r="I523"/>
      <c r="K523" s="224">
        <v>7</v>
      </c>
      <c r="L523" s="390">
        <v>41625</v>
      </c>
      <c r="M523"/>
      <c r="N523" s="224"/>
      <c r="O523"/>
      <c r="P523"/>
      <c r="Q523"/>
      <c r="S523" s="224"/>
      <c r="T523" s="224"/>
      <c r="U523"/>
      <c r="V523"/>
      <c r="W523"/>
      <c r="X523"/>
      <c r="Y523" s="225"/>
      <c r="Z523" s="224"/>
      <c r="AA523" s="226"/>
      <c r="AB523" s="224"/>
      <c r="AC523" s="225"/>
      <c r="AD523" s="224"/>
      <c r="AE523" s="224"/>
      <c r="AF523" s="224"/>
      <c r="AG523">
        <v>4.2300000000000004</v>
      </c>
      <c r="AH523"/>
      <c r="AI523">
        <v>140</v>
      </c>
      <c r="AJ523" s="194">
        <v>41785</v>
      </c>
      <c r="AK523"/>
      <c r="AL523"/>
      <c r="AM523"/>
      <c r="AN523"/>
      <c r="AO523"/>
      <c r="AP523"/>
      <c r="AQ523" s="227"/>
      <c r="AR523" s="227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>
        <v>51.1</v>
      </c>
      <c r="BT523"/>
      <c r="BU523">
        <v>16.2</v>
      </c>
      <c r="BV523"/>
      <c r="BW523"/>
      <c r="BX523"/>
      <c r="BY523"/>
      <c r="BZ523"/>
      <c r="CA523"/>
      <c r="CC523"/>
      <c r="CD523"/>
      <c r="CE523">
        <v>5.3</v>
      </c>
      <c r="CF523"/>
      <c r="CG523">
        <v>0.9</v>
      </c>
      <c r="CH523"/>
      <c r="CI523"/>
      <c r="CJ523"/>
      <c r="CK523" t="s">
        <v>8820</v>
      </c>
      <c r="CL523">
        <v>1</v>
      </c>
      <c r="CM523" s="392">
        <v>41802</v>
      </c>
    </row>
    <row r="524" spans="1:91" ht="15">
      <c r="A524" s="364" t="s">
        <v>7721</v>
      </c>
      <c r="B524" t="s">
        <v>265</v>
      </c>
      <c r="C524" t="s">
        <v>8213</v>
      </c>
      <c r="D524">
        <v>116</v>
      </c>
      <c r="E524" s="113">
        <v>66</v>
      </c>
      <c r="F524" s="113">
        <v>12</v>
      </c>
      <c r="I524"/>
      <c r="K524" s="224">
        <v>7</v>
      </c>
      <c r="L524" s="390">
        <v>41625</v>
      </c>
      <c r="M524"/>
      <c r="N524" s="224"/>
      <c r="O524"/>
      <c r="P524"/>
      <c r="Q524"/>
      <c r="S524" s="224"/>
      <c r="T524" s="224"/>
      <c r="U524"/>
      <c r="V524"/>
      <c r="W524"/>
      <c r="X524"/>
      <c r="Y524" s="225"/>
      <c r="Z524" s="224"/>
      <c r="AA524" s="226"/>
      <c r="AB524" s="224"/>
      <c r="AC524" s="225"/>
      <c r="AD524" s="224"/>
      <c r="AE524" s="224"/>
      <c r="AF524" s="224"/>
      <c r="AG524">
        <v>3.88</v>
      </c>
      <c r="AH524"/>
      <c r="AI524">
        <v>130</v>
      </c>
      <c r="AJ524" s="194">
        <v>41785</v>
      </c>
      <c r="AK524"/>
      <c r="AL524"/>
      <c r="AM524"/>
      <c r="AN524"/>
      <c r="AO524"/>
      <c r="AP524"/>
      <c r="AQ524" s="227"/>
      <c r="AR524" s="227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>
        <v>51.8</v>
      </c>
      <c r="BT524"/>
      <c r="BU524">
        <v>16.100000000000001</v>
      </c>
      <c r="BV524"/>
      <c r="BW524" s="229"/>
      <c r="BX524"/>
      <c r="BY524"/>
      <c r="BZ524"/>
      <c r="CA524"/>
      <c r="CC524"/>
      <c r="CD524"/>
      <c r="CE524">
        <v>4.7</v>
      </c>
      <c r="CF524"/>
      <c r="CG524">
        <v>1.4</v>
      </c>
      <c r="CH524"/>
      <c r="CI524"/>
      <c r="CJ524"/>
      <c r="CK524" t="s">
        <v>8820</v>
      </c>
      <c r="CL524">
        <v>1</v>
      </c>
      <c r="CM524" s="392">
        <v>41802</v>
      </c>
    </row>
    <row r="525" spans="1:91" ht="15">
      <c r="A525" s="364" t="s">
        <v>7722</v>
      </c>
      <c r="B525" t="s">
        <v>265</v>
      </c>
      <c r="C525" t="s">
        <v>8213</v>
      </c>
      <c r="D525">
        <v>117</v>
      </c>
      <c r="E525" s="113">
        <v>68</v>
      </c>
      <c r="F525" s="113">
        <v>8</v>
      </c>
      <c r="I525"/>
      <c r="K525" s="224">
        <v>7</v>
      </c>
      <c r="L525" s="390">
        <v>41625</v>
      </c>
      <c r="M525"/>
      <c r="N525" s="224"/>
      <c r="O525"/>
      <c r="P525"/>
      <c r="Q525"/>
      <c r="S525" s="224"/>
      <c r="T525" s="224"/>
      <c r="U525"/>
      <c r="V525"/>
      <c r="W525"/>
      <c r="X525"/>
      <c r="Y525" s="225"/>
      <c r="Z525" s="224"/>
      <c r="AA525" s="226"/>
      <c r="AB525" s="224"/>
      <c r="AC525" s="225"/>
      <c r="AD525" s="224"/>
      <c r="AE525" s="224"/>
      <c r="AF525" s="224"/>
      <c r="AG525">
        <v>4.42</v>
      </c>
      <c r="AH525"/>
      <c r="AI525">
        <v>130</v>
      </c>
      <c r="AJ525" s="194">
        <v>41785</v>
      </c>
      <c r="AK525"/>
      <c r="AL525"/>
      <c r="AM525"/>
      <c r="AN525"/>
      <c r="AO525"/>
      <c r="AP525"/>
      <c r="AQ525" s="227"/>
      <c r="AR525" s="227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>
        <v>52.7</v>
      </c>
      <c r="BT525"/>
      <c r="BU525">
        <v>15.5</v>
      </c>
      <c r="BV525"/>
      <c r="BW525" s="229"/>
      <c r="BX525"/>
      <c r="BY525"/>
      <c r="BZ525"/>
      <c r="CA525"/>
      <c r="CC525"/>
      <c r="CD525"/>
      <c r="CE525">
        <v>6</v>
      </c>
      <c r="CF525"/>
      <c r="CG525">
        <v>0.4</v>
      </c>
      <c r="CH525"/>
      <c r="CI525"/>
      <c r="CJ525"/>
      <c r="CK525" t="s">
        <v>8820</v>
      </c>
      <c r="CL525">
        <v>3</v>
      </c>
      <c r="CM525" s="392">
        <v>41802</v>
      </c>
    </row>
    <row r="526" spans="1:91" ht="15">
      <c r="A526" s="364" t="s">
        <v>7723</v>
      </c>
      <c r="B526" t="s">
        <v>265</v>
      </c>
      <c r="C526" t="s">
        <v>8213</v>
      </c>
      <c r="D526">
        <v>118</v>
      </c>
      <c r="E526" s="113">
        <v>43</v>
      </c>
      <c r="F526" s="113">
        <v>9</v>
      </c>
      <c r="I526"/>
      <c r="K526" s="224">
        <v>7</v>
      </c>
      <c r="L526" s="390">
        <v>41625</v>
      </c>
      <c r="M526"/>
      <c r="N526" s="224"/>
      <c r="O526"/>
      <c r="P526"/>
      <c r="Q526"/>
      <c r="S526" s="224"/>
      <c r="T526" s="224"/>
      <c r="U526"/>
      <c r="V526"/>
      <c r="W526"/>
      <c r="X526"/>
      <c r="Y526" s="225"/>
      <c r="Z526" s="224"/>
      <c r="AA526" s="226"/>
      <c r="AB526" s="224"/>
      <c r="AC526" s="225"/>
      <c r="AD526" s="224"/>
      <c r="AE526" s="224"/>
      <c r="AF526" s="224"/>
      <c r="AG526">
        <v>4.29</v>
      </c>
      <c r="AH526"/>
      <c r="AI526">
        <v>145</v>
      </c>
      <c r="AJ526" s="194">
        <v>41785</v>
      </c>
      <c r="AK526"/>
      <c r="AL526"/>
      <c r="AM526"/>
      <c r="AN526"/>
      <c r="AO526"/>
      <c r="AP526"/>
      <c r="AQ526" s="227"/>
      <c r="AR526" s="227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>
        <v>52.9</v>
      </c>
      <c r="BT526"/>
      <c r="BU526">
        <v>15.7</v>
      </c>
      <c r="BV526"/>
      <c r="BW526" s="229"/>
      <c r="BX526"/>
      <c r="BY526"/>
      <c r="BZ526"/>
      <c r="CA526"/>
      <c r="CC526"/>
      <c r="CD526"/>
      <c r="CE526">
        <v>6.5</v>
      </c>
      <c r="CF526"/>
      <c r="CG526">
        <v>0.4</v>
      </c>
      <c r="CH526"/>
      <c r="CI526"/>
      <c r="CJ526"/>
      <c r="CK526" t="s">
        <v>8820</v>
      </c>
      <c r="CL526">
        <v>1</v>
      </c>
      <c r="CM526" s="392">
        <v>41802</v>
      </c>
    </row>
    <row r="527" spans="1:91" ht="15">
      <c r="A527" s="364" t="s">
        <v>7724</v>
      </c>
      <c r="B527" t="s">
        <v>265</v>
      </c>
      <c r="C527" t="s">
        <v>8213</v>
      </c>
      <c r="D527">
        <v>119</v>
      </c>
      <c r="E527" s="113">
        <v>53</v>
      </c>
      <c r="F527" s="113">
        <v>12</v>
      </c>
      <c r="I527"/>
      <c r="K527" s="224">
        <v>7</v>
      </c>
      <c r="L527" s="390">
        <v>41625</v>
      </c>
      <c r="M527"/>
      <c r="N527" s="224"/>
      <c r="O527"/>
      <c r="P527"/>
      <c r="Q527"/>
      <c r="S527" s="224"/>
      <c r="T527" s="224"/>
      <c r="U527"/>
      <c r="V527"/>
      <c r="W527"/>
      <c r="X527"/>
      <c r="Y527" s="225"/>
      <c r="Z527" s="224"/>
      <c r="AA527" s="226"/>
      <c r="AB527" s="224"/>
      <c r="AC527" s="225"/>
      <c r="AD527" s="224"/>
      <c r="AE527" s="224"/>
      <c r="AF527" s="224"/>
      <c r="AG527"/>
      <c r="AH527"/>
      <c r="AI527">
        <v>140</v>
      </c>
      <c r="AJ527" s="194">
        <v>41785</v>
      </c>
      <c r="AK527"/>
      <c r="AL527"/>
      <c r="AM527"/>
      <c r="AN527"/>
      <c r="AO527"/>
      <c r="AP527"/>
      <c r="AQ527" s="227"/>
      <c r="AR527" s="2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 s="229"/>
      <c r="BX527"/>
      <c r="BY527"/>
      <c r="BZ527"/>
      <c r="CA527"/>
      <c r="CC527"/>
      <c r="CD527"/>
      <c r="CE527"/>
      <c r="CF527"/>
      <c r="CG527"/>
      <c r="CH527"/>
      <c r="CI527"/>
      <c r="CJ527"/>
      <c r="CK527" t="s">
        <v>8820</v>
      </c>
      <c r="CL527">
        <v>1</v>
      </c>
      <c r="CM527" s="392">
        <v>41802</v>
      </c>
    </row>
    <row r="528" spans="1:91" ht="15">
      <c r="A528" s="364" t="s">
        <v>7725</v>
      </c>
      <c r="B528" t="s">
        <v>265</v>
      </c>
      <c r="C528" t="s">
        <v>8213</v>
      </c>
      <c r="D528">
        <v>120</v>
      </c>
      <c r="E528" s="113">
        <v>45</v>
      </c>
      <c r="F528" s="113">
        <v>11</v>
      </c>
      <c r="I528"/>
      <c r="K528" s="224">
        <v>7</v>
      </c>
      <c r="L528" s="390">
        <v>41625</v>
      </c>
      <c r="M528"/>
      <c r="N528" s="224"/>
      <c r="O528"/>
      <c r="P528"/>
      <c r="Q528"/>
      <c r="S528" s="224"/>
      <c r="T528" s="224"/>
      <c r="U528"/>
      <c r="V528"/>
      <c r="W528"/>
      <c r="X528"/>
      <c r="Y528" s="225"/>
      <c r="Z528" s="224"/>
      <c r="AA528" s="226"/>
      <c r="AB528" s="224"/>
      <c r="AC528" s="225"/>
      <c r="AD528" s="224"/>
      <c r="AE528" s="224"/>
      <c r="AF528" s="224"/>
      <c r="AG528">
        <v>4.29</v>
      </c>
      <c r="AH528"/>
      <c r="AI528">
        <v>130</v>
      </c>
      <c r="AJ528" s="194">
        <v>41785</v>
      </c>
      <c r="AK528"/>
      <c r="AL528"/>
      <c r="AM528"/>
      <c r="AN528"/>
      <c r="AO528"/>
      <c r="AP528"/>
      <c r="AQ528" s="227"/>
      <c r="AR528" s="227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>
        <v>52.4</v>
      </c>
      <c r="BT528"/>
      <c r="BU528">
        <v>16.5</v>
      </c>
      <c r="BV528"/>
      <c r="BW528" s="229"/>
      <c r="BX528"/>
      <c r="BY528"/>
      <c r="BZ528"/>
      <c r="CA528"/>
      <c r="CC528"/>
      <c r="CD528"/>
      <c r="CE528">
        <v>5.4</v>
      </c>
      <c r="CF528"/>
      <c r="CG528">
        <v>0.1</v>
      </c>
      <c r="CH528"/>
      <c r="CI528"/>
      <c r="CJ528"/>
      <c r="CK528" t="s">
        <v>8820</v>
      </c>
      <c r="CL528">
        <v>1</v>
      </c>
      <c r="CM528" s="392">
        <v>41802</v>
      </c>
    </row>
    <row r="529" spans="1:91" ht="15">
      <c r="A529" s="364" t="s">
        <v>7726</v>
      </c>
      <c r="B529" t="s">
        <v>265</v>
      </c>
      <c r="C529" t="s">
        <v>8213</v>
      </c>
      <c r="D529">
        <v>121</v>
      </c>
      <c r="E529" s="113">
        <v>68</v>
      </c>
      <c r="F529" s="113">
        <v>11</v>
      </c>
      <c r="I529"/>
      <c r="K529" s="224">
        <v>6</v>
      </c>
      <c r="L529" s="390">
        <v>41625</v>
      </c>
      <c r="M529"/>
      <c r="N529" s="224"/>
      <c r="O529"/>
      <c r="P529"/>
      <c r="Q529"/>
      <c r="S529" s="224"/>
      <c r="T529" s="224"/>
      <c r="U529"/>
      <c r="V529"/>
      <c r="W529"/>
      <c r="X529"/>
      <c r="Y529" s="225"/>
      <c r="Z529" s="224"/>
      <c r="AA529" s="226"/>
      <c r="AB529" s="224"/>
      <c r="AC529" s="225"/>
      <c r="AD529" s="224"/>
      <c r="AE529" s="224"/>
      <c r="AF529" s="224"/>
      <c r="AG529">
        <v>3.82</v>
      </c>
      <c r="AH529"/>
      <c r="AI529">
        <v>130</v>
      </c>
      <c r="AJ529" s="194">
        <v>41785</v>
      </c>
      <c r="AK529"/>
      <c r="AL529"/>
      <c r="AM529"/>
      <c r="AN529"/>
      <c r="AO529"/>
      <c r="AP529"/>
      <c r="AQ529" s="227"/>
      <c r="AR529" s="227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>
        <v>52.5</v>
      </c>
      <c r="BT529"/>
      <c r="BU529">
        <v>14.7</v>
      </c>
      <c r="BV529"/>
      <c r="BW529" s="229"/>
      <c r="BX529"/>
      <c r="BY529"/>
      <c r="BZ529"/>
      <c r="CA529"/>
      <c r="CC529"/>
      <c r="CD529"/>
      <c r="CE529">
        <v>6.4</v>
      </c>
      <c r="CF529"/>
      <c r="CG529">
        <v>0.5</v>
      </c>
      <c r="CH529"/>
      <c r="CI529"/>
      <c r="CJ529"/>
      <c r="CK529" t="s">
        <v>8820</v>
      </c>
      <c r="CL529">
        <v>1</v>
      </c>
      <c r="CM529" s="392">
        <v>41802</v>
      </c>
    </row>
    <row r="530" spans="1:91" ht="15">
      <c r="A530" s="364" t="s">
        <v>7727</v>
      </c>
      <c r="B530" t="s">
        <v>265</v>
      </c>
      <c r="C530" t="s">
        <v>8213</v>
      </c>
      <c r="D530">
        <v>122</v>
      </c>
      <c r="E530" s="113">
        <v>39</v>
      </c>
      <c r="F530" s="113">
        <v>10</v>
      </c>
      <c r="I530"/>
      <c r="K530" s="224">
        <v>6</v>
      </c>
      <c r="L530" s="390">
        <v>41625</v>
      </c>
      <c r="M530"/>
      <c r="N530" s="224"/>
      <c r="O530"/>
      <c r="P530"/>
      <c r="Q530"/>
      <c r="S530" s="224"/>
      <c r="T530" s="224"/>
      <c r="U530"/>
      <c r="V530"/>
      <c r="W530"/>
      <c r="X530"/>
      <c r="Y530" s="225"/>
      <c r="Z530" s="224"/>
      <c r="AA530" s="226"/>
      <c r="AB530" s="224"/>
      <c r="AC530" s="225"/>
      <c r="AD530" s="224"/>
      <c r="AE530" s="224"/>
      <c r="AF530" s="224"/>
      <c r="AG530">
        <v>3.69</v>
      </c>
      <c r="AH530"/>
      <c r="AI530">
        <v>145</v>
      </c>
      <c r="AJ530" s="194">
        <v>41785</v>
      </c>
      <c r="AK530"/>
      <c r="AL530"/>
      <c r="AM530"/>
      <c r="AN530"/>
      <c r="AO530"/>
      <c r="AP530"/>
      <c r="AQ530" s="227"/>
      <c r="AR530" s="227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>
        <v>51.4</v>
      </c>
      <c r="BT530"/>
      <c r="BU530">
        <v>15.5</v>
      </c>
      <c r="BV530"/>
      <c r="BW530" s="229"/>
      <c r="BX530"/>
      <c r="BY530"/>
      <c r="BZ530"/>
      <c r="CA530"/>
      <c r="CC530"/>
      <c r="CD530"/>
      <c r="CE530">
        <v>6.1</v>
      </c>
      <c r="CF530"/>
      <c r="CG530">
        <v>0.5</v>
      </c>
      <c r="CH530"/>
      <c r="CI530"/>
      <c r="CJ530"/>
      <c r="CK530" t="s">
        <v>8820</v>
      </c>
      <c r="CL530">
        <v>1</v>
      </c>
      <c r="CM530" s="392">
        <v>41802</v>
      </c>
    </row>
    <row r="531" spans="1:91" ht="15">
      <c r="A531" s="364" t="s">
        <v>7728</v>
      </c>
      <c r="B531" t="s">
        <v>265</v>
      </c>
      <c r="C531" t="s">
        <v>8213</v>
      </c>
      <c r="D531" s="232">
        <v>123</v>
      </c>
      <c r="E531" s="113">
        <v>50</v>
      </c>
      <c r="F531" s="113">
        <v>11</v>
      </c>
      <c r="I531"/>
      <c r="K531" s="224">
        <v>7</v>
      </c>
      <c r="L531" s="390">
        <v>41625</v>
      </c>
      <c r="M531"/>
      <c r="N531" s="224"/>
      <c r="O531"/>
      <c r="P531"/>
      <c r="Q531"/>
      <c r="S531" s="224"/>
      <c r="T531" s="224"/>
      <c r="U531"/>
      <c r="V531"/>
      <c r="W531"/>
      <c r="X531"/>
      <c r="Y531" s="225"/>
      <c r="Z531" s="224"/>
      <c r="AA531" s="226"/>
      <c r="AB531" s="224"/>
      <c r="AC531" s="225"/>
      <c r="AD531" s="224"/>
      <c r="AE531" s="224"/>
      <c r="AF531" s="224"/>
      <c r="AG531">
        <v>3.98</v>
      </c>
      <c r="AH531"/>
      <c r="AI531">
        <v>140</v>
      </c>
      <c r="AJ531" s="194">
        <v>41785</v>
      </c>
      <c r="AK531"/>
      <c r="AL531"/>
      <c r="AM531"/>
      <c r="AN531"/>
      <c r="AO531"/>
      <c r="AP531"/>
      <c r="AQ531" s="227"/>
      <c r="AR531" s="227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>
        <v>52.7</v>
      </c>
      <c r="BT531"/>
      <c r="BU531">
        <v>16.899999999999999</v>
      </c>
      <c r="BV531"/>
      <c r="BW531" s="229"/>
      <c r="BX531"/>
      <c r="BY531"/>
      <c r="BZ531"/>
      <c r="CA531"/>
      <c r="CC531"/>
      <c r="CD531"/>
      <c r="CE531">
        <v>5.3</v>
      </c>
      <c r="CF531"/>
      <c r="CG531">
        <v>1.3</v>
      </c>
      <c r="CH531"/>
      <c r="CI531"/>
      <c r="CJ531"/>
      <c r="CK531" t="s">
        <v>8820</v>
      </c>
      <c r="CL531">
        <v>1</v>
      </c>
      <c r="CM531" s="392">
        <v>41802</v>
      </c>
    </row>
    <row r="532" spans="1:91" ht="15">
      <c r="A532" s="364" t="s">
        <v>7729</v>
      </c>
      <c r="B532" t="s">
        <v>265</v>
      </c>
      <c r="C532" t="s">
        <v>8213</v>
      </c>
      <c r="D532">
        <v>124</v>
      </c>
      <c r="E532" s="113">
        <v>56</v>
      </c>
      <c r="F532" s="113">
        <v>12</v>
      </c>
      <c r="I532"/>
      <c r="K532" s="224">
        <v>7</v>
      </c>
      <c r="L532" s="390">
        <v>41625</v>
      </c>
      <c r="M532"/>
      <c r="N532" s="224"/>
      <c r="O532"/>
      <c r="P532"/>
      <c r="Q532"/>
      <c r="S532" s="224"/>
      <c r="T532" s="224"/>
      <c r="U532"/>
      <c r="V532"/>
      <c r="W532"/>
      <c r="X532"/>
      <c r="Y532" s="225"/>
      <c r="Z532" s="224"/>
      <c r="AA532" s="226"/>
      <c r="AB532" s="224"/>
      <c r="AC532" s="225"/>
      <c r="AD532" s="224"/>
      <c r="AE532" s="224"/>
      <c r="AF532" s="224"/>
      <c r="AG532">
        <v>3.5</v>
      </c>
      <c r="AH532"/>
      <c r="AI532">
        <v>160</v>
      </c>
      <c r="AJ532" s="194">
        <v>41785</v>
      </c>
      <c r="AK532"/>
      <c r="AL532"/>
      <c r="AM532"/>
      <c r="AN532"/>
      <c r="AO532"/>
      <c r="AP532"/>
      <c r="AQ532" s="227"/>
      <c r="AR532" s="227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>
        <v>50.8</v>
      </c>
      <c r="BT532"/>
      <c r="BU532">
        <v>16.3</v>
      </c>
      <c r="BV532"/>
      <c r="BW532" s="229"/>
      <c r="BX532"/>
      <c r="BY532"/>
      <c r="BZ532"/>
      <c r="CA532"/>
      <c r="CC532"/>
      <c r="CD532"/>
      <c r="CE532">
        <v>5.4</v>
      </c>
      <c r="CF532"/>
      <c r="CG532">
        <v>0.8</v>
      </c>
      <c r="CH532"/>
      <c r="CI532"/>
      <c r="CJ532"/>
      <c r="CK532" t="s">
        <v>8820</v>
      </c>
      <c r="CL532">
        <v>2.8</v>
      </c>
      <c r="CM532" s="392">
        <v>41802</v>
      </c>
    </row>
    <row r="533" spans="1:91" s="242" customFormat="1" ht="15">
      <c r="A533" s="364" t="s">
        <v>7730</v>
      </c>
      <c r="B533" s="362" t="s">
        <v>265</v>
      </c>
      <c r="C533" s="362" t="s">
        <v>8213</v>
      </c>
      <c r="D533">
        <v>125</v>
      </c>
      <c r="E533" s="113">
        <v>72</v>
      </c>
      <c r="F533" s="113">
        <v>9</v>
      </c>
      <c r="G533" s="113"/>
      <c r="H533" s="113"/>
      <c r="I533"/>
      <c r="J533" s="112"/>
      <c r="K533" s="224">
        <v>7</v>
      </c>
      <c r="L533" s="390">
        <v>41625</v>
      </c>
      <c r="M533"/>
      <c r="N533" s="224"/>
      <c r="O533"/>
      <c r="P533"/>
      <c r="Q533"/>
      <c r="R533" s="153"/>
      <c r="S533" s="224"/>
      <c r="T533" s="224"/>
      <c r="U533"/>
      <c r="V533"/>
      <c r="W533"/>
      <c r="X533"/>
      <c r="Y533" s="225"/>
      <c r="Z533" s="224"/>
      <c r="AA533" s="226"/>
      <c r="AB533" s="224"/>
      <c r="AC533" s="225"/>
      <c r="AD533" s="224"/>
      <c r="AE533" s="224"/>
      <c r="AF533" s="224"/>
      <c r="AG533">
        <v>3.98</v>
      </c>
      <c r="AH533"/>
      <c r="AI533">
        <v>145</v>
      </c>
      <c r="AJ533" s="194">
        <v>41785</v>
      </c>
      <c r="AK533"/>
      <c r="AL533"/>
      <c r="AM533"/>
      <c r="AN533"/>
      <c r="AO533"/>
      <c r="AP533"/>
      <c r="AQ533" s="227"/>
      <c r="AR533" s="227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>
        <v>51.4</v>
      </c>
      <c r="BT533"/>
      <c r="BU533">
        <v>17.399999999999999</v>
      </c>
      <c r="BV533"/>
      <c r="BW533" s="229"/>
      <c r="BX533"/>
      <c r="BY533"/>
      <c r="BZ533"/>
      <c r="CA533"/>
      <c r="CB533" s="136"/>
      <c r="CC533"/>
      <c r="CD533"/>
      <c r="CE533">
        <v>7.7</v>
      </c>
      <c r="CF533"/>
      <c r="CG533">
        <v>0.1</v>
      </c>
      <c r="CH533"/>
      <c r="CI533"/>
      <c r="CJ533"/>
      <c r="CK533" t="s">
        <v>8820</v>
      </c>
      <c r="CL533">
        <v>1</v>
      </c>
      <c r="CM533" s="392">
        <v>41802</v>
      </c>
    </row>
    <row r="534" spans="1:91" s="242" customFormat="1" ht="15">
      <c r="A534" s="364" t="s">
        <v>7731</v>
      </c>
      <c r="B534" t="s">
        <v>265</v>
      </c>
      <c r="C534" t="s">
        <v>8213</v>
      </c>
      <c r="D534">
        <v>126</v>
      </c>
      <c r="E534" s="113">
        <v>60</v>
      </c>
      <c r="F534" s="113">
        <v>8</v>
      </c>
      <c r="G534" s="233"/>
      <c r="H534" s="233"/>
      <c r="I534" s="232"/>
      <c r="J534" s="234"/>
      <c r="K534" s="235">
        <v>7</v>
      </c>
      <c r="L534" s="390">
        <v>41625</v>
      </c>
      <c r="M534" s="232"/>
      <c r="N534" s="235"/>
      <c r="O534" s="232"/>
      <c r="P534" s="232"/>
      <c r="Q534" s="232"/>
      <c r="R534" s="236"/>
      <c r="S534" s="235"/>
      <c r="T534" s="235"/>
      <c r="U534" s="232"/>
      <c r="V534" s="232"/>
      <c r="W534" s="232"/>
      <c r="X534" s="232"/>
      <c r="Y534" s="237"/>
      <c r="Z534" s="235"/>
      <c r="AA534" s="238"/>
      <c r="AB534" s="235"/>
      <c r="AC534" s="237"/>
      <c r="AD534" s="235"/>
      <c r="AE534" s="235"/>
      <c r="AF534" s="235"/>
      <c r="AG534" s="232">
        <v>5.01</v>
      </c>
      <c r="AH534" s="232"/>
      <c r="AI534" s="232">
        <v>150</v>
      </c>
      <c r="AJ534" s="194">
        <v>41785</v>
      </c>
      <c r="AK534" s="232"/>
      <c r="AL534" s="232"/>
      <c r="AM534" s="232"/>
      <c r="AN534" s="232"/>
      <c r="AO534" s="232"/>
      <c r="AP534" s="232"/>
      <c r="AQ534" s="239"/>
      <c r="AR534" s="239"/>
      <c r="AS534" s="232"/>
      <c r="AT534" s="232"/>
      <c r="AU534" s="232"/>
      <c r="AV534" s="232"/>
      <c r="AW534" s="232"/>
      <c r="AX534" s="232"/>
      <c r="AY534" s="232"/>
      <c r="AZ534" s="232"/>
      <c r="BA534" s="232"/>
      <c r="BB534" s="232"/>
      <c r="BC534" s="232"/>
      <c r="BD534" s="232"/>
      <c r="BE534" s="232"/>
      <c r="BF534" s="232"/>
      <c r="BG534" s="232"/>
      <c r="BH534" s="232"/>
      <c r="BI534" s="232"/>
      <c r="BJ534" s="232"/>
      <c r="BK534" s="232"/>
      <c r="BL534" s="232"/>
      <c r="BM534" s="232"/>
      <c r="BN534" s="232"/>
      <c r="BO534" s="232"/>
      <c r="BP534" s="232"/>
      <c r="BQ534" s="232"/>
      <c r="BR534" s="232"/>
      <c r="BS534" s="232">
        <v>51.7</v>
      </c>
      <c r="BT534" s="232"/>
      <c r="BU534" s="232">
        <v>17.399999999999999</v>
      </c>
      <c r="BV534" s="232"/>
      <c r="BW534" s="240"/>
      <c r="BX534" s="232"/>
      <c r="BY534" s="232"/>
      <c r="BZ534" s="232"/>
      <c r="CA534" s="232"/>
      <c r="CB534" s="241"/>
      <c r="CC534" s="232"/>
      <c r="CD534" s="232"/>
      <c r="CE534" s="232">
        <v>5.0999999999999996</v>
      </c>
      <c r="CF534" s="232"/>
      <c r="CG534" s="232">
        <v>1.9</v>
      </c>
      <c r="CH534" s="232"/>
      <c r="CI534" s="232"/>
      <c r="CJ534" s="232"/>
      <c r="CK534" t="s">
        <v>8820</v>
      </c>
      <c r="CL534" s="232">
        <v>1</v>
      </c>
      <c r="CM534" s="392">
        <v>41802</v>
      </c>
    </row>
    <row r="535" spans="1:91" s="242" customFormat="1" ht="15">
      <c r="A535" s="364" t="s">
        <v>7732</v>
      </c>
      <c r="B535" t="s">
        <v>265</v>
      </c>
      <c r="C535" t="s">
        <v>8213</v>
      </c>
      <c r="D535">
        <v>127</v>
      </c>
      <c r="E535" s="113">
        <v>49</v>
      </c>
      <c r="F535" s="113">
        <v>11</v>
      </c>
      <c r="G535" s="113"/>
      <c r="H535" s="113"/>
      <c r="I535"/>
      <c r="J535" s="112"/>
      <c r="K535" s="224">
        <v>7</v>
      </c>
      <c r="L535" s="390">
        <v>41625</v>
      </c>
      <c r="M535"/>
      <c r="N535" s="224"/>
      <c r="O535"/>
      <c r="P535"/>
      <c r="Q535"/>
      <c r="R535" s="153"/>
      <c r="S535" s="224"/>
      <c r="T535" s="224"/>
      <c r="U535"/>
      <c r="V535"/>
      <c r="W535"/>
      <c r="X535"/>
      <c r="Y535" s="225"/>
      <c r="Z535" s="224"/>
      <c r="AA535" s="226"/>
      <c r="AB535" s="224"/>
      <c r="AC535" s="225"/>
      <c r="AD535" s="224"/>
      <c r="AE535" s="224"/>
      <c r="AF535" s="224"/>
      <c r="AG535">
        <v>3.83</v>
      </c>
      <c r="AH535"/>
      <c r="AI535">
        <v>140</v>
      </c>
      <c r="AJ535" s="194">
        <v>41785</v>
      </c>
      <c r="AK535"/>
      <c r="AL535"/>
      <c r="AM535"/>
      <c r="AN535"/>
      <c r="AO535"/>
      <c r="AP535"/>
      <c r="AQ535" s="227"/>
      <c r="AR535" s="227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>
        <v>52.3</v>
      </c>
      <c r="BT535"/>
      <c r="BU535">
        <v>15.9</v>
      </c>
      <c r="BV535"/>
      <c r="BW535" s="229"/>
      <c r="BX535"/>
      <c r="BY535"/>
      <c r="BZ535"/>
      <c r="CA535"/>
      <c r="CB535" s="136"/>
      <c r="CC535"/>
      <c r="CD535"/>
      <c r="CE535">
        <v>4.4000000000000004</v>
      </c>
      <c r="CF535"/>
      <c r="CG535">
        <v>0.4</v>
      </c>
      <c r="CH535"/>
      <c r="CI535"/>
      <c r="CJ535"/>
      <c r="CK535" t="s">
        <v>8820</v>
      </c>
      <c r="CL535">
        <v>1</v>
      </c>
      <c r="CM535" s="392">
        <v>41802</v>
      </c>
    </row>
    <row r="536" spans="1:91" s="242" customFormat="1" ht="15">
      <c r="A536" s="364" t="s">
        <v>7733</v>
      </c>
      <c r="B536" t="s">
        <v>265</v>
      </c>
      <c r="C536" t="s">
        <v>8213</v>
      </c>
      <c r="D536">
        <v>128</v>
      </c>
      <c r="E536" s="113">
        <v>38</v>
      </c>
      <c r="F536" s="113">
        <v>9</v>
      </c>
      <c r="G536" s="113"/>
      <c r="H536" s="113"/>
      <c r="I536"/>
      <c r="J536" s="112"/>
      <c r="K536" s="224">
        <v>7</v>
      </c>
      <c r="L536" s="390">
        <v>41625</v>
      </c>
      <c r="M536"/>
      <c r="N536" s="224"/>
      <c r="O536"/>
      <c r="P536"/>
      <c r="Q536"/>
      <c r="R536" s="153"/>
      <c r="S536" s="224"/>
      <c r="T536" s="224"/>
      <c r="U536"/>
      <c r="V536"/>
      <c r="W536"/>
      <c r="X536"/>
      <c r="Y536" s="225"/>
      <c r="Z536" s="224"/>
      <c r="AA536" s="226"/>
      <c r="AB536" s="224"/>
      <c r="AC536" s="225"/>
      <c r="AD536" s="224"/>
      <c r="AE536" s="224"/>
      <c r="AF536" s="224"/>
      <c r="AG536">
        <v>3.8</v>
      </c>
      <c r="AH536"/>
      <c r="AI536">
        <v>130</v>
      </c>
      <c r="AJ536" s="194">
        <v>41785</v>
      </c>
      <c r="AK536"/>
      <c r="AL536"/>
      <c r="AM536"/>
      <c r="AN536"/>
      <c r="AO536"/>
      <c r="AP536"/>
      <c r="AQ536" s="227"/>
      <c r="AR536" s="227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>
        <v>52.1</v>
      </c>
      <c r="BT536"/>
      <c r="BU536">
        <v>16.5</v>
      </c>
      <c r="BV536"/>
      <c r="BW536" s="229"/>
      <c r="BX536"/>
      <c r="BY536"/>
      <c r="BZ536"/>
      <c r="CA536"/>
      <c r="CB536" s="136"/>
      <c r="CC536"/>
      <c r="CD536"/>
      <c r="CE536">
        <v>5.6</v>
      </c>
      <c r="CF536"/>
      <c r="CG536">
        <v>1.6</v>
      </c>
      <c r="CH536"/>
      <c r="CI536"/>
      <c r="CJ536"/>
      <c r="CK536" t="s">
        <v>8820</v>
      </c>
      <c r="CL536">
        <v>7</v>
      </c>
      <c r="CM536" s="392">
        <v>41802</v>
      </c>
    </row>
    <row r="537" spans="1:91" ht="15">
      <c r="A537" s="364" t="s">
        <v>7734</v>
      </c>
      <c r="B537" t="s">
        <v>265</v>
      </c>
      <c r="C537" t="s">
        <v>8213</v>
      </c>
      <c r="D537" s="232">
        <v>129</v>
      </c>
      <c r="E537" s="113">
        <v>71</v>
      </c>
      <c r="F537" s="113">
        <v>11</v>
      </c>
      <c r="G537" s="233"/>
      <c r="H537" s="233"/>
      <c r="I537" s="232"/>
      <c r="J537" s="234"/>
      <c r="K537" s="235">
        <v>7</v>
      </c>
      <c r="L537" s="390">
        <v>41625</v>
      </c>
      <c r="M537" s="232"/>
      <c r="N537" s="235"/>
      <c r="O537" s="232"/>
      <c r="P537" s="232"/>
      <c r="Q537" s="232"/>
      <c r="R537" s="236"/>
      <c r="S537" s="235"/>
      <c r="T537" s="235"/>
      <c r="U537" s="232"/>
      <c r="V537" s="232"/>
      <c r="W537" s="232"/>
      <c r="X537" s="232"/>
      <c r="Y537" s="237"/>
      <c r="Z537" s="235"/>
      <c r="AA537" s="238"/>
      <c r="AB537" s="235"/>
      <c r="AC537" s="237"/>
      <c r="AD537" s="235"/>
      <c r="AE537" s="235"/>
      <c r="AF537" s="235"/>
      <c r="AG537" s="232">
        <v>4.09</v>
      </c>
      <c r="AH537" s="232"/>
      <c r="AI537" s="232">
        <v>140</v>
      </c>
      <c r="AJ537" s="194">
        <v>41785</v>
      </c>
      <c r="AK537" s="232"/>
      <c r="AL537" s="232"/>
      <c r="AM537" s="232"/>
      <c r="AN537" s="232"/>
      <c r="AO537" s="232"/>
      <c r="AP537" s="232"/>
      <c r="AQ537" s="239"/>
      <c r="AR537" s="239"/>
      <c r="AS537" s="232"/>
      <c r="AT537" s="232"/>
      <c r="AU537" s="232"/>
      <c r="AV537" s="232"/>
      <c r="AW537" s="232"/>
      <c r="AX537" s="232"/>
      <c r="AY537" s="232"/>
      <c r="AZ537" s="232"/>
      <c r="BA537" s="232"/>
      <c r="BB537" s="232"/>
      <c r="BC537" s="232"/>
      <c r="BD537" s="232"/>
      <c r="BE537" s="232"/>
      <c r="BF537" s="232"/>
      <c r="BG537" s="232"/>
      <c r="BH537" s="232"/>
      <c r="BI537" s="232"/>
      <c r="BJ537" s="232"/>
      <c r="BK537" s="232"/>
      <c r="BL537" s="232"/>
      <c r="BM537" s="232"/>
      <c r="BN537" s="232"/>
      <c r="BO537" s="232"/>
      <c r="BP537" s="232"/>
      <c r="BQ537" s="232"/>
      <c r="BR537" s="232"/>
      <c r="BS537" s="232">
        <v>51.9</v>
      </c>
      <c r="BT537" s="232"/>
      <c r="BU537" s="232">
        <v>16.100000000000001</v>
      </c>
      <c r="BV537" s="232"/>
      <c r="BW537" s="240"/>
      <c r="BX537" s="232"/>
      <c r="BY537" s="232"/>
      <c r="BZ537" s="232"/>
      <c r="CA537" s="232"/>
      <c r="CB537" s="241"/>
      <c r="CC537" s="232"/>
      <c r="CD537" s="232"/>
      <c r="CE537" s="232">
        <v>5.9</v>
      </c>
      <c r="CF537" s="232"/>
      <c r="CG537" s="232">
        <v>0.7</v>
      </c>
      <c r="CH537" s="232"/>
      <c r="CI537" s="232"/>
      <c r="CJ537" s="232"/>
      <c r="CK537" t="s">
        <v>8820</v>
      </c>
      <c r="CL537" s="232">
        <v>1</v>
      </c>
      <c r="CM537" s="392">
        <v>41802</v>
      </c>
    </row>
    <row r="538" spans="1:91" ht="15">
      <c r="A538" s="364" t="s">
        <v>7735</v>
      </c>
      <c r="B538" t="s">
        <v>265</v>
      </c>
      <c r="C538" t="s">
        <v>8213</v>
      </c>
      <c r="D538">
        <v>130</v>
      </c>
      <c r="E538" s="113">
        <v>68</v>
      </c>
      <c r="F538" s="113">
        <v>12</v>
      </c>
      <c r="G538" s="233"/>
      <c r="H538" s="233"/>
      <c r="I538" s="232"/>
      <c r="J538" s="234"/>
      <c r="K538" s="235">
        <v>7</v>
      </c>
      <c r="L538" s="390">
        <v>41625</v>
      </c>
      <c r="M538" s="232"/>
      <c r="N538" s="235"/>
      <c r="O538" s="232"/>
      <c r="P538" s="232"/>
      <c r="Q538" s="232"/>
      <c r="R538" s="236"/>
      <c r="S538" s="235"/>
      <c r="T538" s="235"/>
      <c r="U538" s="232"/>
      <c r="V538" s="232"/>
      <c r="W538" s="232"/>
      <c r="X538" s="232"/>
      <c r="Y538" s="237"/>
      <c r="Z538" s="235"/>
      <c r="AA538" s="238"/>
      <c r="AB538" s="235"/>
      <c r="AC538" s="237"/>
      <c r="AD538" s="235"/>
      <c r="AE538" s="235"/>
      <c r="AF538" s="235"/>
      <c r="AG538" s="232">
        <v>3.9</v>
      </c>
      <c r="AH538" s="232"/>
      <c r="AI538" s="232">
        <v>140</v>
      </c>
      <c r="AJ538" s="194">
        <v>41785</v>
      </c>
      <c r="AK538" s="232"/>
      <c r="AL538" s="232"/>
      <c r="AM538" s="232"/>
      <c r="AN538" s="232"/>
      <c r="AO538" s="232"/>
      <c r="AP538" s="232"/>
      <c r="AQ538" s="239"/>
      <c r="AR538" s="239"/>
      <c r="AS538" s="232"/>
      <c r="AT538" s="232"/>
      <c r="AU538" s="232"/>
      <c r="AV538" s="232"/>
      <c r="AW538" s="232"/>
      <c r="AX538" s="232"/>
      <c r="AY538" s="232"/>
      <c r="AZ538" s="232"/>
      <c r="BA538" s="232"/>
      <c r="BB538" s="232"/>
      <c r="BC538" s="232"/>
      <c r="BD538" s="232"/>
      <c r="BE538" s="232"/>
      <c r="BF538" s="232"/>
      <c r="BG538" s="232"/>
      <c r="BH538" s="232"/>
      <c r="BI538" s="232"/>
      <c r="BJ538" s="232"/>
      <c r="BK538" s="232"/>
      <c r="BL538" s="232"/>
      <c r="BM538" s="232"/>
      <c r="BN538" s="232"/>
      <c r="BO538" s="232"/>
      <c r="BP538" s="232"/>
      <c r="BQ538" s="232"/>
      <c r="BR538" s="232"/>
      <c r="BS538" s="232">
        <v>51.9</v>
      </c>
      <c r="BT538" s="232"/>
      <c r="BU538" s="232">
        <v>15.2</v>
      </c>
      <c r="BV538" s="232"/>
      <c r="BW538" s="240"/>
      <c r="BX538" s="232"/>
      <c r="BY538" s="232"/>
      <c r="BZ538" s="232"/>
      <c r="CA538" s="232"/>
      <c r="CB538" s="241"/>
      <c r="CC538" s="232"/>
      <c r="CD538" s="232"/>
      <c r="CE538" s="232">
        <v>6.3</v>
      </c>
      <c r="CF538" s="232"/>
      <c r="CG538" s="232">
        <v>0.4</v>
      </c>
      <c r="CH538" s="232"/>
      <c r="CI538" s="232"/>
      <c r="CJ538" s="232"/>
      <c r="CK538" t="s">
        <v>8820</v>
      </c>
      <c r="CL538" s="232">
        <v>1</v>
      </c>
      <c r="CM538" s="392">
        <v>41802</v>
      </c>
    </row>
    <row r="539" spans="1:91" ht="15">
      <c r="A539" s="364" t="s">
        <v>7736</v>
      </c>
      <c r="B539" t="s">
        <v>265</v>
      </c>
      <c r="C539" t="s">
        <v>8213</v>
      </c>
      <c r="D539">
        <v>131</v>
      </c>
      <c r="E539" s="113">
        <v>53</v>
      </c>
      <c r="F539" s="113">
        <v>10</v>
      </c>
      <c r="I539"/>
      <c r="K539" s="224">
        <v>7</v>
      </c>
      <c r="L539" s="390">
        <v>41625</v>
      </c>
      <c r="M539"/>
      <c r="N539" s="224"/>
      <c r="O539"/>
      <c r="P539"/>
      <c r="Q539"/>
      <c r="S539" s="224"/>
      <c r="T539" s="224"/>
      <c r="U539"/>
      <c r="V539"/>
      <c r="W539"/>
      <c r="X539"/>
      <c r="Y539" s="225"/>
      <c r="Z539" s="224"/>
      <c r="AA539" s="226"/>
      <c r="AB539" s="224"/>
      <c r="AC539" s="225"/>
      <c r="AD539" s="224"/>
      <c r="AE539" s="224"/>
      <c r="AF539" s="224"/>
      <c r="AG539">
        <v>4.58</v>
      </c>
      <c r="AH539"/>
      <c r="AI539">
        <v>135</v>
      </c>
      <c r="AJ539" s="194">
        <v>41785</v>
      </c>
      <c r="AK539"/>
      <c r="AL539"/>
      <c r="AM539"/>
      <c r="AN539"/>
      <c r="AO539"/>
      <c r="AP539"/>
      <c r="AQ539" s="227"/>
      <c r="AR539" s="227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>
        <v>53.2</v>
      </c>
      <c r="BT539"/>
      <c r="BU539">
        <v>17.399999999999999</v>
      </c>
      <c r="BV539"/>
      <c r="BW539" s="229"/>
      <c r="BX539"/>
      <c r="BY539"/>
      <c r="BZ539"/>
      <c r="CA539"/>
      <c r="CC539"/>
      <c r="CD539"/>
      <c r="CE539">
        <v>4.8</v>
      </c>
      <c r="CF539"/>
      <c r="CG539">
        <v>1.5</v>
      </c>
      <c r="CH539"/>
      <c r="CI539"/>
      <c r="CJ539"/>
      <c r="CK539" t="s">
        <v>8820</v>
      </c>
      <c r="CL539">
        <v>7</v>
      </c>
      <c r="CM539" s="392">
        <v>41802</v>
      </c>
    </row>
    <row r="540" spans="1:91" ht="15">
      <c r="A540" s="364" t="s">
        <v>7737</v>
      </c>
      <c r="B540" t="s">
        <v>265</v>
      </c>
      <c r="C540" t="s">
        <v>8213</v>
      </c>
      <c r="D540">
        <v>132</v>
      </c>
      <c r="E540" s="113">
        <v>65</v>
      </c>
      <c r="F540" s="113">
        <v>10</v>
      </c>
      <c r="I540"/>
      <c r="K540" s="224">
        <v>7</v>
      </c>
      <c r="L540" s="390">
        <v>41625</v>
      </c>
      <c r="M540"/>
      <c r="N540" s="224"/>
      <c r="O540"/>
      <c r="P540"/>
      <c r="Q540"/>
      <c r="S540" s="224"/>
      <c r="T540" s="224"/>
      <c r="U540"/>
      <c r="V540"/>
      <c r="W540"/>
      <c r="X540"/>
      <c r="Y540" s="225"/>
      <c r="Z540" s="224"/>
      <c r="AA540" s="226"/>
      <c r="AB540" s="224"/>
      <c r="AC540" s="225"/>
      <c r="AD540" s="224"/>
      <c r="AE540" s="224"/>
      <c r="AF540" s="224"/>
      <c r="AG540">
        <v>3.84</v>
      </c>
      <c r="AH540"/>
      <c r="AI540">
        <v>145</v>
      </c>
      <c r="AJ540" s="194">
        <v>41785</v>
      </c>
      <c r="AK540"/>
      <c r="AL540"/>
      <c r="AM540"/>
      <c r="AN540"/>
      <c r="AO540"/>
      <c r="AP540"/>
      <c r="AQ540" s="227"/>
      <c r="AR540" s="227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>
        <v>55.4</v>
      </c>
      <c r="BT540"/>
      <c r="BU540">
        <v>13</v>
      </c>
      <c r="BV540"/>
      <c r="BW540" s="229"/>
      <c r="BX540"/>
      <c r="BY540"/>
      <c r="BZ540"/>
      <c r="CA540"/>
      <c r="CC540"/>
      <c r="CD540"/>
      <c r="CE540">
        <v>5</v>
      </c>
      <c r="CF540"/>
      <c r="CG540">
        <v>0.8</v>
      </c>
      <c r="CH540"/>
      <c r="CI540"/>
      <c r="CJ540"/>
      <c r="CK540" t="s">
        <v>8820</v>
      </c>
      <c r="CL540">
        <v>1</v>
      </c>
      <c r="CM540" s="392">
        <v>41802</v>
      </c>
    </row>
    <row r="541" spans="1:91" ht="15">
      <c r="A541" s="364" t="s">
        <v>7738</v>
      </c>
      <c r="B541" t="s">
        <v>265</v>
      </c>
      <c r="C541" t="s">
        <v>8213</v>
      </c>
      <c r="D541">
        <v>133</v>
      </c>
      <c r="E541" s="113">
        <v>70</v>
      </c>
      <c r="F541" s="113">
        <v>11</v>
      </c>
      <c r="I541"/>
      <c r="K541" s="224">
        <v>7</v>
      </c>
      <c r="L541" s="390">
        <v>41625</v>
      </c>
      <c r="M541"/>
      <c r="N541" s="224"/>
      <c r="O541"/>
      <c r="P541"/>
      <c r="Q541"/>
      <c r="S541" s="224"/>
      <c r="T541" s="224"/>
      <c r="U541"/>
      <c r="V541"/>
      <c r="W541"/>
      <c r="X541"/>
      <c r="Y541" s="225"/>
      <c r="Z541" s="224"/>
      <c r="AA541" s="226"/>
      <c r="AB541" s="224"/>
      <c r="AC541" s="225"/>
      <c r="AD541" s="224"/>
      <c r="AE541" s="224"/>
      <c r="AF541" s="224"/>
      <c r="AG541">
        <v>3.94</v>
      </c>
      <c r="AH541"/>
      <c r="AI541">
        <v>133</v>
      </c>
      <c r="AJ541" s="194">
        <v>41785</v>
      </c>
      <c r="AK541"/>
      <c r="AL541"/>
      <c r="AM541"/>
      <c r="AN541"/>
      <c r="AO541"/>
      <c r="AP541"/>
      <c r="AQ541" s="227"/>
      <c r="AR541" s="227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>
        <v>53.1</v>
      </c>
      <c r="BT541"/>
      <c r="BU541">
        <v>13.6</v>
      </c>
      <c r="BV541"/>
      <c r="BW541" s="229"/>
      <c r="BX541"/>
      <c r="BY541"/>
      <c r="BZ541"/>
      <c r="CA541"/>
      <c r="CC541"/>
      <c r="CD541"/>
      <c r="CE541">
        <v>6.3</v>
      </c>
      <c r="CF541"/>
      <c r="CG541">
        <v>0.7</v>
      </c>
      <c r="CH541"/>
      <c r="CI541"/>
      <c r="CJ541"/>
      <c r="CK541" t="s">
        <v>8820</v>
      </c>
      <c r="CL541">
        <v>3</v>
      </c>
      <c r="CM541" s="392">
        <v>41802</v>
      </c>
    </row>
    <row r="542" spans="1:91" ht="15">
      <c r="A542" s="364" t="s">
        <v>7739</v>
      </c>
      <c r="B542" t="s">
        <v>265</v>
      </c>
      <c r="C542" t="s">
        <v>8213</v>
      </c>
      <c r="D542" s="232">
        <v>134</v>
      </c>
      <c r="E542" s="113">
        <v>62</v>
      </c>
      <c r="F542" s="113">
        <v>10</v>
      </c>
      <c r="G542" s="233"/>
      <c r="H542" s="233"/>
      <c r="I542" s="232"/>
      <c r="J542" s="234"/>
      <c r="K542" s="235">
        <v>7</v>
      </c>
      <c r="L542" s="390">
        <v>41625</v>
      </c>
      <c r="M542" s="232"/>
      <c r="N542" s="235"/>
      <c r="O542" s="232"/>
      <c r="P542" s="232"/>
      <c r="Q542" s="232"/>
      <c r="R542" s="236"/>
      <c r="S542" s="235"/>
      <c r="T542" s="235"/>
      <c r="U542" s="232"/>
      <c r="V542" s="232"/>
      <c r="W542" s="232"/>
      <c r="X542" s="232"/>
      <c r="Y542" s="237"/>
      <c r="Z542" s="235"/>
      <c r="AA542" s="238"/>
      <c r="AB542" s="235"/>
      <c r="AC542" s="237"/>
      <c r="AD542" s="235"/>
      <c r="AE542" s="235"/>
      <c r="AF542" s="235"/>
      <c r="AG542" s="232">
        <v>3.76</v>
      </c>
      <c r="AH542" s="232"/>
      <c r="AI542" s="232">
        <v>145</v>
      </c>
      <c r="AJ542" s="194">
        <v>41785</v>
      </c>
      <c r="AK542" s="232"/>
      <c r="AL542" s="232"/>
      <c r="AM542" s="232"/>
      <c r="AN542" s="232"/>
      <c r="AO542" s="232"/>
      <c r="AP542" s="232"/>
      <c r="AQ542" s="239"/>
      <c r="AR542" s="239"/>
      <c r="AS542" s="232"/>
      <c r="AT542" s="232"/>
      <c r="AU542" s="232"/>
      <c r="AV542" s="232"/>
      <c r="AW542" s="232"/>
      <c r="AX542" s="232"/>
      <c r="AY542" s="232"/>
      <c r="AZ542" s="232"/>
      <c r="BA542" s="232"/>
      <c r="BB542" s="232"/>
      <c r="BC542" s="232"/>
      <c r="BD542" s="232"/>
      <c r="BE542" s="232"/>
      <c r="BF542" s="232"/>
      <c r="BG542" s="232"/>
      <c r="BH542" s="232"/>
      <c r="BI542" s="232"/>
      <c r="BJ542" s="232"/>
      <c r="BK542" s="232"/>
      <c r="BL542" s="232"/>
      <c r="BM542" s="232"/>
      <c r="BN542" s="232"/>
      <c r="BO542" s="232"/>
      <c r="BP542" s="232"/>
      <c r="BQ542" s="232"/>
      <c r="BR542" s="232"/>
      <c r="BS542" s="232">
        <v>54.7</v>
      </c>
      <c r="BT542" s="232"/>
      <c r="BU542" s="232">
        <v>14.1</v>
      </c>
      <c r="BV542" s="232"/>
      <c r="BW542" s="240"/>
      <c r="BX542" s="232"/>
      <c r="BY542" s="232"/>
      <c r="BZ542" s="232"/>
      <c r="CA542" s="232"/>
      <c r="CB542" s="241"/>
      <c r="CC542" s="232"/>
      <c r="CD542" s="232"/>
      <c r="CE542" s="232">
        <v>4.7</v>
      </c>
      <c r="CF542" s="232"/>
      <c r="CG542" s="232">
        <v>1.6</v>
      </c>
      <c r="CH542" s="232"/>
      <c r="CI542" s="232"/>
      <c r="CJ542" s="232"/>
      <c r="CK542" t="s">
        <v>8820</v>
      </c>
      <c r="CL542" s="232">
        <v>1</v>
      </c>
      <c r="CM542" s="392">
        <v>41802</v>
      </c>
    </row>
    <row r="543" spans="1:91" ht="15">
      <c r="A543" s="364" t="s">
        <v>7740</v>
      </c>
      <c r="B543" t="s">
        <v>265</v>
      </c>
      <c r="C543" t="s">
        <v>8213</v>
      </c>
      <c r="D543" s="232">
        <v>135</v>
      </c>
      <c r="E543" s="113">
        <v>58</v>
      </c>
      <c r="F543" s="113">
        <v>7</v>
      </c>
      <c r="I543"/>
      <c r="K543" s="224">
        <v>7</v>
      </c>
      <c r="L543" s="390">
        <v>41625</v>
      </c>
      <c r="M543"/>
      <c r="N543" s="224"/>
      <c r="O543"/>
      <c r="P543"/>
      <c r="Q543"/>
      <c r="S543" s="224"/>
      <c r="T543" s="224"/>
      <c r="U543"/>
      <c r="V543"/>
      <c r="W543"/>
      <c r="X543"/>
      <c r="Y543" s="225"/>
      <c r="Z543" s="224"/>
      <c r="AA543" s="226"/>
      <c r="AB543" s="224"/>
      <c r="AC543" s="225"/>
      <c r="AD543" s="224"/>
      <c r="AE543" s="224"/>
      <c r="AF543" s="224"/>
      <c r="AG543">
        <v>3.45</v>
      </c>
      <c r="AH543"/>
      <c r="AI543">
        <v>140</v>
      </c>
      <c r="AJ543" s="194">
        <v>41785</v>
      </c>
      <c r="AK543"/>
      <c r="AL543"/>
      <c r="AM543"/>
      <c r="AN543"/>
      <c r="AO543"/>
      <c r="AP543"/>
      <c r="AQ543" s="227"/>
      <c r="AR543" s="227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>
        <v>51.7</v>
      </c>
      <c r="BT543"/>
      <c r="BU543">
        <v>16.3</v>
      </c>
      <c r="BV543"/>
      <c r="BW543" s="229"/>
      <c r="BX543"/>
      <c r="BY543"/>
      <c r="BZ543"/>
      <c r="CA543"/>
      <c r="CC543"/>
      <c r="CD543"/>
      <c r="CE543">
        <v>5.3</v>
      </c>
      <c r="CF543"/>
      <c r="CG543">
        <v>2</v>
      </c>
      <c r="CH543"/>
      <c r="CI543"/>
      <c r="CJ543"/>
      <c r="CK543" t="s">
        <v>8820</v>
      </c>
      <c r="CL543">
        <v>2.6</v>
      </c>
      <c r="CM543" s="392">
        <v>41802</v>
      </c>
    </row>
    <row r="544" spans="1:91" ht="15">
      <c r="A544" s="364" t="s">
        <v>7742</v>
      </c>
      <c r="B544" t="s">
        <v>265</v>
      </c>
      <c r="C544" t="s">
        <v>8213</v>
      </c>
      <c r="D544">
        <v>137</v>
      </c>
      <c r="E544" s="113">
        <v>68</v>
      </c>
      <c r="F544" s="113">
        <v>9</v>
      </c>
      <c r="I544"/>
      <c r="K544" s="224">
        <v>7</v>
      </c>
      <c r="L544" s="390">
        <v>41625</v>
      </c>
      <c r="M544"/>
      <c r="N544" s="224"/>
      <c r="O544"/>
      <c r="P544"/>
      <c r="Q544"/>
      <c r="S544" s="224"/>
      <c r="T544" s="224"/>
      <c r="U544"/>
      <c r="V544"/>
      <c r="W544"/>
      <c r="X544"/>
      <c r="Y544" s="225"/>
      <c r="Z544" s="224"/>
      <c r="AA544" s="226"/>
      <c r="AB544" s="224"/>
      <c r="AC544" s="225"/>
      <c r="AD544" s="224"/>
      <c r="AE544" s="224"/>
      <c r="AF544" s="224"/>
      <c r="AG544">
        <v>6.76</v>
      </c>
      <c r="AH544"/>
      <c r="AI544">
        <v>130</v>
      </c>
      <c r="AJ544" s="194">
        <v>41785</v>
      </c>
      <c r="AK544"/>
      <c r="AL544"/>
      <c r="AM544"/>
      <c r="AN544"/>
      <c r="AO544"/>
      <c r="AP544"/>
      <c r="AQ544" s="227"/>
      <c r="AR544" s="227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>
        <v>54.1</v>
      </c>
      <c r="BT544"/>
      <c r="BU544">
        <v>16.2</v>
      </c>
      <c r="BV544"/>
      <c r="BW544" s="229"/>
      <c r="BX544"/>
      <c r="BY544"/>
      <c r="BZ544"/>
      <c r="CA544"/>
      <c r="CC544"/>
      <c r="CD544"/>
      <c r="CE544">
        <v>5.7</v>
      </c>
      <c r="CF544"/>
      <c r="CG544">
        <v>0.3</v>
      </c>
      <c r="CH544"/>
      <c r="CI544"/>
      <c r="CJ544"/>
      <c r="CK544" t="s">
        <v>8820</v>
      </c>
      <c r="CL544">
        <v>8.6</v>
      </c>
      <c r="CM544" s="392">
        <v>41802</v>
      </c>
    </row>
    <row r="545" spans="1:91" ht="15">
      <c r="A545" s="364" t="s">
        <v>7743</v>
      </c>
      <c r="B545" t="s">
        <v>265</v>
      </c>
      <c r="C545" t="s">
        <v>8213</v>
      </c>
      <c r="D545">
        <v>138</v>
      </c>
      <c r="E545" s="113">
        <v>42</v>
      </c>
      <c r="F545" s="113">
        <v>12</v>
      </c>
      <c r="I545"/>
      <c r="K545" s="224">
        <v>7</v>
      </c>
      <c r="L545" s="390">
        <v>41625</v>
      </c>
      <c r="M545"/>
      <c r="N545" s="224"/>
      <c r="O545"/>
      <c r="P545"/>
      <c r="Q545"/>
      <c r="S545" s="224"/>
      <c r="T545" s="224"/>
      <c r="U545"/>
      <c r="V545"/>
      <c r="W545"/>
      <c r="X545"/>
      <c r="Y545" s="225"/>
      <c r="Z545" s="224"/>
      <c r="AA545" s="226"/>
      <c r="AB545" s="224"/>
      <c r="AC545" s="225"/>
      <c r="AD545" s="224"/>
      <c r="AE545" s="224"/>
      <c r="AF545" s="224"/>
      <c r="AG545">
        <v>4.29</v>
      </c>
      <c r="AH545"/>
      <c r="AI545">
        <v>130</v>
      </c>
      <c r="AJ545" s="194">
        <v>41785</v>
      </c>
      <c r="AK545"/>
      <c r="AL545"/>
      <c r="AM545"/>
      <c r="AN545"/>
      <c r="AO545"/>
      <c r="AP545"/>
      <c r="AQ545" s="227"/>
      <c r="AR545" s="227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>
        <v>53.3</v>
      </c>
      <c r="BT545"/>
      <c r="BU545">
        <v>14.1</v>
      </c>
      <c r="BV545"/>
      <c r="BW545" s="229"/>
      <c r="BX545"/>
      <c r="BY545"/>
      <c r="BZ545"/>
      <c r="CA545"/>
      <c r="CC545"/>
      <c r="CD545"/>
      <c r="CE545">
        <v>6.3</v>
      </c>
      <c r="CF545"/>
      <c r="CG545">
        <v>0.3</v>
      </c>
      <c r="CH545"/>
      <c r="CI545"/>
      <c r="CJ545"/>
      <c r="CK545" t="s">
        <v>8820</v>
      </c>
      <c r="CL545">
        <v>1</v>
      </c>
      <c r="CM545" s="392">
        <v>41802</v>
      </c>
    </row>
    <row r="546" spans="1:91" ht="15">
      <c r="A546" s="364" t="s">
        <v>7744</v>
      </c>
      <c r="B546" t="s">
        <v>265</v>
      </c>
      <c r="C546" t="s">
        <v>8213</v>
      </c>
      <c r="D546">
        <v>139</v>
      </c>
      <c r="E546" s="113">
        <v>49</v>
      </c>
      <c r="F546" s="113">
        <v>8</v>
      </c>
      <c r="I546"/>
      <c r="K546" s="224">
        <v>7</v>
      </c>
      <c r="L546" s="390">
        <v>41625</v>
      </c>
      <c r="M546"/>
      <c r="N546" s="224"/>
      <c r="O546"/>
      <c r="P546"/>
      <c r="Q546"/>
      <c r="S546" s="224"/>
      <c r="T546" s="224"/>
      <c r="U546"/>
      <c r="V546"/>
      <c r="W546"/>
      <c r="X546"/>
      <c r="Y546" s="225"/>
      <c r="Z546" s="224"/>
      <c r="AA546" s="226"/>
      <c r="AB546" s="224"/>
      <c r="AC546" s="225"/>
      <c r="AD546" s="224"/>
      <c r="AE546" s="224"/>
      <c r="AF546" s="224"/>
      <c r="AG546">
        <v>3.6</v>
      </c>
      <c r="AH546"/>
      <c r="AI546">
        <v>160</v>
      </c>
      <c r="AJ546" s="194">
        <v>41785</v>
      </c>
      <c r="AK546"/>
      <c r="AL546"/>
      <c r="AM546"/>
      <c r="AN546"/>
      <c r="AO546"/>
      <c r="AP546"/>
      <c r="AQ546" s="227"/>
      <c r="AR546" s="227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>
        <v>53</v>
      </c>
      <c r="BT546"/>
      <c r="BU546">
        <v>16.100000000000001</v>
      </c>
      <c r="BV546"/>
      <c r="BW546" s="229"/>
      <c r="BX546"/>
      <c r="BY546"/>
      <c r="BZ546"/>
      <c r="CA546"/>
      <c r="CC546"/>
      <c r="CD546"/>
      <c r="CE546">
        <v>5</v>
      </c>
      <c r="CF546"/>
      <c r="CG546">
        <v>0.9</v>
      </c>
      <c r="CH546"/>
      <c r="CI546"/>
      <c r="CJ546"/>
      <c r="CK546" t="s">
        <v>8820</v>
      </c>
      <c r="CL546">
        <v>7</v>
      </c>
      <c r="CM546" s="392">
        <v>41802</v>
      </c>
    </row>
    <row r="547" spans="1:91" ht="15">
      <c r="A547" s="364" t="s">
        <v>7745</v>
      </c>
      <c r="B547" t="s">
        <v>265</v>
      </c>
      <c r="C547" t="s">
        <v>8213</v>
      </c>
      <c r="D547">
        <v>140</v>
      </c>
      <c r="E547" s="113">
        <v>67</v>
      </c>
      <c r="F547" s="113">
        <v>7</v>
      </c>
      <c r="I547"/>
      <c r="K547" s="224">
        <v>7</v>
      </c>
      <c r="L547" s="390">
        <v>41625</v>
      </c>
      <c r="M547"/>
      <c r="N547" s="224"/>
      <c r="O547"/>
      <c r="P547"/>
      <c r="Q547"/>
      <c r="S547" s="224"/>
      <c r="T547" s="224"/>
      <c r="U547"/>
      <c r="V547"/>
      <c r="W547"/>
      <c r="X547"/>
      <c r="Y547" s="225"/>
      <c r="Z547" s="224"/>
      <c r="AA547" s="226"/>
      <c r="AB547" s="224"/>
      <c r="AC547" s="225"/>
      <c r="AD547" s="224"/>
      <c r="AE547" s="224"/>
      <c r="AF547" s="224"/>
      <c r="AG547">
        <v>4.08</v>
      </c>
      <c r="AH547"/>
      <c r="AI547">
        <v>150</v>
      </c>
      <c r="AJ547" s="194">
        <v>41785</v>
      </c>
      <c r="AK547"/>
      <c r="AL547"/>
      <c r="AM547"/>
      <c r="AN547"/>
      <c r="AO547"/>
      <c r="AP547"/>
      <c r="AQ547" s="227"/>
      <c r="AR547" s="22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>
        <v>55.1</v>
      </c>
      <c r="BT547"/>
      <c r="BU547">
        <v>15.3</v>
      </c>
      <c r="BV547"/>
      <c r="BW547" s="229"/>
      <c r="BX547"/>
      <c r="BY547"/>
      <c r="BZ547"/>
      <c r="CA547"/>
      <c r="CC547"/>
      <c r="CD547"/>
      <c r="CE547">
        <v>6.8</v>
      </c>
      <c r="CF547"/>
      <c r="CG547">
        <v>0.3</v>
      </c>
      <c r="CH547"/>
      <c r="CI547"/>
      <c r="CJ547"/>
      <c r="CK547" t="s">
        <v>8820</v>
      </c>
      <c r="CL547">
        <v>5</v>
      </c>
      <c r="CM547" s="392">
        <v>41802</v>
      </c>
    </row>
    <row r="548" spans="1:91" ht="15">
      <c r="A548" s="364" t="s">
        <v>7746</v>
      </c>
      <c r="B548" t="s">
        <v>265</v>
      </c>
      <c r="C548" t="s">
        <v>8213</v>
      </c>
      <c r="D548">
        <v>141</v>
      </c>
      <c r="E548" s="113">
        <v>41</v>
      </c>
      <c r="F548" s="113">
        <v>11</v>
      </c>
      <c r="I548"/>
      <c r="K548" s="224">
        <v>7</v>
      </c>
      <c r="L548" s="390">
        <v>41625</v>
      </c>
      <c r="M548"/>
      <c r="N548" s="224"/>
      <c r="O548"/>
      <c r="P548"/>
      <c r="Q548"/>
      <c r="S548" s="224"/>
      <c r="T548" s="224"/>
      <c r="U548"/>
      <c r="V548"/>
      <c r="W548"/>
      <c r="X548"/>
      <c r="Y548" s="225"/>
      <c r="Z548" s="224"/>
      <c r="AA548" s="226"/>
      <c r="AB548" s="224"/>
      <c r="AC548" s="225"/>
      <c r="AD548" s="224"/>
      <c r="AE548" s="224"/>
      <c r="AF548" s="224"/>
      <c r="AG548">
        <v>3.7</v>
      </c>
      <c r="AH548"/>
      <c r="AI548">
        <v>155</v>
      </c>
      <c r="AJ548" s="194">
        <v>41785</v>
      </c>
      <c r="AK548"/>
      <c r="AL548"/>
      <c r="AM548"/>
      <c r="AN548"/>
      <c r="AO548"/>
      <c r="AP548"/>
      <c r="AQ548" s="227"/>
      <c r="AR548" s="227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>
        <v>53.1</v>
      </c>
      <c r="BT548"/>
      <c r="BU548">
        <v>14.7</v>
      </c>
      <c r="BV548"/>
      <c r="BW548" s="229"/>
      <c r="BX548"/>
      <c r="BY548"/>
      <c r="BZ548"/>
      <c r="CA548"/>
      <c r="CC548"/>
      <c r="CD548"/>
      <c r="CE548">
        <v>5.9</v>
      </c>
      <c r="CF548"/>
      <c r="CG548">
        <v>0.7</v>
      </c>
      <c r="CH548"/>
      <c r="CI548"/>
      <c r="CJ548"/>
      <c r="CK548" t="s">
        <v>8820</v>
      </c>
      <c r="CL548">
        <v>3</v>
      </c>
      <c r="CM548" s="392">
        <v>41802</v>
      </c>
    </row>
    <row r="549" spans="1:91" ht="15">
      <c r="A549" s="364" t="s">
        <v>7747</v>
      </c>
      <c r="B549" t="s">
        <v>265</v>
      </c>
      <c r="C549" t="s">
        <v>8213</v>
      </c>
      <c r="D549">
        <v>142</v>
      </c>
      <c r="E549" s="113">
        <v>39</v>
      </c>
      <c r="F549" s="113">
        <v>11</v>
      </c>
      <c r="G549" s="233"/>
      <c r="H549" s="233"/>
      <c r="I549" s="232"/>
      <c r="J549" s="234"/>
      <c r="K549" s="235">
        <v>7</v>
      </c>
      <c r="L549" s="390">
        <v>41625</v>
      </c>
      <c r="M549" s="232"/>
      <c r="N549" s="235"/>
      <c r="O549" s="232"/>
      <c r="P549" s="232"/>
      <c r="Q549" s="232"/>
      <c r="R549" s="236"/>
      <c r="S549" s="235"/>
      <c r="T549" s="235"/>
      <c r="U549" s="232"/>
      <c r="V549" s="232"/>
      <c r="W549" s="232"/>
      <c r="X549" s="232"/>
      <c r="Y549" s="237"/>
      <c r="Z549" s="235"/>
      <c r="AA549" s="238"/>
      <c r="AB549" s="235"/>
      <c r="AC549" s="237"/>
      <c r="AD549" s="235"/>
      <c r="AE549" s="235"/>
      <c r="AF549" s="235"/>
      <c r="AG549" s="232">
        <v>4.3499999999999996</v>
      </c>
      <c r="AH549" s="232"/>
      <c r="AI549" s="232">
        <v>155</v>
      </c>
      <c r="AJ549" s="194">
        <v>41785</v>
      </c>
      <c r="AK549" s="232"/>
      <c r="AL549" s="232"/>
      <c r="AM549" s="232"/>
      <c r="AN549" s="232"/>
      <c r="AO549" s="232"/>
      <c r="AP549" s="232"/>
      <c r="AQ549" s="239"/>
      <c r="AR549" s="239"/>
      <c r="AS549" s="232"/>
      <c r="AT549" s="232"/>
      <c r="AU549" s="232"/>
      <c r="AV549" s="232"/>
      <c r="AW549" s="232"/>
      <c r="AX549" s="232"/>
      <c r="AY549" s="232"/>
      <c r="AZ549" s="232"/>
      <c r="BA549" s="232"/>
      <c r="BB549" s="232"/>
      <c r="BC549" s="232"/>
      <c r="BD549" s="232"/>
      <c r="BE549" s="232"/>
      <c r="BF549" s="232"/>
      <c r="BG549" s="232"/>
      <c r="BH549" s="232"/>
      <c r="BI549" s="232"/>
      <c r="BJ549" s="232"/>
      <c r="BK549" s="232"/>
      <c r="BL549" s="232"/>
      <c r="BM549" s="232"/>
      <c r="BN549" s="232"/>
      <c r="BO549" s="232"/>
      <c r="BP549" s="232"/>
      <c r="BQ549" s="232"/>
      <c r="BR549" s="232"/>
      <c r="BS549" s="232">
        <v>52.3</v>
      </c>
      <c r="BT549" s="232"/>
      <c r="BU549" s="232">
        <v>15.2</v>
      </c>
      <c r="BV549" s="232"/>
      <c r="BW549" s="240"/>
      <c r="BX549" s="232"/>
      <c r="BY549" s="232"/>
      <c r="BZ549" s="232"/>
      <c r="CA549" s="232"/>
      <c r="CB549" s="241"/>
      <c r="CC549" s="232"/>
      <c r="CD549" s="232"/>
      <c r="CE549" s="232">
        <v>6.3</v>
      </c>
      <c r="CF549" s="232"/>
      <c r="CG549" s="232">
        <v>2.5</v>
      </c>
      <c r="CH549" s="232"/>
      <c r="CI549" s="232"/>
      <c r="CJ549" s="232"/>
      <c r="CK549" t="s">
        <v>8820</v>
      </c>
      <c r="CL549" s="232">
        <v>5</v>
      </c>
      <c r="CM549" s="392">
        <v>41802</v>
      </c>
    </row>
    <row r="550" spans="1:91" ht="15">
      <c r="A550" s="364" t="s">
        <v>7750</v>
      </c>
      <c r="B550" t="s">
        <v>265</v>
      </c>
      <c r="C550" t="s">
        <v>8213</v>
      </c>
      <c r="D550" s="232">
        <v>145</v>
      </c>
      <c r="E550" s="113">
        <v>62</v>
      </c>
      <c r="F550" s="113">
        <v>8</v>
      </c>
      <c r="I550"/>
      <c r="K550" s="224">
        <v>7</v>
      </c>
      <c r="L550" s="390">
        <v>41625</v>
      </c>
      <c r="M550"/>
      <c r="N550" s="224"/>
      <c r="O550"/>
      <c r="P550"/>
      <c r="Q550"/>
      <c r="S550" s="224"/>
      <c r="T550" s="224"/>
      <c r="U550"/>
      <c r="V550"/>
      <c r="W550"/>
      <c r="X550"/>
      <c r="Y550" s="225"/>
      <c r="Z550" s="224"/>
      <c r="AA550" s="226"/>
      <c r="AB550" s="224"/>
      <c r="AC550" s="225"/>
      <c r="AD550" s="224"/>
      <c r="AE550" s="224"/>
      <c r="AF550" s="224"/>
      <c r="AG550">
        <v>2.71</v>
      </c>
      <c r="AH550"/>
      <c r="AI550">
        <v>160</v>
      </c>
      <c r="AJ550" s="194">
        <v>41785</v>
      </c>
      <c r="AK550"/>
      <c r="AL550"/>
      <c r="AM550"/>
      <c r="AN550"/>
      <c r="AO550"/>
      <c r="AP550"/>
      <c r="AQ550" s="227"/>
      <c r="AR550" s="227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>
        <v>52.6</v>
      </c>
      <c r="BT550"/>
      <c r="BU550">
        <v>15.2</v>
      </c>
      <c r="BV550"/>
      <c r="BW550" s="229"/>
      <c r="BX550"/>
      <c r="BY550"/>
      <c r="BZ550"/>
      <c r="CA550"/>
      <c r="CC550"/>
      <c r="CD550"/>
      <c r="CE550">
        <v>5.7</v>
      </c>
      <c r="CF550"/>
      <c r="CG550">
        <v>1.5</v>
      </c>
      <c r="CH550"/>
      <c r="CI550"/>
      <c r="CJ550"/>
      <c r="CK550" t="s">
        <v>8820</v>
      </c>
      <c r="CL550">
        <v>3</v>
      </c>
      <c r="CM550" s="392">
        <v>41802</v>
      </c>
    </row>
    <row r="551" spans="1:91" ht="15">
      <c r="A551" s="364" t="s">
        <v>7751</v>
      </c>
      <c r="B551" t="s">
        <v>265</v>
      </c>
      <c r="C551" t="s">
        <v>8213</v>
      </c>
      <c r="D551" s="232">
        <v>146</v>
      </c>
      <c r="E551" s="113">
        <v>64</v>
      </c>
      <c r="F551" s="113">
        <v>9</v>
      </c>
      <c r="I551"/>
      <c r="K551" s="224">
        <v>7</v>
      </c>
      <c r="L551" s="390">
        <v>41625</v>
      </c>
      <c r="M551"/>
      <c r="N551" s="224"/>
      <c r="O551"/>
      <c r="P551"/>
      <c r="Q551"/>
      <c r="S551" s="224"/>
      <c r="T551" s="224"/>
      <c r="U551"/>
      <c r="V551"/>
      <c r="W551"/>
      <c r="X551"/>
      <c r="Y551" s="225"/>
      <c r="Z551" s="224"/>
      <c r="AA551" s="226"/>
      <c r="AB551" s="224"/>
      <c r="AC551" s="225"/>
      <c r="AD551" s="224"/>
      <c r="AE551" s="224"/>
      <c r="AF551" s="224"/>
      <c r="AG551">
        <v>4.1500000000000004</v>
      </c>
      <c r="AH551"/>
      <c r="AI551">
        <v>155</v>
      </c>
      <c r="AJ551" s="194">
        <v>41785</v>
      </c>
      <c r="AK551"/>
      <c r="AL551"/>
      <c r="AM551"/>
      <c r="AN551"/>
      <c r="AO551"/>
      <c r="AP551"/>
      <c r="AQ551" s="227"/>
      <c r="AR551" s="227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>
        <v>52.6</v>
      </c>
      <c r="BT551"/>
      <c r="BU551">
        <v>15.1</v>
      </c>
      <c r="BV551"/>
      <c r="BW551" s="229"/>
      <c r="BX551"/>
      <c r="BY551"/>
      <c r="BZ551"/>
      <c r="CA551"/>
      <c r="CC551"/>
      <c r="CD551"/>
      <c r="CE551">
        <v>5.0999999999999996</v>
      </c>
      <c r="CF551"/>
      <c r="CG551">
        <v>1.2</v>
      </c>
      <c r="CH551"/>
      <c r="CI551"/>
      <c r="CJ551"/>
      <c r="CK551" t="s">
        <v>8820</v>
      </c>
      <c r="CL551">
        <v>3</v>
      </c>
      <c r="CM551" s="392">
        <v>41802</v>
      </c>
    </row>
    <row r="552" spans="1:91" ht="15">
      <c r="A552" s="364" t="s">
        <v>7752</v>
      </c>
      <c r="B552" t="s">
        <v>265</v>
      </c>
      <c r="C552" t="s">
        <v>8213</v>
      </c>
      <c r="D552">
        <v>147</v>
      </c>
      <c r="E552" s="113">
        <v>37</v>
      </c>
      <c r="F552" s="113">
        <v>10</v>
      </c>
      <c r="I552"/>
      <c r="K552" s="224">
        <v>7</v>
      </c>
      <c r="L552" s="390">
        <v>41625</v>
      </c>
      <c r="M552"/>
      <c r="N552" s="224"/>
      <c r="O552"/>
      <c r="P552"/>
      <c r="Q552"/>
      <c r="S552" s="224"/>
      <c r="T552" s="224"/>
      <c r="U552"/>
      <c r="V552"/>
      <c r="W552"/>
      <c r="X552"/>
      <c r="Y552" s="225"/>
      <c r="Z552" s="224"/>
      <c r="AA552" s="226"/>
      <c r="AB552" s="224"/>
      <c r="AC552" s="225"/>
      <c r="AD552" s="224"/>
      <c r="AE552" s="224"/>
      <c r="AF552" s="224"/>
      <c r="AG552">
        <v>4.29</v>
      </c>
      <c r="AH552"/>
      <c r="AI552">
        <v>140</v>
      </c>
      <c r="AJ552" s="194">
        <v>41785</v>
      </c>
      <c r="AK552"/>
      <c r="AL552"/>
      <c r="AM552"/>
      <c r="AN552"/>
      <c r="AO552"/>
      <c r="AP552"/>
      <c r="AQ552" s="227"/>
      <c r="AR552" s="227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>
        <v>49.8</v>
      </c>
      <c r="BT552"/>
      <c r="BU552">
        <v>19.100000000000001</v>
      </c>
      <c r="BV552"/>
      <c r="BW552" s="229"/>
      <c r="BX552"/>
      <c r="BY552"/>
      <c r="BZ552"/>
      <c r="CA552"/>
      <c r="CC552"/>
      <c r="CD552"/>
      <c r="CE552">
        <v>6.4</v>
      </c>
      <c r="CF552"/>
      <c r="CG552">
        <v>0.5</v>
      </c>
      <c r="CH552"/>
      <c r="CI552"/>
      <c r="CJ552"/>
      <c r="CK552" t="s">
        <v>8820</v>
      </c>
      <c r="CL552">
        <v>7</v>
      </c>
      <c r="CM552" s="392">
        <v>41802</v>
      </c>
    </row>
    <row r="553" spans="1:91" ht="15">
      <c r="A553" s="364" t="s">
        <v>7753</v>
      </c>
      <c r="B553" t="s">
        <v>265</v>
      </c>
      <c r="C553" t="s">
        <v>8213</v>
      </c>
      <c r="D553">
        <v>148</v>
      </c>
      <c r="E553" s="113">
        <v>45</v>
      </c>
      <c r="F553" s="113">
        <v>7</v>
      </c>
      <c r="I553"/>
      <c r="K553" s="224">
        <v>6</v>
      </c>
      <c r="L553" s="390">
        <v>41625</v>
      </c>
      <c r="M553"/>
      <c r="N553" s="224"/>
      <c r="O553"/>
      <c r="P553"/>
      <c r="Q553"/>
      <c r="S553" s="224"/>
      <c r="T553" s="224"/>
      <c r="U553"/>
      <c r="V553"/>
      <c r="W553"/>
      <c r="X553"/>
      <c r="Y553" s="225"/>
      <c r="Z553" s="224"/>
      <c r="AA553" s="226"/>
      <c r="AB553" s="224"/>
      <c r="AC553" s="225"/>
      <c r="AD553" s="224"/>
      <c r="AE553" s="224"/>
      <c r="AF553" s="224"/>
      <c r="AG553">
        <v>3.57</v>
      </c>
      <c r="AH553"/>
      <c r="AI553">
        <v>130</v>
      </c>
      <c r="AJ553" s="194">
        <v>41785</v>
      </c>
      <c r="AK553"/>
      <c r="AL553"/>
      <c r="AM553"/>
      <c r="AN553"/>
      <c r="AO553"/>
      <c r="AP553"/>
      <c r="AQ553" s="227"/>
      <c r="AR553" s="227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>
        <v>54.6</v>
      </c>
      <c r="BT553"/>
      <c r="BU553">
        <v>12.9</v>
      </c>
      <c r="BV553"/>
      <c r="BW553" s="229"/>
      <c r="BX553"/>
      <c r="BY553"/>
      <c r="BZ553"/>
      <c r="CA553"/>
      <c r="CC553"/>
      <c r="CD553"/>
      <c r="CE553">
        <v>5.9</v>
      </c>
      <c r="CF553"/>
      <c r="CG553">
        <v>0.1</v>
      </c>
      <c r="CH553"/>
      <c r="CI553"/>
      <c r="CJ553"/>
      <c r="CK553" t="s">
        <v>8820</v>
      </c>
      <c r="CL553">
        <v>2.2000000000000002</v>
      </c>
      <c r="CM553" s="392">
        <v>41802</v>
      </c>
    </row>
    <row r="554" spans="1:91" s="242" customFormat="1" ht="15">
      <c r="A554" s="364" t="s">
        <v>7754</v>
      </c>
      <c r="B554" t="s">
        <v>265</v>
      </c>
      <c r="C554" t="s">
        <v>8213</v>
      </c>
      <c r="D554">
        <v>149</v>
      </c>
      <c r="E554" s="113">
        <v>43</v>
      </c>
      <c r="F554" s="113">
        <v>12</v>
      </c>
      <c r="G554" s="233"/>
      <c r="H554" s="233"/>
      <c r="I554" s="232"/>
      <c r="J554" s="234"/>
      <c r="K554" s="235">
        <v>7</v>
      </c>
      <c r="L554" s="390">
        <v>41625</v>
      </c>
      <c r="M554" s="232"/>
      <c r="N554" s="235"/>
      <c r="O554" s="232"/>
      <c r="P554" s="232"/>
      <c r="Q554" s="232"/>
      <c r="R554" s="236"/>
      <c r="S554" s="235"/>
      <c r="T554" s="235"/>
      <c r="U554" s="232"/>
      <c r="V554" s="232"/>
      <c r="W554" s="232"/>
      <c r="X554" s="232"/>
      <c r="Y554" s="237"/>
      <c r="Z554" s="235"/>
      <c r="AA554" s="238"/>
      <c r="AB554" s="235"/>
      <c r="AC554" s="237"/>
      <c r="AD554" s="235"/>
      <c r="AE554" s="235"/>
      <c r="AF554" s="235"/>
      <c r="AG554" s="232">
        <v>3.78</v>
      </c>
      <c r="AH554" s="232"/>
      <c r="AI554" s="232">
        <v>150</v>
      </c>
      <c r="AJ554" s="194">
        <v>41785</v>
      </c>
      <c r="AK554" s="232"/>
      <c r="AL554" s="232"/>
      <c r="AM554" s="232"/>
      <c r="AN554" s="232"/>
      <c r="AO554" s="232"/>
      <c r="AP554" s="232"/>
      <c r="AQ554" s="239"/>
      <c r="AR554" s="239"/>
      <c r="AS554" s="232"/>
      <c r="AT554" s="232"/>
      <c r="AU554" s="232"/>
      <c r="AV554" s="232"/>
      <c r="AW554" s="232"/>
      <c r="AX554" s="232"/>
      <c r="AY554" s="232"/>
      <c r="AZ554" s="232"/>
      <c r="BA554" s="232"/>
      <c r="BB554" s="232"/>
      <c r="BC554" s="232"/>
      <c r="BD554" s="232"/>
      <c r="BE554" s="232"/>
      <c r="BF554" s="232"/>
      <c r="BG554" s="232"/>
      <c r="BH554" s="232"/>
      <c r="BI554" s="232"/>
      <c r="BJ554" s="232"/>
      <c r="BK554" s="232"/>
      <c r="BL554" s="232"/>
      <c r="BM554" s="232"/>
      <c r="BN554" s="232"/>
      <c r="BO554" s="232"/>
      <c r="BP554" s="232"/>
      <c r="BQ554" s="232"/>
      <c r="BR554" s="232"/>
      <c r="BS554" s="232">
        <v>53.7</v>
      </c>
      <c r="BT554" s="232"/>
      <c r="BU554" s="232">
        <v>15.4</v>
      </c>
      <c r="BV554" s="232"/>
      <c r="BW554" s="232"/>
      <c r="BX554" s="243"/>
      <c r="BY554" s="232"/>
      <c r="BZ554" s="232"/>
      <c r="CA554" s="232"/>
      <c r="CB554" s="241"/>
      <c r="CC554" s="232"/>
      <c r="CD554" s="232"/>
      <c r="CE554" s="232">
        <v>6.4</v>
      </c>
      <c r="CF554" s="232"/>
      <c r="CG554" s="232">
        <v>0.3</v>
      </c>
      <c r="CH554" s="232"/>
      <c r="CI554" s="232"/>
      <c r="CJ554" s="232"/>
      <c r="CK554" t="s">
        <v>8820</v>
      </c>
      <c r="CL554" s="232">
        <v>1</v>
      </c>
      <c r="CM554" s="392">
        <v>41802</v>
      </c>
    </row>
    <row r="555" spans="1:91" s="242" customFormat="1" ht="15">
      <c r="A555" s="364" t="s">
        <v>7755</v>
      </c>
      <c r="B555" t="s">
        <v>265</v>
      </c>
      <c r="C555" t="s">
        <v>8213</v>
      </c>
      <c r="D555">
        <v>150</v>
      </c>
      <c r="E555" s="113">
        <v>47</v>
      </c>
      <c r="F555" s="113">
        <v>7</v>
      </c>
      <c r="G555" s="113"/>
      <c r="H555" s="113"/>
      <c r="I555"/>
      <c r="J555" s="112"/>
      <c r="K555" s="224">
        <v>7</v>
      </c>
      <c r="L555" s="390">
        <v>41625</v>
      </c>
      <c r="M555"/>
      <c r="N555" s="224"/>
      <c r="O555"/>
      <c r="P555"/>
      <c r="Q555"/>
      <c r="R555" s="153"/>
      <c r="S555" s="224"/>
      <c r="T555" s="224"/>
      <c r="U555"/>
      <c r="V555"/>
      <c r="W555"/>
      <c r="X555"/>
      <c r="Y555" s="225"/>
      <c r="Z555" s="224"/>
      <c r="AA555" s="226"/>
      <c r="AB555" s="224"/>
      <c r="AC555" s="225"/>
      <c r="AD555" s="224"/>
      <c r="AE555" s="224"/>
      <c r="AF555" s="224"/>
      <c r="AG555">
        <v>3.47</v>
      </c>
      <c r="AH555"/>
      <c r="AI555">
        <v>140</v>
      </c>
      <c r="AJ555" s="194">
        <v>41785</v>
      </c>
      <c r="AK555"/>
      <c r="AL555"/>
      <c r="AM555"/>
      <c r="AN555"/>
      <c r="AO555"/>
      <c r="AP555"/>
      <c r="AQ555" s="227"/>
      <c r="AR555" s="227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>
        <v>52.3</v>
      </c>
      <c r="BT555"/>
      <c r="BU555">
        <v>16.5</v>
      </c>
      <c r="BV555"/>
      <c r="BW555" s="229"/>
      <c r="BX555"/>
      <c r="BY555"/>
      <c r="BZ555"/>
      <c r="CA555"/>
      <c r="CB555" s="136"/>
      <c r="CC555"/>
      <c r="CD555"/>
      <c r="CE555">
        <v>6.7</v>
      </c>
      <c r="CF555"/>
      <c r="CG555">
        <v>0.5</v>
      </c>
      <c r="CH555"/>
      <c r="CI555"/>
      <c r="CJ555"/>
      <c r="CK555" t="s">
        <v>8820</v>
      </c>
      <c r="CL555">
        <v>1</v>
      </c>
      <c r="CM555" s="392">
        <v>41802</v>
      </c>
    </row>
    <row r="556" spans="1:91" s="242" customFormat="1" ht="15">
      <c r="A556" s="364" t="s">
        <v>7756</v>
      </c>
      <c r="B556" t="s">
        <v>265</v>
      </c>
      <c r="C556" t="s">
        <v>8213</v>
      </c>
      <c r="D556">
        <v>151</v>
      </c>
      <c r="E556" s="113">
        <v>64</v>
      </c>
      <c r="F556" s="113">
        <v>11</v>
      </c>
      <c r="G556" s="113"/>
      <c r="H556" s="113"/>
      <c r="I556"/>
      <c r="J556" s="112"/>
      <c r="K556" s="224">
        <v>7</v>
      </c>
      <c r="L556" s="390">
        <v>41625</v>
      </c>
      <c r="M556"/>
      <c r="N556" s="224"/>
      <c r="O556"/>
      <c r="P556"/>
      <c r="Q556"/>
      <c r="R556" s="153"/>
      <c r="S556" s="224"/>
      <c r="T556" s="224"/>
      <c r="U556"/>
      <c r="V556"/>
      <c r="W556"/>
      <c r="X556"/>
      <c r="Y556" s="225"/>
      <c r="Z556" s="224"/>
      <c r="AA556" s="226"/>
      <c r="AB556" s="224"/>
      <c r="AC556" s="225"/>
      <c r="AD556" s="224"/>
      <c r="AE556" s="224"/>
      <c r="AF556" s="224"/>
      <c r="AG556">
        <v>4.3099999999999996</v>
      </c>
      <c r="AH556"/>
      <c r="AI556">
        <v>135</v>
      </c>
      <c r="AJ556" s="194">
        <v>41785</v>
      </c>
      <c r="AK556"/>
      <c r="AL556"/>
      <c r="AM556"/>
      <c r="AN556"/>
      <c r="AO556"/>
      <c r="AP556"/>
      <c r="AQ556" s="227"/>
      <c r="AR556" s="227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>
        <v>51.7</v>
      </c>
      <c r="BT556"/>
      <c r="BU556">
        <v>16.899999999999999</v>
      </c>
      <c r="BV556"/>
      <c r="BW556" s="229"/>
      <c r="BX556"/>
      <c r="BY556"/>
      <c r="BZ556"/>
      <c r="CA556"/>
      <c r="CB556" s="136"/>
      <c r="CC556"/>
      <c r="CD556"/>
      <c r="CE556">
        <v>4.5999999999999996</v>
      </c>
      <c r="CF556"/>
      <c r="CG556">
        <v>0.5</v>
      </c>
      <c r="CH556"/>
      <c r="CI556"/>
      <c r="CJ556"/>
      <c r="CK556" t="s">
        <v>8820</v>
      </c>
      <c r="CL556">
        <v>1</v>
      </c>
      <c r="CM556" s="392">
        <v>41802</v>
      </c>
    </row>
    <row r="557" spans="1:91" s="242" customFormat="1" ht="15">
      <c r="A557" s="364" t="s">
        <v>7757</v>
      </c>
      <c r="B557" t="s">
        <v>265</v>
      </c>
      <c r="C557" t="s">
        <v>8213</v>
      </c>
      <c r="D557">
        <v>152</v>
      </c>
      <c r="E557" s="113">
        <v>66</v>
      </c>
      <c r="F557" s="113">
        <v>9</v>
      </c>
      <c r="G557" s="113"/>
      <c r="H557" s="113"/>
      <c r="I557"/>
      <c r="J557" s="112"/>
      <c r="K557" s="224">
        <v>7</v>
      </c>
      <c r="L557" s="390">
        <v>41625</v>
      </c>
      <c r="M557"/>
      <c r="N557" s="224"/>
      <c r="O557"/>
      <c r="P557"/>
      <c r="Q557"/>
      <c r="R557" s="153"/>
      <c r="S557" s="224"/>
      <c r="T557" s="224"/>
      <c r="U557"/>
      <c r="V557"/>
      <c r="W557"/>
      <c r="X557"/>
      <c r="Y557" s="225"/>
      <c r="Z557" s="224"/>
      <c r="AA557" s="226"/>
      <c r="AB557" s="224"/>
      <c r="AC557" s="225"/>
      <c r="AD557" s="224"/>
      <c r="AE557" s="224"/>
      <c r="AF557" s="224"/>
      <c r="AG557">
        <v>4.55</v>
      </c>
      <c r="AH557"/>
      <c r="AI557">
        <v>150</v>
      </c>
      <c r="AJ557" s="194">
        <v>41785</v>
      </c>
      <c r="AK557"/>
      <c r="AL557"/>
      <c r="AM557"/>
      <c r="AN557"/>
      <c r="AO557"/>
      <c r="AP557"/>
      <c r="AQ557" s="227"/>
      <c r="AR557" s="22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>
        <v>51.7</v>
      </c>
      <c r="BT557"/>
      <c r="BU557">
        <v>16.2</v>
      </c>
      <c r="BV557"/>
      <c r="BW557" s="229"/>
      <c r="BX557"/>
      <c r="BY557"/>
      <c r="BZ557"/>
      <c r="CA557"/>
      <c r="CB557" s="136"/>
      <c r="CC557"/>
      <c r="CD557"/>
      <c r="CE557">
        <v>5.3</v>
      </c>
      <c r="CF557"/>
      <c r="CG557">
        <v>0.5</v>
      </c>
      <c r="CH557"/>
      <c r="CI557"/>
      <c r="CJ557"/>
      <c r="CK557" t="s">
        <v>8820</v>
      </c>
      <c r="CL557">
        <v>5</v>
      </c>
      <c r="CM557" s="392">
        <v>41802</v>
      </c>
    </row>
    <row r="558" spans="1:91" ht="15">
      <c r="A558" s="364" t="s">
        <v>7758</v>
      </c>
      <c r="B558" t="s">
        <v>265</v>
      </c>
      <c r="C558" t="s">
        <v>8213</v>
      </c>
      <c r="D558">
        <v>153</v>
      </c>
      <c r="E558" s="113">
        <v>57</v>
      </c>
      <c r="F558" s="113">
        <v>7</v>
      </c>
      <c r="I558"/>
      <c r="K558" s="224">
        <v>7</v>
      </c>
      <c r="L558" s="390">
        <v>41625</v>
      </c>
      <c r="M558"/>
      <c r="N558" s="224"/>
      <c r="O558"/>
      <c r="P558"/>
      <c r="Q558"/>
      <c r="S558" s="224"/>
      <c r="T558" s="224"/>
      <c r="U558"/>
      <c r="V558"/>
      <c r="W558"/>
      <c r="X558"/>
      <c r="Y558" s="225"/>
      <c r="Z558" s="224"/>
      <c r="AA558" s="226"/>
      <c r="AB558" s="224"/>
      <c r="AC558" s="225"/>
      <c r="AD558" s="224"/>
      <c r="AE558" s="224"/>
      <c r="AF558" s="224"/>
      <c r="AG558">
        <v>3.81</v>
      </c>
      <c r="AH558"/>
      <c r="AI558">
        <v>140</v>
      </c>
      <c r="AJ558" s="194">
        <v>41785</v>
      </c>
      <c r="AK558"/>
      <c r="AL558"/>
      <c r="AM558"/>
      <c r="AN558"/>
      <c r="AO558"/>
      <c r="AP558"/>
      <c r="AQ558" s="227"/>
      <c r="AR558" s="227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>
        <v>48.7</v>
      </c>
      <c r="BT558"/>
      <c r="BU558">
        <v>17.100000000000001</v>
      </c>
      <c r="BV558"/>
      <c r="BW558" s="229"/>
      <c r="BX558"/>
      <c r="BY558"/>
      <c r="BZ558"/>
      <c r="CA558"/>
      <c r="CC558"/>
      <c r="CD558"/>
      <c r="CE558">
        <v>5</v>
      </c>
      <c r="CF558"/>
      <c r="CG558">
        <v>4.0999999999999996</v>
      </c>
      <c r="CH558"/>
      <c r="CI558"/>
      <c r="CJ558"/>
      <c r="CK558" t="s">
        <v>8820</v>
      </c>
      <c r="CL558">
        <v>7</v>
      </c>
      <c r="CM558" s="392">
        <v>41802</v>
      </c>
    </row>
    <row r="559" spans="1:91" ht="15">
      <c r="A559" s="364" t="s">
        <v>7759</v>
      </c>
      <c r="B559" t="s">
        <v>265</v>
      </c>
      <c r="C559" t="s">
        <v>8213</v>
      </c>
      <c r="D559">
        <v>154</v>
      </c>
      <c r="E559" s="113">
        <v>48</v>
      </c>
      <c r="F559" s="113">
        <v>8</v>
      </c>
      <c r="I559"/>
      <c r="K559" s="224">
        <v>7</v>
      </c>
      <c r="L559" s="390">
        <v>41625</v>
      </c>
      <c r="M559"/>
      <c r="N559" s="224"/>
      <c r="O559"/>
      <c r="P559"/>
      <c r="Q559"/>
      <c r="S559" s="224"/>
      <c r="T559" s="224"/>
      <c r="U559"/>
      <c r="V559"/>
      <c r="W559"/>
      <c r="X559"/>
      <c r="Y559" s="225"/>
      <c r="Z559" s="224"/>
      <c r="AA559" s="226"/>
      <c r="AB559" s="224"/>
      <c r="AC559" s="225"/>
      <c r="AD559" s="224"/>
      <c r="AE559" s="224"/>
      <c r="AF559" s="224"/>
      <c r="AG559">
        <v>3.8</v>
      </c>
      <c r="AH559"/>
      <c r="AI559">
        <v>180</v>
      </c>
      <c r="AJ559" s="194">
        <v>41785</v>
      </c>
      <c r="AK559"/>
      <c r="AL559"/>
      <c r="AM559"/>
      <c r="AN559"/>
      <c r="AO559"/>
      <c r="AP559"/>
      <c r="AQ559" s="227"/>
      <c r="AR559" s="227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>
        <v>54.9</v>
      </c>
      <c r="BT559"/>
      <c r="BU559">
        <v>15.1</v>
      </c>
      <c r="BV559"/>
      <c r="BW559" s="229"/>
      <c r="BX559"/>
      <c r="BY559"/>
      <c r="BZ559"/>
      <c r="CA559"/>
      <c r="CC559"/>
      <c r="CD559"/>
      <c r="CE559">
        <v>7</v>
      </c>
      <c r="CF559"/>
      <c r="CG559">
        <v>0.4</v>
      </c>
      <c r="CH559"/>
      <c r="CI559"/>
      <c r="CJ559"/>
      <c r="CK559" t="s">
        <v>8820</v>
      </c>
      <c r="CL559">
        <v>1</v>
      </c>
      <c r="CM559" s="392">
        <v>41802</v>
      </c>
    </row>
    <row r="560" spans="1:91" ht="15">
      <c r="A560" s="364" t="s">
        <v>7760</v>
      </c>
      <c r="B560" t="s">
        <v>265</v>
      </c>
      <c r="C560" t="s">
        <v>8213</v>
      </c>
      <c r="D560">
        <v>155</v>
      </c>
      <c r="E560" s="113">
        <v>49</v>
      </c>
      <c r="F560" s="113">
        <v>12</v>
      </c>
      <c r="I560"/>
      <c r="K560" s="224">
        <v>7</v>
      </c>
      <c r="L560" s="390">
        <v>41625</v>
      </c>
      <c r="M560"/>
      <c r="N560" s="224"/>
      <c r="O560"/>
      <c r="P560"/>
      <c r="Q560"/>
      <c r="S560" s="224"/>
      <c r="T560" s="224"/>
      <c r="U560"/>
      <c r="V560"/>
      <c r="W560"/>
      <c r="X560"/>
      <c r="Y560" s="225"/>
      <c r="Z560" s="224"/>
      <c r="AA560" s="226"/>
      <c r="AB560" s="224"/>
      <c r="AC560" s="225"/>
      <c r="AD560" s="224"/>
      <c r="AE560" s="224"/>
      <c r="AF560" s="224"/>
      <c r="AG560">
        <v>4.2699999999999996</v>
      </c>
      <c r="AH560"/>
      <c r="AI560">
        <v>130</v>
      </c>
      <c r="AJ560" s="194">
        <v>41785</v>
      </c>
      <c r="AK560"/>
      <c r="AL560"/>
      <c r="AM560"/>
      <c r="AN560"/>
      <c r="AO560"/>
      <c r="AP560"/>
      <c r="AQ560" s="227"/>
      <c r="AR560" s="227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>
        <v>51.1</v>
      </c>
      <c r="BT560"/>
      <c r="BU560">
        <v>16.100000000000001</v>
      </c>
      <c r="BV560"/>
      <c r="BW560" s="229"/>
      <c r="BX560"/>
      <c r="BY560"/>
      <c r="BZ560"/>
      <c r="CA560"/>
      <c r="CC560"/>
      <c r="CD560"/>
      <c r="CE560">
        <v>4.7</v>
      </c>
      <c r="CF560"/>
      <c r="CG560">
        <v>0.8</v>
      </c>
      <c r="CH560"/>
      <c r="CI560"/>
      <c r="CJ560"/>
      <c r="CK560" t="s">
        <v>8820</v>
      </c>
      <c r="CL560">
        <v>1</v>
      </c>
      <c r="CM560" s="392">
        <v>41802</v>
      </c>
    </row>
    <row r="561" spans="1:91" ht="15">
      <c r="A561" s="364" t="s">
        <v>7761</v>
      </c>
      <c r="B561" t="s">
        <v>265</v>
      </c>
      <c r="C561" t="s">
        <v>8213</v>
      </c>
      <c r="D561" s="232">
        <v>156</v>
      </c>
      <c r="E561" s="113">
        <v>62</v>
      </c>
      <c r="F561" s="113">
        <v>11</v>
      </c>
      <c r="I561"/>
      <c r="K561" s="224">
        <v>6</v>
      </c>
      <c r="L561" s="390">
        <v>41625</v>
      </c>
      <c r="M561"/>
      <c r="N561" s="224"/>
      <c r="O561"/>
      <c r="P561"/>
      <c r="Q561"/>
      <c r="S561" s="224"/>
      <c r="T561" s="224"/>
      <c r="U561"/>
      <c r="V561"/>
      <c r="W561"/>
      <c r="X561"/>
      <c r="Y561" s="225"/>
      <c r="Z561" s="224"/>
      <c r="AA561" s="226"/>
      <c r="AB561" s="224"/>
      <c r="AC561" s="225"/>
      <c r="AD561" s="224"/>
      <c r="AE561" s="224"/>
      <c r="AF561" s="224"/>
      <c r="AG561">
        <v>4.42</v>
      </c>
      <c r="AH561"/>
      <c r="AI561">
        <v>120</v>
      </c>
      <c r="AJ561" s="194">
        <v>41785</v>
      </c>
      <c r="AK561"/>
      <c r="AL561"/>
      <c r="AM561"/>
      <c r="AN561"/>
      <c r="AO561"/>
      <c r="AP561"/>
      <c r="AQ561" s="227"/>
      <c r="AR561" s="227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>
        <v>51.9</v>
      </c>
      <c r="BT561"/>
      <c r="BU561">
        <v>17</v>
      </c>
      <c r="BV561"/>
      <c r="BW561" s="229"/>
      <c r="BX561"/>
      <c r="BY561"/>
      <c r="BZ561"/>
      <c r="CA561"/>
      <c r="CC561"/>
      <c r="CD561"/>
      <c r="CE561">
        <v>4.8</v>
      </c>
      <c r="CF561"/>
      <c r="CG561">
        <v>1.5</v>
      </c>
      <c r="CH561"/>
      <c r="CI561"/>
      <c r="CJ561"/>
      <c r="CK561" t="s">
        <v>8820</v>
      </c>
      <c r="CL561">
        <v>1</v>
      </c>
      <c r="CM561" s="392">
        <v>41802</v>
      </c>
    </row>
    <row r="562" spans="1:91" ht="15">
      <c r="A562" s="364" t="s">
        <v>7762</v>
      </c>
      <c r="B562" t="s">
        <v>265</v>
      </c>
      <c r="C562" t="s">
        <v>8213</v>
      </c>
      <c r="D562">
        <v>157</v>
      </c>
      <c r="E562" s="113">
        <v>67</v>
      </c>
      <c r="F562" s="113">
        <v>12</v>
      </c>
      <c r="I562"/>
      <c r="K562" s="224">
        <v>7</v>
      </c>
      <c r="L562" s="390">
        <v>41625</v>
      </c>
      <c r="M562"/>
      <c r="N562" s="224"/>
      <c r="O562"/>
      <c r="P562"/>
      <c r="Q562"/>
      <c r="S562" s="224"/>
      <c r="T562" s="224"/>
      <c r="U562"/>
      <c r="V562"/>
      <c r="W562"/>
      <c r="X562"/>
      <c r="Y562" s="225"/>
      <c r="Z562" s="224"/>
      <c r="AA562" s="226"/>
      <c r="AB562" s="224"/>
      <c r="AC562" s="225"/>
      <c r="AD562" s="224"/>
      <c r="AE562" s="224"/>
      <c r="AF562" s="224"/>
      <c r="AG562">
        <v>4.26</v>
      </c>
      <c r="AH562"/>
      <c r="AI562">
        <v>145</v>
      </c>
      <c r="AJ562" s="194">
        <v>41785</v>
      </c>
      <c r="AK562"/>
      <c r="AL562"/>
      <c r="AM562"/>
      <c r="AN562"/>
      <c r="AO562"/>
      <c r="AP562"/>
      <c r="AQ562" s="227"/>
      <c r="AR562" s="227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>
        <v>52.3</v>
      </c>
      <c r="BT562"/>
      <c r="BU562">
        <v>16</v>
      </c>
      <c r="BV562"/>
      <c r="BW562" s="229"/>
      <c r="BX562"/>
      <c r="BY562"/>
      <c r="BZ562"/>
      <c r="CA562"/>
      <c r="CC562"/>
      <c r="CD562"/>
      <c r="CE562">
        <v>6.9</v>
      </c>
      <c r="CF562"/>
      <c r="CG562">
        <v>0.8</v>
      </c>
      <c r="CH562"/>
      <c r="CI562"/>
      <c r="CJ562"/>
      <c r="CK562" t="s">
        <v>8820</v>
      </c>
      <c r="CL562">
        <v>1</v>
      </c>
      <c r="CM562" s="392">
        <v>41802</v>
      </c>
    </row>
    <row r="563" spans="1:91" ht="15">
      <c r="A563" s="364" t="s">
        <v>7763</v>
      </c>
      <c r="B563" t="s">
        <v>265</v>
      </c>
      <c r="C563" t="s">
        <v>8213</v>
      </c>
      <c r="D563">
        <v>158</v>
      </c>
      <c r="E563" s="113">
        <v>55</v>
      </c>
      <c r="F563" s="113">
        <v>10</v>
      </c>
      <c r="G563" s="233"/>
      <c r="H563" s="233"/>
      <c r="I563" s="232"/>
      <c r="J563" s="234"/>
      <c r="K563" s="235">
        <v>7</v>
      </c>
      <c r="L563" s="390">
        <v>41625</v>
      </c>
      <c r="M563" s="232"/>
      <c r="N563" s="235"/>
      <c r="O563" s="232"/>
      <c r="P563" s="232"/>
      <c r="Q563" s="232"/>
      <c r="R563" s="236"/>
      <c r="S563" s="235"/>
      <c r="T563" s="235"/>
      <c r="U563" s="232"/>
      <c r="V563" s="232"/>
      <c r="W563" s="232"/>
      <c r="X563" s="232"/>
      <c r="Y563" s="237"/>
      <c r="Z563" s="235"/>
      <c r="AA563" s="238"/>
      <c r="AB563" s="235"/>
      <c r="AC563" s="237"/>
      <c r="AD563" s="235"/>
      <c r="AE563" s="235"/>
      <c r="AF563" s="235"/>
      <c r="AG563" s="232">
        <v>3.88</v>
      </c>
      <c r="AH563" s="232"/>
      <c r="AI563" s="232">
        <v>145</v>
      </c>
      <c r="AJ563" s="194">
        <v>41785</v>
      </c>
      <c r="AK563" s="232"/>
      <c r="AL563" s="232"/>
      <c r="AM563" s="232"/>
      <c r="AN563" s="232"/>
      <c r="AO563" s="232"/>
      <c r="AP563" s="232"/>
      <c r="AQ563" s="239"/>
      <c r="AR563" s="239"/>
      <c r="AS563" s="232"/>
      <c r="AT563" s="232"/>
      <c r="AU563" s="232"/>
      <c r="AV563" s="232"/>
      <c r="AW563" s="232"/>
      <c r="AX563" s="232"/>
      <c r="AY563" s="232"/>
      <c r="AZ563" s="232"/>
      <c r="BA563" s="232"/>
      <c r="BB563" s="232"/>
      <c r="BC563" s="232"/>
      <c r="BD563" s="232"/>
      <c r="BE563" s="232"/>
      <c r="BF563" s="232"/>
      <c r="BG563" s="232"/>
      <c r="BH563" s="232"/>
      <c r="BI563" s="232"/>
      <c r="BJ563" s="232"/>
      <c r="BK563" s="232"/>
      <c r="BL563" s="232"/>
      <c r="BM563" s="232"/>
      <c r="BN563" s="232"/>
      <c r="BO563" s="232"/>
      <c r="BP563" s="232"/>
      <c r="BQ563" s="232"/>
      <c r="BR563" s="232"/>
      <c r="BS563" s="232">
        <v>52.7</v>
      </c>
      <c r="BT563" s="232"/>
      <c r="BU563" s="232">
        <v>15.8</v>
      </c>
      <c r="BV563" s="232"/>
      <c r="BW563" s="240"/>
      <c r="BX563" s="232"/>
      <c r="BY563" s="232"/>
      <c r="BZ563" s="232"/>
      <c r="CA563" s="232"/>
      <c r="CB563" s="241"/>
      <c r="CC563" s="232"/>
      <c r="CD563" s="232"/>
      <c r="CE563" s="232">
        <v>4.7</v>
      </c>
      <c r="CF563" s="232"/>
      <c r="CG563" s="232">
        <v>0.7</v>
      </c>
      <c r="CH563" s="232"/>
      <c r="CI563" s="232"/>
      <c r="CJ563" s="232"/>
      <c r="CK563" t="s">
        <v>8820</v>
      </c>
      <c r="CL563" s="232">
        <v>1</v>
      </c>
      <c r="CM563" s="392">
        <v>41802</v>
      </c>
    </row>
    <row r="564" spans="1:91" ht="15">
      <c r="A564" s="364" t="s">
        <v>7764</v>
      </c>
      <c r="B564" t="s">
        <v>265</v>
      </c>
      <c r="C564" t="s">
        <v>8213</v>
      </c>
      <c r="D564">
        <v>159</v>
      </c>
      <c r="E564" s="113">
        <v>40</v>
      </c>
      <c r="F564" s="113">
        <v>9</v>
      </c>
      <c r="I564"/>
      <c r="K564" s="224">
        <v>7</v>
      </c>
      <c r="L564" s="390">
        <v>41625</v>
      </c>
      <c r="M564"/>
      <c r="N564" s="224"/>
      <c r="O564"/>
      <c r="P564"/>
      <c r="Q564"/>
      <c r="S564" s="224"/>
      <c r="T564" s="224"/>
      <c r="U564"/>
      <c r="V564"/>
      <c r="W564"/>
      <c r="X564"/>
      <c r="Y564" s="225"/>
      <c r="Z564" s="224"/>
      <c r="AA564" s="226"/>
      <c r="AB564" s="224"/>
      <c r="AC564" s="225"/>
      <c r="AD564" s="224"/>
      <c r="AE564" s="224"/>
      <c r="AF564" s="224"/>
      <c r="AG564">
        <v>4.42</v>
      </c>
      <c r="AH564"/>
      <c r="AI564">
        <v>130</v>
      </c>
      <c r="AJ564" s="194">
        <v>41785</v>
      </c>
      <c r="AK564"/>
      <c r="AL564"/>
      <c r="AM564"/>
      <c r="AN564"/>
      <c r="AO564"/>
      <c r="AP564"/>
      <c r="AQ564" s="227"/>
      <c r="AR564" s="227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>
        <v>52.6</v>
      </c>
      <c r="BT564"/>
      <c r="BU564">
        <v>15</v>
      </c>
      <c r="BV564"/>
      <c r="BW564" s="229"/>
      <c r="BX564"/>
      <c r="BY564"/>
      <c r="BZ564"/>
      <c r="CA564"/>
      <c r="CC564"/>
      <c r="CD564"/>
      <c r="CE564">
        <v>4.7</v>
      </c>
      <c r="CF564"/>
      <c r="CG564">
        <v>0.3</v>
      </c>
      <c r="CH564"/>
      <c r="CI564"/>
      <c r="CJ564"/>
      <c r="CK564" t="s">
        <v>8820</v>
      </c>
      <c r="CL564">
        <v>1</v>
      </c>
      <c r="CM564" s="392">
        <v>41802</v>
      </c>
    </row>
    <row r="565" spans="1:91" ht="15">
      <c r="A565" s="364" t="s">
        <v>7765</v>
      </c>
      <c r="B565" t="s">
        <v>265</v>
      </c>
      <c r="C565" t="s">
        <v>8213</v>
      </c>
      <c r="D565" s="232">
        <v>160</v>
      </c>
      <c r="E565" s="113">
        <v>63</v>
      </c>
      <c r="F565" s="113">
        <v>12</v>
      </c>
      <c r="I565"/>
      <c r="K565" s="224">
        <v>7</v>
      </c>
      <c r="L565" s="390">
        <v>41625</v>
      </c>
      <c r="M565"/>
      <c r="N565" s="224"/>
      <c r="O565"/>
      <c r="P565"/>
      <c r="Q565"/>
      <c r="S565" s="224"/>
      <c r="T565" s="224"/>
      <c r="U565"/>
      <c r="V565"/>
      <c r="W565"/>
      <c r="X565"/>
      <c r="Y565" s="225"/>
      <c r="Z565" s="224"/>
      <c r="AA565" s="226"/>
      <c r="AB565" s="224"/>
      <c r="AC565" s="225"/>
      <c r="AD565" s="224"/>
      <c r="AE565" s="224"/>
      <c r="AF565" s="224"/>
      <c r="AG565">
        <v>4.3899999999999997</v>
      </c>
      <c r="AH565"/>
      <c r="AI565">
        <v>155</v>
      </c>
      <c r="AJ565" s="194">
        <v>41785</v>
      </c>
      <c r="AK565"/>
      <c r="AL565"/>
      <c r="AM565"/>
      <c r="AN565"/>
      <c r="AO565"/>
      <c r="AP565"/>
      <c r="AQ565" s="227"/>
      <c r="AR565" s="227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>
        <v>53.3</v>
      </c>
      <c r="BT565"/>
      <c r="BU565">
        <v>15.5</v>
      </c>
      <c r="BV565"/>
      <c r="BW565" s="229"/>
      <c r="BX565"/>
      <c r="BY565"/>
      <c r="BZ565"/>
      <c r="CA565"/>
      <c r="CC565"/>
      <c r="CD565"/>
      <c r="CE565">
        <v>5.2</v>
      </c>
      <c r="CF565"/>
      <c r="CG565">
        <v>1.3</v>
      </c>
      <c r="CH565"/>
      <c r="CI565"/>
      <c r="CJ565"/>
      <c r="CK565" t="s">
        <v>8820</v>
      </c>
      <c r="CL565">
        <v>1</v>
      </c>
      <c r="CM565" s="392">
        <v>41802</v>
      </c>
    </row>
    <row r="566" spans="1:91" ht="15">
      <c r="A566" s="364" t="s">
        <v>7766</v>
      </c>
      <c r="B566" t="s">
        <v>265</v>
      </c>
      <c r="C566" t="s">
        <v>8213</v>
      </c>
      <c r="D566">
        <v>161</v>
      </c>
      <c r="E566" s="113">
        <v>59</v>
      </c>
      <c r="F566" s="113">
        <v>12</v>
      </c>
      <c r="I566"/>
      <c r="K566" s="224">
        <v>7</v>
      </c>
      <c r="L566" s="390">
        <v>41625</v>
      </c>
      <c r="M566"/>
      <c r="N566" s="224"/>
      <c r="O566"/>
      <c r="P566"/>
      <c r="Q566"/>
      <c r="S566" s="224"/>
      <c r="T566" s="224"/>
      <c r="U566"/>
      <c r="V566"/>
      <c r="W566"/>
      <c r="X566"/>
      <c r="Y566" s="225"/>
      <c r="Z566" s="224"/>
      <c r="AA566" s="226"/>
      <c r="AB566" s="224"/>
      <c r="AC566" s="225"/>
      <c r="AD566" s="224"/>
      <c r="AE566" s="224"/>
      <c r="AF566" s="224"/>
      <c r="AG566">
        <v>4.1900000000000004</v>
      </c>
      <c r="AH566"/>
      <c r="AI566">
        <v>140</v>
      </c>
      <c r="AJ566" s="194">
        <v>41785</v>
      </c>
      <c r="AK566"/>
      <c r="AL566"/>
      <c r="AM566"/>
      <c r="AN566"/>
      <c r="AO566"/>
      <c r="AP566"/>
      <c r="AQ566" s="227"/>
      <c r="AR566" s="227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>
        <v>52.6</v>
      </c>
      <c r="BT566"/>
      <c r="BU566">
        <v>16</v>
      </c>
      <c r="BV566"/>
      <c r="BW566" s="229"/>
      <c r="BX566"/>
      <c r="BY566"/>
      <c r="BZ566"/>
      <c r="CA566"/>
      <c r="CC566"/>
      <c r="CD566"/>
      <c r="CE566">
        <v>4.7</v>
      </c>
      <c r="CF566"/>
      <c r="CG566">
        <v>0.7</v>
      </c>
      <c r="CH566"/>
      <c r="CI566"/>
      <c r="CJ566"/>
      <c r="CK566" t="s">
        <v>8820</v>
      </c>
      <c r="CL566">
        <v>1</v>
      </c>
      <c r="CM566" s="392">
        <v>41802</v>
      </c>
    </row>
    <row r="567" spans="1:91" ht="15">
      <c r="A567" s="364" t="s">
        <v>7767</v>
      </c>
      <c r="B567" t="s">
        <v>265</v>
      </c>
      <c r="C567" t="s">
        <v>8213</v>
      </c>
      <c r="D567">
        <v>162</v>
      </c>
      <c r="E567" s="113">
        <v>51</v>
      </c>
      <c r="F567" s="113">
        <v>10</v>
      </c>
      <c r="I567"/>
      <c r="K567" s="224">
        <v>7</v>
      </c>
      <c r="L567" s="390">
        <v>41625</v>
      </c>
      <c r="M567"/>
      <c r="N567" s="224"/>
      <c r="O567"/>
      <c r="P567"/>
      <c r="Q567"/>
      <c r="S567" s="224"/>
      <c r="T567" s="224"/>
      <c r="U567"/>
      <c r="V567"/>
      <c r="W567"/>
      <c r="X567"/>
      <c r="Y567" s="225"/>
      <c r="Z567" s="224"/>
      <c r="AA567" s="226"/>
      <c r="AB567" s="224"/>
      <c r="AC567" s="225"/>
      <c r="AD567" s="224"/>
      <c r="AE567" s="224"/>
      <c r="AF567" s="224"/>
      <c r="AG567">
        <v>3.45</v>
      </c>
      <c r="AH567"/>
      <c r="AI567">
        <v>150</v>
      </c>
      <c r="AJ567" s="194">
        <v>41785</v>
      </c>
      <c r="AK567"/>
      <c r="AL567"/>
      <c r="AM567"/>
      <c r="AN567"/>
      <c r="AO567"/>
      <c r="AP567"/>
      <c r="AQ567" s="227"/>
      <c r="AR567" s="22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>
        <v>52.9</v>
      </c>
      <c r="BT567"/>
      <c r="BU567">
        <v>14.1</v>
      </c>
      <c r="BV567"/>
      <c r="BW567" s="229"/>
      <c r="BX567"/>
      <c r="BY567"/>
      <c r="BZ567"/>
      <c r="CA567"/>
      <c r="CC567"/>
      <c r="CD567"/>
      <c r="CE567">
        <v>5.9</v>
      </c>
      <c r="CF567"/>
      <c r="CG567">
        <v>0.7</v>
      </c>
      <c r="CH567"/>
      <c r="CI567"/>
      <c r="CJ567"/>
      <c r="CK567" t="s">
        <v>8820</v>
      </c>
      <c r="CL567">
        <v>1</v>
      </c>
      <c r="CM567" s="392">
        <v>41802</v>
      </c>
    </row>
    <row r="568" spans="1:91" ht="15">
      <c r="A568" s="364" t="s">
        <v>7768</v>
      </c>
      <c r="B568" t="s">
        <v>265</v>
      </c>
      <c r="C568" t="s">
        <v>8213</v>
      </c>
      <c r="D568">
        <v>163</v>
      </c>
      <c r="E568" s="113">
        <v>52</v>
      </c>
      <c r="F568" s="113">
        <v>12</v>
      </c>
      <c r="I568"/>
      <c r="K568" s="224">
        <v>7</v>
      </c>
      <c r="L568" s="390">
        <v>41625</v>
      </c>
      <c r="M568"/>
      <c r="N568" s="224"/>
      <c r="O568"/>
      <c r="P568"/>
      <c r="Q568"/>
      <c r="S568" s="224"/>
      <c r="T568" s="224"/>
      <c r="U568"/>
      <c r="V568"/>
      <c r="W568"/>
      <c r="X568"/>
      <c r="Y568" s="225"/>
      <c r="Z568" s="224"/>
      <c r="AA568" s="226"/>
      <c r="AB568" s="224"/>
      <c r="AC568" s="225"/>
      <c r="AD568" s="224"/>
      <c r="AE568" s="224"/>
      <c r="AF568" s="224"/>
      <c r="AG568">
        <v>3.94</v>
      </c>
      <c r="AH568"/>
      <c r="AI568">
        <v>140</v>
      </c>
      <c r="AJ568" s="194">
        <v>41785</v>
      </c>
      <c r="AK568"/>
      <c r="AL568"/>
      <c r="AM568"/>
      <c r="AN568"/>
      <c r="AO568"/>
      <c r="AP568"/>
      <c r="AQ568" s="227"/>
      <c r="AR568" s="227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>
        <v>53.3</v>
      </c>
      <c r="BT568"/>
      <c r="BU568">
        <v>14.8</v>
      </c>
      <c r="BV568"/>
      <c r="BW568" s="229"/>
      <c r="BX568"/>
      <c r="BY568"/>
      <c r="BZ568"/>
      <c r="CA568"/>
      <c r="CC568"/>
      <c r="CD568"/>
      <c r="CE568">
        <v>5.7</v>
      </c>
      <c r="CF568"/>
      <c r="CG568">
        <v>1.3</v>
      </c>
      <c r="CH568"/>
      <c r="CI568"/>
      <c r="CJ568"/>
      <c r="CK568" t="s">
        <v>8820</v>
      </c>
      <c r="CL568">
        <v>1</v>
      </c>
      <c r="CM568" s="392">
        <v>41802</v>
      </c>
    </row>
    <row r="569" spans="1:91" ht="15">
      <c r="A569" s="364" t="s">
        <v>7769</v>
      </c>
      <c r="B569" t="s">
        <v>265</v>
      </c>
      <c r="C569" t="s">
        <v>8213</v>
      </c>
      <c r="D569">
        <v>164</v>
      </c>
      <c r="E569" s="113">
        <v>46</v>
      </c>
      <c r="F569" s="113">
        <v>10</v>
      </c>
      <c r="I569"/>
      <c r="K569" s="224">
        <v>7</v>
      </c>
      <c r="L569" s="390">
        <v>41625</v>
      </c>
      <c r="M569"/>
      <c r="N569" s="224"/>
      <c r="O569"/>
      <c r="P569"/>
      <c r="Q569"/>
      <c r="S569" s="224"/>
      <c r="T569" s="224"/>
      <c r="U569"/>
      <c r="V569"/>
      <c r="W569"/>
      <c r="X569"/>
      <c r="Y569" s="225"/>
      <c r="Z569" s="224"/>
      <c r="AA569" s="226"/>
      <c r="AB569" s="224"/>
      <c r="AC569" s="225"/>
      <c r="AD569" s="224"/>
      <c r="AE569" s="224"/>
      <c r="AF569" s="224"/>
      <c r="AG569">
        <v>3.51</v>
      </c>
      <c r="AH569"/>
      <c r="AI569">
        <v>130</v>
      </c>
      <c r="AJ569" s="194">
        <v>41785</v>
      </c>
      <c r="AK569"/>
      <c r="AL569"/>
      <c r="AM569"/>
      <c r="AN569"/>
      <c r="AO569"/>
      <c r="AP569"/>
      <c r="AQ569" s="227"/>
      <c r="AR569" s="227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>
        <v>51.5</v>
      </c>
      <c r="BT569"/>
      <c r="BU569">
        <v>15.4</v>
      </c>
      <c r="BV569"/>
      <c r="BW569" s="229"/>
      <c r="BX569"/>
      <c r="BY569"/>
      <c r="BZ569"/>
      <c r="CA569"/>
      <c r="CC569"/>
      <c r="CD569"/>
      <c r="CE569">
        <v>6.2</v>
      </c>
      <c r="CF569"/>
      <c r="CG569">
        <v>0.9</v>
      </c>
      <c r="CH569"/>
      <c r="CI569"/>
      <c r="CJ569"/>
      <c r="CK569" t="s">
        <v>8820</v>
      </c>
      <c r="CL569">
        <v>1</v>
      </c>
      <c r="CM569" s="392">
        <v>41802</v>
      </c>
    </row>
    <row r="570" spans="1:91" ht="15">
      <c r="A570" s="364" t="s">
        <v>7770</v>
      </c>
      <c r="B570" t="s">
        <v>265</v>
      </c>
      <c r="C570" t="s">
        <v>8213</v>
      </c>
      <c r="D570">
        <v>165</v>
      </c>
      <c r="E570" s="113">
        <v>49</v>
      </c>
      <c r="F570" s="113">
        <v>7</v>
      </c>
      <c r="I570"/>
      <c r="K570" s="224">
        <v>7</v>
      </c>
      <c r="L570" s="390">
        <v>41625</v>
      </c>
      <c r="M570"/>
      <c r="N570" s="224"/>
      <c r="O570"/>
      <c r="P570"/>
      <c r="Q570"/>
      <c r="S570" s="224"/>
      <c r="T570" s="224"/>
      <c r="U570"/>
      <c r="V570"/>
      <c r="W570"/>
      <c r="X570"/>
      <c r="Y570" s="225"/>
      <c r="Z570" s="224"/>
      <c r="AA570" s="226"/>
      <c r="AB570" s="224"/>
      <c r="AC570" s="225"/>
      <c r="AD570" s="224"/>
      <c r="AE570" s="224"/>
      <c r="AF570" s="224"/>
      <c r="AG570">
        <v>4.1100000000000003</v>
      </c>
      <c r="AH570"/>
      <c r="AI570">
        <v>125</v>
      </c>
      <c r="AJ570" s="194">
        <v>41785</v>
      </c>
      <c r="AK570"/>
      <c r="AL570"/>
      <c r="AM570"/>
      <c r="AN570"/>
      <c r="AO570"/>
      <c r="AP570"/>
      <c r="AQ570" s="227"/>
      <c r="AR570" s="227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>
        <v>51.9</v>
      </c>
      <c r="BT570"/>
      <c r="BU570">
        <v>17.399999999999999</v>
      </c>
      <c r="BV570"/>
      <c r="BW570" s="229"/>
      <c r="BX570"/>
      <c r="BY570"/>
      <c r="BZ570"/>
      <c r="CA570"/>
      <c r="CC570"/>
      <c r="CD570"/>
      <c r="CE570">
        <v>4.7</v>
      </c>
      <c r="CF570"/>
      <c r="CG570">
        <v>0.5</v>
      </c>
      <c r="CH570"/>
      <c r="CI570"/>
      <c r="CJ570"/>
      <c r="CK570" t="s">
        <v>8820</v>
      </c>
      <c r="CL570">
        <v>3</v>
      </c>
      <c r="CM570" s="392">
        <v>41802</v>
      </c>
    </row>
    <row r="571" spans="1:91" ht="15">
      <c r="A571" s="364" t="s">
        <v>7771</v>
      </c>
      <c r="B571" t="s">
        <v>265</v>
      </c>
      <c r="C571" t="s">
        <v>8213</v>
      </c>
      <c r="D571">
        <v>166</v>
      </c>
      <c r="E571" s="113">
        <v>71</v>
      </c>
      <c r="F571" s="113">
        <v>10</v>
      </c>
      <c r="I571"/>
      <c r="K571" s="224">
        <v>7</v>
      </c>
      <c r="L571" s="390">
        <v>41625</v>
      </c>
      <c r="M571"/>
      <c r="N571" s="224"/>
      <c r="O571"/>
      <c r="P571"/>
      <c r="Q571"/>
      <c r="S571" s="224"/>
      <c r="T571" s="224"/>
      <c r="U571"/>
      <c r="V571"/>
      <c r="W571"/>
      <c r="X571"/>
      <c r="Y571" s="225"/>
      <c r="Z571" s="224"/>
      <c r="AA571" s="226"/>
      <c r="AB571" s="224"/>
      <c r="AC571" s="225"/>
      <c r="AD571" s="224"/>
      <c r="AE571" s="224"/>
      <c r="AF571" s="224"/>
      <c r="AG571">
        <v>4.6500000000000004</v>
      </c>
      <c r="AH571"/>
      <c r="AI571">
        <v>130</v>
      </c>
      <c r="AJ571" s="194">
        <v>41785</v>
      </c>
      <c r="AK571"/>
      <c r="AL571"/>
      <c r="AM571"/>
      <c r="AN571"/>
      <c r="AO571"/>
      <c r="AP571"/>
      <c r="AQ571" s="227"/>
      <c r="AR571" s="227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>
        <v>52</v>
      </c>
      <c r="BT571"/>
      <c r="BU571">
        <v>16.100000000000001</v>
      </c>
      <c r="BV571"/>
      <c r="BW571" s="229"/>
      <c r="BX571"/>
      <c r="BY571"/>
      <c r="BZ571"/>
      <c r="CA571"/>
      <c r="CC571"/>
      <c r="CD571"/>
      <c r="CE571">
        <v>6.3</v>
      </c>
      <c r="CF571"/>
      <c r="CG571">
        <v>0.4</v>
      </c>
      <c r="CH571"/>
      <c r="CI571"/>
      <c r="CJ571"/>
      <c r="CK571" t="s">
        <v>8820</v>
      </c>
      <c r="CL571">
        <v>1</v>
      </c>
      <c r="CM571" s="392">
        <v>41802</v>
      </c>
    </row>
    <row r="572" spans="1:91" ht="15">
      <c r="A572" s="364" t="s">
        <v>7772</v>
      </c>
      <c r="B572" s="362" t="s">
        <v>265</v>
      </c>
      <c r="C572" s="362" t="s">
        <v>8213</v>
      </c>
      <c r="D572">
        <v>167</v>
      </c>
      <c r="E572" s="113">
        <v>72</v>
      </c>
      <c r="F572" s="113">
        <v>7</v>
      </c>
      <c r="I572"/>
      <c r="K572" s="224">
        <v>7</v>
      </c>
      <c r="L572" s="390">
        <v>41625</v>
      </c>
      <c r="M572"/>
      <c r="N572" s="224"/>
      <c r="O572"/>
      <c r="P572"/>
      <c r="Q572"/>
      <c r="S572" s="224"/>
      <c r="T572" s="224"/>
      <c r="U572"/>
      <c r="V572"/>
      <c r="W572"/>
      <c r="X572"/>
      <c r="Y572" s="225"/>
      <c r="Z572" s="224"/>
      <c r="AA572" s="226"/>
      <c r="AB572" s="224"/>
      <c r="AC572" s="225"/>
      <c r="AD572" s="224"/>
      <c r="AE572" s="224"/>
      <c r="AF572" s="224"/>
      <c r="AG572">
        <v>4.33</v>
      </c>
      <c r="AH572"/>
      <c r="AI572">
        <v>160</v>
      </c>
      <c r="AJ572" s="194">
        <v>41785</v>
      </c>
      <c r="AK572"/>
      <c r="AL572"/>
      <c r="AM572"/>
      <c r="AN572"/>
      <c r="AO572"/>
      <c r="AP572"/>
      <c r="AQ572" s="227"/>
      <c r="AR572" s="227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>
        <v>54.6</v>
      </c>
      <c r="BT572"/>
      <c r="BU572">
        <v>14.2</v>
      </c>
      <c r="BV572"/>
      <c r="BW572" s="229"/>
      <c r="BX572"/>
      <c r="BY572"/>
      <c r="BZ572"/>
      <c r="CA572"/>
      <c r="CC572"/>
      <c r="CD572"/>
      <c r="CE572">
        <v>8.4</v>
      </c>
      <c r="CF572"/>
      <c r="CG572">
        <v>0.3</v>
      </c>
      <c r="CH572"/>
      <c r="CI572"/>
      <c r="CJ572"/>
      <c r="CK572" t="s">
        <v>8820</v>
      </c>
      <c r="CL572">
        <v>1</v>
      </c>
      <c r="CM572" s="392">
        <v>41802</v>
      </c>
    </row>
    <row r="573" spans="1:91" ht="15">
      <c r="A573" s="364" t="s">
        <v>7773</v>
      </c>
      <c r="B573" t="s">
        <v>265</v>
      </c>
      <c r="C573" t="s">
        <v>8213</v>
      </c>
      <c r="D573">
        <v>168</v>
      </c>
      <c r="E573" s="113">
        <v>51</v>
      </c>
      <c r="F573" s="113">
        <v>7</v>
      </c>
      <c r="I573"/>
      <c r="K573" s="224">
        <v>7</v>
      </c>
      <c r="L573" s="390">
        <v>41625</v>
      </c>
      <c r="M573"/>
      <c r="N573" s="224"/>
      <c r="O573"/>
      <c r="P573"/>
      <c r="Q573"/>
      <c r="S573" s="224"/>
      <c r="T573" s="224"/>
      <c r="U573"/>
      <c r="V573"/>
      <c r="W573"/>
      <c r="X573"/>
      <c r="Y573" s="225"/>
      <c r="Z573" s="224"/>
      <c r="AA573" s="226"/>
      <c r="AB573" s="224"/>
      <c r="AC573" s="225"/>
      <c r="AD573" s="224"/>
      <c r="AE573" s="224"/>
      <c r="AF573" s="224"/>
      <c r="AG573">
        <v>3.51</v>
      </c>
      <c r="AH573"/>
      <c r="AI573">
        <v>150</v>
      </c>
      <c r="AJ573" s="194">
        <v>41785</v>
      </c>
      <c r="AK573"/>
      <c r="AL573"/>
      <c r="AM573"/>
      <c r="AN573"/>
      <c r="AO573"/>
      <c r="AP573"/>
      <c r="AQ573" s="227"/>
      <c r="AR573" s="227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>
        <v>53.5</v>
      </c>
      <c r="BT573"/>
      <c r="BU573">
        <v>13.6</v>
      </c>
      <c r="BV573"/>
      <c r="BW573" s="229"/>
      <c r="BX573"/>
      <c r="BY573"/>
      <c r="BZ573"/>
      <c r="CA573"/>
      <c r="CC573"/>
      <c r="CD573"/>
      <c r="CE573">
        <v>5.9</v>
      </c>
      <c r="CF573"/>
      <c r="CG573">
        <v>1.1000000000000001</v>
      </c>
      <c r="CH573"/>
      <c r="CI573"/>
      <c r="CJ573"/>
      <c r="CK573" t="s">
        <v>8820</v>
      </c>
      <c r="CL573">
        <v>1</v>
      </c>
      <c r="CM573" s="392">
        <v>41802</v>
      </c>
    </row>
    <row r="574" spans="1:91" ht="15">
      <c r="A574" s="364" t="s">
        <v>7774</v>
      </c>
      <c r="B574" t="s">
        <v>265</v>
      </c>
      <c r="C574" t="s">
        <v>8213</v>
      </c>
      <c r="D574" s="232">
        <v>169</v>
      </c>
      <c r="E574" s="113">
        <v>69</v>
      </c>
      <c r="F574" s="113">
        <v>7</v>
      </c>
      <c r="I574"/>
      <c r="K574" s="224">
        <v>7</v>
      </c>
      <c r="L574" s="390">
        <v>41625</v>
      </c>
      <c r="M574"/>
      <c r="N574" s="224"/>
      <c r="O574"/>
      <c r="P574"/>
      <c r="Q574"/>
      <c r="S574" s="224"/>
      <c r="T574" s="224"/>
      <c r="U574"/>
      <c r="V574"/>
      <c r="W574"/>
      <c r="X574"/>
      <c r="Y574" s="225"/>
      <c r="Z574" s="224"/>
      <c r="AA574" s="226"/>
      <c r="AB574" s="224"/>
      <c r="AC574" s="225"/>
      <c r="AD574" s="224"/>
      <c r="AE574" s="224"/>
      <c r="AF574" s="224"/>
      <c r="AG574">
        <v>4.03</v>
      </c>
      <c r="AH574"/>
      <c r="AI574">
        <v>160</v>
      </c>
      <c r="AJ574" s="194">
        <v>41785</v>
      </c>
      <c r="AK574"/>
      <c r="AL574"/>
      <c r="AM574"/>
      <c r="AN574"/>
      <c r="AO574"/>
      <c r="AP574"/>
      <c r="AQ574" s="227"/>
      <c r="AR574" s="227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>
        <v>53</v>
      </c>
      <c r="BT574"/>
      <c r="BU574">
        <v>15.5</v>
      </c>
      <c r="BV574"/>
      <c r="BW574" s="229"/>
      <c r="BX574"/>
      <c r="BY574"/>
      <c r="BZ574"/>
      <c r="CA574"/>
      <c r="CC574"/>
      <c r="CD574"/>
      <c r="CE574">
        <v>6.1</v>
      </c>
      <c r="CF574"/>
      <c r="CG574">
        <v>0.4</v>
      </c>
      <c r="CH574"/>
      <c r="CI574"/>
      <c r="CJ574"/>
      <c r="CK574" t="s">
        <v>8820</v>
      </c>
      <c r="CL574">
        <v>1</v>
      </c>
      <c r="CM574" s="392">
        <v>41802</v>
      </c>
    </row>
    <row r="575" spans="1:91" ht="15">
      <c r="A575" s="364" t="s">
        <v>7775</v>
      </c>
      <c r="B575" t="s">
        <v>265</v>
      </c>
      <c r="C575" t="s">
        <v>8213</v>
      </c>
      <c r="D575">
        <v>170</v>
      </c>
      <c r="E575" s="113">
        <v>47</v>
      </c>
      <c r="F575" s="113">
        <v>9</v>
      </c>
      <c r="I575"/>
      <c r="K575" s="224">
        <v>7</v>
      </c>
      <c r="L575" s="390">
        <v>41625</v>
      </c>
      <c r="M575"/>
      <c r="N575" s="224"/>
      <c r="O575"/>
      <c r="P575"/>
      <c r="Q575"/>
      <c r="S575" s="224"/>
      <c r="T575" s="224"/>
      <c r="U575"/>
      <c r="V575"/>
      <c r="W575"/>
      <c r="X575"/>
      <c r="Y575" s="225"/>
      <c r="Z575" s="224"/>
      <c r="AA575" s="226"/>
      <c r="AB575" s="224"/>
      <c r="AC575" s="225"/>
      <c r="AD575" s="224"/>
      <c r="AE575" s="224"/>
      <c r="AF575" s="224"/>
      <c r="AG575">
        <v>3.93</v>
      </c>
      <c r="AH575"/>
      <c r="AI575">
        <v>155</v>
      </c>
      <c r="AJ575" s="194">
        <v>41785</v>
      </c>
      <c r="AK575"/>
      <c r="AL575"/>
      <c r="AM575"/>
      <c r="AN575"/>
      <c r="AO575"/>
      <c r="AP575"/>
      <c r="AQ575" s="227"/>
      <c r="AR575" s="227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>
        <v>51.8</v>
      </c>
      <c r="BT575"/>
      <c r="BU575">
        <v>16.7</v>
      </c>
      <c r="BV575"/>
      <c r="BW575" s="229"/>
      <c r="BX575"/>
      <c r="BY575"/>
      <c r="BZ575"/>
      <c r="CA575"/>
      <c r="CC575"/>
      <c r="CD575"/>
      <c r="CE575">
        <v>6.4</v>
      </c>
      <c r="CF575"/>
      <c r="CG575">
        <v>0.3</v>
      </c>
      <c r="CH575"/>
      <c r="CI575"/>
      <c r="CJ575"/>
      <c r="CK575" t="s">
        <v>8820</v>
      </c>
      <c r="CL575">
        <v>1</v>
      </c>
      <c r="CM575" s="392">
        <v>41802</v>
      </c>
    </row>
    <row r="576" spans="1:91" ht="15">
      <c r="A576" s="364" t="s">
        <v>7776</v>
      </c>
      <c r="B576" t="s">
        <v>265</v>
      </c>
      <c r="C576" t="s">
        <v>8213</v>
      </c>
      <c r="D576">
        <v>171</v>
      </c>
      <c r="E576" s="113">
        <v>47</v>
      </c>
      <c r="F576" s="113">
        <v>10</v>
      </c>
      <c r="I576"/>
      <c r="K576" s="224">
        <v>7</v>
      </c>
      <c r="L576" s="390">
        <v>41625</v>
      </c>
      <c r="M576"/>
      <c r="N576" s="224"/>
      <c r="O576"/>
      <c r="P576"/>
      <c r="Q576"/>
      <c r="S576" s="224"/>
      <c r="T576" s="224"/>
      <c r="U576"/>
      <c r="V576"/>
      <c r="W576"/>
      <c r="X576"/>
      <c r="Y576" s="225"/>
      <c r="Z576" s="224"/>
      <c r="AA576" s="226"/>
      <c r="AB576" s="224"/>
      <c r="AC576" s="225"/>
      <c r="AD576" s="224"/>
      <c r="AE576" s="224"/>
      <c r="AF576" s="224"/>
      <c r="AG576">
        <v>4.43</v>
      </c>
      <c r="AH576"/>
      <c r="AI576">
        <v>150</v>
      </c>
      <c r="AJ576" s="194">
        <v>41785</v>
      </c>
      <c r="AK576"/>
      <c r="AL576"/>
      <c r="AM576"/>
      <c r="AN576"/>
      <c r="AO576"/>
      <c r="AP576"/>
      <c r="AQ576" s="227"/>
      <c r="AR576" s="227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>
        <v>53.3</v>
      </c>
      <c r="BT576"/>
      <c r="BU576">
        <v>14.6</v>
      </c>
      <c r="BV576"/>
      <c r="BW576" s="229"/>
      <c r="BX576"/>
      <c r="BY576"/>
      <c r="BZ576"/>
      <c r="CA576"/>
      <c r="CC576"/>
      <c r="CD576"/>
      <c r="CE576">
        <v>6.5</v>
      </c>
      <c r="CF576"/>
      <c r="CG576">
        <v>0.4</v>
      </c>
      <c r="CH576"/>
      <c r="CI576"/>
      <c r="CJ576"/>
      <c r="CK576" t="s">
        <v>8820</v>
      </c>
      <c r="CL576">
        <v>1</v>
      </c>
      <c r="CM576" s="392">
        <v>41802</v>
      </c>
    </row>
    <row r="577" spans="1:91" ht="15">
      <c r="A577" s="364" t="s">
        <v>7777</v>
      </c>
      <c r="B577" t="s">
        <v>265</v>
      </c>
      <c r="C577" t="s">
        <v>8213</v>
      </c>
      <c r="D577">
        <v>172</v>
      </c>
      <c r="E577" s="113">
        <v>44</v>
      </c>
      <c r="F577" s="113">
        <v>12</v>
      </c>
      <c r="I577"/>
      <c r="K577" s="224">
        <v>7</v>
      </c>
      <c r="L577" s="390">
        <v>41625</v>
      </c>
      <c r="M577"/>
      <c r="N577" s="224"/>
      <c r="O577"/>
      <c r="P577"/>
      <c r="Q577"/>
      <c r="S577" s="224"/>
      <c r="T577" s="224"/>
      <c r="U577"/>
      <c r="V577"/>
      <c r="W577"/>
      <c r="X577"/>
      <c r="Y577" s="225"/>
      <c r="Z577" s="224"/>
      <c r="AA577" s="226"/>
      <c r="AB577" s="224"/>
      <c r="AC577" s="225"/>
      <c r="AD577" s="224"/>
      <c r="AE577" s="224"/>
      <c r="AF577" s="224"/>
      <c r="AG577">
        <v>4.51</v>
      </c>
      <c r="AH577"/>
      <c r="AI577">
        <v>145</v>
      </c>
      <c r="AJ577" s="194">
        <v>41785</v>
      </c>
      <c r="AK577"/>
      <c r="AL577"/>
      <c r="AM577"/>
      <c r="AN577"/>
      <c r="AO577"/>
      <c r="AP577"/>
      <c r="AQ577" s="227"/>
      <c r="AR577" s="22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>
        <v>52.9</v>
      </c>
      <c r="BT577"/>
      <c r="BU577">
        <v>15.1</v>
      </c>
      <c r="BV577"/>
      <c r="BW577" s="229"/>
      <c r="BX577"/>
      <c r="BY577"/>
      <c r="BZ577"/>
      <c r="CA577"/>
      <c r="CC577"/>
      <c r="CD577"/>
      <c r="CE577">
        <v>6.6</v>
      </c>
      <c r="CF577"/>
      <c r="CG577">
        <v>0.3</v>
      </c>
      <c r="CH577"/>
      <c r="CI577"/>
      <c r="CJ577"/>
      <c r="CK577" t="s">
        <v>8820</v>
      </c>
      <c r="CL577">
        <v>1</v>
      </c>
      <c r="CM577" s="392">
        <v>41802</v>
      </c>
    </row>
    <row r="578" spans="1:91" ht="15">
      <c r="A578" s="364" t="s">
        <v>7778</v>
      </c>
      <c r="B578" t="s">
        <v>265</v>
      </c>
      <c r="C578" t="s">
        <v>8213</v>
      </c>
      <c r="D578">
        <v>173</v>
      </c>
      <c r="E578" s="113">
        <v>44</v>
      </c>
      <c r="F578" s="113">
        <v>11</v>
      </c>
      <c r="I578"/>
      <c r="K578" s="224">
        <v>7</v>
      </c>
      <c r="L578" s="390">
        <v>41625</v>
      </c>
      <c r="M578"/>
      <c r="N578" s="224"/>
      <c r="O578"/>
      <c r="P578"/>
      <c r="Q578"/>
      <c r="S578" s="224"/>
      <c r="T578" s="224"/>
      <c r="U578"/>
      <c r="V578"/>
      <c r="W578"/>
      <c r="X578"/>
      <c r="Y578" s="225"/>
      <c r="Z578" s="224"/>
      <c r="AA578" s="226"/>
      <c r="AB578" s="224"/>
      <c r="AC578" s="225"/>
      <c r="AD578" s="224"/>
      <c r="AE578" s="224"/>
      <c r="AF578" s="224"/>
      <c r="AG578">
        <v>4.05</v>
      </c>
      <c r="AH578"/>
      <c r="AI578">
        <v>150</v>
      </c>
      <c r="AJ578" s="194">
        <v>41785</v>
      </c>
      <c r="AK578"/>
      <c r="AL578"/>
      <c r="AM578"/>
      <c r="AN578"/>
      <c r="AO578"/>
      <c r="AP578"/>
      <c r="AQ578" s="227"/>
      <c r="AR578" s="227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>
        <v>52.5</v>
      </c>
      <c r="BT578"/>
      <c r="BU578">
        <v>14.9</v>
      </c>
      <c r="BV578"/>
      <c r="BW578"/>
      <c r="BX578" s="228"/>
      <c r="BY578"/>
      <c r="BZ578"/>
      <c r="CA578"/>
      <c r="CC578"/>
      <c r="CD578"/>
      <c r="CE578">
        <v>7.4</v>
      </c>
      <c r="CF578"/>
      <c r="CG578">
        <v>0.4</v>
      </c>
      <c r="CH578"/>
      <c r="CI578"/>
      <c r="CJ578"/>
      <c r="CK578" t="s">
        <v>8820</v>
      </c>
      <c r="CL578">
        <v>1</v>
      </c>
      <c r="CM578" s="392">
        <v>41802</v>
      </c>
    </row>
    <row r="579" spans="1:91" ht="15">
      <c r="A579" s="364" t="s">
        <v>7780</v>
      </c>
      <c r="B579" t="s">
        <v>265</v>
      </c>
      <c r="C579" t="s">
        <v>8213</v>
      </c>
      <c r="D579" s="232">
        <v>175</v>
      </c>
      <c r="E579" s="113">
        <v>70</v>
      </c>
      <c r="F579" s="113">
        <v>10</v>
      </c>
      <c r="I579"/>
      <c r="K579" s="224">
        <v>7</v>
      </c>
      <c r="L579" s="390">
        <v>41625</v>
      </c>
      <c r="M579"/>
      <c r="N579" s="224"/>
      <c r="O579"/>
      <c r="P579"/>
      <c r="Q579"/>
      <c r="S579" s="224"/>
      <c r="T579" s="224"/>
      <c r="U579"/>
      <c r="V579"/>
      <c r="W579"/>
      <c r="X579"/>
      <c r="Y579" s="225"/>
      <c r="Z579" s="224"/>
      <c r="AA579" s="226"/>
      <c r="AB579" s="224"/>
      <c r="AC579" s="225"/>
      <c r="AD579" s="224"/>
      <c r="AE579" s="224"/>
      <c r="AF579" s="224"/>
      <c r="AG579">
        <v>4.4000000000000004</v>
      </c>
      <c r="AH579"/>
      <c r="AI579">
        <v>150</v>
      </c>
      <c r="AJ579" s="194">
        <v>41785</v>
      </c>
      <c r="AK579"/>
      <c r="AL579"/>
      <c r="AM579"/>
      <c r="AN579"/>
      <c r="AO579"/>
      <c r="AP579"/>
      <c r="AQ579" s="227"/>
      <c r="AR579" s="227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>
        <v>52.4</v>
      </c>
      <c r="BT579"/>
      <c r="BU579">
        <v>14.7</v>
      </c>
      <c r="BV579"/>
      <c r="BW579" s="229"/>
      <c r="BX579"/>
      <c r="BY579"/>
      <c r="BZ579"/>
      <c r="CA579"/>
      <c r="CC579"/>
      <c r="CD579"/>
      <c r="CE579">
        <v>6.7</v>
      </c>
      <c r="CF579"/>
      <c r="CG579">
        <v>0.9</v>
      </c>
      <c r="CH579"/>
      <c r="CI579"/>
      <c r="CJ579"/>
      <c r="CK579" t="s">
        <v>8820</v>
      </c>
      <c r="CL579">
        <v>1</v>
      </c>
      <c r="CM579" s="392">
        <v>41802</v>
      </c>
    </row>
    <row r="580" spans="1:91" ht="15">
      <c r="A580" s="364" t="s">
        <v>7782</v>
      </c>
      <c r="B580" t="s">
        <v>265</v>
      </c>
      <c r="C580" t="s">
        <v>8213</v>
      </c>
      <c r="D580">
        <v>177</v>
      </c>
      <c r="E580" s="113">
        <v>42</v>
      </c>
      <c r="F580" s="113">
        <v>8</v>
      </c>
      <c r="I580"/>
      <c r="K580" s="224">
        <v>6</v>
      </c>
      <c r="L580" s="390">
        <v>41625</v>
      </c>
      <c r="M580"/>
      <c r="N580" s="224"/>
      <c r="O580"/>
      <c r="P580"/>
      <c r="Q580"/>
      <c r="S580" s="224"/>
      <c r="T580" s="224"/>
      <c r="U580"/>
      <c r="V580"/>
      <c r="W580"/>
      <c r="X580"/>
      <c r="Y580" s="225"/>
      <c r="Z580" s="224"/>
      <c r="AA580" s="226"/>
      <c r="AB580" s="224"/>
      <c r="AC580" s="225"/>
      <c r="AD580" s="224"/>
      <c r="AE580" s="224"/>
      <c r="AF580" s="224"/>
      <c r="AG580">
        <v>3.91</v>
      </c>
      <c r="AH580"/>
      <c r="AI580">
        <v>125</v>
      </c>
      <c r="AJ580" s="194">
        <v>41785</v>
      </c>
      <c r="AK580"/>
      <c r="AL580"/>
      <c r="AM580"/>
      <c r="AN580"/>
      <c r="AO580"/>
      <c r="AP580"/>
      <c r="AQ580" s="227"/>
      <c r="AR580" s="227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>
        <v>52.2</v>
      </c>
      <c r="BT580"/>
      <c r="BU580">
        <v>15.4</v>
      </c>
      <c r="BV580"/>
      <c r="BW580" s="229"/>
      <c r="BX580"/>
      <c r="BY580"/>
      <c r="BZ580"/>
      <c r="CA580"/>
      <c r="CC580"/>
      <c r="CD580"/>
      <c r="CE580">
        <v>6</v>
      </c>
      <c r="CF580"/>
      <c r="CG580">
        <v>0.4</v>
      </c>
      <c r="CH580"/>
      <c r="CI580"/>
      <c r="CJ580"/>
      <c r="CK580" t="s">
        <v>8820</v>
      </c>
      <c r="CL580">
        <v>1</v>
      </c>
      <c r="CM580" s="392">
        <v>41802</v>
      </c>
    </row>
    <row r="581" spans="1:91" ht="15">
      <c r="A581" s="364" t="s">
        <v>7783</v>
      </c>
      <c r="B581" t="s">
        <v>265</v>
      </c>
      <c r="C581" t="s">
        <v>8213</v>
      </c>
      <c r="D581" s="232">
        <v>178</v>
      </c>
      <c r="E581" s="113">
        <v>46</v>
      </c>
      <c r="F581" s="113">
        <v>12</v>
      </c>
      <c r="G581" s="233"/>
      <c r="H581" s="233"/>
      <c r="I581" s="232"/>
      <c r="J581" s="234"/>
      <c r="K581" s="235">
        <v>7</v>
      </c>
      <c r="L581" s="390">
        <v>41625</v>
      </c>
      <c r="M581" s="232"/>
      <c r="N581" s="235"/>
      <c r="O581" s="232"/>
      <c r="P581" s="232"/>
      <c r="Q581" s="232"/>
      <c r="R581" s="236"/>
      <c r="S581" s="235"/>
      <c r="T581" s="235"/>
      <c r="U581" s="232"/>
      <c r="V581" s="232"/>
      <c r="W581" s="232"/>
      <c r="X581" s="232"/>
      <c r="Y581" s="237"/>
      <c r="Z581" s="235"/>
      <c r="AA581" s="238"/>
      <c r="AB581" s="235"/>
      <c r="AC581" s="237"/>
      <c r="AD581" s="235"/>
      <c r="AE581" s="235"/>
      <c r="AF581" s="235"/>
      <c r="AG581" s="232">
        <v>4.5999999999999996</v>
      </c>
      <c r="AH581" s="232"/>
      <c r="AI581" s="232">
        <v>140</v>
      </c>
      <c r="AJ581" s="194">
        <v>41785</v>
      </c>
      <c r="AK581" s="232"/>
      <c r="AL581" s="232"/>
      <c r="AM581" s="232"/>
      <c r="AN581" s="232"/>
      <c r="AO581" s="232"/>
      <c r="AP581" s="232"/>
      <c r="AQ581" s="239"/>
      <c r="AR581" s="239"/>
      <c r="AS581" s="232"/>
      <c r="AT581" s="232"/>
      <c r="AU581" s="232"/>
      <c r="AV581" s="232"/>
      <c r="AW581" s="232"/>
      <c r="AX581" s="232"/>
      <c r="AY581" s="232"/>
      <c r="AZ581" s="232"/>
      <c r="BA581" s="232"/>
      <c r="BB581" s="232"/>
      <c r="BC581" s="232"/>
      <c r="BD581" s="232"/>
      <c r="BE581" s="232"/>
      <c r="BF581" s="232"/>
      <c r="BG581" s="232"/>
      <c r="BH581" s="232"/>
      <c r="BI581" s="232"/>
      <c r="BJ581" s="232"/>
      <c r="BK581" s="232"/>
      <c r="BL581" s="232"/>
      <c r="BM581" s="232"/>
      <c r="BN581" s="232"/>
      <c r="BO581" s="232"/>
      <c r="BP581" s="232"/>
      <c r="BQ581" s="232"/>
      <c r="BR581" s="232"/>
      <c r="BS581" s="232">
        <v>53.4</v>
      </c>
      <c r="BT581" s="232"/>
      <c r="BU581" s="232">
        <v>15.3</v>
      </c>
      <c r="BV581" s="232"/>
      <c r="BW581" s="240"/>
      <c r="BX581" s="232"/>
      <c r="BY581" s="232"/>
      <c r="BZ581" s="232"/>
      <c r="CA581" s="232"/>
      <c r="CB581" s="241"/>
      <c r="CC581" s="232"/>
      <c r="CD581" s="232"/>
      <c r="CE581" s="232">
        <v>5.8</v>
      </c>
      <c r="CF581" s="232"/>
      <c r="CG581" s="232">
        <v>0.3</v>
      </c>
      <c r="CH581" s="232"/>
      <c r="CI581" s="232"/>
      <c r="CJ581" s="232"/>
      <c r="CK581" t="s">
        <v>8820</v>
      </c>
      <c r="CL581" s="232">
        <v>1</v>
      </c>
      <c r="CM581" s="392">
        <v>41802</v>
      </c>
    </row>
    <row r="582" spans="1:91" ht="15">
      <c r="A582" s="364" t="s">
        <v>7784</v>
      </c>
      <c r="B582" t="s">
        <v>265</v>
      </c>
      <c r="C582" t="s">
        <v>8213</v>
      </c>
      <c r="D582">
        <v>179</v>
      </c>
      <c r="E582" s="113">
        <v>49</v>
      </c>
      <c r="F582" s="113">
        <v>10</v>
      </c>
      <c r="I582"/>
      <c r="K582" s="224">
        <v>7</v>
      </c>
      <c r="L582" s="390">
        <v>41625</v>
      </c>
      <c r="M582"/>
      <c r="N582" s="224"/>
      <c r="O582"/>
      <c r="P582"/>
      <c r="Q582"/>
      <c r="S582" s="224"/>
      <c r="T582" s="224"/>
      <c r="U582"/>
      <c r="V582"/>
      <c r="W582"/>
      <c r="X582"/>
      <c r="Y582" s="225"/>
      <c r="Z582" s="224"/>
      <c r="AA582" s="226"/>
      <c r="AB582" s="224"/>
      <c r="AC582" s="225"/>
      <c r="AD582" s="224"/>
      <c r="AE582" s="224"/>
      <c r="AF582" s="224"/>
      <c r="AG582">
        <v>3.94</v>
      </c>
      <c r="AH582"/>
      <c r="AI582">
        <v>150</v>
      </c>
      <c r="AJ582" s="194">
        <v>41785</v>
      </c>
      <c r="AK582"/>
      <c r="AL582"/>
      <c r="AM582"/>
      <c r="AN582"/>
      <c r="AO582"/>
      <c r="AP582"/>
      <c r="AQ582" s="227"/>
      <c r="AR582" s="227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>
        <v>53.1</v>
      </c>
      <c r="BT582"/>
      <c r="BU582">
        <v>15.7</v>
      </c>
      <c r="BV582"/>
      <c r="BW582" s="229"/>
      <c r="BX582"/>
      <c r="BY582"/>
      <c r="BZ582"/>
      <c r="CA582"/>
      <c r="CC582"/>
      <c r="CD582"/>
      <c r="CE582">
        <v>4.5999999999999996</v>
      </c>
      <c r="CF582"/>
      <c r="CG582">
        <v>1.5</v>
      </c>
      <c r="CH582"/>
      <c r="CI582"/>
      <c r="CJ582"/>
      <c r="CK582" t="s">
        <v>8820</v>
      </c>
      <c r="CL582">
        <v>1</v>
      </c>
      <c r="CM582" s="392">
        <v>41802</v>
      </c>
    </row>
    <row r="583" spans="1:91" ht="15.75" thickBot="1">
      <c r="A583" s="364" t="s">
        <v>7785</v>
      </c>
      <c r="B583" s="343" t="s">
        <v>265</v>
      </c>
      <c r="C583" s="344" t="s">
        <v>8213</v>
      </c>
      <c r="D583" s="232">
        <v>180</v>
      </c>
      <c r="E583" s="113">
        <v>66</v>
      </c>
      <c r="F583" s="113">
        <v>10</v>
      </c>
      <c r="I583"/>
      <c r="K583" s="224">
        <v>7</v>
      </c>
      <c r="L583" s="390">
        <v>41625</v>
      </c>
      <c r="M583"/>
      <c r="N583" s="224"/>
      <c r="O583"/>
      <c r="P583"/>
      <c r="Q583"/>
      <c r="S583" s="224"/>
      <c r="T583" s="224"/>
      <c r="U583"/>
      <c r="V583"/>
      <c r="W583"/>
      <c r="X583"/>
      <c r="Y583" s="225"/>
      <c r="Z583" s="224"/>
      <c r="AA583" s="226"/>
      <c r="AB583" s="224"/>
      <c r="AC583" s="225"/>
      <c r="AD583" s="224"/>
      <c r="AE583" s="224"/>
      <c r="AF583" s="224"/>
      <c r="AG583">
        <v>4.46</v>
      </c>
      <c r="AH583"/>
      <c r="AI583">
        <v>150</v>
      </c>
      <c r="AJ583" s="194">
        <v>41785</v>
      </c>
      <c r="AK583"/>
      <c r="AL583"/>
      <c r="AM583"/>
      <c r="AN583"/>
      <c r="AO583"/>
      <c r="AP583"/>
      <c r="AQ583" s="227"/>
      <c r="AR583" s="227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>
        <v>52.7</v>
      </c>
      <c r="BT583"/>
      <c r="BU583">
        <v>14.2</v>
      </c>
      <c r="BV583"/>
      <c r="BW583" s="229"/>
      <c r="BX583"/>
      <c r="BY583"/>
      <c r="BZ583"/>
      <c r="CA583"/>
      <c r="CC583"/>
      <c r="CD583"/>
      <c r="CE583">
        <v>5.3</v>
      </c>
      <c r="CF583"/>
      <c r="CG583">
        <v>0.4</v>
      </c>
      <c r="CH583"/>
      <c r="CI583"/>
      <c r="CJ583"/>
      <c r="CK583" t="s">
        <v>8820</v>
      </c>
      <c r="CL583">
        <v>1</v>
      </c>
      <c r="CM583" s="392">
        <v>41802</v>
      </c>
    </row>
    <row r="584" spans="1:91" ht="15">
      <c r="A584" s="364" t="s">
        <v>7786</v>
      </c>
      <c r="B584" t="s">
        <v>265</v>
      </c>
      <c r="C584" t="s">
        <v>8213</v>
      </c>
      <c r="D584">
        <v>181</v>
      </c>
      <c r="E584" s="113">
        <v>70</v>
      </c>
      <c r="F584" s="113">
        <v>12</v>
      </c>
      <c r="I584"/>
      <c r="K584" s="224">
        <v>6</v>
      </c>
      <c r="L584" s="390">
        <v>41625</v>
      </c>
      <c r="M584"/>
      <c r="N584" s="224"/>
      <c r="O584"/>
      <c r="P584"/>
      <c r="Q584"/>
      <c r="S584" s="224"/>
      <c r="T584" s="224"/>
      <c r="U584"/>
      <c r="V584"/>
      <c r="W584"/>
      <c r="X584"/>
      <c r="Y584" s="225"/>
      <c r="Z584" s="224"/>
      <c r="AA584" s="226"/>
      <c r="AB584" s="224"/>
      <c r="AC584" s="225"/>
      <c r="AD584" s="224"/>
      <c r="AE584" s="224"/>
      <c r="AF584" s="224"/>
      <c r="AG584">
        <v>4.18</v>
      </c>
      <c r="AH584"/>
      <c r="AI584">
        <v>140</v>
      </c>
      <c r="AJ584" s="194">
        <v>41785</v>
      </c>
      <c r="AK584"/>
      <c r="AL584"/>
      <c r="AM584"/>
      <c r="AN584"/>
      <c r="AO584"/>
      <c r="AP584"/>
      <c r="AQ584" s="227"/>
      <c r="AR584" s="227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>
        <v>52.3</v>
      </c>
      <c r="BT584"/>
      <c r="BU584">
        <v>15.6</v>
      </c>
      <c r="BV584"/>
      <c r="BW584" s="229"/>
      <c r="BX584"/>
      <c r="BY584"/>
      <c r="BZ584"/>
      <c r="CA584"/>
      <c r="CC584"/>
      <c r="CD584"/>
      <c r="CE584">
        <v>5.9</v>
      </c>
      <c r="CF584"/>
      <c r="CG584">
        <v>0.5</v>
      </c>
      <c r="CH584"/>
      <c r="CI584"/>
      <c r="CJ584"/>
      <c r="CK584" t="s">
        <v>8820</v>
      </c>
      <c r="CL584">
        <v>1</v>
      </c>
      <c r="CM584" s="392">
        <v>41802</v>
      </c>
    </row>
    <row r="585" spans="1:91" ht="15">
      <c r="A585" s="364" t="s">
        <v>7787</v>
      </c>
      <c r="B585" t="s">
        <v>265</v>
      </c>
      <c r="C585" t="s">
        <v>8213</v>
      </c>
      <c r="D585">
        <v>182</v>
      </c>
      <c r="E585" s="113">
        <v>64</v>
      </c>
      <c r="F585" s="113">
        <v>10</v>
      </c>
      <c r="I585"/>
      <c r="K585" s="224">
        <v>7</v>
      </c>
      <c r="L585" s="390">
        <v>41625</v>
      </c>
      <c r="M585"/>
      <c r="N585" s="224"/>
      <c r="O585"/>
      <c r="P585"/>
      <c r="Q585"/>
      <c r="S585" s="224"/>
      <c r="T585" s="224"/>
      <c r="U585"/>
      <c r="V585"/>
      <c r="W585"/>
      <c r="X585"/>
      <c r="Y585" s="225"/>
      <c r="Z585" s="224"/>
      <c r="AA585" s="226"/>
      <c r="AB585" s="224"/>
      <c r="AC585" s="225"/>
      <c r="AD585" s="224"/>
      <c r="AE585" s="224"/>
      <c r="AF585" s="224"/>
      <c r="AG585">
        <v>4.9400000000000004</v>
      </c>
      <c r="AH585"/>
      <c r="AI585">
        <v>140</v>
      </c>
      <c r="AJ585" s="194">
        <v>41785</v>
      </c>
      <c r="AK585"/>
      <c r="AL585"/>
      <c r="AM585"/>
      <c r="AN585"/>
      <c r="AO585"/>
      <c r="AP585"/>
      <c r="AQ585" s="227"/>
      <c r="AR585" s="227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>
        <v>52.7</v>
      </c>
      <c r="BT585"/>
      <c r="BU585">
        <v>16.600000000000001</v>
      </c>
      <c r="BV585"/>
      <c r="BW585" s="229"/>
      <c r="BX585"/>
      <c r="BY585"/>
      <c r="BZ585"/>
      <c r="CA585"/>
      <c r="CC585"/>
      <c r="CD585"/>
      <c r="CE585">
        <v>5.4</v>
      </c>
      <c r="CF585"/>
      <c r="CG585">
        <v>0.5</v>
      </c>
      <c r="CH585"/>
      <c r="CI585"/>
      <c r="CJ585"/>
      <c r="CK585" t="s">
        <v>8820</v>
      </c>
      <c r="CL585">
        <v>1</v>
      </c>
      <c r="CM585" s="392">
        <v>41802</v>
      </c>
    </row>
    <row r="586" spans="1:91" ht="15">
      <c r="A586" s="364" t="s">
        <v>7788</v>
      </c>
      <c r="B586" t="s">
        <v>265</v>
      </c>
      <c r="C586" t="s">
        <v>8213</v>
      </c>
      <c r="D586">
        <v>183</v>
      </c>
      <c r="E586" s="113">
        <v>40</v>
      </c>
      <c r="F586" s="113">
        <v>8</v>
      </c>
      <c r="I586"/>
      <c r="K586" s="224">
        <v>6</v>
      </c>
      <c r="L586" s="390">
        <v>41625</v>
      </c>
      <c r="M586"/>
      <c r="N586" s="224"/>
      <c r="O586"/>
      <c r="P586"/>
      <c r="Q586"/>
      <c r="S586" s="224"/>
      <c r="T586" s="224"/>
      <c r="U586"/>
      <c r="V586"/>
      <c r="W586"/>
      <c r="X586"/>
      <c r="Y586" s="225"/>
      <c r="Z586" s="224"/>
      <c r="AA586" s="226"/>
      <c r="AB586" s="224"/>
      <c r="AC586" s="225"/>
      <c r="AD586" s="224"/>
      <c r="AE586" s="224"/>
      <c r="AF586" s="224"/>
      <c r="AG586">
        <v>4.18</v>
      </c>
      <c r="AH586"/>
      <c r="AI586">
        <v>150</v>
      </c>
      <c r="AJ586" s="194">
        <v>41785</v>
      </c>
      <c r="AK586"/>
      <c r="AL586"/>
      <c r="AM586"/>
      <c r="AN586"/>
      <c r="AO586"/>
      <c r="AP586"/>
      <c r="AQ586" s="227"/>
      <c r="AR586" s="227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>
        <v>54.2</v>
      </c>
      <c r="BT586"/>
      <c r="BU586">
        <v>15.5</v>
      </c>
      <c r="BV586"/>
      <c r="BW586" s="229"/>
      <c r="BX586"/>
      <c r="BY586"/>
      <c r="BZ586"/>
      <c r="CA586"/>
      <c r="CC586"/>
      <c r="CD586"/>
      <c r="CE586">
        <v>6.9</v>
      </c>
      <c r="CF586"/>
      <c r="CG586">
        <v>0.4</v>
      </c>
      <c r="CH586"/>
      <c r="CI586"/>
      <c r="CJ586"/>
      <c r="CK586" t="s">
        <v>8820</v>
      </c>
      <c r="CL586">
        <v>1</v>
      </c>
      <c r="CM586" s="392">
        <v>41802</v>
      </c>
    </row>
    <row r="587" spans="1:91" ht="15">
      <c r="A587" s="364" t="s">
        <v>7789</v>
      </c>
      <c r="B587" t="s">
        <v>265</v>
      </c>
      <c r="C587" t="s">
        <v>8213</v>
      </c>
      <c r="D587">
        <v>184</v>
      </c>
      <c r="E587" s="113">
        <v>49</v>
      </c>
      <c r="F587" s="113">
        <v>9</v>
      </c>
      <c r="I587"/>
      <c r="K587" s="224">
        <v>7</v>
      </c>
      <c r="L587" s="390">
        <v>41625</v>
      </c>
      <c r="M587"/>
      <c r="N587" s="224"/>
      <c r="O587"/>
      <c r="P587"/>
      <c r="Q587"/>
      <c r="S587" s="224"/>
      <c r="T587" s="224"/>
      <c r="U587"/>
      <c r="V587"/>
      <c r="W587"/>
      <c r="X587"/>
      <c r="Y587" s="225"/>
      <c r="Z587" s="224"/>
      <c r="AA587" s="226"/>
      <c r="AB587" s="224"/>
      <c r="AC587" s="225"/>
      <c r="AD587" s="224"/>
      <c r="AE587" s="224"/>
      <c r="AF587" s="224"/>
      <c r="AG587">
        <v>4.34</v>
      </c>
      <c r="AH587"/>
      <c r="AI587">
        <v>140</v>
      </c>
      <c r="AJ587" s="194">
        <v>41785</v>
      </c>
      <c r="AK587"/>
      <c r="AL587"/>
      <c r="AM587"/>
      <c r="AN587"/>
      <c r="AO587"/>
      <c r="AP587"/>
      <c r="AQ587" s="227"/>
      <c r="AR587" s="22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>
        <v>52</v>
      </c>
      <c r="BT587"/>
      <c r="BU587">
        <v>17.100000000000001</v>
      </c>
      <c r="BV587"/>
      <c r="BW587" s="229"/>
      <c r="BX587"/>
      <c r="BY587"/>
      <c r="BZ587"/>
      <c r="CA587"/>
      <c r="CC587"/>
      <c r="CD587"/>
      <c r="CE587">
        <v>4.4000000000000004</v>
      </c>
      <c r="CF587"/>
      <c r="CG587">
        <v>0.7</v>
      </c>
      <c r="CH587"/>
      <c r="CI587"/>
      <c r="CJ587"/>
      <c r="CK587" t="s">
        <v>8820</v>
      </c>
      <c r="CL587">
        <v>1</v>
      </c>
      <c r="CM587" s="392">
        <v>41802</v>
      </c>
    </row>
    <row r="588" spans="1:91" ht="15">
      <c r="A588" s="364" t="s">
        <v>7790</v>
      </c>
      <c r="B588" t="s">
        <v>265</v>
      </c>
      <c r="C588" t="s">
        <v>8213</v>
      </c>
      <c r="D588">
        <v>185</v>
      </c>
      <c r="E588" s="113">
        <v>52</v>
      </c>
      <c r="F588" s="113">
        <v>9</v>
      </c>
      <c r="I588"/>
      <c r="K588" s="224">
        <v>6</v>
      </c>
      <c r="L588" s="390">
        <v>41625</v>
      </c>
      <c r="M588"/>
      <c r="N588" s="224"/>
      <c r="O588"/>
      <c r="P588"/>
      <c r="Q588"/>
      <c r="S588" s="224"/>
      <c r="T588" s="224"/>
      <c r="U588"/>
      <c r="V588"/>
      <c r="W588"/>
      <c r="X588"/>
      <c r="Y588" s="225"/>
      <c r="Z588" s="224"/>
      <c r="AA588" s="226"/>
      <c r="AB588" s="224"/>
      <c r="AC588" s="225"/>
      <c r="AD588" s="224"/>
      <c r="AE588" s="224"/>
      <c r="AF588" s="224"/>
      <c r="AG588">
        <v>4.32</v>
      </c>
      <c r="AH588"/>
      <c r="AI588">
        <v>135</v>
      </c>
      <c r="AJ588" s="194">
        <v>41785</v>
      </c>
      <c r="AK588"/>
      <c r="AL588"/>
      <c r="AM588"/>
      <c r="AN588"/>
      <c r="AO588"/>
      <c r="AP588"/>
      <c r="AQ588" s="227"/>
      <c r="AR588" s="227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>
        <v>52.2</v>
      </c>
      <c r="BT588"/>
      <c r="BU588">
        <v>15.8</v>
      </c>
      <c r="BV588"/>
      <c r="BW588" s="229"/>
      <c r="BX588"/>
      <c r="BY588"/>
      <c r="BZ588"/>
      <c r="CA588"/>
      <c r="CC588"/>
      <c r="CD588"/>
      <c r="CE588">
        <v>4.8</v>
      </c>
      <c r="CF588"/>
      <c r="CG588">
        <v>0.7</v>
      </c>
      <c r="CH588"/>
      <c r="CI588"/>
      <c r="CJ588"/>
      <c r="CK588" t="s">
        <v>8820</v>
      </c>
      <c r="CL588">
        <v>1</v>
      </c>
      <c r="CM588" s="392">
        <v>41802</v>
      </c>
    </row>
    <row r="589" spans="1:91" ht="15">
      <c r="A589" s="364" t="s">
        <v>7791</v>
      </c>
      <c r="B589" t="s">
        <v>265</v>
      </c>
      <c r="C589" t="s">
        <v>8213</v>
      </c>
      <c r="D589">
        <v>186</v>
      </c>
      <c r="E589" s="113">
        <v>58</v>
      </c>
      <c r="F589" s="113">
        <v>12</v>
      </c>
      <c r="G589" s="233"/>
      <c r="H589" s="233"/>
      <c r="I589" s="232"/>
      <c r="J589" s="234"/>
      <c r="K589" s="235">
        <v>7</v>
      </c>
      <c r="L589" s="390">
        <v>41625</v>
      </c>
      <c r="M589" s="232"/>
      <c r="N589" s="235"/>
      <c r="O589" s="232"/>
      <c r="P589" s="232"/>
      <c r="Q589" s="232"/>
      <c r="R589" s="236"/>
      <c r="S589" s="235"/>
      <c r="T589" s="235"/>
      <c r="U589" s="232"/>
      <c r="V589" s="232"/>
      <c r="W589" s="232"/>
      <c r="X589" s="232"/>
      <c r="Y589" s="237"/>
      <c r="Z589" s="235"/>
      <c r="AA589" s="238"/>
      <c r="AB589" s="235"/>
      <c r="AC589" s="237"/>
      <c r="AD589" s="235"/>
      <c r="AE589" s="235"/>
      <c r="AF589" s="235"/>
      <c r="AG589" s="232">
        <v>5.0199999999999996</v>
      </c>
      <c r="AH589" s="232"/>
      <c r="AI589" s="232">
        <v>155</v>
      </c>
      <c r="AJ589" s="194">
        <v>41785</v>
      </c>
      <c r="AK589" s="232"/>
      <c r="AL589" s="232"/>
      <c r="AM589" s="232"/>
      <c r="AN589" s="232"/>
      <c r="AO589" s="232"/>
      <c r="AP589" s="232"/>
      <c r="AQ589" s="239"/>
      <c r="AR589" s="239"/>
      <c r="AS589" s="232"/>
      <c r="AT589" s="232"/>
      <c r="AU589" s="232"/>
      <c r="AV589" s="232"/>
      <c r="AW589" s="232"/>
      <c r="AX589" s="232"/>
      <c r="AY589" s="232"/>
      <c r="AZ589" s="232"/>
      <c r="BA589" s="232"/>
      <c r="BB589" s="232"/>
      <c r="BC589" s="232"/>
      <c r="BD589" s="232"/>
      <c r="BE589" s="232"/>
      <c r="BF589" s="232"/>
      <c r="BG589" s="232"/>
      <c r="BH589" s="232"/>
      <c r="BI589" s="232"/>
      <c r="BJ589" s="232"/>
      <c r="BK589" s="232"/>
      <c r="BL589" s="232"/>
      <c r="BM589" s="232"/>
      <c r="BN589" s="232"/>
      <c r="BO589" s="232"/>
      <c r="BP589" s="232"/>
      <c r="BQ589" s="232"/>
      <c r="BR589" s="232"/>
      <c r="BS589" s="232">
        <v>52.3</v>
      </c>
      <c r="BT589" s="232"/>
      <c r="BU589" s="232">
        <v>16</v>
      </c>
      <c r="BV589" s="232"/>
      <c r="BW589" s="240"/>
      <c r="BX589" s="232"/>
      <c r="BY589" s="232"/>
      <c r="BZ589" s="232"/>
      <c r="CA589" s="232"/>
      <c r="CB589" s="241"/>
      <c r="CC589" s="232"/>
      <c r="CD589" s="232"/>
      <c r="CE589" s="232">
        <v>4.8</v>
      </c>
      <c r="CF589" s="232"/>
      <c r="CG589" s="232">
        <v>0.9</v>
      </c>
      <c r="CH589" s="232"/>
      <c r="CI589" s="232"/>
      <c r="CJ589" s="232"/>
      <c r="CK589" t="s">
        <v>8820</v>
      </c>
      <c r="CL589" s="232">
        <v>1</v>
      </c>
      <c r="CM589" s="392">
        <v>41802</v>
      </c>
    </row>
    <row r="590" spans="1:91" ht="15">
      <c r="A590" s="364" t="s">
        <v>7792</v>
      </c>
      <c r="B590" t="s">
        <v>265</v>
      </c>
      <c r="C590" t="s">
        <v>8213</v>
      </c>
      <c r="D590">
        <v>187</v>
      </c>
      <c r="E590" s="113">
        <v>68</v>
      </c>
      <c r="F590" s="113">
        <v>7</v>
      </c>
      <c r="I590"/>
      <c r="K590" s="224">
        <v>7</v>
      </c>
      <c r="L590" s="390">
        <v>41625</v>
      </c>
      <c r="M590"/>
      <c r="N590" s="224"/>
      <c r="O590"/>
      <c r="P590"/>
      <c r="Q590"/>
      <c r="S590" s="224"/>
      <c r="T590" s="224"/>
      <c r="U590"/>
      <c r="V590"/>
      <c r="W590"/>
      <c r="X590"/>
      <c r="Y590" s="225"/>
      <c r="Z590" s="224"/>
      <c r="AA590" s="226"/>
      <c r="AB590" s="224"/>
      <c r="AC590" s="225"/>
      <c r="AD590" s="224"/>
      <c r="AE590" s="224"/>
      <c r="AF590" s="224"/>
      <c r="AG590">
        <v>4.22</v>
      </c>
      <c r="AH590"/>
      <c r="AI590">
        <v>160</v>
      </c>
      <c r="AJ590" s="194">
        <v>41785</v>
      </c>
      <c r="AK590"/>
      <c r="AL590"/>
      <c r="AM590"/>
      <c r="AN590"/>
      <c r="AO590"/>
      <c r="AP590"/>
      <c r="AQ590" s="227"/>
      <c r="AR590" s="227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>
        <v>52.3</v>
      </c>
      <c r="BT590"/>
      <c r="BU590">
        <v>17</v>
      </c>
      <c r="BV590"/>
      <c r="BW590" s="229"/>
      <c r="BX590"/>
      <c r="BY590"/>
      <c r="BZ590"/>
      <c r="CA590"/>
      <c r="CC590"/>
      <c r="CD590"/>
      <c r="CE590">
        <v>7.1</v>
      </c>
      <c r="CF590"/>
      <c r="CG590">
        <v>0.4</v>
      </c>
      <c r="CH590"/>
      <c r="CI590"/>
      <c r="CJ590"/>
      <c r="CK590" t="s">
        <v>8820</v>
      </c>
      <c r="CL590">
        <v>1</v>
      </c>
      <c r="CM590" s="392">
        <v>41802</v>
      </c>
    </row>
    <row r="591" spans="1:91" ht="15">
      <c r="A591" s="364" t="s">
        <v>7793</v>
      </c>
      <c r="B591" t="s">
        <v>265</v>
      </c>
      <c r="C591" t="s">
        <v>8213</v>
      </c>
      <c r="D591" s="232">
        <v>188</v>
      </c>
      <c r="E591" s="113">
        <v>46</v>
      </c>
      <c r="F591" s="113">
        <v>7</v>
      </c>
      <c r="I591"/>
      <c r="K591" s="224">
        <v>6</v>
      </c>
      <c r="L591" s="390">
        <v>41625</v>
      </c>
      <c r="M591"/>
      <c r="N591" s="224"/>
      <c r="O591"/>
      <c r="P591"/>
      <c r="Q591"/>
      <c r="S591" s="224"/>
      <c r="T591" s="224"/>
      <c r="U591"/>
      <c r="V591"/>
      <c r="W591"/>
      <c r="X591"/>
      <c r="Y591" s="225"/>
      <c r="Z591" s="224"/>
      <c r="AA591" s="226"/>
      <c r="AB591" s="224"/>
      <c r="AC591" s="225"/>
      <c r="AD591" s="224"/>
      <c r="AE591" s="224"/>
      <c r="AF591" s="224"/>
      <c r="AG591">
        <v>4.0199999999999996</v>
      </c>
      <c r="AH591"/>
      <c r="AI591">
        <v>145</v>
      </c>
      <c r="AJ591" s="194">
        <v>41785</v>
      </c>
      <c r="AK591"/>
      <c r="AL591"/>
      <c r="AM591"/>
      <c r="AN591"/>
      <c r="AO591"/>
      <c r="AP591"/>
      <c r="AQ591" s="227"/>
      <c r="AR591" s="227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>
        <v>53.3</v>
      </c>
      <c r="BT591"/>
      <c r="BU591">
        <v>14.8</v>
      </c>
      <c r="BV591"/>
      <c r="BW591" s="229"/>
      <c r="BX591"/>
      <c r="BY591"/>
      <c r="BZ591"/>
      <c r="CA591"/>
      <c r="CC591"/>
      <c r="CD591"/>
      <c r="CE591">
        <v>6.2</v>
      </c>
      <c r="CF591"/>
      <c r="CG591">
        <v>0.4</v>
      </c>
      <c r="CH591"/>
      <c r="CI591"/>
      <c r="CJ591"/>
      <c r="CK591" t="s">
        <v>8820</v>
      </c>
      <c r="CL591">
        <v>1</v>
      </c>
      <c r="CM591" s="392">
        <v>41802</v>
      </c>
    </row>
    <row r="592" spans="1:91" ht="15">
      <c r="A592" s="364" t="s">
        <v>7794</v>
      </c>
      <c r="B592" t="s">
        <v>265</v>
      </c>
      <c r="C592" t="s">
        <v>8213</v>
      </c>
      <c r="D592">
        <v>189</v>
      </c>
      <c r="E592" s="113">
        <v>42</v>
      </c>
      <c r="F592" s="113">
        <v>9</v>
      </c>
      <c r="I592"/>
      <c r="K592" s="224">
        <v>7</v>
      </c>
      <c r="L592" s="390">
        <v>41625</v>
      </c>
      <c r="M592"/>
      <c r="N592" s="224"/>
      <c r="O592"/>
      <c r="P592"/>
      <c r="Q592"/>
      <c r="S592" s="224"/>
      <c r="T592" s="224"/>
      <c r="U592"/>
      <c r="V592"/>
      <c r="W592"/>
      <c r="X592"/>
      <c r="Y592" s="225"/>
      <c r="Z592" s="224"/>
      <c r="AA592" s="226"/>
      <c r="AB592" s="224"/>
      <c r="AC592" s="225"/>
      <c r="AD592" s="224"/>
      <c r="AE592" s="224"/>
      <c r="AF592" s="224"/>
      <c r="AG592">
        <v>3.54</v>
      </c>
      <c r="AH592"/>
      <c r="AI592">
        <v>145</v>
      </c>
      <c r="AJ592" s="194">
        <v>41785</v>
      </c>
      <c r="AK592"/>
      <c r="AL592"/>
      <c r="AM592"/>
      <c r="AN592"/>
      <c r="AO592"/>
      <c r="AP592"/>
      <c r="AQ592" s="227"/>
      <c r="AR592" s="227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>
        <v>53.2</v>
      </c>
      <c r="BT592"/>
      <c r="BU592">
        <v>16</v>
      </c>
      <c r="BV592"/>
      <c r="BW592" s="229"/>
      <c r="BX592"/>
      <c r="BY592"/>
      <c r="BZ592"/>
      <c r="CA592"/>
      <c r="CC592"/>
      <c r="CD592"/>
      <c r="CE592">
        <v>5.5</v>
      </c>
      <c r="CF592"/>
      <c r="CG592">
        <v>0.4</v>
      </c>
      <c r="CH592"/>
      <c r="CI592"/>
      <c r="CJ592"/>
      <c r="CK592" t="s">
        <v>8820</v>
      </c>
      <c r="CL592">
        <v>1</v>
      </c>
      <c r="CM592" s="392">
        <v>41802</v>
      </c>
    </row>
    <row r="593" spans="1:91" ht="15">
      <c r="A593" s="364" t="s">
        <v>7795</v>
      </c>
      <c r="B593" t="s">
        <v>265</v>
      </c>
      <c r="C593" t="s">
        <v>8213</v>
      </c>
      <c r="D593">
        <v>190</v>
      </c>
      <c r="E593" s="113">
        <v>68</v>
      </c>
      <c r="F593" s="113">
        <v>10</v>
      </c>
      <c r="I593"/>
      <c r="K593" s="224">
        <v>7</v>
      </c>
      <c r="L593" s="390">
        <v>41625</v>
      </c>
      <c r="M593"/>
      <c r="N593" s="224"/>
      <c r="O593"/>
      <c r="P593"/>
      <c r="Q593"/>
      <c r="S593" s="224"/>
      <c r="T593" s="224"/>
      <c r="U593"/>
      <c r="V593"/>
      <c r="W593"/>
      <c r="X593"/>
      <c r="Y593" s="225"/>
      <c r="Z593" s="224"/>
      <c r="AA593" s="226"/>
      <c r="AB593" s="224"/>
      <c r="AC593" s="225"/>
      <c r="AD593" s="224"/>
      <c r="AE593" s="224"/>
      <c r="AF593" s="224"/>
      <c r="AG593">
        <v>3.86</v>
      </c>
      <c r="AH593"/>
      <c r="AI593">
        <v>150</v>
      </c>
      <c r="AJ593" s="194">
        <v>41785</v>
      </c>
      <c r="AK593"/>
      <c r="AL593"/>
      <c r="AM593"/>
      <c r="AN593"/>
      <c r="AO593"/>
      <c r="AP593"/>
      <c r="AQ593" s="227"/>
      <c r="AR593" s="227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>
        <v>52.8</v>
      </c>
      <c r="BT593"/>
      <c r="BU593">
        <v>15</v>
      </c>
      <c r="BV593"/>
      <c r="BW593" s="229"/>
      <c r="BX593"/>
      <c r="BY593"/>
      <c r="BZ593"/>
      <c r="CA593"/>
      <c r="CC593"/>
      <c r="CD593"/>
      <c r="CE593">
        <v>6.3</v>
      </c>
      <c r="CF593"/>
      <c r="CG593">
        <v>0.4</v>
      </c>
      <c r="CH593"/>
      <c r="CI593"/>
      <c r="CJ593"/>
      <c r="CK593" t="s">
        <v>8820</v>
      </c>
      <c r="CL593">
        <v>1</v>
      </c>
      <c r="CM593" s="392">
        <v>41802</v>
      </c>
    </row>
    <row r="594" spans="1:91" ht="15">
      <c r="A594" s="364" t="s">
        <v>7796</v>
      </c>
      <c r="B594" t="s">
        <v>265</v>
      </c>
      <c r="C594" t="s">
        <v>8213</v>
      </c>
      <c r="D594">
        <v>191</v>
      </c>
      <c r="E594" s="113">
        <v>42</v>
      </c>
      <c r="F594" s="113">
        <v>10</v>
      </c>
      <c r="I594"/>
      <c r="K594" s="224">
        <v>7</v>
      </c>
      <c r="L594" s="390">
        <v>41625</v>
      </c>
      <c r="M594"/>
      <c r="N594" s="224"/>
      <c r="O594"/>
      <c r="P594"/>
      <c r="Q594"/>
      <c r="S594" s="224"/>
      <c r="T594" s="224"/>
      <c r="U594"/>
      <c r="V594"/>
      <c r="W594"/>
      <c r="X594"/>
      <c r="Y594" s="225"/>
      <c r="Z594" s="224"/>
      <c r="AA594" s="226"/>
      <c r="AB594" s="224"/>
      <c r="AC594" s="225"/>
      <c r="AD594" s="224"/>
      <c r="AE594" s="224"/>
      <c r="AF594" s="224"/>
      <c r="AG594">
        <v>3.59</v>
      </c>
      <c r="AH594"/>
      <c r="AI594">
        <v>140</v>
      </c>
      <c r="AJ594" s="194">
        <v>41785</v>
      </c>
      <c r="AK594"/>
      <c r="AL594"/>
      <c r="AM594"/>
      <c r="AN594"/>
      <c r="AO594"/>
      <c r="AP594"/>
      <c r="AQ594" s="227"/>
      <c r="AR594" s="227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>
        <v>53.6</v>
      </c>
      <c r="BT594"/>
      <c r="BU594">
        <v>15.3</v>
      </c>
      <c r="BV594"/>
      <c r="BW594" s="229"/>
      <c r="BX594"/>
      <c r="BY594"/>
      <c r="BZ594"/>
      <c r="CA594"/>
      <c r="CC594"/>
      <c r="CD594"/>
      <c r="CE594">
        <v>6</v>
      </c>
      <c r="CF594"/>
      <c r="CG594">
        <v>0.1</v>
      </c>
      <c r="CH594"/>
      <c r="CI594"/>
      <c r="CJ594"/>
      <c r="CK594" t="s">
        <v>8820</v>
      </c>
      <c r="CL594">
        <v>1</v>
      </c>
      <c r="CM594" s="392">
        <v>41802</v>
      </c>
    </row>
    <row r="595" spans="1:91" ht="15">
      <c r="A595" s="364" t="s">
        <v>7797</v>
      </c>
      <c r="B595" t="s">
        <v>265</v>
      </c>
      <c r="C595" t="s">
        <v>8213</v>
      </c>
      <c r="D595">
        <v>192</v>
      </c>
      <c r="E595" s="113">
        <v>41</v>
      </c>
      <c r="F595" s="113">
        <v>8</v>
      </c>
      <c r="I595"/>
      <c r="K595" s="224">
        <v>7</v>
      </c>
      <c r="L595" s="390">
        <v>41625</v>
      </c>
      <c r="M595"/>
      <c r="N595" s="224"/>
      <c r="O595"/>
      <c r="P595"/>
      <c r="Q595"/>
      <c r="S595" s="224"/>
      <c r="T595" s="224"/>
      <c r="U595"/>
      <c r="V595"/>
      <c r="W595"/>
      <c r="X595"/>
      <c r="Y595" s="225"/>
      <c r="Z595" s="224"/>
      <c r="AA595" s="226"/>
      <c r="AB595" s="224"/>
      <c r="AC595" s="225"/>
      <c r="AD595" s="224"/>
      <c r="AE595" s="224"/>
      <c r="AF595" s="224"/>
      <c r="AG595">
        <v>4.09</v>
      </c>
      <c r="AH595"/>
      <c r="AI595">
        <v>130</v>
      </c>
      <c r="AJ595" s="194">
        <v>41785</v>
      </c>
      <c r="AK595"/>
      <c r="AL595"/>
      <c r="AM595"/>
      <c r="AN595"/>
      <c r="AO595"/>
      <c r="AP595"/>
      <c r="AQ595" s="227"/>
      <c r="AR595" s="227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>
        <v>52.9</v>
      </c>
      <c r="BT595"/>
      <c r="BU595">
        <v>15.2</v>
      </c>
      <c r="BV595"/>
      <c r="BW595" s="229"/>
      <c r="BX595"/>
      <c r="BY595"/>
      <c r="BZ595"/>
      <c r="CA595"/>
      <c r="CC595"/>
      <c r="CD595"/>
      <c r="CE595">
        <v>5.2</v>
      </c>
      <c r="CF595"/>
      <c r="CG595">
        <v>0.1</v>
      </c>
      <c r="CH595"/>
      <c r="CI595"/>
      <c r="CJ595"/>
      <c r="CK595" t="s">
        <v>8820</v>
      </c>
      <c r="CL595">
        <v>3</v>
      </c>
      <c r="CM595" s="392">
        <v>41802</v>
      </c>
    </row>
    <row r="596" spans="1:91" ht="15">
      <c r="A596" s="364" t="s">
        <v>7798</v>
      </c>
      <c r="B596" t="s">
        <v>265</v>
      </c>
      <c r="C596" t="s">
        <v>8213</v>
      </c>
      <c r="D596">
        <v>193</v>
      </c>
      <c r="E596" s="113">
        <v>69</v>
      </c>
      <c r="F596" s="113">
        <v>10</v>
      </c>
      <c r="I596"/>
      <c r="K596" s="224">
        <v>7</v>
      </c>
      <c r="L596" s="390">
        <v>41625</v>
      </c>
      <c r="M596"/>
      <c r="N596" s="224"/>
      <c r="O596"/>
      <c r="P596"/>
      <c r="Q596"/>
      <c r="S596" s="224"/>
      <c r="T596" s="224"/>
      <c r="U596"/>
      <c r="V596"/>
      <c r="W596"/>
      <c r="X596"/>
      <c r="Y596" s="225"/>
      <c r="Z596" s="224"/>
      <c r="AA596" s="226"/>
      <c r="AB596" s="224"/>
      <c r="AC596" s="225"/>
      <c r="AD596" s="224"/>
      <c r="AE596" s="224"/>
      <c r="AF596" s="224"/>
      <c r="AG596">
        <v>4.8</v>
      </c>
      <c r="AH596"/>
      <c r="AI596">
        <v>150</v>
      </c>
      <c r="AJ596" s="194">
        <v>41785</v>
      </c>
      <c r="AK596"/>
      <c r="AL596"/>
      <c r="AM596"/>
      <c r="AN596"/>
      <c r="AO596"/>
      <c r="AP596"/>
      <c r="AQ596" s="227"/>
      <c r="AR596" s="227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>
        <v>53.4</v>
      </c>
      <c r="BT596"/>
      <c r="BU596">
        <v>16.399999999999999</v>
      </c>
      <c r="BV596"/>
      <c r="BW596" s="229"/>
      <c r="BX596"/>
      <c r="BY596"/>
      <c r="BZ596"/>
      <c r="CA596"/>
      <c r="CC596"/>
      <c r="CD596"/>
      <c r="CE596">
        <v>5.3</v>
      </c>
      <c r="CF596"/>
      <c r="CG596">
        <v>0.4</v>
      </c>
      <c r="CH596"/>
      <c r="CI596"/>
      <c r="CJ596"/>
      <c r="CK596" t="s">
        <v>8820</v>
      </c>
      <c r="CL596">
        <v>1</v>
      </c>
      <c r="CM596" s="392">
        <v>41802</v>
      </c>
    </row>
    <row r="597" spans="1:91" ht="15">
      <c r="A597" s="364" t="s">
        <v>7799</v>
      </c>
      <c r="B597" t="s">
        <v>265</v>
      </c>
      <c r="C597" t="s">
        <v>8213</v>
      </c>
      <c r="D597">
        <v>194</v>
      </c>
      <c r="E597" s="113">
        <v>39</v>
      </c>
      <c r="F597" s="113">
        <v>9</v>
      </c>
      <c r="G597" s="233"/>
      <c r="H597" s="233"/>
      <c r="I597" s="232"/>
      <c r="J597" s="234"/>
      <c r="K597" s="235">
        <v>7</v>
      </c>
      <c r="L597" s="390">
        <v>41625</v>
      </c>
      <c r="M597" s="232"/>
      <c r="N597" s="235"/>
      <c r="O597" s="232"/>
      <c r="P597" s="232"/>
      <c r="Q597" s="232"/>
      <c r="R597" s="236"/>
      <c r="S597" s="235"/>
      <c r="T597" s="235"/>
      <c r="U597" s="232"/>
      <c r="V597" s="232"/>
      <c r="W597" s="232"/>
      <c r="X597" s="232"/>
      <c r="Y597" s="237"/>
      <c r="Z597" s="235"/>
      <c r="AA597" s="238"/>
      <c r="AB597" s="235"/>
      <c r="AC597" s="237"/>
      <c r="AD597" s="235"/>
      <c r="AE597" s="235"/>
      <c r="AF597" s="235"/>
      <c r="AG597" s="232">
        <v>4.09</v>
      </c>
      <c r="AH597" s="232"/>
      <c r="AI597" s="232">
        <v>145</v>
      </c>
      <c r="AJ597" s="194">
        <v>41785</v>
      </c>
      <c r="AK597" s="232"/>
      <c r="AL597" s="232"/>
      <c r="AM597" s="232"/>
      <c r="AN597" s="232"/>
      <c r="AO597" s="232"/>
      <c r="AP597" s="232"/>
      <c r="AQ597" s="239"/>
      <c r="AR597" s="239"/>
      <c r="AS597" s="232"/>
      <c r="AT597" s="232"/>
      <c r="AU597" s="232"/>
      <c r="AV597" s="232"/>
      <c r="AW597" s="232"/>
      <c r="AX597" s="232"/>
      <c r="AY597" s="232"/>
      <c r="AZ597" s="232"/>
      <c r="BA597" s="232"/>
      <c r="BB597" s="232"/>
      <c r="BC597" s="232"/>
      <c r="BD597" s="232"/>
      <c r="BE597" s="232"/>
      <c r="BF597" s="232"/>
      <c r="BG597" s="232"/>
      <c r="BH597" s="232"/>
      <c r="BI597" s="232"/>
      <c r="BJ597" s="232"/>
      <c r="BK597" s="232"/>
      <c r="BL597" s="232"/>
      <c r="BM597" s="232"/>
      <c r="BN597" s="232"/>
      <c r="BO597" s="232"/>
      <c r="BP597" s="232"/>
      <c r="BQ597" s="232"/>
      <c r="BR597" s="232"/>
      <c r="BS597" s="232">
        <v>52.9</v>
      </c>
      <c r="BT597" s="232"/>
      <c r="BU597" s="232">
        <v>16</v>
      </c>
      <c r="BV597" s="232"/>
      <c r="BW597" s="240"/>
      <c r="BX597" s="232"/>
      <c r="BY597" s="232"/>
      <c r="BZ597" s="232"/>
      <c r="CA597" s="232"/>
      <c r="CB597" s="241"/>
      <c r="CC597" s="232"/>
      <c r="CD597" s="232"/>
      <c r="CE597" s="232">
        <v>5.2</v>
      </c>
      <c r="CF597" s="232"/>
      <c r="CG597" s="232">
        <v>0.8</v>
      </c>
      <c r="CH597" s="232"/>
      <c r="CI597" s="232"/>
      <c r="CJ597" s="232"/>
      <c r="CK597" t="s">
        <v>8820</v>
      </c>
      <c r="CL597" s="232">
        <v>1</v>
      </c>
      <c r="CM597" s="392">
        <v>41802</v>
      </c>
    </row>
    <row r="598" spans="1:91" ht="15">
      <c r="A598" s="364" t="s">
        <v>7800</v>
      </c>
      <c r="B598" t="s">
        <v>265</v>
      </c>
      <c r="C598" t="s">
        <v>8213</v>
      </c>
      <c r="D598">
        <v>195</v>
      </c>
      <c r="E598" s="113">
        <v>64</v>
      </c>
      <c r="F598" s="113">
        <v>12</v>
      </c>
      <c r="I598"/>
      <c r="K598" s="224">
        <v>7</v>
      </c>
      <c r="L598" s="390">
        <v>41625</v>
      </c>
      <c r="M598"/>
      <c r="N598" s="224"/>
      <c r="O598"/>
      <c r="P598"/>
      <c r="Q598"/>
      <c r="S598" s="224"/>
      <c r="T598" s="224"/>
      <c r="U598"/>
      <c r="V598"/>
      <c r="W598"/>
      <c r="X598"/>
      <c r="Y598" s="225"/>
      <c r="Z598" s="224"/>
      <c r="AA598" s="226"/>
      <c r="AB598" s="224"/>
      <c r="AC598" s="225"/>
      <c r="AD598" s="224"/>
      <c r="AE598" s="224"/>
      <c r="AF598" s="224"/>
      <c r="AG598">
        <v>4.2</v>
      </c>
      <c r="AH598"/>
      <c r="AI598">
        <v>140</v>
      </c>
      <c r="AJ598" s="194">
        <v>41785</v>
      </c>
      <c r="AK598"/>
      <c r="AL598"/>
      <c r="AM598"/>
      <c r="AN598"/>
      <c r="AO598"/>
      <c r="AP598"/>
      <c r="AQ598" s="227"/>
      <c r="AR598" s="227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>
        <v>52.8</v>
      </c>
      <c r="BT598"/>
      <c r="BU598">
        <v>15.3</v>
      </c>
      <c r="BV598"/>
      <c r="BW598" s="229"/>
      <c r="BX598"/>
      <c r="BY598"/>
      <c r="BZ598"/>
      <c r="CA598"/>
      <c r="CC598"/>
      <c r="CD598"/>
      <c r="CE598">
        <v>5.6</v>
      </c>
      <c r="CF598"/>
      <c r="CG598">
        <v>0.8</v>
      </c>
      <c r="CH598"/>
      <c r="CI598"/>
      <c r="CJ598"/>
      <c r="CK598" t="s">
        <v>8820</v>
      </c>
      <c r="CL598">
        <v>1</v>
      </c>
      <c r="CM598" s="392">
        <v>41802</v>
      </c>
    </row>
    <row r="599" spans="1:91" ht="15">
      <c r="A599" s="364" t="s">
        <v>7801</v>
      </c>
      <c r="B599" t="s">
        <v>265</v>
      </c>
      <c r="C599" t="s">
        <v>8213</v>
      </c>
      <c r="D599">
        <v>196</v>
      </c>
      <c r="E599" s="113">
        <v>52</v>
      </c>
      <c r="F599" s="113">
        <v>11</v>
      </c>
      <c r="I599"/>
      <c r="K599" s="224">
        <v>8</v>
      </c>
      <c r="L599" s="390">
        <v>41625</v>
      </c>
      <c r="M599"/>
      <c r="N599" s="224"/>
      <c r="O599"/>
      <c r="P599"/>
      <c r="Q599"/>
      <c r="S599" s="224"/>
      <c r="T599" s="224"/>
      <c r="U599"/>
      <c r="V599"/>
      <c r="W599"/>
      <c r="X599"/>
      <c r="Y599" s="225"/>
      <c r="Z599" s="224"/>
      <c r="AA599" s="226"/>
      <c r="AB599" s="224"/>
      <c r="AC599" s="225"/>
      <c r="AD599" s="224"/>
      <c r="AE599" s="224"/>
      <c r="AF599" s="224"/>
      <c r="AG599">
        <v>4.33</v>
      </c>
      <c r="AH599"/>
      <c r="AI599">
        <v>145</v>
      </c>
      <c r="AJ599" s="194">
        <v>41785</v>
      </c>
      <c r="AK599"/>
      <c r="AL599"/>
      <c r="AM599"/>
      <c r="AN599"/>
      <c r="AO599"/>
      <c r="AP599"/>
      <c r="AQ599" s="227"/>
      <c r="AR599" s="227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>
        <v>53.2</v>
      </c>
      <c r="BT599"/>
      <c r="BU599">
        <v>15.3</v>
      </c>
      <c r="BV599"/>
      <c r="BW599" s="229"/>
      <c r="BX599"/>
      <c r="BY599"/>
      <c r="BZ599"/>
      <c r="CA599"/>
      <c r="CC599"/>
      <c r="CD599"/>
      <c r="CE599">
        <v>5</v>
      </c>
      <c r="CF599"/>
      <c r="CG599">
        <v>1.1000000000000001</v>
      </c>
      <c r="CH599"/>
      <c r="CI599"/>
      <c r="CJ599"/>
      <c r="CK599" t="s">
        <v>8820</v>
      </c>
      <c r="CL599">
        <v>1</v>
      </c>
      <c r="CM599" s="392">
        <v>41802</v>
      </c>
    </row>
    <row r="600" spans="1:91" ht="15">
      <c r="A600" s="364" t="s">
        <v>7802</v>
      </c>
      <c r="B600" t="s">
        <v>265</v>
      </c>
      <c r="C600" t="s">
        <v>8213</v>
      </c>
      <c r="D600">
        <v>197</v>
      </c>
      <c r="E600" s="113">
        <v>44</v>
      </c>
      <c r="F600" s="113">
        <v>8</v>
      </c>
      <c r="I600"/>
      <c r="K600" s="224">
        <v>7</v>
      </c>
      <c r="L600" s="390">
        <v>41625</v>
      </c>
      <c r="M600"/>
      <c r="N600" s="224"/>
      <c r="O600"/>
      <c r="P600"/>
      <c r="Q600"/>
      <c r="S600" s="224"/>
      <c r="T600" s="224"/>
      <c r="U600"/>
      <c r="V600"/>
      <c r="W600"/>
      <c r="X600"/>
      <c r="Y600" s="225"/>
      <c r="Z600" s="224"/>
      <c r="AA600" s="226"/>
      <c r="AB600" s="224"/>
      <c r="AC600" s="225"/>
      <c r="AD600" s="224"/>
      <c r="AE600" s="224"/>
      <c r="AF600" s="224"/>
      <c r="AG600">
        <v>4.2</v>
      </c>
      <c r="AH600"/>
      <c r="AI600">
        <v>155</v>
      </c>
      <c r="AJ600" s="194">
        <v>41785</v>
      </c>
      <c r="AK600"/>
      <c r="AL600"/>
      <c r="AM600"/>
      <c r="AN600"/>
      <c r="AO600"/>
      <c r="AP600"/>
      <c r="AQ600" s="227"/>
      <c r="AR600" s="227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>
        <v>53.2</v>
      </c>
      <c r="BT600"/>
      <c r="BU600">
        <v>15.7</v>
      </c>
      <c r="BV600"/>
      <c r="BW600" s="229"/>
      <c r="BX600"/>
      <c r="BY600"/>
      <c r="BZ600"/>
      <c r="CA600"/>
      <c r="CC600"/>
      <c r="CD600"/>
      <c r="CE600">
        <v>6.6</v>
      </c>
      <c r="CF600"/>
      <c r="CG600">
        <v>0.4</v>
      </c>
      <c r="CH600"/>
      <c r="CI600"/>
      <c r="CJ600"/>
      <c r="CK600" t="s">
        <v>8820</v>
      </c>
      <c r="CL600">
        <v>1</v>
      </c>
      <c r="CM600" s="392">
        <v>41802</v>
      </c>
    </row>
    <row r="601" spans="1:91" ht="15">
      <c r="A601" s="364" t="s">
        <v>7803</v>
      </c>
      <c r="B601" t="s">
        <v>265</v>
      </c>
      <c r="C601" t="s">
        <v>8213</v>
      </c>
      <c r="D601">
        <v>198</v>
      </c>
      <c r="E601" s="113">
        <v>55</v>
      </c>
      <c r="F601" s="113">
        <v>12</v>
      </c>
      <c r="G601" s="233"/>
      <c r="H601" s="233"/>
      <c r="I601" s="232"/>
      <c r="J601" s="234"/>
      <c r="K601" s="235">
        <v>7</v>
      </c>
      <c r="L601" s="390">
        <v>41625</v>
      </c>
      <c r="M601" s="232"/>
      <c r="N601" s="235"/>
      <c r="O601" s="232"/>
      <c r="P601" s="232"/>
      <c r="Q601" s="232"/>
      <c r="R601" s="236"/>
      <c r="S601" s="235"/>
      <c r="T601" s="235"/>
      <c r="U601" s="232"/>
      <c r="V601" s="232"/>
      <c r="W601" s="232"/>
      <c r="X601" s="232"/>
      <c r="Y601" s="237"/>
      <c r="Z601" s="235"/>
      <c r="AA601" s="238"/>
      <c r="AB601" s="235"/>
      <c r="AC601" s="237"/>
      <c r="AD601" s="235"/>
      <c r="AE601" s="235"/>
      <c r="AF601" s="235"/>
      <c r="AG601" s="232">
        <v>4.5</v>
      </c>
      <c r="AH601" s="232"/>
      <c r="AI601" s="232">
        <v>140</v>
      </c>
      <c r="AJ601" s="194">
        <v>41785</v>
      </c>
      <c r="AK601" s="232"/>
      <c r="AL601" s="232"/>
      <c r="AM601" s="232"/>
      <c r="AN601" s="232"/>
      <c r="AO601" s="232"/>
      <c r="AP601" s="232"/>
      <c r="AQ601" s="239"/>
      <c r="AR601" s="239"/>
      <c r="AS601" s="232"/>
      <c r="AT601" s="232"/>
      <c r="AU601" s="232"/>
      <c r="AV601" s="232"/>
      <c r="AW601" s="232"/>
      <c r="AX601" s="232"/>
      <c r="AY601" s="232"/>
      <c r="AZ601" s="232"/>
      <c r="BA601" s="232"/>
      <c r="BB601" s="232"/>
      <c r="BC601" s="232"/>
      <c r="BD601" s="232"/>
      <c r="BE601" s="232"/>
      <c r="BF601" s="232"/>
      <c r="BG601" s="232"/>
      <c r="BH601" s="232"/>
      <c r="BI601" s="232"/>
      <c r="BJ601" s="232"/>
      <c r="BK601" s="232"/>
      <c r="BL601" s="232"/>
      <c r="BM601" s="232"/>
      <c r="BN601" s="232"/>
      <c r="BO601" s="232"/>
      <c r="BP601" s="232"/>
      <c r="BQ601" s="232"/>
      <c r="BR601" s="232"/>
      <c r="BS601" s="232">
        <v>53.1</v>
      </c>
      <c r="BT601" s="232"/>
      <c r="BU601" s="232">
        <v>14.8</v>
      </c>
      <c r="BV601" s="232"/>
      <c r="BW601" s="240"/>
      <c r="BX601" s="232"/>
      <c r="BY601" s="232"/>
      <c r="BZ601" s="232"/>
      <c r="CA601" s="232"/>
      <c r="CB601" s="241"/>
      <c r="CC601" s="232"/>
      <c r="CD601" s="232"/>
      <c r="CE601" s="232">
        <v>4.4000000000000004</v>
      </c>
      <c r="CF601" s="232"/>
      <c r="CG601" s="232">
        <v>1.1000000000000001</v>
      </c>
      <c r="CH601" s="232"/>
      <c r="CI601" s="232"/>
      <c r="CJ601" s="232"/>
      <c r="CK601" t="s">
        <v>8820</v>
      </c>
      <c r="CL601" s="232">
        <v>1</v>
      </c>
      <c r="CM601" s="392">
        <v>41802</v>
      </c>
    </row>
    <row r="602" spans="1:91" ht="15">
      <c r="A602" s="364" t="s">
        <v>7804</v>
      </c>
      <c r="B602" t="s">
        <v>265</v>
      </c>
      <c r="C602" t="s">
        <v>8213</v>
      </c>
      <c r="D602">
        <v>199</v>
      </c>
      <c r="E602" s="113">
        <v>37</v>
      </c>
      <c r="F602" s="113">
        <v>11</v>
      </c>
      <c r="I602"/>
      <c r="K602" s="224">
        <v>7</v>
      </c>
      <c r="L602" s="390">
        <v>41625</v>
      </c>
      <c r="M602"/>
      <c r="N602" s="224"/>
      <c r="O602"/>
      <c r="P602"/>
      <c r="Q602"/>
      <c r="S602" s="224"/>
      <c r="T602" s="224"/>
      <c r="U602"/>
      <c r="V602"/>
      <c r="W602"/>
      <c r="X602"/>
      <c r="Y602" s="225"/>
      <c r="Z602" s="224"/>
      <c r="AA602" s="226"/>
      <c r="AB602" s="224"/>
      <c r="AC602" s="225"/>
      <c r="AD602" s="224"/>
      <c r="AE602" s="224"/>
      <c r="AF602" s="224"/>
      <c r="AG602">
        <v>4.3</v>
      </c>
      <c r="AH602"/>
      <c r="AI602">
        <v>140</v>
      </c>
      <c r="AJ602" s="194">
        <v>41785</v>
      </c>
      <c r="AK602"/>
      <c r="AL602"/>
      <c r="AM602"/>
      <c r="AN602"/>
      <c r="AO602"/>
      <c r="AP602"/>
      <c r="AQ602" s="227"/>
      <c r="AR602" s="227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>
        <v>51.8</v>
      </c>
      <c r="BT602"/>
      <c r="BU602">
        <v>17.100000000000001</v>
      </c>
      <c r="BV602"/>
      <c r="BW602" s="229"/>
      <c r="BX602"/>
      <c r="BY602"/>
      <c r="BZ602"/>
      <c r="CA602"/>
      <c r="CC602"/>
      <c r="CD602"/>
      <c r="CE602">
        <v>6</v>
      </c>
      <c r="CF602"/>
      <c r="CG602">
        <v>0.4</v>
      </c>
      <c r="CH602"/>
      <c r="CI602"/>
      <c r="CJ602"/>
      <c r="CK602" t="s">
        <v>8820</v>
      </c>
      <c r="CL602">
        <v>1</v>
      </c>
      <c r="CM602" s="392">
        <v>41802</v>
      </c>
    </row>
    <row r="603" spans="1:91" ht="15">
      <c r="A603" s="364" t="s">
        <v>7805</v>
      </c>
      <c r="B603" t="s">
        <v>265</v>
      </c>
      <c r="C603" t="s">
        <v>8213</v>
      </c>
      <c r="D603">
        <v>200</v>
      </c>
      <c r="E603" s="113">
        <v>63</v>
      </c>
      <c r="F603" s="113">
        <v>7</v>
      </c>
      <c r="I603"/>
      <c r="K603" s="224">
        <v>6</v>
      </c>
      <c r="L603" s="390">
        <v>41625</v>
      </c>
      <c r="M603"/>
      <c r="N603" s="224"/>
      <c r="O603"/>
      <c r="P603"/>
      <c r="Q603"/>
      <c r="S603" s="224"/>
      <c r="T603" s="224"/>
      <c r="U603"/>
      <c r="V603"/>
      <c r="W603"/>
      <c r="X603"/>
      <c r="Y603" s="225"/>
      <c r="Z603" s="224"/>
      <c r="AA603" s="226"/>
      <c r="AB603" s="224"/>
      <c r="AC603" s="225"/>
      <c r="AD603" s="224"/>
      <c r="AE603" s="224"/>
      <c r="AF603" s="224"/>
      <c r="AG603">
        <v>3.31</v>
      </c>
      <c r="AH603"/>
      <c r="AI603">
        <v>150</v>
      </c>
      <c r="AJ603" s="194">
        <v>41785</v>
      </c>
      <c r="AK603"/>
      <c r="AL603"/>
      <c r="AM603"/>
      <c r="AN603"/>
      <c r="AO603"/>
      <c r="AP603"/>
      <c r="AQ603" s="227"/>
      <c r="AR603" s="227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>
        <v>53.8</v>
      </c>
      <c r="BT603"/>
      <c r="BU603">
        <v>13.4</v>
      </c>
      <c r="BV603"/>
      <c r="BW603" s="229"/>
      <c r="BX603"/>
      <c r="BY603"/>
      <c r="BZ603"/>
      <c r="CA603"/>
      <c r="CC603"/>
      <c r="CD603"/>
      <c r="CE603">
        <v>5.5</v>
      </c>
      <c r="CF603"/>
      <c r="CG603">
        <v>1.1000000000000001</v>
      </c>
      <c r="CH603"/>
      <c r="CI603"/>
      <c r="CJ603"/>
      <c r="CK603" t="s">
        <v>8820</v>
      </c>
      <c r="CL603">
        <v>1</v>
      </c>
      <c r="CM603" s="392">
        <v>41802</v>
      </c>
    </row>
    <row r="604" spans="1:91" ht="15">
      <c r="A604" s="364" t="s">
        <v>7806</v>
      </c>
      <c r="B604" t="s">
        <v>265</v>
      </c>
      <c r="C604" t="s">
        <v>8213</v>
      </c>
      <c r="D604">
        <v>201</v>
      </c>
      <c r="E604" s="113">
        <v>37</v>
      </c>
      <c r="F604" s="113">
        <v>12</v>
      </c>
      <c r="G604" s="233"/>
      <c r="H604" s="233"/>
      <c r="I604" s="232"/>
      <c r="J604" s="234"/>
      <c r="K604" s="235">
        <v>7</v>
      </c>
      <c r="L604" s="390">
        <v>41625</v>
      </c>
      <c r="M604" s="232"/>
      <c r="N604" s="235"/>
      <c r="O604" s="232"/>
      <c r="P604" s="232"/>
      <c r="Q604" s="232"/>
      <c r="R604" s="236"/>
      <c r="S604" s="235"/>
      <c r="T604" s="235"/>
      <c r="U604" s="232"/>
      <c r="V604" s="232"/>
      <c r="W604" s="232"/>
      <c r="X604" s="232"/>
      <c r="Y604" s="237"/>
      <c r="Z604" s="235"/>
      <c r="AA604" s="238"/>
      <c r="AB604" s="235"/>
      <c r="AC604" s="237"/>
      <c r="AD604" s="235"/>
      <c r="AE604" s="235"/>
      <c r="AF604" s="235"/>
      <c r="AG604" s="232">
        <v>4.0999999999999996</v>
      </c>
      <c r="AH604" s="232"/>
      <c r="AI604" s="232">
        <v>155</v>
      </c>
      <c r="AJ604" s="194">
        <v>41785</v>
      </c>
      <c r="AK604" s="232"/>
      <c r="AL604" s="232"/>
      <c r="AM604" s="232"/>
      <c r="AN604" s="232"/>
      <c r="AO604" s="232"/>
      <c r="AP604" s="232"/>
      <c r="AQ604" s="239"/>
      <c r="AR604" s="239"/>
      <c r="AS604" s="232"/>
      <c r="AT604" s="232"/>
      <c r="AU604" s="232"/>
      <c r="AV604" s="232"/>
      <c r="AW604" s="232"/>
      <c r="AX604" s="232"/>
      <c r="AY604" s="232"/>
      <c r="AZ604" s="232"/>
      <c r="BA604" s="232"/>
      <c r="BB604" s="232"/>
      <c r="BC604" s="232"/>
      <c r="BD604" s="232"/>
      <c r="BE604" s="232"/>
      <c r="BF604" s="232"/>
      <c r="BG604" s="232"/>
      <c r="BH604" s="232"/>
      <c r="BI604" s="232"/>
      <c r="BJ604" s="232"/>
      <c r="BK604" s="232"/>
      <c r="BL604" s="232"/>
      <c r="BM604" s="232"/>
      <c r="BN604" s="232"/>
      <c r="BO604" s="232"/>
      <c r="BP604" s="232"/>
      <c r="BQ604" s="232"/>
      <c r="BR604" s="232"/>
      <c r="BS604" s="232">
        <v>51.3</v>
      </c>
      <c r="BT604" s="232"/>
      <c r="BU604" s="232">
        <v>16.600000000000001</v>
      </c>
      <c r="BV604" s="232"/>
      <c r="BW604" s="240"/>
      <c r="BX604" s="232"/>
      <c r="BY604" s="232"/>
      <c r="BZ604" s="232"/>
      <c r="CA604" s="232"/>
      <c r="CB604" s="241"/>
      <c r="CC604" s="232"/>
      <c r="CD604" s="232"/>
      <c r="CE604" s="232">
        <v>6.3</v>
      </c>
      <c r="CF604" s="232"/>
      <c r="CG604" s="232">
        <v>0.1</v>
      </c>
      <c r="CH604" s="232"/>
      <c r="CI604" s="232"/>
      <c r="CJ604" s="232"/>
      <c r="CK604" t="s">
        <v>8820</v>
      </c>
      <c r="CL604" s="232">
        <v>1</v>
      </c>
      <c r="CM604" s="392">
        <v>41802</v>
      </c>
    </row>
    <row r="605" spans="1:91" ht="15">
      <c r="A605" s="364" t="s">
        <v>7807</v>
      </c>
      <c r="B605" t="s">
        <v>265</v>
      </c>
      <c r="C605" t="s">
        <v>8213</v>
      </c>
      <c r="D605">
        <v>202</v>
      </c>
      <c r="E605" s="113">
        <v>66</v>
      </c>
      <c r="F605" s="113">
        <v>11</v>
      </c>
      <c r="I605"/>
      <c r="K605" s="224">
        <v>7</v>
      </c>
      <c r="L605" s="390">
        <v>41625</v>
      </c>
      <c r="M605"/>
      <c r="N605" s="224"/>
      <c r="O605"/>
      <c r="P605"/>
      <c r="Q605"/>
      <c r="S605" s="224"/>
      <c r="T605" s="224"/>
      <c r="U605"/>
      <c r="V605"/>
      <c r="W605"/>
      <c r="X605"/>
      <c r="Y605" s="225"/>
      <c r="Z605" s="224"/>
      <c r="AA605" s="226"/>
      <c r="AB605" s="224"/>
      <c r="AC605" s="225"/>
      <c r="AD605" s="224"/>
      <c r="AE605" s="224"/>
      <c r="AF605" s="224"/>
      <c r="AG605">
        <v>3.96</v>
      </c>
      <c r="AH605"/>
      <c r="AI605">
        <v>135</v>
      </c>
      <c r="AJ605" s="194">
        <v>41785</v>
      </c>
      <c r="AK605"/>
      <c r="AL605"/>
      <c r="AM605"/>
      <c r="AN605"/>
      <c r="AO605"/>
      <c r="AP605"/>
      <c r="AQ605" s="227"/>
      <c r="AR605" s="227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>
        <v>51.5</v>
      </c>
      <c r="BT605"/>
      <c r="BU605">
        <v>15.6</v>
      </c>
      <c r="BV605"/>
      <c r="BW605" s="229"/>
      <c r="BX605"/>
      <c r="BY605"/>
      <c r="BZ605"/>
      <c r="CA605"/>
      <c r="CC605"/>
      <c r="CD605"/>
      <c r="CE605">
        <v>5.9</v>
      </c>
      <c r="CF605"/>
      <c r="CG605">
        <v>0.9</v>
      </c>
      <c r="CH605"/>
      <c r="CI605"/>
      <c r="CJ605"/>
      <c r="CK605" t="s">
        <v>8820</v>
      </c>
      <c r="CL605">
        <v>1</v>
      </c>
      <c r="CM605" s="392">
        <v>41802</v>
      </c>
    </row>
    <row r="606" spans="1:91" ht="15">
      <c r="A606" s="364" t="s">
        <v>7808</v>
      </c>
      <c r="B606" t="s">
        <v>265</v>
      </c>
      <c r="C606" t="s">
        <v>8213</v>
      </c>
      <c r="D606">
        <v>203</v>
      </c>
      <c r="E606" s="113">
        <v>37</v>
      </c>
      <c r="F606" s="113">
        <v>7</v>
      </c>
      <c r="I606"/>
      <c r="K606" s="224">
        <v>7</v>
      </c>
      <c r="L606" s="390">
        <v>41625</v>
      </c>
      <c r="M606"/>
      <c r="N606" s="224"/>
      <c r="O606"/>
      <c r="P606"/>
      <c r="Q606"/>
      <c r="S606" s="224"/>
      <c r="T606" s="224"/>
      <c r="U606"/>
      <c r="V606"/>
      <c r="W606"/>
      <c r="X606"/>
      <c r="Y606" s="225"/>
      <c r="Z606" s="224"/>
      <c r="AA606" s="226"/>
      <c r="AB606" s="224"/>
      <c r="AC606" s="225"/>
      <c r="AD606" s="224"/>
      <c r="AE606" s="224"/>
      <c r="AF606" s="224"/>
      <c r="AG606">
        <v>4.37</v>
      </c>
      <c r="AH606"/>
      <c r="AI606">
        <v>140</v>
      </c>
      <c r="AJ606" s="194">
        <v>41785</v>
      </c>
      <c r="AK606"/>
      <c r="AL606"/>
      <c r="AM606"/>
      <c r="AN606"/>
      <c r="AO606"/>
      <c r="AP606"/>
      <c r="AQ606" s="227"/>
      <c r="AR606" s="227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>
        <v>53.5</v>
      </c>
      <c r="BT606"/>
      <c r="BU606">
        <v>15.3</v>
      </c>
      <c r="BV606"/>
      <c r="BW606" s="229"/>
      <c r="BX606"/>
      <c r="BY606"/>
      <c r="BZ606"/>
      <c r="CA606"/>
      <c r="CC606"/>
      <c r="CD606"/>
      <c r="CE606">
        <v>5.2</v>
      </c>
      <c r="CF606"/>
      <c r="CG606">
        <v>0.1</v>
      </c>
      <c r="CH606"/>
      <c r="CI606"/>
      <c r="CJ606"/>
      <c r="CK606" t="s">
        <v>8820</v>
      </c>
      <c r="CL606">
        <v>1</v>
      </c>
      <c r="CM606" s="392">
        <v>41802</v>
      </c>
    </row>
    <row r="607" spans="1:91" ht="15">
      <c r="A607" s="364" t="s">
        <v>7809</v>
      </c>
      <c r="B607" t="s">
        <v>265</v>
      </c>
      <c r="C607" t="s">
        <v>8213</v>
      </c>
      <c r="D607">
        <v>204</v>
      </c>
      <c r="E607" s="113">
        <v>40</v>
      </c>
      <c r="F607" s="113">
        <v>7</v>
      </c>
      <c r="I607"/>
      <c r="K607" s="224">
        <v>7</v>
      </c>
      <c r="L607" s="390">
        <v>41625</v>
      </c>
      <c r="M607"/>
      <c r="N607" s="224"/>
      <c r="O607"/>
      <c r="P607"/>
      <c r="Q607"/>
      <c r="S607" s="224"/>
      <c r="T607" s="224"/>
      <c r="U607"/>
      <c r="V607"/>
      <c r="W607"/>
      <c r="X607"/>
      <c r="Y607" s="225"/>
      <c r="Z607" s="224"/>
      <c r="AA607" s="226"/>
      <c r="AB607" s="224"/>
      <c r="AC607" s="225"/>
      <c r="AD607" s="224"/>
      <c r="AE607" s="224"/>
      <c r="AF607" s="224"/>
      <c r="AG607">
        <v>4.26</v>
      </c>
      <c r="AH607"/>
      <c r="AI607">
        <v>145</v>
      </c>
      <c r="AJ607" s="194">
        <v>41785</v>
      </c>
      <c r="AK607"/>
      <c r="AL607"/>
      <c r="AM607"/>
      <c r="AN607"/>
      <c r="AO607"/>
      <c r="AP607"/>
      <c r="AQ607" s="227"/>
      <c r="AR607" s="22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>
        <v>52.3</v>
      </c>
      <c r="BT607"/>
      <c r="BU607">
        <v>15.6</v>
      </c>
      <c r="BV607"/>
      <c r="BW607" s="229"/>
      <c r="BX607"/>
      <c r="BY607"/>
      <c r="BZ607"/>
      <c r="CA607"/>
      <c r="CC607"/>
      <c r="CD607"/>
      <c r="CE607">
        <v>5.2</v>
      </c>
      <c r="CF607"/>
      <c r="CG607">
        <v>0.3</v>
      </c>
      <c r="CH607"/>
      <c r="CI607"/>
      <c r="CJ607"/>
      <c r="CK607" t="s">
        <v>8820</v>
      </c>
      <c r="CL607">
        <v>1</v>
      </c>
      <c r="CM607" s="392">
        <v>41802</v>
      </c>
    </row>
    <row r="608" spans="1:91" s="242" customFormat="1" ht="15">
      <c r="A608" s="364" t="s">
        <v>7810</v>
      </c>
      <c r="B608" t="s">
        <v>265</v>
      </c>
      <c r="C608" t="s">
        <v>8213</v>
      </c>
      <c r="D608">
        <v>205</v>
      </c>
      <c r="E608" s="113">
        <v>69</v>
      </c>
      <c r="F608" s="113">
        <v>12</v>
      </c>
      <c r="G608" s="113"/>
      <c r="H608" s="113"/>
      <c r="I608"/>
      <c r="J608" s="112"/>
      <c r="K608" s="224">
        <v>6</v>
      </c>
      <c r="L608" s="390">
        <v>41625</v>
      </c>
      <c r="M608"/>
      <c r="N608" s="224"/>
      <c r="O608"/>
      <c r="P608"/>
      <c r="Q608"/>
      <c r="R608" s="153"/>
      <c r="S608" s="224"/>
      <c r="T608" s="224"/>
      <c r="U608"/>
      <c r="V608"/>
      <c r="W608"/>
      <c r="X608"/>
      <c r="Y608" s="225"/>
      <c r="Z608" s="224"/>
      <c r="AA608" s="226"/>
      <c r="AB608" s="224"/>
      <c r="AC608" s="225"/>
      <c r="AD608" s="224"/>
      <c r="AE608" s="224"/>
      <c r="AF608" s="224"/>
      <c r="AG608">
        <v>3.74</v>
      </c>
      <c r="AH608"/>
      <c r="AI608">
        <v>140</v>
      </c>
      <c r="AJ608" s="194">
        <v>41785</v>
      </c>
      <c r="AK608"/>
      <c r="AL608"/>
      <c r="AM608"/>
      <c r="AN608"/>
      <c r="AO608"/>
      <c r="AP608"/>
      <c r="AQ608" s="227"/>
      <c r="AR608" s="227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>
        <v>53.1</v>
      </c>
      <c r="BT608"/>
      <c r="BU608">
        <v>14.5</v>
      </c>
      <c r="BV608"/>
      <c r="BW608" s="229"/>
      <c r="BX608"/>
      <c r="BY608"/>
      <c r="BZ608"/>
      <c r="CA608"/>
      <c r="CB608" s="136"/>
      <c r="CC608"/>
      <c r="CD608"/>
      <c r="CE608">
        <v>5.8</v>
      </c>
      <c r="CF608"/>
      <c r="CG608">
        <v>0.7</v>
      </c>
      <c r="CH608"/>
      <c r="CI608"/>
      <c r="CJ608"/>
      <c r="CK608" t="s">
        <v>8820</v>
      </c>
      <c r="CL608">
        <v>1</v>
      </c>
      <c r="CM608" s="392">
        <v>41802</v>
      </c>
    </row>
    <row r="609" spans="1:91" s="242" customFormat="1" ht="15">
      <c r="A609" s="364" t="s">
        <v>7811</v>
      </c>
      <c r="B609" t="s">
        <v>265</v>
      </c>
      <c r="C609" t="s">
        <v>8213</v>
      </c>
      <c r="D609">
        <v>206</v>
      </c>
      <c r="E609" s="113">
        <v>41</v>
      </c>
      <c r="F609" s="113">
        <v>7</v>
      </c>
      <c r="G609" s="113"/>
      <c r="H609" s="113"/>
      <c r="I609"/>
      <c r="J609" s="112"/>
      <c r="K609" s="224">
        <v>7</v>
      </c>
      <c r="L609" s="390">
        <v>41625</v>
      </c>
      <c r="M609"/>
      <c r="N609" s="224"/>
      <c r="O609"/>
      <c r="P609"/>
      <c r="Q609"/>
      <c r="R609" s="153"/>
      <c r="S609" s="224"/>
      <c r="T609" s="224"/>
      <c r="U609"/>
      <c r="V609"/>
      <c r="W609"/>
      <c r="X609"/>
      <c r="Y609" s="225"/>
      <c r="Z609" s="224"/>
      <c r="AA609" s="226"/>
      <c r="AB609" s="224"/>
      <c r="AC609" s="225"/>
      <c r="AD609" s="224"/>
      <c r="AE609" s="224"/>
      <c r="AF609" s="224"/>
      <c r="AG609">
        <v>3.96</v>
      </c>
      <c r="AH609"/>
      <c r="AI609">
        <v>135</v>
      </c>
      <c r="AJ609" s="194">
        <v>41785</v>
      </c>
      <c r="AK609"/>
      <c r="AL609"/>
      <c r="AM609"/>
      <c r="AN609"/>
      <c r="AO609"/>
      <c r="AP609"/>
      <c r="AQ609" s="227"/>
      <c r="AR609" s="227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>
        <v>52.8</v>
      </c>
      <c r="BT609"/>
      <c r="BU609">
        <v>14.6</v>
      </c>
      <c r="BV609"/>
      <c r="BW609" s="229"/>
      <c r="BX609"/>
      <c r="BY609"/>
      <c r="BZ609"/>
      <c r="CA609"/>
      <c r="CB609" s="136"/>
      <c r="CC609"/>
      <c r="CD609"/>
      <c r="CE609">
        <v>5.4</v>
      </c>
      <c r="CF609"/>
      <c r="CG609">
        <v>0.1</v>
      </c>
      <c r="CH609"/>
      <c r="CI609"/>
      <c r="CJ609"/>
      <c r="CK609" t="s">
        <v>8820</v>
      </c>
      <c r="CL609">
        <v>1</v>
      </c>
      <c r="CM609" s="392">
        <v>41802</v>
      </c>
    </row>
    <row r="610" spans="1:91" s="242" customFormat="1" ht="15">
      <c r="A610" s="364" t="s">
        <v>7887</v>
      </c>
      <c r="B610" t="s">
        <v>265</v>
      </c>
      <c r="C610" t="s">
        <v>8213</v>
      </c>
      <c r="D610">
        <v>207</v>
      </c>
      <c r="E610" s="113">
        <v>48</v>
      </c>
      <c r="F610" s="113">
        <v>10</v>
      </c>
      <c r="G610" s="113"/>
      <c r="H610" s="113"/>
      <c r="I610"/>
      <c r="J610" s="112"/>
      <c r="K610" s="224">
        <v>7</v>
      </c>
      <c r="L610" s="390">
        <v>41625</v>
      </c>
      <c r="M610"/>
      <c r="N610" s="224"/>
      <c r="O610"/>
      <c r="P610"/>
      <c r="Q610"/>
      <c r="R610" s="153"/>
      <c r="S610" s="224"/>
      <c r="T610" s="224"/>
      <c r="U610"/>
      <c r="V610"/>
      <c r="W610"/>
      <c r="X610"/>
      <c r="Y610" s="225"/>
      <c r="Z610" s="224"/>
      <c r="AA610" s="226"/>
      <c r="AB610" s="224"/>
      <c r="AC610" s="225"/>
      <c r="AD610" s="224"/>
      <c r="AE610" s="224"/>
      <c r="AF610" s="224"/>
      <c r="AG610">
        <v>3.96</v>
      </c>
      <c r="AH610"/>
      <c r="AI610">
        <v>150</v>
      </c>
      <c r="AJ610" s="194">
        <v>41785</v>
      </c>
      <c r="AK610"/>
      <c r="AL610"/>
      <c r="AM610"/>
      <c r="AN610"/>
      <c r="AO610"/>
      <c r="AP610"/>
      <c r="AQ610" s="227"/>
      <c r="AR610" s="227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>
        <v>53.4</v>
      </c>
      <c r="BT610"/>
      <c r="BU610">
        <v>15.5</v>
      </c>
      <c r="BV610"/>
      <c r="BW610" s="229"/>
      <c r="BX610"/>
      <c r="BY610"/>
      <c r="BZ610"/>
      <c r="CA610"/>
      <c r="CB610" s="136"/>
      <c r="CC610"/>
      <c r="CD610"/>
      <c r="CE610">
        <v>6.3</v>
      </c>
      <c r="CF610"/>
      <c r="CG610">
        <v>0.4</v>
      </c>
      <c r="CH610"/>
      <c r="CI610"/>
      <c r="CJ610"/>
      <c r="CK610" t="s">
        <v>8820</v>
      </c>
      <c r="CL610">
        <v>1</v>
      </c>
      <c r="CM610" s="392">
        <v>41802</v>
      </c>
    </row>
    <row r="611" spans="1:91" s="242" customFormat="1" ht="15">
      <c r="A611" s="364" t="s">
        <v>7887</v>
      </c>
      <c r="B611" t="s">
        <v>265</v>
      </c>
      <c r="C611" t="s">
        <v>8213</v>
      </c>
      <c r="D611">
        <v>208</v>
      </c>
      <c r="E611" s="113">
        <v>57</v>
      </c>
      <c r="F611" s="113">
        <v>12</v>
      </c>
      <c r="G611" s="113"/>
      <c r="H611" s="113"/>
      <c r="I611"/>
      <c r="J611" s="112"/>
      <c r="K611" s="224">
        <v>7</v>
      </c>
      <c r="L611" s="390">
        <v>41625</v>
      </c>
      <c r="M611"/>
      <c r="N611" s="224"/>
      <c r="O611"/>
      <c r="P611"/>
      <c r="Q611"/>
      <c r="R611" s="153"/>
      <c r="S611" s="224"/>
      <c r="T611" s="224"/>
      <c r="U611"/>
      <c r="V611"/>
      <c r="W611"/>
      <c r="X611"/>
      <c r="Y611" s="225"/>
      <c r="Z611" s="224"/>
      <c r="AA611" s="226"/>
      <c r="AB611" s="224"/>
      <c r="AC611" s="225"/>
      <c r="AD611" s="224"/>
      <c r="AE611" s="224"/>
      <c r="AF611" s="224"/>
      <c r="AG611">
        <v>4.09</v>
      </c>
      <c r="AH611"/>
      <c r="AI611">
        <v>140</v>
      </c>
      <c r="AJ611" s="194">
        <v>41785</v>
      </c>
      <c r="AK611"/>
      <c r="AL611"/>
      <c r="AM611"/>
      <c r="AN611"/>
      <c r="AO611"/>
      <c r="AP611"/>
      <c r="AQ611" s="227"/>
      <c r="AR611" s="227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>
        <v>52.8</v>
      </c>
      <c r="BT611"/>
      <c r="BU611">
        <v>16.3</v>
      </c>
      <c r="BV611"/>
      <c r="BW611" s="229"/>
      <c r="BX611"/>
      <c r="BY611"/>
      <c r="BZ611"/>
      <c r="CA611"/>
      <c r="CB611" s="136"/>
      <c r="CC611"/>
      <c r="CD611"/>
      <c r="CE611">
        <v>4.4000000000000004</v>
      </c>
      <c r="CF611"/>
      <c r="CG611">
        <v>1.6</v>
      </c>
      <c r="CH611"/>
      <c r="CI611"/>
      <c r="CJ611"/>
      <c r="CK611" t="s">
        <v>8820</v>
      </c>
      <c r="CL611">
        <v>1</v>
      </c>
      <c r="CM611" s="392">
        <v>41802</v>
      </c>
    </row>
    <row r="612" spans="1:91" ht="15">
      <c r="A612" s="364" t="s">
        <v>7887</v>
      </c>
      <c r="B612" t="s">
        <v>265</v>
      </c>
      <c r="C612" t="s">
        <v>8213</v>
      </c>
      <c r="D612">
        <v>209</v>
      </c>
      <c r="E612" s="113">
        <v>54</v>
      </c>
      <c r="F612" s="113">
        <v>12</v>
      </c>
      <c r="I612"/>
      <c r="K612" s="224">
        <v>7</v>
      </c>
      <c r="L612" s="390">
        <v>41625</v>
      </c>
      <c r="M612"/>
      <c r="N612" s="224"/>
      <c r="O612"/>
      <c r="P612"/>
      <c r="Q612"/>
      <c r="S612" s="224"/>
      <c r="T612" s="224"/>
      <c r="U612"/>
      <c r="V612"/>
      <c r="W612"/>
      <c r="X612"/>
      <c r="Y612" s="225"/>
      <c r="Z612" s="224"/>
      <c r="AA612" s="226"/>
      <c r="AB612" s="224"/>
      <c r="AC612" s="225"/>
      <c r="AD612" s="224"/>
      <c r="AE612" s="224"/>
      <c r="AF612" s="224"/>
      <c r="AG612">
        <v>3.91</v>
      </c>
      <c r="AH612"/>
      <c r="AI612">
        <v>140</v>
      </c>
      <c r="AJ612" s="194">
        <v>41785</v>
      </c>
      <c r="AK612"/>
      <c r="AL612"/>
      <c r="AM612"/>
      <c r="AN612"/>
      <c r="AO612"/>
      <c r="AP612"/>
      <c r="AQ612" s="227"/>
      <c r="AR612" s="227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>
        <v>52.5</v>
      </c>
      <c r="BT612"/>
      <c r="BU612">
        <v>16.5</v>
      </c>
      <c r="BV612"/>
      <c r="BW612" s="229"/>
      <c r="BX612"/>
      <c r="BY612"/>
      <c r="BZ612"/>
      <c r="CA612"/>
      <c r="CC612"/>
      <c r="CD612"/>
      <c r="CE612">
        <v>5</v>
      </c>
      <c r="CF612"/>
      <c r="CG612">
        <v>1.1000000000000001</v>
      </c>
      <c r="CH612"/>
      <c r="CI612"/>
      <c r="CJ612"/>
      <c r="CK612" t="s">
        <v>8820</v>
      </c>
      <c r="CL612">
        <v>1</v>
      </c>
      <c r="CM612" s="392">
        <v>41802</v>
      </c>
    </row>
    <row r="613" spans="1:91" ht="15">
      <c r="A613" s="364" t="s">
        <v>7887</v>
      </c>
      <c r="B613" t="s">
        <v>265</v>
      </c>
      <c r="C613" t="s">
        <v>8213</v>
      </c>
      <c r="D613">
        <v>210</v>
      </c>
      <c r="E613" s="113">
        <v>44</v>
      </c>
      <c r="F613" s="113">
        <v>7</v>
      </c>
      <c r="I613"/>
      <c r="K613" s="224">
        <v>7</v>
      </c>
      <c r="L613" s="390">
        <v>41625</v>
      </c>
      <c r="M613"/>
      <c r="N613" s="224"/>
      <c r="O613"/>
      <c r="P613"/>
      <c r="Q613"/>
      <c r="S613" s="224"/>
      <c r="T613" s="224"/>
      <c r="U613"/>
      <c r="V613"/>
      <c r="W613"/>
      <c r="X613"/>
      <c r="Y613" s="225"/>
      <c r="Z613" s="224"/>
      <c r="AA613" s="226"/>
      <c r="AB613" s="224"/>
      <c r="AC613" s="225"/>
      <c r="AD613" s="224"/>
      <c r="AE613" s="224"/>
      <c r="AF613" s="224"/>
      <c r="AG613">
        <v>4.01</v>
      </c>
      <c r="AH613"/>
      <c r="AI613">
        <v>155</v>
      </c>
      <c r="AJ613" s="194">
        <v>41785</v>
      </c>
      <c r="AK613"/>
      <c r="AL613"/>
      <c r="AM613"/>
      <c r="AN613"/>
      <c r="AO613"/>
      <c r="AP613"/>
      <c r="AQ613" s="227"/>
      <c r="AR613" s="227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>
        <v>53.3</v>
      </c>
      <c r="BT613"/>
      <c r="BU613">
        <v>16.100000000000001</v>
      </c>
      <c r="BV613"/>
      <c r="BW613" s="229"/>
      <c r="BX613"/>
      <c r="BY613"/>
      <c r="BZ613"/>
      <c r="CA613"/>
      <c r="CC613"/>
      <c r="CD613"/>
      <c r="CE613">
        <v>6.6</v>
      </c>
      <c r="CF613"/>
      <c r="CG613">
        <v>1.1000000000000001</v>
      </c>
      <c r="CH613"/>
      <c r="CI613"/>
      <c r="CJ613"/>
      <c r="CK613" t="s">
        <v>8820</v>
      </c>
      <c r="CL613">
        <v>1</v>
      </c>
      <c r="CM613" s="392">
        <v>41802</v>
      </c>
    </row>
    <row r="614" spans="1:91" ht="15">
      <c r="A614" s="364" t="s">
        <v>7887</v>
      </c>
      <c r="B614" t="s">
        <v>265</v>
      </c>
      <c r="C614" t="s">
        <v>8213</v>
      </c>
      <c r="D614">
        <v>211</v>
      </c>
      <c r="E614" s="113">
        <v>56</v>
      </c>
      <c r="F614" s="113">
        <v>11</v>
      </c>
      <c r="I614"/>
      <c r="K614" s="224">
        <v>7</v>
      </c>
      <c r="L614" s="390">
        <v>41625</v>
      </c>
      <c r="M614"/>
      <c r="N614" s="224"/>
      <c r="O614"/>
      <c r="P614"/>
      <c r="Q614"/>
      <c r="S614" s="224"/>
      <c r="T614" s="224"/>
      <c r="U614"/>
      <c r="V614"/>
      <c r="W614"/>
      <c r="X614"/>
      <c r="Y614" s="225"/>
      <c r="Z614" s="224"/>
      <c r="AA614" s="226"/>
      <c r="AB614" s="224"/>
      <c r="AC614" s="225"/>
      <c r="AD614" s="224"/>
      <c r="AE614" s="224"/>
      <c r="AF614" s="224"/>
      <c r="AG614">
        <v>3.89</v>
      </c>
      <c r="AH614"/>
      <c r="AI614">
        <v>140</v>
      </c>
      <c r="AJ614" s="194">
        <v>41785</v>
      </c>
      <c r="AK614"/>
      <c r="AL614"/>
      <c r="AM614"/>
      <c r="AN614"/>
      <c r="AO614"/>
      <c r="AP614"/>
      <c r="AQ614" s="227"/>
      <c r="AR614" s="227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>
        <v>53.1</v>
      </c>
      <c r="BT614"/>
      <c r="BU614">
        <v>16.100000000000001</v>
      </c>
      <c r="BV614"/>
      <c r="BW614" s="229"/>
      <c r="BX614"/>
      <c r="BY614"/>
      <c r="BZ614"/>
      <c r="CA614"/>
      <c r="CC614"/>
      <c r="CD614"/>
      <c r="CE614">
        <v>4.7</v>
      </c>
      <c r="CF614"/>
      <c r="CG614">
        <v>0.9</v>
      </c>
      <c r="CH614"/>
      <c r="CI614"/>
      <c r="CJ614"/>
      <c r="CK614" t="s">
        <v>8820</v>
      </c>
      <c r="CL614">
        <v>1</v>
      </c>
      <c r="CM614" s="392">
        <v>41802</v>
      </c>
    </row>
    <row r="615" spans="1:91">
      <c r="A615" s="123" t="s">
        <v>8646</v>
      </c>
      <c r="B615" t="s">
        <v>265</v>
      </c>
      <c r="C615" t="s">
        <v>8213</v>
      </c>
      <c r="D615">
        <v>212</v>
      </c>
      <c r="E615" s="113">
        <v>54</v>
      </c>
      <c r="F615" s="113">
        <v>11</v>
      </c>
      <c r="I615"/>
      <c r="K615" s="224">
        <v>7</v>
      </c>
      <c r="L615" s="390">
        <v>41625</v>
      </c>
      <c r="M615"/>
      <c r="N615" s="224"/>
      <c r="O615"/>
      <c r="P615"/>
      <c r="Q615"/>
      <c r="S615" s="224"/>
      <c r="T615" s="224"/>
      <c r="U615"/>
      <c r="V615"/>
      <c r="W615"/>
      <c r="X615"/>
      <c r="Y615" s="225"/>
      <c r="Z615" s="224"/>
      <c r="AA615" s="226"/>
      <c r="AB615" s="224"/>
      <c r="AC615" s="225"/>
      <c r="AD615" s="224"/>
      <c r="AE615" s="224"/>
      <c r="AF615" s="224"/>
      <c r="AG615">
        <v>4.03</v>
      </c>
      <c r="AH615"/>
      <c r="AI615">
        <v>145</v>
      </c>
      <c r="AJ615" s="194">
        <v>41785</v>
      </c>
      <c r="AK615"/>
      <c r="AL615"/>
      <c r="AM615"/>
      <c r="AN615"/>
      <c r="AO615"/>
      <c r="AP615"/>
      <c r="AQ615" s="227"/>
      <c r="AR615" s="227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>
        <v>53.3</v>
      </c>
      <c r="BT615"/>
      <c r="BU615">
        <v>15.1</v>
      </c>
      <c r="BV615"/>
      <c r="BW615" s="229"/>
      <c r="BX615"/>
      <c r="BY615"/>
      <c r="BZ615"/>
      <c r="CA615"/>
      <c r="CC615"/>
      <c r="CD615"/>
      <c r="CE615">
        <v>5</v>
      </c>
      <c r="CF615"/>
      <c r="CG615">
        <v>1.4</v>
      </c>
      <c r="CH615"/>
      <c r="CI615"/>
      <c r="CJ615"/>
      <c r="CK615" t="s">
        <v>8820</v>
      </c>
      <c r="CL615">
        <v>1</v>
      </c>
      <c r="CM615" s="392">
        <v>41802</v>
      </c>
    </row>
    <row r="616" spans="1:91">
      <c r="A616" s="123" t="s">
        <v>8646</v>
      </c>
      <c r="B616" t="s">
        <v>265</v>
      </c>
      <c r="C616" t="s">
        <v>8213</v>
      </c>
      <c r="D616">
        <v>213</v>
      </c>
      <c r="E616" s="113">
        <v>60</v>
      </c>
      <c r="F616" s="113">
        <v>11</v>
      </c>
      <c r="I616"/>
      <c r="K616" s="224">
        <v>7</v>
      </c>
      <c r="L616" s="390">
        <v>41625</v>
      </c>
      <c r="M616"/>
      <c r="N616" s="224"/>
      <c r="O616"/>
      <c r="P616"/>
      <c r="Q616"/>
      <c r="S616" s="224"/>
      <c r="T616" s="224"/>
      <c r="U616"/>
      <c r="V616"/>
      <c r="W616"/>
      <c r="X616"/>
      <c r="Y616" s="225"/>
      <c r="Z616" s="224"/>
      <c r="AA616" s="226"/>
      <c r="AB616" s="224"/>
      <c r="AC616" s="225"/>
      <c r="AD616" s="224"/>
      <c r="AE616" s="224"/>
      <c r="AF616" s="224"/>
      <c r="AG616">
        <v>3.95</v>
      </c>
      <c r="AH616"/>
      <c r="AI616">
        <v>155</v>
      </c>
      <c r="AJ616" s="194">
        <v>41785</v>
      </c>
      <c r="AK616"/>
      <c r="AL616"/>
      <c r="AM616"/>
      <c r="AN616"/>
      <c r="AO616"/>
      <c r="AP616"/>
      <c r="AQ616" s="227"/>
      <c r="AR616" s="227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>
        <v>53.6</v>
      </c>
      <c r="BT616"/>
      <c r="BU616">
        <v>14.7</v>
      </c>
      <c r="BV616"/>
      <c r="BW616" s="229"/>
      <c r="BX616"/>
      <c r="BY616"/>
      <c r="BZ616"/>
      <c r="CA616"/>
      <c r="CC616"/>
      <c r="CD616"/>
      <c r="CE616">
        <v>5.3</v>
      </c>
      <c r="CF616"/>
      <c r="CG616">
        <v>0.5</v>
      </c>
      <c r="CH616"/>
      <c r="CI616"/>
      <c r="CJ616"/>
      <c r="CK616" t="s">
        <v>8820</v>
      </c>
      <c r="CL616">
        <v>1</v>
      </c>
      <c r="CM616" s="392">
        <v>41802</v>
      </c>
    </row>
    <row r="617" spans="1:91">
      <c r="A617" s="123" t="s">
        <v>8646</v>
      </c>
      <c r="B617" t="s">
        <v>265</v>
      </c>
      <c r="C617" t="s">
        <v>8213</v>
      </c>
      <c r="D617">
        <v>214</v>
      </c>
      <c r="E617" s="113">
        <v>55</v>
      </c>
      <c r="F617" s="113">
        <v>8</v>
      </c>
      <c r="G617" s="233"/>
      <c r="H617" s="233"/>
      <c r="I617" s="232"/>
      <c r="J617" s="234"/>
      <c r="K617" s="235">
        <v>7</v>
      </c>
      <c r="L617" s="390">
        <v>41625</v>
      </c>
      <c r="M617" s="232"/>
      <c r="N617" s="235"/>
      <c r="O617" s="232"/>
      <c r="P617" s="232"/>
      <c r="Q617" s="232"/>
      <c r="R617" s="236"/>
      <c r="S617" s="235"/>
      <c r="T617" s="235"/>
      <c r="U617" s="232"/>
      <c r="V617" s="232"/>
      <c r="W617" s="232"/>
      <c r="X617" s="232"/>
      <c r="Y617" s="237"/>
      <c r="Z617" s="235"/>
      <c r="AA617" s="238"/>
      <c r="AB617" s="235"/>
      <c r="AC617" s="237"/>
      <c r="AD617" s="235"/>
      <c r="AE617" s="235"/>
      <c r="AF617" s="235"/>
      <c r="AG617" s="232">
        <v>4.01</v>
      </c>
      <c r="AH617" s="232"/>
      <c r="AI617" s="232">
        <v>155</v>
      </c>
      <c r="AJ617" s="194">
        <v>41785</v>
      </c>
      <c r="AK617" s="232"/>
      <c r="AL617" s="232"/>
      <c r="AM617" s="232"/>
      <c r="AN617" s="232"/>
      <c r="AO617" s="232"/>
      <c r="AP617" s="232"/>
      <c r="AQ617" s="239"/>
      <c r="AR617" s="239"/>
      <c r="AS617" s="232"/>
      <c r="AT617" s="232"/>
      <c r="AU617" s="232"/>
      <c r="AV617" s="232"/>
      <c r="AW617" s="232"/>
      <c r="AX617" s="232"/>
      <c r="AY617" s="232"/>
      <c r="AZ617" s="232"/>
      <c r="BA617" s="232"/>
      <c r="BB617" s="232"/>
      <c r="BC617" s="232"/>
      <c r="BD617" s="232"/>
      <c r="BE617" s="232"/>
      <c r="BF617" s="232"/>
      <c r="BG617" s="232"/>
      <c r="BH617" s="232"/>
      <c r="BI617" s="232"/>
      <c r="BJ617" s="232"/>
      <c r="BK617" s="232"/>
      <c r="BL617" s="232"/>
      <c r="BM617" s="232"/>
      <c r="BN617" s="232"/>
      <c r="BO617" s="232"/>
      <c r="BP617" s="232"/>
      <c r="BQ617" s="232"/>
      <c r="BR617" s="232"/>
      <c r="BS617" s="232">
        <v>53.4</v>
      </c>
      <c r="BT617" s="232"/>
      <c r="BU617" s="232">
        <v>15.5</v>
      </c>
      <c r="BV617" s="232"/>
      <c r="BW617" s="240"/>
      <c r="BX617" s="232"/>
      <c r="BY617" s="232"/>
      <c r="BZ617" s="232"/>
      <c r="CA617" s="232"/>
      <c r="CB617" s="241"/>
      <c r="CC617" s="232"/>
      <c r="CD617" s="232"/>
      <c r="CE617" s="232">
        <v>5.2</v>
      </c>
      <c r="CF617" s="232"/>
      <c r="CG617" s="232">
        <v>1.1000000000000001</v>
      </c>
      <c r="CH617" s="232"/>
      <c r="CI617" s="232"/>
      <c r="CJ617" s="232"/>
      <c r="CK617" t="s">
        <v>8820</v>
      </c>
      <c r="CL617" s="232">
        <v>1</v>
      </c>
      <c r="CM617" s="392">
        <v>41802</v>
      </c>
    </row>
    <row r="618" spans="1:91">
      <c r="A618" s="123" t="s">
        <v>7888</v>
      </c>
      <c r="B618" t="s">
        <v>265</v>
      </c>
      <c r="C618" t="s">
        <v>8213</v>
      </c>
      <c r="D618">
        <v>215</v>
      </c>
      <c r="E618" s="113">
        <v>60</v>
      </c>
      <c r="F618" s="113">
        <v>12</v>
      </c>
      <c r="I618"/>
      <c r="K618" s="224">
        <v>7</v>
      </c>
      <c r="L618" s="390">
        <v>41625</v>
      </c>
      <c r="M618"/>
      <c r="N618" s="224"/>
      <c r="O618"/>
      <c r="P618"/>
      <c r="Q618"/>
      <c r="S618" s="224"/>
      <c r="T618" s="224"/>
      <c r="U618"/>
      <c r="V618"/>
      <c r="W618"/>
      <c r="X618"/>
      <c r="Y618" s="225"/>
      <c r="Z618" s="224"/>
      <c r="AA618" s="226"/>
      <c r="AB618" s="224"/>
      <c r="AC618" s="225"/>
      <c r="AD618" s="224"/>
      <c r="AE618" s="224"/>
      <c r="AF618" s="224"/>
      <c r="AG618">
        <v>3.42</v>
      </c>
      <c r="AH618"/>
      <c r="AI618">
        <v>155</v>
      </c>
      <c r="AJ618" s="194">
        <v>41785</v>
      </c>
      <c r="AK618"/>
      <c r="AL618"/>
      <c r="AM618"/>
      <c r="AN618"/>
      <c r="AO618"/>
      <c r="AP618"/>
      <c r="AQ618" s="227"/>
      <c r="AR618" s="227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>
        <v>53.8</v>
      </c>
      <c r="BT618"/>
      <c r="BU618">
        <v>13.3</v>
      </c>
      <c r="BV618"/>
      <c r="BW618" s="229"/>
      <c r="BX618"/>
      <c r="BY618"/>
      <c r="BZ618"/>
      <c r="CA618"/>
      <c r="CC618"/>
      <c r="CD618"/>
      <c r="CE618">
        <v>5.5</v>
      </c>
      <c r="CF618"/>
      <c r="CG618">
        <v>1.2</v>
      </c>
      <c r="CH618"/>
      <c r="CI618"/>
      <c r="CJ618"/>
      <c r="CK618" t="s">
        <v>8820</v>
      </c>
      <c r="CL618">
        <v>1</v>
      </c>
      <c r="CM618" s="392">
        <v>41802</v>
      </c>
    </row>
    <row r="619" spans="1:91" ht="13.5" thickBot="1">
      <c r="A619" s="123" t="s">
        <v>7888</v>
      </c>
      <c r="B619" s="345" t="s">
        <v>265</v>
      </c>
      <c r="C619" s="345" t="s">
        <v>8213</v>
      </c>
      <c r="D619">
        <v>216</v>
      </c>
      <c r="E619" s="113">
        <v>41</v>
      </c>
      <c r="F619" s="113">
        <v>10</v>
      </c>
      <c r="I619"/>
      <c r="K619" s="224">
        <v>7</v>
      </c>
      <c r="L619" s="390">
        <v>41625</v>
      </c>
      <c r="M619"/>
      <c r="N619" s="224"/>
      <c r="O619"/>
      <c r="P619"/>
      <c r="Q619"/>
      <c r="S619" s="224"/>
      <c r="T619" s="224"/>
      <c r="U619"/>
      <c r="V619"/>
      <c r="W619"/>
      <c r="X619"/>
      <c r="Y619" s="225"/>
      <c r="Z619" s="224"/>
      <c r="AA619" s="226"/>
      <c r="AB619" s="224"/>
      <c r="AC619" s="225"/>
      <c r="AD619" s="224"/>
      <c r="AE619" s="224"/>
      <c r="AF619" s="224"/>
      <c r="AG619">
        <v>3.5</v>
      </c>
      <c r="AH619"/>
      <c r="AI619">
        <v>155</v>
      </c>
      <c r="AJ619" s="194">
        <v>41785</v>
      </c>
      <c r="AK619"/>
      <c r="AL619"/>
      <c r="AM619"/>
      <c r="AN619"/>
      <c r="AO619"/>
      <c r="AP619"/>
      <c r="AQ619" s="227"/>
      <c r="AR619" s="227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>
        <v>53.7</v>
      </c>
      <c r="BT619"/>
      <c r="BU619">
        <v>13.9</v>
      </c>
      <c r="BV619"/>
      <c r="BW619" s="229"/>
      <c r="BX619"/>
      <c r="BY619"/>
      <c r="BZ619"/>
      <c r="CA619"/>
      <c r="CC619"/>
      <c r="CD619"/>
      <c r="CE619">
        <v>6.1</v>
      </c>
      <c r="CF619"/>
      <c r="CG619">
        <v>0.3</v>
      </c>
      <c r="CH619"/>
      <c r="CI619"/>
      <c r="CJ619"/>
      <c r="CK619" t="s">
        <v>8820</v>
      </c>
      <c r="CL619">
        <v>1</v>
      </c>
      <c r="CM619" s="392">
        <v>41802</v>
      </c>
    </row>
    <row r="620" spans="1:91" ht="15.75" thickTop="1">
      <c r="A620" s="364" t="s">
        <v>7606</v>
      </c>
      <c r="B620" t="s">
        <v>267</v>
      </c>
      <c r="C620" t="s">
        <v>8213</v>
      </c>
      <c r="D620">
        <v>1</v>
      </c>
      <c r="E620" s="113">
        <v>1</v>
      </c>
      <c r="F620" s="113">
        <v>12</v>
      </c>
      <c r="I620"/>
      <c r="K620" s="224">
        <v>8</v>
      </c>
      <c r="L620" s="390">
        <v>41625</v>
      </c>
      <c r="M620"/>
      <c r="N620" s="224"/>
      <c r="O620"/>
      <c r="P620"/>
      <c r="Q620"/>
      <c r="S620" s="224"/>
      <c r="T620" s="224"/>
      <c r="U620"/>
      <c r="V620"/>
      <c r="W620"/>
      <c r="X620"/>
      <c r="Y620" s="225"/>
      <c r="Z620" s="224"/>
      <c r="AA620" s="226"/>
      <c r="AB620" s="224"/>
      <c r="AC620" s="225"/>
      <c r="AD620" s="224"/>
      <c r="AE620" s="224"/>
      <c r="AF620" s="224"/>
      <c r="AG620"/>
      <c r="AH620"/>
      <c r="AI620">
        <v>150</v>
      </c>
      <c r="AJ620" s="194">
        <v>41785</v>
      </c>
      <c r="AK620">
        <v>37</v>
      </c>
      <c r="AL620" s="395">
        <v>41677</v>
      </c>
      <c r="AM620">
        <v>93</v>
      </c>
      <c r="AN620" s="391">
        <v>41733</v>
      </c>
      <c r="AO620"/>
      <c r="AP620" s="391">
        <v>41737</v>
      </c>
      <c r="AQ620" s="227"/>
      <c r="AR620" s="227"/>
      <c r="AS620"/>
      <c r="AT620"/>
      <c r="AU620"/>
      <c r="AV620" s="391" t="s">
        <v>8819</v>
      </c>
      <c r="AW620"/>
      <c r="AX620" s="391" t="s">
        <v>8819</v>
      </c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>
        <v>53.7</v>
      </c>
      <c r="BT620"/>
      <c r="BU620">
        <v>14.7</v>
      </c>
      <c r="BV620"/>
      <c r="BW620" s="229"/>
      <c r="BX620"/>
      <c r="BY620"/>
      <c r="BZ620"/>
      <c r="CA620"/>
      <c r="CC620"/>
      <c r="CD620"/>
      <c r="CE620">
        <v>6.2</v>
      </c>
      <c r="CF620"/>
      <c r="CG620">
        <v>0</v>
      </c>
      <c r="CH620"/>
      <c r="CI620"/>
      <c r="CJ620"/>
      <c r="CK620" t="s">
        <v>8820</v>
      </c>
      <c r="CL620">
        <v>7</v>
      </c>
      <c r="CM620" s="392">
        <v>41802</v>
      </c>
    </row>
    <row r="621" spans="1:91" ht="15">
      <c r="A621" s="364" t="s">
        <v>7607</v>
      </c>
      <c r="B621" t="s">
        <v>267</v>
      </c>
      <c r="C621" t="s">
        <v>8213</v>
      </c>
      <c r="D621">
        <v>2</v>
      </c>
      <c r="E621" s="113">
        <v>28</v>
      </c>
      <c r="F621" s="113">
        <v>9</v>
      </c>
      <c r="G621" s="233"/>
      <c r="H621" s="233"/>
      <c r="I621" s="232"/>
      <c r="J621" s="234"/>
      <c r="K621" s="235">
        <v>7</v>
      </c>
      <c r="L621" s="390">
        <v>41625</v>
      </c>
      <c r="M621" s="232"/>
      <c r="N621" s="235"/>
      <c r="O621" s="232"/>
      <c r="P621" s="232"/>
      <c r="Q621" s="232"/>
      <c r="R621" s="236"/>
      <c r="S621" s="235"/>
      <c r="T621" s="235"/>
      <c r="U621" s="232"/>
      <c r="V621" s="232"/>
      <c r="W621" s="232"/>
      <c r="X621" s="232"/>
      <c r="Y621" s="237"/>
      <c r="Z621" s="235"/>
      <c r="AA621" s="238"/>
      <c r="AB621" s="235"/>
      <c r="AC621" s="237"/>
      <c r="AD621" s="235"/>
      <c r="AE621" s="235"/>
      <c r="AF621" s="235"/>
      <c r="AG621" s="232"/>
      <c r="AH621" s="232"/>
      <c r="AI621" s="232">
        <v>165</v>
      </c>
      <c r="AJ621" s="194">
        <v>41785</v>
      </c>
      <c r="AK621" s="232">
        <v>37</v>
      </c>
      <c r="AL621" s="395">
        <v>41677</v>
      </c>
      <c r="AM621" s="232">
        <v>93</v>
      </c>
      <c r="AN621" s="391">
        <v>41733</v>
      </c>
      <c r="AO621" s="232"/>
      <c r="AP621" s="391" t="s">
        <v>8819</v>
      </c>
      <c r="AQ621" s="239"/>
      <c r="AR621" s="239"/>
      <c r="AS621" s="232"/>
      <c r="AT621" s="232"/>
      <c r="AU621" s="232"/>
      <c r="AV621" s="391">
        <v>41737</v>
      </c>
      <c r="AW621" s="232"/>
      <c r="AX621" s="391" t="s">
        <v>8819</v>
      </c>
      <c r="AY621" s="232"/>
      <c r="AZ621" s="232"/>
      <c r="BA621" s="232"/>
      <c r="BB621" s="232"/>
      <c r="BC621" s="232"/>
      <c r="BD621" s="232"/>
      <c r="BE621" s="232"/>
      <c r="BF621" s="232"/>
      <c r="BG621" s="232"/>
      <c r="BH621" s="232"/>
      <c r="BI621" s="232"/>
      <c r="BJ621" s="232"/>
      <c r="BK621" s="232"/>
      <c r="BL621" s="232"/>
      <c r="BM621" s="232"/>
      <c r="BN621" s="232"/>
      <c r="BO621" s="232"/>
      <c r="BP621" s="232"/>
      <c r="BQ621" s="232"/>
      <c r="BR621" s="232"/>
      <c r="BS621" s="232">
        <v>53</v>
      </c>
      <c r="BT621" s="232"/>
      <c r="BU621" s="232">
        <v>16</v>
      </c>
      <c r="BV621" s="232"/>
      <c r="BW621" s="240"/>
      <c r="BX621" s="232"/>
      <c r="BY621" s="232"/>
      <c r="BZ621" s="232"/>
      <c r="CA621" s="232"/>
      <c r="CB621" s="241"/>
      <c r="CC621" s="232"/>
      <c r="CD621" s="232"/>
      <c r="CE621" s="232">
        <v>6.6</v>
      </c>
      <c r="CF621" s="232"/>
      <c r="CG621" s="232">
        <v>0</v>
      </c>
      <c r="CH621" s="232"/>
      <c r="CI621" s="232"/>
      <c r="CJ621" s="232"/>
      <c r="CK621" t="s">
        <v>8820</v>
      </c>
      <c r="CL621" s="232">
        <v>7</v>
      </c>
      <c r="CM621" s="392">
        <v>41802</v>
      </c>
    </row>
    <row r="622" spans="1:91" ht="15">
      <c r="A622" s="364" t="s">
        <v>7608</v>
      </c>
      <c r="B622" t="s">
        <v>267</v>
      </c>
      <c r="C622" t="s">
        <v>8213</v>
      </c>
      <c r="D622">
        <v>3</v>
      </c>
      <c r="E622" s="113">
        <v>13</v>
      </c>
      <c r="F622" s="113">
        <v>8</v>
      </c>
      <c r="I622"/>
      <c r="K622" s="224">
        <v>7</v>
      </c>
      <c r="L622" s="390">
        <v>41625</v>
      </c>
      <c r="M622"/>
      <c r="N622" s="224"/>
      <c r="O622"/>
      <c r="P622"/>
      <c r="Q622"/>
      <c r="S622" s="224"/>
      <c r="T622" s="224"/>
      <c r="U622"/>
      <c r="V622"/>
      <c r="W622"/>
      <c r="X622"/>
      <c r="Y622" s="225"/>
      <c r="Z622" s="224"/>
      <c r="AA622" s="226"/>
      <c r="AB622" s="224"/>
      <c r="AC622" s="225"/>
      <c r="AD622" s="224"/>
      <c r="AE622" s="224"/>
      <c r="AF622" s="224"/>
      <c r="AG622"/>
      <c r="AH622"/>
      <c r="AI622">
        <v>170</v>
      </c>
      <c r="AJ622" s="194">
        <v>41785</v>
      </c>
      <c r="AK622">
        <v>37</v>
      </c>
      <c r="AL622" s="395">
        <v>41677</v>
      </c>
      <c r="AM622">
        <v>93</v>
      </c>
      <c r="AN622" s="391">
        <v>41733</v>
      </c>
      <c r="AO622"/>
      <c r="AP622" s="391" t="s">
        <v>8819</v>
      </c>
      <c r="AQ622" s="227"/>
      <c r="AR622" s="227"/>
      <c r="AS622"/>
      <c r="AT622"/>
      <c r="AU622"/>
      <c r="AV622" s="391">
        <v>41737</v>
      </c>
      <c r="AW622"/>
      <c r="AX622" s="391" t="s">
        <v>8819</v>
      </c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>
        <v>53.6</v>
      </c>
      <c r="BT622"/>
      <c r="BU622">
        <v>16.2</v>
      </c>
      <c r="BV622"/>
      <c r="BW622" s="229"/>
      <c r="BX622"/>
      <c r="BY622"/>
      <c r="BZ622"/>
      <c r="CA622"/>
      <c r="CC622"/>
      <c r="CD622"/>
      <c r="CE622">
        <v>9.3000000000000007</v>
      </c>
      <c r="CF622"/>
      <c r="CG622">
        <v>0.6</v>
      </c>
      <c r="CH622"/>
      <c r="CI622"/>
      <c r="CJ622"/>
      <c r="CK622" t="s">
        <v>8820</v>
      </c>
      <c r="CL622">
        <v>7</v>
      </c>
      <c r="CM622" s="392">
        <v>41802</v>
      </c>
    </row>
    <row r="623" spans="1:91" ht="15">
      <c r="A623" s="364" t="s">
        <v>7609</v>
      </c>
      <c r="B623" t="s">
        <v>267</v>
      </c>
      <c r="C623" t="s">
        <v>8213</v>
      </c>
      <c r="D623">
        <v>4</v>
      </c>
      <c r="E623" s="113">
        <v>7</v>
      </c>
      <c r="F623" s="113">
        <v>10</v>
      </c>
      <c r="I623"/>
      <c r="K623" s="224">
        <v>6</v>
      </c>
      <c r="L623" s="390">
        <v>41625</v>
      </c>
      <c r="M623"/>
      <c r="N623" s="224"/>
      <c r="O623"/>
      <c r="P623"/>
      <c r="Q623"/>
      <c r="S623" s="224"/>
      <c r="T623" s="224"/>
      <c r="U623"/>
      <c r="V623"/>
      <c r="W623"/>
      <c r="X623"/>
      <c r="Y623" s="225"/>
      <c r="Z623" s="224"/>
      <c r="AA623" s="226"/>
      <c r="AB623" s="224"/>
      <c r="AC623" s="225"/>
      <c r="AD623" s="224"/>
      <c r="AE623" s="224"/>
      <c r="AF623" s="224"/>
      <c r="AG623"/>
      <c r="AH623"/>
      <c r="AI623">
        <v>155</v>
      </c>
      <c r="AJ623" s="194">
        <v>41785</v>
      </c>
      <c r="AK623">
        <v>37</v>
      </c>
      <c r="AL623" s="395">
        <v>41677</v>
      </c>
      <c r="AM623">
        <v>90</v>
      </c>
      <c r="AN623" s="391">
        <v>41730</v>
      </c>
      <c r="AO623"/>
      <c r="AP623" s="391" t="s">
        <v>8819</v>
      </c>
      <c r="AQ623" s="227"/>
      <c r="AR623" s="227"/>
      <c r="AS623"/>
      <c r="AT623"/>
      <c r="AU623"/>
      <c r="AV623" s="391" t="s">
        <v>8819</v>
      </c>
      <c r="AW623"/>
      <c r="AX623" s="391" t="s">
        <v>8819</v>
      </c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>
        <v>51.4</v>
      </c>
      <c r="BT623"/>
      <c r="BU623">
        <v>18</v>
      </c>
      <c r="BV623"/>
      <c r="BW623" s="229"/>
      <c r="BX623"/>
      <c r="BY623"/>
      <c r="BZ623"/>
      <c r="CA623"/>
      <c r="CC623"/>
      <c r="CD623"/>
      <c r="CE623">
        <v>5.9</v>
      </c>
      <c r="CF623"/>
      <c r="CG623">
        <v>0.1</v>
      </c>
      <c r="CH623"/>
      <c r="CI623"/>
      <c r="CJ623"/>
      <c r="CK623" t="s">
        <v>8820</v>
      </c>
      <c r="CL623">
        <v>9</v>
      </c>
      <c r="CM623" s="392">
        <v>41802</v>
      </c>
    </row>
    <row r="624" spans="1:91" ht="15">
      <c r="A624" s="364" t="s">
        <v>7610</v>
      </c>
      <c r="B624" t="s">
        <v>267</v>
      </c>
      <c r="C624" t="s">
        <v>8213</v>
      </c>
      <c r="D624">
        <v>5</v>
      </c>
      <c r="E624" s="113">
        <v>7</v>
      </c>
      <c r="F624" s="113">
        <v>12</v>
      </c>
      <c r="I624"/>
      <c r="K624" s="224">
        <v>7</v>
      </c>
      <c r="L624" s="390">
        <v>41625</v>
      </c>
      <c r="M624"/>
      <c r="N624" s="224"/>
      <c r="O624"/>
      <c r="P624"/>
      <c r="Q624"/>
      <c r="S624" s="224"/>
      <c r="T624" s="224"/>
      <c r="U624"/>
      <c r="V624"/>
      <c r="W624"/>
      <c r="X624"/>
      <c r="Y624" s="225"/>
      <c r="Z624" s="224"/>
      <c r="AA624" s="226"/>
      <c r="AB624" s="224"/>
      <c r="AC624" s="225"/>
      <c r="AD624" s="224"/>
      <c r="AE624" s="224"/>
      <c r="AF624" s="224"/>
      <c r="AG624"/>
      <c r="AH624"/>
      <c r="AI624">
        <v>130</v>
      </c>
      <c r="AJ624" s="194">
        <v>41785</v>
      </c>
      <c r="AK624">
        <v>37</v>
      </c>
      <c r="AL624" s="395">
        <v>41677</v>
      </c>
      <c r="AM624">
        <v>93</v>
      </c>
      <c r="AN624" s="391">
        <v>41733</v>
      </c>
      <c r="AO624"/>
      <c r="AP624" s="391">
        <v>41737</v>
      </c>
      <c r="AQ624" s="227"/>
      <c r="AR624" s="227"/>
      <c r="AS624"/>
      <c r="AT624"/>
      <c r="AU624"/>
      <c r="AV624" s="391">
        <v>41740</v>
      </c>
      <c r="AW624"/>
      <c r="AX624" s="391" t="s">
        <v>8819</v>
      </c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>
        <v>54.6</v>
      </c>
      <c r="BT624"/>
      <c r="BU624">
        <v>16.100000000000001</v>
      </c>
      <c r="BV624"/>
      <c r="BW624" s="229"/>
      <c r="BX624"/>
      <c r="BY624"/>
      <c r="BZ624"/>
      <c r="CA624"/>
      <c r="CC624"/>
      <c r="CD624"/>
      <c r="CE624">
        <v>6.4</v>
      </c>
      <c r="CF624"/>
      <c r="CG624">
        <v>0</v>
      </c>
      <c r="CH624"/>
      <c r="CI624"/>
      <c r="CJ624"/>
      <c r="CK624" t="s">
        <v>8820</v>
      </c>
      <c r="CL624">
        <v>1</v>
      </c>
      <c r="CM624" s="392">
        <v>41802</v>
      </c>
    </row>
    <row r="625" spans="1:91" ht="15">
      <c r="A625" s="364" t="s">
        <v>7611</v>
      </c>
      <c r="B625" t="s">
        <v>267</v>
      </c>
      <c r="C625" t="s">
        <v>8213</v>
      </c>
      <c r="D625">
        <v>6</v>
      </c>
      <c r="E625" s="113">
        <v>12</v>
      </c>
      <c r="F625" s="113">
        <v>11</v>
      </c>
      <c r="I625"/>
      <c r="K625" s="224">
        <v>7</v>
      </c>
      <c r="L625" s="390">
        <v>41625</v>
      </c>
      <c r="M625"/>
      <c r="N625" s="224"/>
      <c r="O625"/>
      <c r="P625"/>
      <c r="Q625"/>
      <c r="S625" s="224"/>
      <c r="T625" s="224"/>
      <c r="U625"/>
      <c r="V625"/>
      <c r="W625"/>
      <c r="X625"/>
      <c r="Y625" s="225"/>
      <c r="Z625" s="224"/>
      <c r="AA625" s="226"/>
      <c r="AB625" s="224"/>
      <c r="AC625" s="225"/>
      <c r="AD625" s="224"/>
      <c r="AE625" s="224"/>
      <c r="AF625" s="224"/>
      <c r="AG625"/>
      <c r="AH625"/>
      <c r="AI625">
        <v>165</v>
      </c>
      <c r="AJ625" s="194">
        <v>41785</v>
      </c>
      <c r="AK625">
        <v>37</v>
      </c>
      <c r="AL625" s="395">
        <v>41677</v>
      </c>
      <c r="AM625">
        <v>90</v>
      </c>
      <c r="AN625" s="391">
        <v>41730</v>
      </c>
      <c r="AO625"/>
      <c r="AP625" s="391">
        <v>41737</v>
      </c>
      <c r="AQ625" s="227"/>
      <c r="AR625" s="227"/>
      <c r="AS625"/>
      <c r="AT625"/>
      <c r="AU625"/>
      <c r="AV625" s="391" t="s">
        <v>8819</v>
      </c>
      <c r="AW625"/>
      <c r="AX625" s="391" t="s">
        <v>8819</v>
      </c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>
        <v>53.5</v>
      </c>
      <c r="BT625"/>
      <c r="BU625">
        <v>17.2</v>
      </c>
      <c r="BV625"/>
      <c r="BW625" s="229"/>
      <c r="BX625"/>
      <c r="BY625"/>
      <c r="BZ625"/>
      <c r="CA625"/>
      <c r="CC625"/>
      <c r="CD625"/>
      <c r="CE625">
        <v>6.1</v>
      </c>
      <c r="CF625"/>
      <c r="CG625">
        <v>0.1</v>
      </c>
      <c r="CH625"/>
      <c r="CI625"/>
      <c r="CJ625"/>
      <c r="CK625" t="s">
        <v>8820</v>
      </c>
      <c r="CL625">
        <v>1</v>
      </c>
      <c r="CM625" s="392">
        <v>41802</v>
      </c>
    </row>
    <row r="626" spans="1:91" ht="15">
      <c r="A626" s="364" t="s">
        <v>7612</v>
      </c>
      <c r="B626" t="s">
        <v>267</v>
      </c>
      <c r="C626" t="s">
        <v>8213</v>
      </c>
      <c r="D626">
        <v>7</v>
      </c>
      <c r="E626" s="113">
        <v>33</v>
      </c>
      <c r="F626" s="113">
        <v>11</v>
      </c>
      <c r="I626"/>
      <c r="K626" s="224">
        <v>7</v>
      </c>
      <c r="L626" s="390">
        <v>41625</v>
      </c>
      <c r="M626"/>
      <c r="N626" s="224"/>
      <c r="O626"/>
      <c r="P626"/>
      <c r="Q626"/>
      <c r="S626" s="224"/>
      <c r="T626" s="224"/>
      <c r="U626"/>
      <c r="V626"/>
      <c r="W626"/>
      <c r="X626"/>
      <c r="Y626" s="225"/>
      <c r="Z626" s="224"/>
      <c r="AA626" s="226"/>
      <c r="AB626" s="224"/>
      <c r="AC626" s="225"/>
      <c r="AD626" s="224"/>
      <c r="AE626" s="224"/>
      <c r="AF626" s="224"/>
      <c r="AG626"/>
      <c r="AH626"/>
      <c r="AI626">
        <v>140</v>
      </c>
      <c r="AJ626" s="194">
        <v>41785</v>
      </c>
      <c r="AK626">
        <v>26</v>
      </c>
      <c r="AL626" s="395">
        <v>41666</v>
      </c>
      <c r="AM626">
        <v>85</v>
      </c>
      <c r="AN626" s="391">
        <v>41725</v>
      </c>
      <c r="AO626"/>
      <c r="AP626" s="391" t="s">
        <v>8819</v>
      </c>
      <c r="AQ626" s="227"/>
      <c r="AR626" s="227"/>
      <c r="AS626"/>
      <c r="AT626"/>
      <c r="AU626"/>
      <c r="AV626" s="391">
        <v>41730</v>
      </c>
      <c r="AW626"/>
      <c r="AX626" s="391" t="s">
        <v>8819</v>
      </c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>
        <v>50.2</v>
      </c>
      <c r="BT626"/>
      <c r="BU626">
        <v>18.399999999999999</v>
      </c>
      <c r="BV626"/>
      <c r="BW626" s="229"/>
      <c r="BX626"/>
      <c r="BY626"/>
      <c r="BZ626"/>
      <c r="CA626"/>
      <c r="CC626"/>
      <c r="CD626"/>
      <c r="CE626">
        <v>6.7</v>
      </c>
      <c r="CF626"/>
      <c r="CG626">
        <v>0.7</v>
      </c>
      <c r="CH626"/>
      <c r="CI626"/>
      <c r="CJ626"/>
      <c r="CK626" t="s">
        <v>8820</v>
      </c>
      <c r="CL626">
        <v>5</v>
      </c>
      <c r="CM626" s="392">
        <v>41802</v>
      </c>
    </row>
    <row r="627" spans="1:91" ht="15">
      <c r="A627" s="364" t="s">
        <v>7613</v>
      </c>
      <c r="B627" t="s">
        <v>267</v>
      </c>
      <c r="C627" t="s">
        <v>8213</v>
      </c>
      <c r="D627" s="232">
        <v>8</v>
      </c>
      <c r="E627" s="113">
        <v>33</v>
      </c>
      <c r="F627" s="113">
        <v>7</v>
      </c>
      <c r="I627"/>
      <c r="K627" s="224">
        <v>7</v>
      </c>
      <c r="L627" s="390">
        <v>41625</v>
      </c>
      <c r="M627"/>
      <c r="N627" s="224"/>
      <c r="O627"/>
      <c r="P627"/>
      <c r="Q627"/>
      <c r="S627" s="224"/>
      <c r="T627" s="224"/>
      <c r="U627"/>
      <c r="V627"/>
      <c r="W627"/>
      <c r="X627"/>
      <c r="Y627" s="225"/>
      <c r="Z627" s="224"/>
      <c r="AA627" s="226"/>
      <c r="AB627" s="224"/>
      <c r="AC627" s="225"/>
      <c r="AD627" s="224"/>
      <c r="AE627" s="224"/>
      <c r="AF627" s="224"/>
      <c r="AG627"/>
      <c r="AH627"/>
      <c r="AI627">
        <v>150</v>
      </c>
      <c r="AJ627" s="194">
        <v>41785</v>
      </c>
      <c r="AK627">
        <v>31</v>
      </c>
      <c r="AL627" s="395">
        <v>41671</v>
      </c>
      <c r="AM627">
        <v>90</v>
      </c>
      <c r="AN627" s="391">
        <v>41730</v>
      </c>
      <c r="AO627"/>
      <c r="AP627" s="391" t="s">
        <v>8819</v>
      </c>
      <c r="AQ627" s="227"/>
      <c r="AR627" s="227"/>
      <c r="AS627"/>
      <c r="AT627"/>
      <c r="AU627"/>
      <c r="AV627" s="391" t="s">
        <v>8819</v>
      </c>
      <c r="AW627">
        <v>111</v>
      </c>
      <c r="AX627" s="391">
        <v>41751</v>
      </c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>
        <v>53.9</v>
      </c>
      <c r="BT627"/>
      <c r="BU627">
        <v>15.8</v>
      </c>
      <c r="BV627"/>
      <c r="BW627" s="229"/>
      <c r="BX627"/>
      <c r="BY627"/>
      <c r="BZ627"/>
      <c r="CA627"/>
      <c r="CC627"/>
      <c r="CD627"/>
      <c r="CE627">
        <v>6.5</v>
      </c>
      <c r="CF627"/>
      <c r="CG627">
        <v>0.5</v>
      </c>
      <c r="CH627"/>
      <c r="CI627"/>
      <c r="CJ627"/>
      <c r="CK627" t="s">
        <v>8820</v>
      </c>
      <c r="CL627">
        <v>2.2000000000000002</v>
      </c>
      <c r="CM627" s="392">
        <v>41802</v>
      </c>
    </row>
    <row r="628" spans="1:91" ht="15">
      <c r="A628" s="364" t="s">
        <v>7614</v>
      </c>
      <c r="B628" t="s">
        <v>267</v>
      </c>
      <c r="C628" t="s">
        <v>8213</v>
      </c>
      <c r="D628">
        <v>9</v>
      </c>
      <c r="E628" s="113">
        <v>15</v>
      </c>
      <c r="F628" s="113">
        <v>8</v>
      </c>
      <c r="I628"/>
      <c r="K628" s="224">
        <v>7</v>
      </c>
      <c r="L628" s="390">
        <v>41625</v>
      </c>
      <c r="M628"/>
      <c r="N628" s="224"/>
      <c r="O628"/>
      <c r="P628"/>
      <c r="Q628"/>
      <c r="S628" s="224"/>
      <c r="T628" s="224"/>
      <c r="U628"/>
      <c r="V628"/>
      <c r="W628"/>
      <c r="X628"/>
      <c r="Y628" s="225"/>
      <c r="Z628" s="224"/>
      <c r="AA628" s="226"/>
      <c r="AB628" s="224"/>
      <c r="AC628" s="225"/>
      <c r="AD628" s="224"/>
      <c r="AE628" s="224"/>
      <c r="AF628" s="224"/>
      <c r="AG628"/>
      <c r="AH628"/>
      <c r="AI628">
        <v>160</v>
      </c>
      <c r="AJ628" s="194">
        <v>41785</v>
      </c>
      <c r="AK628">
        <v>31</v>
      </c>
      <c r="AL628" s="395">
        <v>41671</v>
      </c>
      <c r="AM628">
        <v>90</v>
      </c>
      <c r="AN628" s="391">
        <v>41730</v>
      </c>
      <c r="AO628"/>
      <c r="AP628" s="391" t="s">
        <v>8819</v>
      </c>
      <c r="AQ628" s="227"/>
      <c r="AR628" s="227"/>
      <c r="AS628"/>
      <c r="AT628"/>
      <c r="AU628"/>
      <c r="AV628" s="391" t="s">
        <v>8819</v>
      </c>
      <c r="AW628"/>
      <c r="AX628" s="391" t="s">
        <v>8819</v>
      </c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>
        <v>52.2</v>
      </c>
      <c r="BT628"/>
      <c r="BU628">
        <v>17</v>
      </c>
      <c r="BV628"/>
      <c r="BW628" s="229"/>
      <c r="BX628"/>
      <c r="BY628"/>
      <c r="BZ628"/>
      <c r="CA628"/>
      <c r="CC628"/>
      <c r="CD628"/>
      <c r="CE628">
        <v>8.1</v>
      </c>
      <c r="CF628"/>
      <c r="CG628">
        <v>0.1</v>
      </c>
      <c r="CH628"/>
      <c r="CI628"/>
      <c r="CJ628"/>
      <c r="CK628" t="s">
        <v>8820</v>
      </c>
      <c r="CL628">
        <v>9</v>
      </c>
      <c r="CM628" s="392">
        <v>41802</v>
      </c>
    </row>
    <row r="629" spans="1:91" ht="15">
      <c r="A629" s="364" t="s">
        <v>7615</v>
      </c>
      <c r="B629" t="s">
        <v>267</v>
      </c>
      <c r="C629" t="s">
        <v>8213</v>
      </c>
      <c r="D629" s="232">
        <v>10</v>
      </c>
      <c r="E629" s="113">
        <v>26</v>
      </c>
      <c r="F629" s="113">
        <v>9</v>
      </c>
      <c r="G629" s="233"/>
      <c r="H629" s="233"/>
      <c r="I629" s="232"/>
      <c r="J629" s="234"/>
      <c r="K629" s="235">
        <v>7</v>
      </c>
      <c r="L629" s="390">
        <v>41625</v>
      </c>
      <c r="M629" s="232"/>
      <c r="N629" s="235"/>
      <c r="O629" s="232"/>
      <c r="P629" s="232"/>
      <c r="Q629" s="232"/>
      <c r="R629" s="236"/>
      <c r="S629" s="235"/>
      <c r="T629" s="235"/>
      <c r="U629" s="232"/>
      <c r="V629" s="232"/>
      <c r="W629" s="232"/>
      <c r="X629" s="232"/>
      <c r="Y629" s="237"/>
      <c r="Z629" s="235"/>
      <c r="AA629" s="238"/>
      <c r="AB629" s="235"/>
      <c r="AC629" s="237"/>
      <c r="AD629" s="235"/>
      <c r="AE629" s="235"/>
      <c r="AF629" s="235"/>
      <c r="AG629" s="232"/>
      <c r="AH629" s="232"/>
      <c r="AI629" s="232">
        <v>165</v>
      </c>
      <c r="AJ629" s="194">
        <v>41785</v>
      </c>
      <c r="AK629" s="232">
        <v>37</v>
      </c>
      <c r="AL629" s="395">
        <v>41677</v>
      </c>
      <c r="AM629" s="232">
        <v>97</v>
      </c>
      <c r="AN629" s="391">
        <v>41737</v>
      </c>
      <c r="AO629" s="232"/>
      <c r="AP629" s="391" t="s">
        <v>8819</v>
      </c>
      <c r="AQ629" s="239"/>
      <c r="AR629" s="239"/>
      <c r="AS629" s="232"/>
      <c r="AT629" s="232"/>
      <c r="AU629" s="232"/>
      <c r="AV629" s="391">
        <v>41740</v>
      </c>
      <c r="AW629" s="232"/>
      <c r="AX629" s="391" t="s">
        <v>8819</v>
      </c>
      <c r="AY629" s="232"/>
      <c r="AZ629" s="232"/>
      <c r="BA629" s="232"/>
      <c r="BB629" s="232"/>
      <c r="BC629" s="232"/>
      <c r="BD629" s="232"/>
      <c r="BE629" s="232"/>
      <c r="BF629" s="232"/>
      <c r="BG629" s="232"/>
      <c r="BH629" s="232"/>
      <c r="BI629" s="232"/>
      <c r="BJ629" s="232"/>
      <c r="BK629" s="232"/>
      <c r="BL629" s="232"/>
      <c r="BM629" s="232"/>
      <c r="BN629" s="232"/>
      <c r="BO629" s="232"/>
      <c r="BP629" s="232"/>
      <c r="BQ629" s="232"/>
      <c r="BR629" s="232"/>
      <c r="BS629" s="232">
        <v>52.4</v>
      </c>
      <c r="BT629" s="232"/>
      <c r="BU629" s="232">
        <v>17</v>
      </c>
      <c r="BV629" s="232"/>
      <c r="BW629" s="240"/>
      <c r="BX629" s="232"/>
      <c r="BY629" s="232"/>
      <c r="BZ629" s="232"/>
      <c r="CA629" s="232"/>
      <c r="CB629" s="241"/>
      <c r="CC629" s="232"/>
      <c r="CD629" s="232"/>
      <c r="CE629" s="232">
        <v>6.4</v>
      </c>
      <c r="CF629" s="232"/>
      <c r="CG629" s="232">
        <v>0.1</v>
      </c>
      <c r="CH629" s="232"/>
      <c r="CI629" s="232"/>
      <c r="CJ629" s="232"/>
      <c r="CK629" t="s">
        <v>8820</v>
      </c>
      <c r="CL629" s="232">
        <v>1</v>
      </c>
      <c r="CM629" s="392">
        <v>41802</v>
      </c>
    </row>
    <row r="630" spans="1:91" ht="15">
      <c r="A630" s="364" t="s">
        <v>7616</v>
      </c>
      <c r="B630" t="s">
        <v>267</v>
      </c>
      <c r="C630" t="s">
        <v>8213</v>
      </c>
      <c r="D630">
        <v>11</v>
      </c>
      <c r="E630" s="113">
        <v>3</v>
      </c>
      <c r="F630" s="113">
        <v>8</v>
      </c>
      <c r="I630"/>
      <c r="K630" s="224">
        <v>7</v>
      </c>
      <c r="L630" s="390">
        <v>41625</v>
      </c>
      <c r="M630"/>
      <c r="N630" s="224"/>
      <c r="O630"/>
      <c r="P630"/>
      <c r="Q630"/>
      <c r="S630" s="224"/>
      <c r="T630" s="224"/>
      <c r="U630"/>
      <c r="V630"/>
      <c r="W630"/>
      <c r="X630"/>
      <c r="Y630" s="225"/>
      <c r="Z630" s="224"/>
      <c r="AA630" s="226"/>
      <c r="AB630" s="224"/>
      <c r="AC630" s="225"/>
      <c r="AD630" s="224"/>
      <c r="AE630" s="224"/>
      <c r="AF630" s="224"/>
      <c r="AG630"/>
      <c r="AH630"/>
      <c r="AI630">
        <v>140</v>
      </c>
      <c r="AJ630" s="194">
        <v>41785</v>
      </c>
      <c r="AK630">
        <v>37</v>
      </c>
      <c r="AL630" s="395">
        <v>41677</v>
      </c>
      <c r="AM630">
        <v>90</v>
      </c>
      <c r="AN630" s="391">
        <v>41730</v>
      </c>
      <c r="AO630"/>
      <c r="AP630" s="391" t="s">
        <v>8819</v>
      </c>
      <c r="AQ630" s="227"/>
      <c r="AR630" s="227"/>
      <c r="AS630"/>
      <c r="AT630"/>
      <c r="AU630"/>
      <c r="AV630" s="391" t="s">
        <v>8819</v>
      </c>
      <c r="AW630">
        <v>111</v>
      </c>
      <c r="AX630" s="391">
        <v>41751</v>
      </c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>
        <v>53.6</v>
      </c>
      <c r="BT630"/>
      <c r="BU630">
        <v>15.8</v>
      </c>
      <c r="BV630"/>
      <c r="BW630" s="229"/>
      <c r="BX630"/>
      <c r="BY630"/>
      <c r="BZ630"/>
      <c r="CA630"/>
      <c r="CC630"/>
      <c r="CD630"/>
      <c r="CE630">
        <v>5.3</v>
      </c>
      <c r="CF630"/>
      <c r="CG630">
        <v>0.7</v>
      </c>
      <c r="CH630"/>
      <c r="CI630"/>
      <c r="CJ630"/>
      <c r="CK630" t="s">
        <v>8820</v>
      </c>
      <c r="CL630">
        <v>7</v>
      </c>
      <c r="CM630" s="392">
        <v>41802</v>
      </c>
    </row>
    <row r="631" spans="1:91" ht="15">
      <c r="A631" s="364" t="s">
        <v>7617</v>
      </c>
      <c r="B631" t="s">
        <v>267</v>
      </c>
      <c r="C631" t="s">
        <v>8213</v>
      </c>
      <c r="D631">
        <v>12</v>
      </c>
      <c r="E631" s="113">
        <v>30</v>
      </c>
      <c r="F631" s="113">
        <v>9</v>
      </c>
      <c r="I631"/>
      <c r="K631" s="224">
        <v>7</v>
      </c>
      <c r="L631" s="390">
        <v>41625</v>
      </c>
      <c r="M631"/>
      <c r="N631" s="224"/>
      <c r="O631"/>
      <c r="P631"/>
      <c r="Q631"/>
      <c r="S631" s="224"/>
      <c r="T631" s="224"/>
      <c r="U631"/>
      <c r="V631"/>
      <c r="W631"/>
      <c r="X631"/>
      <c r="Y631" s="225"/>
      <c r="Z631" s="224"/>
      <c r="AA631" s="226"/>
      <c r="AB631" s="224"/>
      <c r="AC631" s="225"/>
      <c r="AD631" s="224"/>
      <c r="AE631" s="224"/>
      <c r="AF631" s="224"/>
      <c r="AG631"/>
      <c r="AH631"/>
      <c r="AI631">
        <v>165</v>
      </c>
      <c r="AJ631" s="194">
        <v>41785</v>
      </c>
      <c r="AK631">
        <v>37</v>
      </c>
      <c r="AL631" s="395">
        <v>41677</v>
      </c>
      <c r="AM631">
        <v>97</v>
      </c>
      <c r="AN631" s="391">
        <v>41737</v>
      </c>
      <c r="AO631"/>
      <c r="AP631" s="391">
        <v>41740</v>
      </c>
      <c r="AQ631" s="227"/>
      <c r="AR631" s="227"/>
      <c r="AS631"/>
      <c r="AT631"/>
      <c r="AU631"/>
      <c r="AV631" s="391" t="s">
        <v>8819</v>
      </c>
      <c r="AW631"/>
      <c r="AX631" s="391" t="s">
        <v>8819</v>
      </c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>
        <v>54.2</v>
      </c>
      <c r="BT631"/>
      <c r="BU631">
        <v>15.1</v>
      </c>
      <c r="BV631"/>
      <c r="BW631" s="229"/>
      <c r="BX631"/>
      <c r="BY631"/>
      <c r="BZ631"/>
      <c r="CA631"/>
      <c r="CC631"/>
      <c r="CD631"/>
      <c r="CE631">
        <v>6.4</v>
      </c>
      <c r="CF631"/>
      <c r="CG631">
        <v>0.4</v>
      </c>
      <c r="CH631"/>
      <c r="CI631"/>
      <c r="CJ631"/>
      <c r="CK631" t="s">
        <v>8820</v>
      </c>
      <c r="CL631">
        <v>1</v>
      </c>
      <c r="CM631" s="392">
        <v>41802</v>
      </c>
    </row>
    <row r="632" spans="1:91" ht="15">
      <c r="A632" s="364" t="s">
        <v>7618</v>
      </c>
      <c r="B632" t="s">
        <v>267</v>
      </c>
      <c r="C632" t="s">
        <v>8213</v>
      </c>
      <c r="D632">
        <v>13</v>
      </c>
      <c r="E632" s="113">
        <v>33</v>
      </c>
      <c r="F632" s="113">
        <v>10</v>
      </c>
      <c r="I632"/>
      <c r="K632" s="224">
        <v>7</v>
      </c>
      <c r="L632" s="390">
        <v>41625</v>
      </c>
      <c r="M632"/>
      <c r="N632" s="224"/>
      <c r="O632"/>
      <c r="P632"/>
      <c r="Q632"/>
      <c r="S632" s="224"/>
      <c r="T632" s="224"/>
      <c r="U632"/>
      <c r="V632"/>
      <c r="W632"/>
      <c r="X632"/>
      <c r="Y632" s="225"/>
      <c r="Z632" s="224"/>
      <c r="AA632" s="226"/>
      <c r="AB632" s="224"/>
      <c r="AC632" s="225"/>
      <c r="AD632" s="224"/>
      <c r="AE632" s="224"/>
      <c r="AF632" s="224"/>
      <c r="AG632"/>
      <c r="AH632"/>
      <c r="AI632">
        <v>145</v>
      </c>
      <c r="AJ632" s="194">
        <v>41785</v>
      </c>
      <c r="AK632">
        <v>37</v>
      </c>
      <c r="AL632" s="395">
        <v>41677</v>
      </c>
      <c r="AM632">
        <v>90</v>
      </c>
      <c r="AN632" s="391">
        <v>41730</v>
      </c>
      <c r="AO632"/>
      <c r="AP632" s="391" t="s">
        <v>8819</v>
      </c>
      <c r="AQ632" s="227"/>
      <c r="AR632" s="227"/>
      <c r="AS632"/>
      <c r="AT632"/>
      <c r="AU632"/>
      <c r="AV632" s="391">
        <v>41737</v>
      </c>
      <c r="AW632"/>
      <c r="AX632" s="391" t="s">
        <v>8819</v>
      </c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>
        <v>54.6</v>
      </c>
      <c r="BT632"/>
      <c r="BU632">
        <v>14.9</v>
      </c>
      <c r="BV632"/>
      <c r="BW632" s="229"/>
      <c r="BX632"/>
      <c r="BY632"/>
      <c r="BZ632"/>
      <c r="CA632"/>
      <c r="CC632"/>
      <c r="CD632"/>
      <c r="CE632">
        <v>6</v>
      </c>
      <c r="CF632"/>
      <c r="CG632">
        <v>0.1</v>
      </c>
      <c r="CH632"/>
      <c r="CI632"/>
      <c r="CJ632"/>
      <c r="CK632" t="s">
        <v>8820</v>
      </c>
      <c r="CL632">
        <v>7</v>
      </c>
      <c r="CM632" s="392">
        <v>41802</v>
      </c>
    </row>
    <row r="633" spans="1:91" ht="15">
      <c r="A633" s="364" t="s">
        <v>7619</v>
      </c>
      <c r="B633" t="s">
        <v>267</v>
      </c>
      <c r="C633" t="s">
        <v>8213</v>
      </c>
      <c r="D633">
        <v>14</v>
      </c>
      <c r="E633" s="113">
        <v>4</v>
      </c>
      <c r="F633" s="113">
        <v>11</v>
      </c>
      <c r="I633"/>
      <c r="K633" s="224">
        <v>4</v>
      </c>
      <c r="L633" s="390">
        <v>41625</v>
      </c>
      <c r="M633"/>
      <c r="N633" s="224"/>
      <c r="O633"/>
      <c r="P633"/>
      <c r="Q633"/>
      <c r="S633" s="224"/>
      <c r="T633" s="224"/>
      <c r="U633"/>
      <c r="V633"/>
      <c r="W633"/>
      <c r="X633"/>
      <c r="Y633" s="225"/>
      <c r="Z633" s="224"/>
      <c r="AA633" s="226"/>
      <c r="AB633" s="224"/>
      <c r="AC633" s="225"/>
      <c r="AD633" s="224"/>
      <c r="AE633" s="224"/>
      <c r="AF633" s="224"/>
      <c r="AG633"/>
      <c r="AH633"/>
      <c r="AI633">
        <v>120</v>
      </c>
      <c r="AJ633" s="194">
        <v>41785</v>
      </c>
      <c r="AK633">
        <v>37</v>
      </c>
      <c r="AL633" s="395">
        <v>41677</v>
      </c>
      <c r="AM633">
        <v>93</v>
      </c>
      <c r="AN633" s="391">
        <v>41733</v>
      </c>
      <c r="AO633"/>
      <c r="AP633" s="391">
        <v>41730</v>
      </c>
      <c r="AQ633" s="227"/>
      <c r="AR633" s="227"/>
      <c r="AS633"/>
      <c r="AT633"/>
      <c r="AU633"/>
      <c r="AV633" s="391" t="s">
        <v>8819</v>
      </c>
      <c r="AW633"/>
      <c r="AX633" s="391" t="s">
        <v>8819</v>
      </c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>
        <v>53.9</v>
      </c>
      <c r="BT633"/>
      <c r="BU633">
        <v>15.2</v>
      </c>
      <c r="BV633"/>
      <c r="BW633" s="229"/>
      <c r="BX633"/>
      <c r="BY633"/>
      <c r="BZ633"/>
      <c r="CA633"/>
      <c r="CC633"/>
      <c r="CD633"/>
      <c r="CE633">
        <v>6.2</v>
      </c>
      <c r="CF633"/>
      <c r="CG633">
        <v>1</v>
      </c>
      <c r="CH633"/>
      <c r="CI633"/>
      <c r="CJ633"/>
      <c r="CK633" t="s">
        <v>8820</v>
      </c>
      <c r="CL633">
        <v>4.2</v>
      </c>
      <c r="CM633" s="392">
        <v>41802</v>
      </c>
    </row>
    <row r="634" spans="1:91" ht="15">
      <c r="A634" s="364" t="s">
        <v>7620</v>
      </c>
      <c r="B634" t="s">
        <v>267</v>
      </c>
      <c r="C634" t="s">
        <v>8213</v>
      </c>
      <c r="D634" s="232">
        <v>15</v>
      </c>
      <c r="E634" s="113">
        <v>34</v>
      </c>
      <c r="F634" s="113">
        <v>12</v>
      </c>
      <c r="I634"/>
      <c r="K634" s="224">
        <v>7</v>
      </c>
      <c r="L634" s="390">
        <v>41625</v>
      </c>
      <c r="M634"/>
      <c r="N634" s="224"/>
      <c r="O634"/>
      <c r="P634"/>
      <c r="Q634"/>
      <c r="S634" s="224"/>
      <c r="T634" s="224"/>
      <c r="U634"/>
      <c r="V634"/>
      <c r="W634"/>
      <c r="X634"/>
      <c r="Y634" s="225"/>
      <c r="Z634" s="224"/>
      <c r="AA634" s="226"/>
      <c r="AB634" s="224"/>
      <c r="AC634" s="225"/>
      <c r="AD634" s="224"/>
      <c r="AE634" s="224"/>
      <c r="AF634" s="224"/>
      <c r="AG634"/>
      <c r="AH634"/>
      <c r="AI634">
        <v>120</v>
      </c>
      <c r="AJ634" s="194">
        <v>41785</v>
      </c>
      <c r="AK634">
        <v>37</v>
      </c>
      <c r="AL634" s="395">
        <v>41677</v>
      </c>
      <c r="AM634">
        <v>90</v>
      </c>
      <c r="AN634" s="391">
        <v>41730</v>
      </c>
      <c r="AO634"/>
      <c r="AP634" s="391" t="s">
        <v>8819</v>
      </c>
      <c r="AQ634" s="227"/>
      <c r="AR634" s="227"/>
      <c r="AS634"/>
      <c r="AT634"/>
      <c r="AU634"/>
      <c r="AV634" s="391">
        <v>41737</v>
      </c>
      <c r="AW634"/>
      <c r="AX634" s="391" t="s">
        <v>8819</v>
      </c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>
        <v>55</v>
      </c>
      <c r="BT634"/>
      <c r="BU634">
        <v>16.399999999999999</v>
      </c>
      <c r="BV634"/>
      <c r="BW634" s="229"/>
      <c r="BX634"/>
      <c r="BY634"/>
      <c r="BZ634"/>
      <c r="CA634"/>
      <c r="CC634"/>
      <c r="CD634"/>
      <c r="CE634">
        <v>6.5</v>
      </c>
      <c r="CF634"/>
      <c r="CG634">
        <v>0.8</v>
      </c>
      <c r="CH634"/>
      <c r="CI634"/>
      <c r="CJ634"/>
      <c r="CK634" t="s">
        <v>8820</v>
      </c>
      <c r="CL634">
        <v>1</v>
      </c>
      <c r="CM634" s="392">
        <v>41802</v>
      </c>
    </row>
    <row r="635" spans="1:91" ht="15">
      <c r="A635" s="364" t="s">
        <v>7622</v>
      </c>
      <c r="B635" t="s">
        <v>267</v>
      </c>
      <c r="C635" t="s">
        <v>8213</v>
      </c>
      <c r="D635">
        <v>17</v>
      </c>
      <c r="E635" s="113">
        <v>9</v>
      </c>
      <c r="F635" s="113">
        <v>10</v>
      </c>
      <c r="G635" s="233"/>
      <c r="H635" s="233"/>
      <c r="I635" s="232"/>
      <c r="J635" s="234"/>
      <c r="K635" s="235">
        <v>7</v>
      </c>
      <c r="L635" s="390">
        <v>41625</v>
      </c>
      <c r="M635" s="232"/>
      <c r="N635" s="235"/>
      <c r="O635" s="232"/>
      <c r="P635" s="232"/>
      <c r="Q635" s="232"/>
      <c r="R635" s="236"/>
      <c r="S635" s="235"/>
      <c r="T635" s="235"/>
      <c r="U635" s="232"/>
      <c r="V635" s="232"/>
      <c r="W635" s="232"/>
      <c r="X635" s="232"/>
      <c r="Y635" s="237"/>
      <c r="Z635" s="235"/>
      <c r="AA635" s="238"/>
      <c r="AB635" s="235"/>
      <c r="AC635" s="237"/>
      <c r="AD635" s="235"/>
      <c r="AE635" s="235"/>
      <c r="AF635" s="235"/>
      <c r="AG635" s="232"/>
      <c r="AH635" s="232"/>
      <c r="AI635" s="232">
        <v>150</v>
      </c>
      <c r="AJ635" s="194">
        <v>41785</v>
      </c>
      <c r="AK635" s="232">
        <v>37</v>
      </c>
      <c r="AL635" s="395">
        <v>41677</v>
      </c>
      <c r="AM635" s="232">
        <v>93</v>
      </c>
      <c r="AN635" s="391">
        <v>41733</v>
      </c>
      <c r="AO635" s="232"/>
      <c r="AP635" s="391" t="s">
        <v>8819</v>
      </c>
      <c r="AQ635" s="239"/>
      <c r="AR635" s="239"/>
      <c r="AS635" s="232"/>
      <c r="AT635" s="232"/>
      <c r="AU635" s="232"/>
      <c r="AV635" s="391">
        <v>41737</v>
      </c>
      <c r="AW635" s="232"/>
      <c r="AX635" s="391" t="s">
        <v>8819</v>
      </c>
      <c r="AY635" s="232"/>
      <c r="AZ635" s="232"/>
      <c r="BA635" s="232"/>
      <c r="BB635" s="232"/>
      <c r="BC635" s="232"/>
      <c r="BD635" s="232"/>
      <c r="BE635" s="232"/>
      <c r="BF635" s="232"/>
      <c r="BG635" s="232"/>
      <c r="BH635" s="232"/>
      <c r="BI635" s="232"/>
      <c r="BJ635" s="232"/>
      <c r="BK635" s="232"/>
      <c r="BL635" s="232"/>
      <c r="BM635" s="232"/>
      <c r="BN635" s="232"/>
      <c r="BO635" s="232"/>
      <c r="BP635" s="232"/>
      <c r="BQ635" s="232"/>
      <c r="BR635" s="232"/>
      <c r="BS635" s="232">
        <v>52.4</v>
      </c>
      <c r="BT635" s="232"/>
      <c r="BU635" s="232">
        <v>17.399999999999999</v>
      </c>
      <c r="BV635" s="232"/>
      <c r="BW635" s="232"/>
      <c r="BX635" s="243"/>
      <c r="BY635" s="232"/>
      <c r="BZ635" s="232"/>
      <c r="CA635" s="232"/>
      <c r="CB635" s="241"/>
      <c r="CC635" s="232"/>
      <c r="CD635" s="232"/>
      <c r="CE635" s="232">
        <v>5.5</v>
      </c>
      <c r="CF635" s="232"/>
      <c r="CG635" s="232">
        <v>0.3</v>
      </c>
      <c r="CH635" s="232"/>
      <c r="CI635" s="232"/>
      <c r="CJ635" s="232"/>
      <c r="CK635" t="s">
        <v>8820</v>
      </c>
      <c r="CL635" s="232">
        <v>2.6</v>
      </c>
      <c r="CM635" s="392">
        <v>41802</v>
      </c>
    </row>
    <row r="636" spans="1:91" ht="15">
      <c r="A636" s="364" t="s">
        <v>7624</v>
      </c>
      <c r="B636" t="s">
        <v>267</v>
      </c>
      <c r="C636" t="s">
        <v>8213</v>
      </c>
      <c r="D636">
        <v>19</v>
      </c>
      <c r="E636" s="113">
        <v>28</v>
      </c>
      <c r="F636" s="113">
        <v>12</v>
      </c>
      <c r="I636"/>
      <c r="K636" s="224">
        <v>7</v>
      </c>
      <c r="L636" s="390">
        <v>41625</v>
      </c>
      <c r="M636"/>
      <c r="N636" s="224"/>
      <c r="O636"/>
      <c r="P636"/>
      <c r="Q636"/>
      <c r="S636" s="224"/>
      <c r="T636" s="224"/>
      <c r="U636"/>
      <c r="V636"/>
      <c r="W636"/>
      <c r="X636"/>
      <c r="Y636" s="225"/>
      <c r="Z636" s="224"/>
      <c r="AA636" s="226"/>
      <c r="AB636" s="224"/>
      <c r="AC636" s="225"/>
      <c r="AD636" s="224"/>
      <c r="AE636" s="224"/>
      <c r="AF636" s="224"/>
      <c r="AG636"/>
      <c r="AH636"/>
      <c r="AI636">
        <v>160</v>
      </c>
      <c r="AJ636" s="194">
        <v>41785</v>
      </c>
      <c r="AK636">
        <v>37</v>
      </c>
      <c r="AL636" s="395">
        <v>41677</v>
      </c>
      <c r="AM636">
        <v>93</v>
      </c>
      <c r="AN636" s="391">
        <v>41733</v>
      </c>
      <c r="AO636"/>
      <c r="AP636" s="391">
        <v>41737</v>
      </c>
      <c r="AQ636" s="227"/>
      <c r="AR636" s="227"/>
      <c r="AS636"/>
      <c r="AT636"/>
      <c r="AU636"/>
      <c r="AV636" s="391" t="s">
        <v>8819</v>
      </c>
      <c r="AW636"/>
      <c r="AX636" s="391" t="s">
        <v>8819</v>
      </c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>
        <v>51.5</v>
      </c>
      <c r="BT636"/>
      <c r="BU636">
        <v>19</v>
      </c>
      <c r="BV636"/>
      <c r="BW636" s="229"/>
      <c r="BX636"/>
      <c r="BY636"/>
      <c r="BZ636"/>
      <c r="CA636"/>
      <c r="CC636"/>
      <c r="CD636"/>
      <c r="CE636">
        <v>6.6</v>
      </c>
      <c r="CF636"/>
      <c r="CG636">
        <v>1.1000000000000001</v>
      </c>
      <c r="CH636"/>
      <c r="CI636"/>
      <c r="CJ636"/>
      <c r="CK636" t="s">
        <v>8820</v>
      </c>
      <c r="CL636">
        <v>1</v>
      </c>
      <c r="CM636" s="392">
        <v>41802</v>
      </c>
    </row>
    <row r="637" spans="1:91" ht="15">
      <c r="A637" s="364" t="s">
        <v>7625</v>
      </c>
      <c r="B637" t="s">
        <v>267</v>
      </c>
      <c r="C637" t="s">
        <v>8213</v>
      </c>
      <c r="D637" s="232">
        <v>20</v>
      </c>
      <c r="E637" s="113">
        <v>17</v>
      </c>
      <c r="F637" s="113">
        <v>9</v>
      </c>
      <c r="I637"/>
      <c r="K637" s="224">
        <v>8</v>
      </c>
      <c r="L637" s="390">
        <v>41625</v>
      </c>
      <c r="M637"/>
      <c r="N637" s="224"/>
      <c r="O637"/>
      <c r="P637"/>
      <c r="Q637"/>
      <c r="S637" s="224"/>
      <c r="T637" s="224"/>
      <c r="U637"/>
      <c r="V637"/>
      <c r="W637"/>
      <c r="X637"/>
      <c r="Y637" s="225"/>
      <c r="Z637" s="224"/>
      <c r="AA637" s="226"/>
      <c r="AB637" s="224"/>
      <c r="AC637" s="225"/>
      <c r="AD637" s="224"/>
      <c r="AE637" s="224"/>
      <c r="AF637" s="224"/>
      <c r="AG637"/>
      <c r="AH637"/>
      <c r="AI637">
        <v>130</v>
      </c>
      <c r="AJ637" s="194">
        <v>41785</v>
      </c>
      <c r="AK637">
        <v>26</v>
      </c>
      <c r="AL637" s="395">
        <v>41666</v>
      </c>
      <c r="AM637">
        <v>77</v>
      </c>
      <c r="AN637" s="391">
        <v>41717</v>
      </c>
      <c r="AO637"/>
      <c r="AP637" s="391" t="s">
        <v>8819</v>
      </c>
      <c r="AQ637" s="227"/>
      <c r="AR637" s="227"/>
      <c r="AS637"/>
      <c r="AT637"/>
      <c r="AU637"/>
      <c r="AV637" s="391" t="s">
        <v>8819</v>
      </c>
      <c r="AW637">
        <v>111</v>
      </c>
      <c r="AX637" s="391">
        <v>41751</v>
      </c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>
        <v>54</v>
      </c>
      <c r="BT637"/>
      <c r="BU637">
        <v>15.9</v>
      </c>
      <c r="BV637"/>
      <c r="BW637" s="229"/>
      <c r="BX637"/>
      <c r="BY637"/>
      <c r="BZ637"/>
      <c r="CA637"/>
      <c r="CC637"/>
      <c r="CD637"/>
      <c r="CE637">
        <v>8.5</v>
      </c>
      <c r="CF637"/>
      <c r="CG637">
        <v>0.4</v>
      </c>
      <c r="CH637"/>
      <c r="CI637"/>
      <c r="CJ637"/>
      <c r="CK637" t="s">
        <v>8820</v>
      </c>
      <c r="CL637">
        <v>7</v>
      </c>
      <c r="CM637" s="392">
        <v>41802</v>
      </c>
    </row>
    <row r="638" spans="1:91" ht="15">
      <c r="A638" s="364" t="s">
        <v>7626</v>
      </c>
      <c r="B638" t="s">
        <v>267</v>
      </c>
      <c r="C638" t="s">
        <v>8213</v>
      </c>
      <c r="D638" s="232">
        <v>21</v>
      </c>
      <c r="E638" s="113">
        <v>18</v>
      </c>
      <c r="F638" s="113">
        <v>7</v>
      </c>
      <c r="I638"/>
      <c r="K638" s="224">
        <v>6</v>
      </c>
      <c r="L638" s="390">
        <v>41625</v>
      </c>
      <c r="M638"/>
      <c r="N638" s="224"/>
      <c r="O638"/>
      <c r="P638"/>
      <c r="Q638"/>
      <c r="S638" s="224"/>
      <c r="T638" s="224"/>
      <c r="U638"/>
      <c r="V638"/>
      <c r="W638"/>
      <c r="X638"/>
      <c r="Y638" s="225"/>
      <c r="Z638" s="224"/>
      <c r="AA638" s="226"/>
      <c r="AB638" s="224"/>
      <c r="AC638" s="225"/>
      <c r="AD638" s="224"/>
      <c r="AE638" s="224"/>
      <c r="AF638" s="224"/>
      <c r="AG638"/>
      <c r="AH638"/>
      <c r="AI638">
        <v>160</v>
      </c>
      <c r="AJ638" s="194">
        <v>41785</v>
      </c>
      <c r="AK638">
        <v>37</v>
      </c>
      <c r="AL638" s="395">
        <v>41677</v>
      </c>
      <c r="AM638">
        <v>90</v>
      </c>
      <c r="AN638" s="391">
        <v>41730</v>
      </c>
      <c r="AO638"/>
      <c r="AP638" s="391" t="s">
        <v>8819</v>
      </c>
      <c r="AQ638" s="227"/>
      <c r="AR638" s="227"/>
      <c r="AS638"/>
      <c r="AT638"/>
      <c r="AU638"/>
      <c r="AV638" s="391">
        <v>41737</v>
      </c>
      <c r="AW638"/>
      <c r="AX638" s="391" t="s">
        <v>8819</v>
      </c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>
        <v>53.7</v>
      </c>
      <c r="BT638"/>
      <c r="BU638">
        <v>14.6</v>
      </c>
      <c r="BV638"/>
      <c r="BW638" s="229"/>
      <c r="BX638"/>
      <c r="BY638"/>
      <c r="BZ638"/>
      <c r="CA638"/>
      <c r="CC638"/>
      <c r="CD638"/>
      <c r="CE638">
        <v>9.1</v>
      </c>
      <c r="CF638"/>
      <c r="CG638">
        <v>0.3</v>
      </c>
      <c r="CH638"/>
      <c r="CI638"/>
      <c r="CJ638"/>
      <c r="CK638" t="s">
        <v>8820</v>
      </c>
      <c r="CL638">
        <v>6.2</v>
      </c>
      <c r="CM638" s="392">
        <v>41802</v>
      </c>
    </row>
    <row r="639" spans="1:91" ht="15">
      <c r="A639" s="364" t="s">
        <v>7627</v>
      </c>
      <c r="B639" t="s">
        <v>267</v>
      </c>
      <c r="C639" t="s">
        <v>8213</v>
      </c>
      <c r="D639">
        <v>22</v>
      </c>
      <c r="E639" s="113">
        <v>26</v>
      </c>
      <c r="F639" s="113">
        <v>12</v>
      </c>
      <c r="G639" s="233"/>
      <c r="H639" s="233"/>
      <c r="I639" s="232"/>
      <c r="J639" s="234"/>
      <c r="K639" s="235">
        <v>7</v>
      </c>
      <c r="L639" s="390">
        <v>41625</v>
      </c>
      <c r="M639" s="232"/>
      <c r="N639" s="235"/>
      <c r="O639" s="232"/>
      <c r="P639" s="232"/>
      <c r="Q639" s="232"/>
      <c r="R639" s="236"/>
      <c r="S639" s="235"/>
      <c r="T639" s="235"/>
      <c r="U639" s="232"/>
      <c r="V639" s="232"/>
      <c r="W639" s="232"/>
      <c r="X639" s="232"/>
      <c r="Y639" s="237"/>
      <c r="Z639" s="235"/>
      <c r="AA639" s="238"/>
      <c r="AB639" s="235"/>
      <c r="AC639" s="237"/>
      <c r="AD639" s="235"/>
      <c r="AE639" s="235"/>
      <c r="AF639" s="235"/>
      <c r="AG639" s="232"/>
      <c r="AH639" s="232"/>
      <c r="AI639" s="232">
        <v>135</v>
      </c>
      <c r="AJ639" s="194">
        <v>41785</v>
      </c>
      <c r="AK639" s="232">
        <v>37</v>
      </c>
      <c r="AL639" s="395">
        <v>41677</v>
      </c>
      <c r="AM639" s="232">
        <v>97</v>
      </c>
      <c r="AN639" s="391">
        <v>41737</v>
      </c>
      <c r="AO639" s="232"/>
      <c r="AP639" s="391" t="s">
        <v>8819</v>
      </c>
      <c r="AQ639" s="239"/>
      <c r="AR639" s="239"/>
      <c r="AS639" s="232"/>
      <c r="AT639" s="232"/>
      <c r="AU639" s="232"/>
      <c r="AV639" s="391">
        <v>41744</v>
      </c>
      <c r="AW639" s="232"/>
      <c r="AX639" s="391" t="s">
        <v>8819</v>
      </c>
      <c r="AY639" s="232"/>
      <c r="AZ639" s="232"/>
      <c r="BA639" s="232"/>
      <c r="BB639" s="232"/>
      <c r="BC639" s="232"/>
      <c r="BD639" s="232"/>
      <c r="BE639" s="232"/>
      <c r="BF639" s="232"/>
      <c r="BG639" s="232"/>
      <c r="BH639" s="232"/>
      <c r="BI639" s="232"/>
      <c r="BJ639" s="232"/>
      <c r="BK639" s="232"/>
      <c r="BL639" s="232"/>
      <c r="BM639" s="232"/>
      <c r="BN639" s="232"/>
      <c r="BO639" s="232"/>
      <c r="BP639" s="232"/>
      <c r="BQ639" s="232"/>
      <c r="BR639" s="232"/>
      <c r="BS639" s="232">
        <v>51.9</v>
      </c>
      <c r="BT639" s="232"/>
      <c r="BU639" s="232">
        <v>17.399999999999999</v>
      </c>
      <c r="BV639" s="232"/>
      <c r="BW639" s="240"/>
      <c r="BX639" s="232"/>
      <c r="BY639" s="232"/>
      <c r="BZ639" s="232"/>
      <c r="CA639" s="232"/>
      <c r="CB639" s="241"/>
      <c r="CC639" s="232"/>
      <c r="CD639" s="232"/>
      <c r="CE639" s="232">
        <v>7.1</v>
      </c>
      <c r="CF639" s="232"/>
      <c r="CG639" s="232">
        <v>0.7</v>
      </c>
      <c r="CH639" s="232"/>
      <c r="CI639" s="232"/>
      <c r="CJ639" s="232"/>
      <c r="CK639" t="s">
        <v>8820</v>
      </c>
      <c r="CL639" s="232">
        <v>1</v>
      </c>
      <c r="CM639" s="392">
        <v>41802</v>
      </c>
    </row>
    <row r="640" spans="1:91" ht="15">
      <c r="A640" s="364" t="s">
        <v>7628</v>
      </c>
      <c r="B640" t="s">
        <v>267</v>
      </c>
      <c r="C640" t="s">
        <v>8213</v>
      </c>
      <c r="D640">
        <v>23</v>
      </c>
      <c r="E640" s="113">
        <v>5</v>
      </c>
      <c r="F640" s="113">
        <v>10</v>
      </c>
      <c r="I640"/>
      <c r="K640" s="224">
        <v>7</v>
      </c>
      <c r="L640" s="390">
        <v>41625</v>
      </c>
      <c r="M640"/>
      <c r="N640" s="224"/>
      <c r="O640"/>
      <c r="P640"/>
      <c r="Q640"/>
      <c r="S640" s="224"/>
      <c r="T640" s="224"/>
      <c r="U640"/>
      <c r="V640"/>
      <c r="W640"/>
      <c r="X640"/>
      <c r="Y640" s="225"/>
      <c r="Z640" s="224"/>
      <c r="AA640" s="226"/>
      <c r="AB640" s="224"/>
      <c r="AC640" s="225"/>
      <c r="AD640" s="224"/>
      <c r="AE640" s="224"/>
      <c r="AF640" s="224"/>
      <c r="AG640"/>
      <c r="AH640"/>
      <c r="AI640">
        <v>140</v>
      </c>
      <c r="AJ640" s="194">
        <v>41785</v>
      </c>
      <c r="AK640">
        <v>37</v>
      </c>
      <c r="AL640" s="395">
        <v>41677</v>
      </c>
      <c r="AM640">
        <v>93</v>
      </c>
      <c r="AN640" s="391">
        <v>41733</v>
      </c>
      <c r="AO640"/>
      <c r="AP640" s="391" t="s">
        <v>8819</v>
      </c>
      <c r="AQ640" s="227"/>
      <c r="AR640" s="227"/>
      <c r="AS640"/>
      <c r="AT640"/>
      <c r="AU640"/>
      <c r="AV640" s="391">
        <v>41737</v>
      </c>
      <c r="AW640"/>
      <c r="AX640" s="391" t="s">
        <v>8819</v>
      </c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>
        <v>50.1</v>
      </c>
      <c r="BT640"/>
      <c r="BU640">
        <v>19.5</v>
      </c>
      <c r="BV640"/>
      <c r="BW640" s="229"/>
      <c r="BX640"/>
      <c r="BY640"/>
      <c r="BZ640"/>
      <c r="CA640"/>
      <c r="CC640"/>
      <c r="CD640"/>
      <c r="CE640">
        <v>5.9</v>
      </c>
      <c r="CF640"/>
      <c r="CG640">
        <v>0.3</v>
      </c>
      <c r="CH640"/>
      <c r="CI640"/>
      <c r="CJ640"/>
      <c r="CK640" t="s">
        <v>8820</v>
      </c>
      <c r="CL640">
        <v>1</v>
      </c>
      <c r="CM640" s="392">
        <v>41802</v>
      </c>
    </row>
    <row r="641" spans="1:91" ht="15">
      <c r="A641" s="364" t="s">
        <v>7629</v>
      </c>
      <c r="B641" t="s">
        <v>267</v>
      </c>
      <c r="C641" t="s">
        <v>8213</v>
      </c>
      <c r="D641">
        <v>24</v>
      </c>
      <c r="E641" s="113">
        <v>15</v>
      </c>
      <c r="F641" s="113">
        <v>7</v>
      </c>
      <c r="I641"/>
      <c r="K641" s="224">
        <v>6</v>
      </c>
      <c r="L641" s="390">
        <v>41625</v>
      </c>
      <c r="M641"/>
      <c r="N641" s="224"/>
      <c r="O641"/>
      <c r="P641"/>
      <c r="Q641"/>
      <c r="S641" s="224"/>
      <c r="T641" s="224"/>
      <c r="U641"/>
      <c r="V641"/>
      <c r="W641"/>
      <c r="X641"/>
      <c r="Y641" s="225"/>
      <c r="Z641" s="224"/>
      <c r="AA641" s="226"/>
      <c r="AB641" s="224"/>
      <c r="AC641" s="225"/>
      <c r="AD641" s="224"/>
      <c r="AE641" s="224"/>
      <c r="AF641" s="224"/>
      <c r="AG641"/>
      <c r="AH641"/>
      <c r="AI641">
        <v>160</v>
      </c>
      <c r="AJ641" s="194">
        <v>41785</v>
      </c>
      <c r="AK641">
        <v>37</v>
      </c>
      <c r="AL641" s="395">
        <v>41677</v>
      </c>
      <c r="AM641">
        <v>93</v>
      </c>
      <c r="AN641" s="391">
        <v>41733</v>
      </c>
      <c r="AO641"/>
      <c r="AP641" s="391">
        <v>41737</v>
      </c>
      <c r="AQ641" s="227"/>
      <c r="AR641" s="227"/>
      <c r="AS641"/>
      <c r="AT641"/>
      <c r="AU641"/>
      <c r="AV641" s="391" t="s">
        <v>8819</v>
      </c>
      <c r="AW641"/>
      <c r="AX641" s="391" t="s">
        <v>8819</v>
      </c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>
        <v>52.8</v>
      </c>
      <c r="BT641"/>
      <c r="BU641">
        <v>16.100000000000001</v>
      </c>
      <c r="BV641"/>
      <c r="BW641" s="229"/>
      <c r="BX641"/>
      <c r="BY641"/>
      <c r="BZ641"/>
      <c r="CA641"/>
      <c r="CC641"/>
      <c r="CD641"/>
      <c r="CE641">
        <v>7.8</v>
      </c>
      <c r="CF641"/>
      <c r="CG641">
        <v>0.1</v>
      </c>
      <c r="CH641"/>
      <c r="CI641"/>
      <c r="CJ641"/>
      <c r="CK641" t="s">
        <v>8820</v>
      </c>
      <c r="CL641">
        <v>1</v>
      </c>
      <c r="CM641" s="392">
        <v>41802</v>
      </c>
    </row>
    <row r="642" spans="1:91" ht="15">
      <c r="A642" s="364" t="s">
        <v>7630</v>
      </c>
      <c r="B642" t="s">
        <v>267</v>
      </c>
      <c r="C642" t="s">
        <v>8213</v>
      </c>
      <c r="D642" s="232">
        <v>25</v>
      </c>
      <c r="E642" s="113">
        <v>21</v>
      </c>
      <c r="F642" s="113">
        <v>10</v>
      </c>
      <c r="I642"/>
      <c r="K642" s="224">
        <v>7</v>
      </c>
      <c r="L642" s="390">
        <v>41625</v>
      </c>
      <c r="M642"/>
      <c r="N642" s="224"/>
      <c r="O642"/>
      <c r="P642"/>
      <c r="Q642"/>
      <c r="S642" s="224"/>
      <c r="T642" s="224"/>
      <c r="U642"/>
      <c r="V642"/>
      <c r="W642"/>
      <c r="X642"/>
      <c r="Y642" s="225"/>
      <c r="Z642" s="224"/>
      <c r="AA642" s="226"/>
      <c r="AB642" s="224"/>
      <c r="AC642" s="225"/>
      <c r="AD642" s="224"/>
      <c r="AE642" s="224"/>
      <c r="AF642" s="224"/>
      <c r="AG642"/>
      <c r="AH642"/>
      <c r="AI642">
        <v>150</v>
      </c>
      <c r="AJ642" s="194">
        <v>41785</v>
      </c>
      <c r="AK642">
        <v>26</v>
      </c>
      <c r="AL642" s="395">
        <v>41666</v>
      </c>
      <c r="AM642">
        <v>85</v>
      </c>
      <c r="AN642" s="391">
        <v>41725</v>
      </c>
      <c r="AO642"/>
      <c r="AP642" s="391">
        <v>41730</v>
      </c>
      <c r="AQ642" s="227"/>
      <c r="AR642" s="227"/>
      <c r="AS642"/>
      <c r="AT642"/>
      <c r="AU642"/>
      <c r="AV642" s="391" t="s">
        <v>8819</v>
      </c>
      <c r="AW642">
        <v>111</v>
      </c>
      <c r="AX642" s="391">
        <v>41751</v>
      </c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>
        <v>52.2</v>
      </c>
      <c r="BT642"/>
      <c r="BU642">
        <v>16.8</v>
      </c>
      <c r="BV642"/>
      <c r="BW642" s="229"/>
      <c r="BX642"/>
      <c r="BY642"/>
      <c r="BZ642"/>
      <c r="CA642"/>
      <c r="CC642"/>
      <c r="CD642"/>
      <c r="CE642">
        <v>6.3</v>
      </c>
      <c r="CF642"/>
      <c r="CG642">
        <v>1.3</v>
      </c>
      <c r="CH642"/>
      <c r="CI642"/>
      <c r="CJ642"/>
      <c r="CK642" t="s">
        <v>8820</v>
      </c>
      <c r="CL642">
        <v>6.2</v>
      </c>
      <c r="CM642" s="392">
        <v>41802</v>
      </c>
    </row>
    <row r="643" spans="1:91" ht="15">
      <c r="A643" s="364" t="s">
        <v>7632</v>
      </c>
      <c r="B643" t="s">
        <v>267</v>
      </c>
      <c r="C643" t="s">
        <v>8213</v>
      </c>
      <c r="D643">
        <v>27</v>
      </c>
      <c r="E643" s="113">
        <v>6</v>
      </c>
      <c r="F643" s="113">
        <v>8</v>
      </c>
      <c r="I643"/>
      <c r="K643" s="224">
        <v>7</v>
      </c>
      <c r="L643" s="390">
        <v>41625</v>
      </c>
      <c r="M643"/>
      <c r="N643" s="224"/>
      <c r="O643"/>
      <c r="P643"/>
      <c r="Q643"/>
      <c r="S643" s="224"/>
      <c r="T643" s="224"/>
      <c r="U643"/>
      <c r="V643"/>
      <c r="W643"/>
      <c r="X643"/>
      <c r="Y643" s="225"/>
      <c r="Z643" s="224"/>
      <c r="AA643" s="226"/>
      <c r="AB643" s="224"/>
      <c r="AC643" s="225"/>
      <c r="AD643" s="224"/>
      <c r="AE643" s="224"/>
      <c r="AF643" s="224"/>
      <c r="AG643"/>
      <c r="AH643"/>
      <c r="AI643">
        <v>145</v>
      </c>
      <c r="AJ643" s="194">
        <v>41785</v>
      </c>
      <c r="AK643">
        <v>37</v>
      </c>
      <c r="AL643" s="395">
        <v>41677</v>
      </c>
      <c r="AM643">
        <v>93</v>
      </c>
      <c r="AN643" s="391">
        <v>41733</v>
      </c>
      <c r="AO643"/>
      <c r="AP643" s="391" t="s">
        <v>8819</v>
      </c>
      <c r="AQ643" s="227"/>
      <c r="AR643" s="227"/>
      <c r="AS643"/>
      <c r="AT643"/>
      <c r="AU643"/>
      <c r="AV643" s="391">
        <v>41737</v>
      </c>
      <c r="AW643"/>
      <c r="AX643" s="391" t="s">
        <v>8819</v>
      </c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>
        <v>49.6</v>
      </c>
      <c r="BT643"/>
      <c r="BU643">
        <v>19</v>
      </c>
      <c r="BV643"/>
      <c r="BW643" s="229"/>
      <c r="BX643"/>
      <c r="BY643"/>
      <c r="BZ643"/>
      <c r="CA643"/>
      <c r="CC643"/>
      <c r="CD643"/>
      <c r="CE643">
        <v>5.6</v>
      </c>
      <c r="CF643"/>
      <c r="CG643">
        <v>0.6</v>
      </c>
      <c r="CH643"/>
      <c r="CI643"/>
      <c r="CJ643"/>
      <c r="CK643" t="s">
        <v>8820</v>
      </c>
      <c r="CL643">
        <v>1.8</v>
      </c>
      <c r="CM643" s="392">
        <v>41802</v>
      </c>
    </row>
    <row r="644" spans="1:91" ht="15">
      <c r="A644" s="364" t="s">
        <v>7633</v>
      </c>
      <c r="B644" t="s">
        <v>267</v>
      </c>
      <c r="C644" t="s">
        <v>8213</v>
      </c>
      <c r="D644">
        <v>28</v>
      </c>
      <c r="E644" s="113">
        <v>11</v>
      </c>
      <c r="F644" s="113">
        <v>12</v>
      </c>
      <c r="I644"/>
      <c r="K644" s="224">
        <v>8</v>
      </c>
      <c r="L644" s="390">
        <v>41625</v>
      </c>
      <c r="M644"/>
      <c r="N644" s="224"/>
      <c r="O644"/>
      <c r="P644"/>
      <c r="Q644"/>
      <c r="S644" s="224"/>
      <c r="T644" s="224"/>
      <c r="U644"/>
      <c r="V644"/>
      <c r="W644"/>
      <c r="X644"/>
      <c r="Y644" s="225"/>
      <c r="Z644" s="224"/>
      <c r="AA644" s="226"/>
      <c r="AB644" s="224"/>
      <c r="AC644" s="225"/>
      <c r="AD644" s="224"/>
      <c r="AE644" s="224"/>
      <c r="AF644" s="224"/>
      <c r="AG644"/>
      <c r="AH644"/>
      <c r="AI644">
        <v>140</v>
      </c>
      <c r="AJ644" s="194">
        <v>41785</v>
      </c>
      <c r="AK644">
        <v>37</v>
      </c>
      <c r="AL644" s="395">
        <v>41677</v>
      </c>
      <c r="AM644">
        <v>93</v>
      </c>
      <c r="AN644" s="391">
        <v>41733</v>
      </c>
      <c r="AO644"/>
      <c r="AP644" s="391">
        <v>41737</v>
      </c>
      <c r="AQ644" s="227"/>
      <c r="AR644" s="227"/>
      <c r="AS644"/>
      <c r="AT644"/>
      <c r="AU644"/>
      <c r="AV644" s="391" t="s">
        <v>8819</v>
      </c>
      <c r="AW644"/>
      <c r="AX644" s="391" t="s">
        <v>8819</v>
      </c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>
        <v>53.7</v>
      </c>
      <c r="BT644"/>
      <c r="BU644">
        <v>15.6</v>
      </c>
      <c r="BV644"/>
      <c r="BW644" s="229"/>
      <c r="BX644"/>
      <c r="BY644"/>
      <c r="BZ644"/>
      <c r="CA644"/>
      <c r="CC644"/>
      <c r="CD644"/>
      <c r="CE644">
        <v>6.3</v>
      </c>
      <c r="CF644"/>
      <c r="CG644">
        <v>0.1</v>
      </c>
      <c r="CH644"/>
      <c r="CI644"/>
      <c r="CJ644"/>
      <c r="CK644" t="s">
        <v>8820</v>
      </c>
      <c r="CL644">
        <v>3</v>
      </c>
      <c r="CM644" s="392">
        <v>41802</v>
      </c>
    </row>
    <row r="645" spans="1:91" ht="15">
      <c r="A645" s="364" t="s">
        <v>7634</v>
      </c>
      <c r="B645" t="s">
        <v>267</v>
      </c>
      <c r="C645" t="s">
        <v>8213</v>
      </c>
      <c r="D645" s="232">
        <v>29</v>
      </c>
      <c r="E645" s="113">
        <v>5</v>
      </c>
      <c r="F645" s="113">
        <v>11</v>
      </c>
      <c r="I645"/>
      <c r="K645" s="224">
        <v>7</v>
      </c>
      <c r="L645" s="390">
        <v>41625</v>
      </c>
      <c r="M645"/>
      <c r="N645" s="224"/>
      <c r="O645"/>
      <c r="P645"/>
      <c r="Q645"/>
      <c r="S645" s="224"/>
      <c r="T645" s="224"/>
      <c r="U645"/>
      <c r="V645"/>
      <c r="W645"/>
      <c r="X645"/>
      <c r="Y645" s="225"/>
      <c r="Z645" s="224"/>
      <c r="AA645" s="226"/>
      <c r="AB645" s="224"/>
      <c r="AC645" s="225"/>
      <c r="AD645" s="224"/>
      <c r="AE645" s="224"/>
      <c r="AF645" s="224"/>
      <c r="AG645"/>
      <c r="AH645"/>
      <c r="AI645">
        <v>140</v>
      </c>
      <c r="AJ645" s="194">
        <v>41785</v>
      </c>
      <c r="AK645">
        <v>37</v>
      </c>
      <c r="AL645" s="395">
        <v>41677</v>
      </c>
      <c r="AM645">
        <v>93</v>
      </c>
      <c r="AN645" s="391">
        <v>41733</v>
      </c>
      <c r="AO645"/>
      <c r="AP645" s="391" t="s">
        <v>8819</v>
      </c>
      <c r="AQ645" s="227"/>
      <c r="AR645" s="227"/>
      <c r="AS645"/>
      <c r="AT645"/>
      <c r="AU645"/>
      <c r="AV645" s="391">
        <v>41737</v>
      </c>
      <c r="AW645"/>
      <c r="AX645" s="391" t="s">
        <v>8819</v>
      </c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>
        <v>53.5</v>
      </c>
      <c r="BT645"/>
      <c r="BU645">
        <v>17.5</v>
      </c>
      <c r="BV645"/>
      <c r="BW645" s="229"/>
      <c r="BX645"/>
      <c r="BY645"/>
      <c r="BZ645"/>
      <c r="CA645"/>
      <c r="CC645"/>
      <c r="CD645"/>
      <c r="CE645">
        <v>5.9</v>
      </c>
      <c r="CF645"/>
      <c r="CG645">
        <v>0.4</v>
      </c>
      <c r="CH645"/>
      <c r="CI645"/>
      <c r="CJ645"/>
      <c r="CK645" t="s">
        <v>8820</v>
      </c>
      <c r="CL645">
        <v>1</v>
      </c>
      <c r="CM645" s="392">
        <v>41802</v>
      </c>
    </row>
    <row r="646" spans="1:91" ht="15">
      <c r="A646" s="364" t="s">
        <v>7635</v>
      </c>
      <c r="B646" t="s">
        <v>267</v>
      </c>
      <c r="C646" t="s">
        <v>8213</v>
      </c>
      <c r="D646">
        <v>30</v>
      </c>
      <c r="E646" s="113">
        <v>7</v>
      </c>
      <c r="F646" s="113">
        <v>8</v>
      </c>
      <c r="G646" s="233"/>
      <c r="H646" s="233"/>
      <c r="I646" s="232"/>
      <c r="J646" s="234"/>
      <c r="K646" s="235">
        <v>7</v>
      </c>
      <c r="L646" s="390">
        <v>41625</v>
      </c>
      <c r="M646" s="232"/>
      <c r="N646" s="235"/>
      <c r="O646" s="232"/>
      <c r="P646" s="232"/>
      <c r="Q646" s="232"/>
      <c r="R646" s="236"/>
      <c r="S646" s="235"/>
      <c r="T646" s="235"/>
      <c r="U646" s="232"/>
      <c r="V646" s="232"/>
      <c r="W646" s="232"/>
      <c r="X646" s="232"/>
      <c r="Y646" s="237"/>
      <c r="Z646" s="235"/>
      <c r="AA646" s="238"/>
      <c r="AB646" s="235"/>
      <c r="AC646" s="237"/>
      <c r="AD646" s="235"/>
      <c r="AE646" s="235"/>
      <c r="AF646" s="235"/>
      <c r="AG646" s="232"/>
      <c r="AH646" s="232"/>
      <c r="AI646" s="232">
        <v>145</v>
      </c>
      <c r="AJ646" s="194">
        <v>41785</v>
      </c>
      <c r="AK646" s="232">
        <v>31</v>
      </c>
      <c r="AL646" s="395">
        <v>41671</v>
      </c>
      <c r="AM646" s="232">
        <v>85</v>
      </c>
      <c r="AN646" s="391">
        <v>41725</v>
      </c>
      <c r="AO646" s="232"/>
      <c r="AP646" s="391">
        <v>41730</v>
      </c>
      <c r="AQ646" s="239"/>
      <c r="AR646" s="239"/>
      <c r="AS646" s="232"/>
      <c r="AT646" s="232"/>
      <c r="AU646" s="232"/>
      <c r="AV646" s="391" t="s">
        <v>8819</v>
      </c>
      <c r="AW646" s="232">
        <v>111</v>
      </c>
      <c r="AX646" s="391">
        <v>41751</v>
      </c>
      <c r="AY646" s="232"/>
      <c r="AZ646" s="232"/>
      <c r="BA646" s="232"/>
      <c r="BB646" s="232"/>
      <c r="BC646" s="232"/>
      <c r="BD646" s="232"/>
      <c r="BE646" s="232"/>
      <c r="BF646" s="232"/>
      <c r="BG646" s="232"/>
      <c r="BH646" s="232"/>
      <c r="BI646" s="232"/>
      <c r="BJ646" s="232"/>
      <c r="BK646" s="232"/>
      <c r="BL646" s="232"/>
      <c r="BM646" s="232"/>
      <c r="BN646" s="232"/>
      <c r="BO646" s="232"/>
      <c r="BP646" s="232"/>
      <c r="BQ646" s="232"/>
      <c r="BR646" s="232"/>
      <c r="BS646" s="232">
        <v>53.9</v>
      </c>
      <c r="BT646" s="232"/>
      <c r="BU646" s="232">
        <v>15</v>
      </c>
      <c r="BV646" s="232"/>
      <c r="BW646" s="240"/>
      <c r="BX646" s="232"/>
      <c r="BY646" s="232"/>
      <c r="BZ646" s="232"/>
      <c r="CA646" s="232"/>
      <c r="CB646" s="241"/>
      <c r="CC646" s="232"/>
      <c r="CD646" s="232"/>
      <c r="CE646" s="232">
        <v>6.2</v>
      </c>
      <c r="CF646" s="232"/>
      <c r="CG646" s="232">
        <v>0.8</v>
      </c>
      <c r="CH646" s="232"/>
      <c r="CI646" s="232"/>
      <c r="CJ646" s="232"/>
      <c r="CK646" t="s">
        <v>8820</v>
      </c>
      <c r="CL646" s="232">
        <v>7</v>
      </c>
      <c r="CM646" s="392">
        <v>41802</v>
      </c>
    </row>
    <row r="647" spans="1:91" ht="15">
      <c r="A647" s="364" t="s">
        <v>7636</v>
      </c>
      <c r="B647" t="s">
        <v>267</v>
      </c>
      <c r="C647" t="s">
        <v>8213</v>
      </c>
      <c r="D647">
        <v>31</v>
      </c>
      <c r="E647" s="113">
        <v>17</v>
      </c>
      <c r="F647" s="113">
        <v>8</v>
      </c>
      <c r="I647"/>
      <c r="K647" s="224">
        <v>6</v>
      </c>
      <c r="L647" s="390">
        <v>41625</v>
      </c>
      <c r="M647"/>
      <c r="N647" s="224"/>
      <c r="O647"/>
      <c r="P647"/>
      <c r="Q647"/>
      <c r="S647" s="224"/>
      <c r="T647" s="224"/>
      <c r="U647"/>
      <c r="V647"/>
      <c r="W647"/>
      <c r="X647"/>
      <c r="Y647" s="225"/>
      <c r="Z647" s="224"/>
      <c r="AA647" s="226"/>
      <c r="AB647" s="224"/>
      <c r="AC647" s="225"/>
      <c r="AD647" s="224"/>
      <c r="AE647" s="224"/>
      <c r="AF647" s="224"/>
      <c r="AG647"/>
      <c r="AH647"/>
      <c r="AI647">
        <v>140</v>
      </c>
      <c r="AJ647" s="194">
        <v>41785</v>
      </c>
      <c r="AK647">
        <v>31</v>
      </c>
      <c r="AL647" s="395">
        <v>41671</v>
      </c>
      <c r="AM647">
        <v>90</v>
      </c>
      <c r="AN647" s="391">
        <v>41730</v>
      </c>
      <c r="AO647"/>
      <c r="AP647" s="391" t="s">
        <v>8819</v>
      </c>
      <c r="AQ647" s="227"/>
      <c r="AR647" s="227"/>
      <c r="AS647"/>
      <c r="AT647"/>
      <c r="AU647"/>
      <c r="AV647" s="391" t="s">
        <v>8819</v>
      </c>
      <c r="AW647"/>
      <c r="AX647" s="391" t="s">
        <v>8819</v>
      </c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>
        <v>55.7</v>
      </c>
      <c r="BT647"/>
      <c r="BU647">
        <v>14.4</v>
      </c>
      <c r="BV647"/>
      <c r="BW647" s="229"/>
      <c r="BX647"/>
      <c r="BY647"/>
      <c r="BZ647"/>
      <c r="CA647"/>
      <c r="CC647"/>
      <c r="CD647"/>
      <c r="CE647">
        <v>8.4</v>
      </c>
      <c r="CF647"/>
      <c r="CG647">
        <v>0.3</v>
      </c>
      <c r="CH647"/>
      <c r="CI647"/>
      <c r="CJ647"/>
      <c r="CK647" t="s">
        <v>8820</v>
      </c>
      <c r="CL647">
        <v>3</v>
      </c>
      <c r="CM647" s="392">
        <v>41802</v>
      </c>
    </row>
    <row r="648" spans="1:91" ht="15">
      <c r="A648" s="364" t="s">
        <v>7637</v>
      </c>
      <c r="B648" t="s">
        <v>267</v>
      </c>
      <c r="C648" t="s">
        <v>8213</v>
      </c>
      <c r="D648">
        <v>32</v>
      </c>
      <c r="E648" s="113">
        <v>22</v>
      </c>
      <c r="F648" s="113">
        <v>11</v>
      </c>
      <c r="I648"/>
      <c r="K648" s="224">
        <v>7</v>
      </c>
      <c r="L648" s="390">
        <v>41625</v>
      </c>
      <c r="M648"/>
      <c r="N648" s="224"/>
      <c r="O648"/>
      <c r="P648"/>
      <c r="Q648"/>
      <c r="S648" s="224"/>
      <c r="T648" s="224"/>
      <c r="U648"/>
      <c r="V648"/>
      <c r="W648"/>
      <c r="X648"/>
      <c r="Y648" s="225"/>
      <c r="Z648" s="224"/>
      <c r="AA648" s="226"/>
      <c r="AB648" s="224"/>
      <c r="AC648" s="225"/>
      <c r="AD648" s="224"/>
      <c r="AE648" s="224"/>
      <c r="AF648" s="224"/>
      <c r="AG648"/>
      <c r="AH648"/>
      <c r="AI648">
        <v>155</v>
      </c>
      <c r="AJ648" s="194">
        <v>41785</v>
      </c>
      <c r="AK648">
        <v>37</v>
      </c>
      <c r="AL648" s="395">
        <v>41677</v>
      </c>
      <c r="AM648">
        <v>93</v>
      </c>
      <c r="AN648" s="391">
        <v>41733</v>
      </c>
      <c r="AO648"/>
      <c r="AP648" s="391">
        <v>41737</v>
      </c>
      <c r="AQ648" s="227"/>
      <c r="AR648" s="227"/>
      <c r="AS648"/>
      <c r="AT648"/>
      <c r="AU648"/>
      <c r="AV648" s="391">
        <v>41740</v>
      </c>
      <c r="AW648"/>
      <c r="AX648" s="391" t="s">
        <v>8819</v>
      </c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>
        <v>54.9</v>
      </c>
      <c r="BT648"/>
      <c r="BU648">
        <v>15</v>
      </c>
      <c r="BV648"/>
      <c r="BW648" s="229"/>
      <c r="BX648"/>
      <c r="BY648"/>
      <c r="BZ648"/>
      <c r="CA648"/>
      <c r="CC648"/>
      <c r="CD648"/>
      <c r="CE648">
        <v>5.3</v>
      </c>
      <c r="CF648"/>
      <c r="CG648">
        <v>1.1000000000000001</v>
      </c>
      <c r="CH648"/>
      <c r="CI648"/>
      <c r="CJ648"/>
      <c r="CK648" t="s">
        <v>8820</v>
      </c>
      <c r="CL648">
        <v>2.4</v>
      </c>
      <c r="CM648" s="392">
        <v>41802</v>
      </c>
    </row>
    <row r="649" spans="1:91" ht="15">
      <c r="A649" s="364" t="s">
        <v>7638</v>
      </c>
      <c r="B649" t="s">
        <v>267</v>
      </c>
      <c r="C649" t="s">
        <v>8213</v>
      </c>
      <c r="D649">
        <v>33</v>
      </c>
      <c r="E649" s="113">
        <v>17</v>
      </c>
      <c r="F649" s="113">
        <v>7</v>
      </c>
      <c r="G649" s="233"/>
      <c r="H649" s="233"/>
      <c r="I649" s="232"/>
      <c r="J649" s="234"/>
      <c r="K649" s="235">
        <v>6</v>
      </c>
      <c r="L649" s="390">
        <v>41625</v>
      </c>
      <c r="M649" s="232"/>
      <c r="N649" s="235"/>
      <c r="O649" s="232"/>
      <c r="P649" s="232"/>
      <c r="Q649" s="232"/>
      <c r="R649" s="236"/>
      <c r="S649" s="235"/>
      <c r="T649" s="235"/>
      <c r="U649" s="232"/>
      <c r="V649" s="232"/>
      <c r="W649" s="232"/>
      <c r="X649" s="232"/>
      <c r="Y649" s="237"/>
      <c r="Z649" s="235"/>
      <c r="AA649" s="238"/>
      <c r="AB649" s="235"/>
      <c r="AC649" s="237"/>
      <c r="AD649" s="235"/>
      <c r="AE649" s="235"/>
      <c r="AF649" s="235"/>
      <c r="AG649" s="232"/>
      <c r="AH649" s="232"/>
      <c r="AI649" s="232">
        <v>140</v>
      </c>
      <c r="AJ649" s="194">
        <v>41785</v>
      </c>
      <c r="AK649" s="232">
        <v>37</v>
      </c>
      <c r="AL649" s="395">
        <v>41677</v>
      </c>
      <c r="AM649" s="232">
        <v>93</v>
      </c>
      <c r="AN649" s="391">
        <v>41733</v>
      </c>
      <c r="AO649" s="232"/>
      <c r="AP649" s="391">
        <v>41737</v>
      </c>
      <c r="AQ649" s="239"/>
      <c r="AR649" s="239"/>
      <c r="AS649" s="232"/>
      <c r="AT649" s="232"/>
      <c r="AU649" s="232"/>
      <c r="AV649" s="391" t="s">
        <v>8819</v>
      </c>
      <c r="AW649" s="232"/>
      <c r="AX649" s="391" t="s">
        <v>8819</v>
      </c>
      <c r="AY649" s="232"/>
      <c r="AZ649" s="232"/>
      <c r="BA649" s="232"/>
      <c r="BB649" s="232"/>
      <c r="BC649" s="232"/>
      <c r="BD649" s="232"/>
      <c r="BE649" s="232"/>
      <c r="BF649" s="232"/>
      <c r="BG649" s="232"/>
      <c r="BH649" s="232"/>
      <c r="BI649" s="232"/>
      <c r="BJ649" s="232"/>
      <c r="BK649" s="232"/>
      <c r="BL649" s="232"/>
      <c r="BM649" s="232"/>
      <c r="BN649" s="232"/>
      <c r="BO649" s="232"/>
      <c r="BP649" s="232"/>
      <c r="BQ649" s="232"/>
      <c r="BR649" s="232"/>
      <c r="BS649" s="232">
        <v>49.1</v>
      </c>
      <c r="BT649" s="232"/>
      <c r="BU649" s="232">
        <v>20.2</v>
      </c>
      <c r="BV649" s="232"/>
      <c r="BW649" s="240"/>
      <c r="BX649" s="232"/>
      <c r="BY649" s="232"/>
      <c r="BZ649" s="232"/>
      <c r="CA649" s="232"/>
      <c r="CB649" s="241"/>
      <c r="CC649" s="232"/>
      <c r="CD649" s="232"/>
      <c r="CE649" s="232">
        <v>8.4</v>
      </c>
      <c r="CF649" s="232"/>
      <c r="CG649" s="232">
        <v>0.1</v>
      </c>
      <c r="CH649" s="232"/>
      <c r="CI649" s="232"/>
      <c r="CJ649" s="232"/>
      <c r="CK649" t="s">
        <v>8820</v>
      </c>
      <c r="CL649" s="232">
        <v>3</v>
      </c>
      <c r="CM649" s="392">
        <v>41802</v>
      </c>
    </row>
    <row r="650" spans="1:91" ht="15">
      <c r="A650" s="364" t="s">
        <v>7639</v>
      </c>
      <c r="B650" t="s">
        <v>267</v>
      </c>
      <c r="C650" t="s">
        <v>8213</v>
      </c>
      <c r="D650">
        <v>34</v>
      </c>
      <c r="E650" s="113">
        <v>18</v>
      </c>
      <c r="F650" s="113">
        <v>9</v>
      </c>
      <c r="G650" s="233"/>
      <c r="H650" s="233"/>
      <c r="I650" s="232"/>
      <c r="J650" s="234"/>
      <c r="K650" s="235">
        <v>7</v>
      </c>
      <c r="L650" s="390">
        <v>41625</v>
      </c>
      <c r="M650" s="232"/>
      <c r="N650" s="235"/>
      <c r="O650" s="232"/>
      <c r="P650" s="232"/>
      <c r="Q650" s="232"/>
      <c r="R650" s="236"/>
      <c r="S650" s="235"/>
      <c r="T650" s="235"/>
      <c r="U650" s="232"/>
      <c r="V650" s="232"/>
      <c r="W650" s="232"/>
      <c r="X650" s="232"/>
      <c r="Y650" s="237"/>
      <c r="Z650" s="235"/>
      <c r="AA650" s="238"/>
      <c r="AB650" s="235"/>
      <c r="AC650" s="237"/>
      <c r="AD650" s="235"/>
      <c r="AE650" s="235"/>
      <c r="AF650" s="235"/>
      <c r="AG650" s="232"/>
      <c r="AH650" s="232"/>
      <c r="AI650" s="232">
        <v>145</v>
      </c>
      <c r="AJ650" s="194">
        <v>41785</v>
      </c>
      <c r="AK650" s="232">
        <v>37</v>
      </c>
      <c r="AL650" s="395">
        <v>41677</v>
      </c>
      <c r="AM650" s="232">
        <v>93</v>
      </c>
      <c r="AN650" s="391">
        <v>41733</v>
      </c>
      <c r="AO650" s="232"/>
      <c r="AP650" s="391">
        <v>41737</v>
      </c>
      <c r="AQ650" s="239"/>
      <c r="AR650" s="239"/>
      <c r="AS650" s="232"/>
      <c r="AT650" s="232"/>
      <c r="AU650" s="232"/>
      <c r="AV650" s="391" t="s">
        <v>8819</v>
      </c>
      <c r="AW650" s="232"/>
      <c r="AX650" s="391" t="s">
        <v>8819</v>
      </c>
      <c r="AY650" s="232"/>
      <c r="AZ650" s="232"/>
      <c r="BA650" s="232"/>
      <c r="BB650" s="232"/>
      <c r="BC650" s="232"/>
      <c r="BD650" s="232"/>
      <c r="BE650" s="232"/>
      <c r="BF650" s="232"/>
      <c r="BG650" s="232"/>
      <c r="BH650" s="232"/>
      <c r="BI650" s="232"/>
      <c r="BJ650" s="232"/>
      <c r="BK650" s="232"/>
      <c r="BL650" s="232"/>
      <c r="BM650" s="232"/>
      <c r="BN650" s="232"/>
      <c r="BO650" s="232"/>
      <c r="BP650" s="232"/>
      <c r="BQ650" s="232"/>
      <c r="BR650" s="232"/>
      <c r="BS650" s="232">
        <v>48.9</v>
      </c>
      <c r="BT650" s="232"/>
      <c r="BU650" s="232">
        <v>19.2</v>
      </c>
      <c r="BV650" s="232"/>
      <c r="BW650" s="240"/>
      <c r="BX650" s="232"/>
      <c r="BY650" s="232"/>
      <c r="BZ650" s="232"/>
      <c r="CA650" s="232"/>
      <c r="CB650" s="241"/>
      <c r="CC650" s="232"/>
      <c r="CD650" s="232"/>
      <c r="CE650" s="232">
        <v>7.8</v>
      </c>
      <c r="CF650" s="232"/>
      <c r="CG650" s="232">
        <v>0.1</v>
      </c>
      <c r="CH650" s="232"/>
      <c r="CI650" s="232"/>
      <c r="CJ650" s="232"/>
      <c r="CK650" t="s">
        <v>8820</v>
      </c>
      <c r="CL650" s="232">
        <v>1</v>
      </c>
      <c r="CM650" s="392">
        <v>41802</v>
      </c>
    </row>
    <row r="651" spans="1:91" ht="15">
      <c r="A651" s="364" t="s">
        <v>7640</v>
      </c>
      <c r="B651" t="s">
        <v>267</v>
      </c>
      <c r="C651" t="s">
        <v>8213</v>
      </c>
      <c r="D651">
        <v>35</v>
      </c>
      <c r="E651" s="113">
        <v>29</v>
      </c>
      <c r="F651" s="113">
        <v>11</v>
      </c>
      <c r="I651"/>
      <c r="K651" s="224">
        <v>7</v>
      </c>
      <c r="L651" s="390">
        <v>41625</v>
      </c>
      <c r="M651"/>
      <c r="N651" s="224"/>
      <c r="O651"/>
      <c r="P651"/>
      <c r="Q651"/>
      <c r="S651" s="224"/>
      <c r="T651" s="224"/>
      <c r="U651"/>
      <c r="V651"/>
      <c r="W651"/>
      <c r="X651"/>
      <c r="Y651" s="225"/>
      <c r="Z651" s="224"/>
      <c r="AA651" s="226"/>
      <c r="AB651" s="224"/>
      <c r="AC651" s="225"/>
      <c r="AD651" s="224"/>
      <c r="AE651" s="224"/>
      <c r="AF651" s="224"/>
      <c r="AG651"/>
      <c r="AH651"/>
      <c r="AI651">
        <v>130</v>
      </c>
      <c r="AJ651" s="194">
        <v>41785</v>
      </c>
      <c r="AK651">
        <v>37</v>
      </c>
      <c r="AL651" s="395">
        <v>41677</v>
      </c>
      <c r="AM651">
        <v>90</v>
      </c>
      <c r="AN651" s="391">
        <v>41730</v>
      </c>
      <c r="AO651"/>
      <c r="AP651" s="391" t="s">
        <v>8819</v>
      </c>
      <c r="AQ651" s="227"/>
      <c r="AR651" s="227"/>
      <c r="AS651"/>
      <c r="AT651"/>
      <c r="AU651"/>
      <c r="AV651" s="391" t="s">
        <v>8819</v>
      </c>
      <c r="AW651"/>
      <c r="AX651" s="391" t="s">
        <v>8819</v>
      </c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>
        <v>46.9</v>
      </c>
      <c r="BT651"/>
      <c r="BU651">
        <v>21.3</v>
      </c>
      <c r="BV651"/>
      <c r="BW651" s="229"/>
      <c r="BX651"/>
      <c r="BY651"/>
      <c r="BZ651"/>
      <c r="CA651"/>
      <c r="CC651"/>
      <c r="CD651"/>
      <c r="CE651">
        <v>6.1</v>
      </c>
      <c r="CF651"/>
      <c r="CG651">
        <v>0.7</v>
      </c>
      <c r="CH651"/>
      <c r="CI651"/>
      <c r="CJ651"/>
      <c r="CK651" t="s">
        <v>8820</v>
      </c>
      <c r="CL651">
        <v>1</v>
      </c>
      <c r="CM651" s="392">
        <v>41802</v>
      </c>
    </row>
    <row r="652" spans="1:91" ht="15.75" thickBot="1">
      <c r="A652" s="364" t="s">
        <v>7641</v>
      </c>
      <c r="B652" s="344" t="s">
        <v>267</v>
      </c>
      <c r="C652" s="344" t="s">
        <v>8213</v>
      </c>
      <c r="D652">
        <v>36</v>
      </c>
      <c r="E652" s="113">
        <v>26</v>
      </c>
      <c r="F652" s="113">
        <v>11</v>
      </c>
      <c r="I652"/>
      <c r="K652" s="224">
        <v>5</v>
      </c>
      <c r="L652" s="390">
        <v>41625</v>
      </c>
      <c r="M652"/>
      <c r="N652" s="224"/>
      <c r="O652"/>
      <c r="P652"/>
      <c r="Q652"/>
      <c r="S652" s="224"/>
      <c r="T652" s="224"/>
      <c r="U652"/>
      <c r="V652"/>
      <c r="W652"/>
      <c r="X652"/>
      <c r="Y652" s="225"/>
      <c r="Z652" s="224"/>
      <c r="AA652" s="226"/>
      <c r="AB652" s="224"/>
      <c r="AC652" s="225"/>
      <c r="AD652" s="224"/>
      <c r="AE652" s="224"/>
      <c r="AF652" s="224"/>
      <c r="AG652"/>
      <c r="AH652"/>
      <c r="AI652">
        <v>135</v>
      </c>
      <c r="AJ652" s="194">
        <v>41785</v>
      </c>
      <c r="AK652">
        <v>26</v>
      </c>
      <c r="AL652" s="395">
        <v>41666</v>
      </c>
      <c r="AM652">
        <v>90</v>
      </c>
      <c r="AN652" s="391">
        <v>41730</v>
      </c>
      <c r="AO652"/>
      <c r="AP652" s="391" t="s">
        <v>8819</v>
      </c>
      <c r="AQ652" s="227"/>
      <c r="AR652" s="227"/>
      <c r="AS652"/>
      <c r="AT652"/>
      <c r="AU652"/>
      <c r="AV652" s="391" t="s">
        <v>8819</v>
      </c>
      <c r="AW652"/>
      <c r="AX652" s="391" t="s">
        <v>8819</v>
      </c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>
        <v>51.5</v>
      </c>
      <c r="BT652"/>
      <c r="BU652">
        <v>17.100000000000001</v>
      </c>
      <c r="BV652"/>
      <c r="BW652" s="229"/>
      <c r="BX652"/>
      <c r="BY652"/>
      <c r="BZ652"/>
      <c r="CA652"/>
      <c r="CC652"/>
      <c r="CD652"/>
      <c r="CE652">
        <v>5.8</v>
      </c>
      <c r="CF652"/>
      <c r="CG652">
        <v>0.4</v>
      </c>
      <c r="CH652"/>
      <c r="CI652"/>
      <c r="CJ652"/>
      <c r="CK652" t="s">
        <v>8820</v>
      </c>
      <c r="CL652">
        <v>1</v>
      </c>
      <c r="CM652" s="392">
        <v>41802</v>
      </c>
    </row>
    <row r="653" spans="1:91" ht="15">
      <c r="A653" s="364" t="s">
        <v>7642</v>
      </c>
      <c r="B653" t="s">
        <v>267</v>
      </c>
      <c r="C653" t="s">
        <v>8213</v>
      </c>
      <c r="D653" s="232">
        <v>37</v>
      </c>
      <c r="E653" s="113">
        <v>25</v>
      </c>
      <c r="F653" s="113">
        <v>7</v>
      </c>
      <c r="I653"/>
      <c r="K653" s="224">
        <v>7</v>
      </c>
      <c r="L653" s="390">
        <v>41625</v>
      </c>
      <c r="M653"/>
      <c r="N653" s="224"/>
      <c r="O653"/>
      <c r="P653"/>
      <c r="Q653"/>
      <c r="S653" s="224"/>
      <c r="T653" s="224"/>
      <c r="U653"/>
      <c r="V653"/>
      <c r="W653"/>
      <c r="X653"/>
      <c r="Y653" s="225"/>
      <c r="Z653" s="224"/>
      <c r="AA653" s="226"/>
      <c r="AB653" s="224"/>
      <c r="AC653" s="225"/>
      <c r="AD653" s="224"/>
      <c r="AE653" s="224"/>
      <c r="AF653" s="224"/>
      <c r="AG653"/>
      <c r="AH653"/>
      <c r="AI653">
        <v>150</v>
      </c>
      <c r="AJ653" s="194">
        <v>41785</v>
      </c>
      <c r="AK653">
        <v>31</v>
      </c>
      <c r="AL653" s="395">
        <v>41671</v>
      </c>
      <c r="AM653">
        <v>90</v>
      </c>
      <c r="AN653" s="391">
        <v>41730</v>
      </c>
      <c r="AO653"/>
      <c r="AP653" s="391" t="s">
        <v>8819</v>
      </c>
      <c r="AQ653" s="227"/>
      <c r="AR653" s="227"/>
      <c r="AS653"/>
      <c r="AT653"/>
      <c r="AU653"/>
      <c r="AV653" s="391" t="s">
        <v>8819</v>
      </c>
      <c r="AW653"/>
      <c r="AX653" s="391" t="s">
        <v>8819</v>
      </c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>
        <v>50.8</v>
      </c>
      <c r="BT653"/>
      <c r="BU653">
        <v>16.600000000000001</v>
      </c>
      <c r="BV653"/>
      <c r="BW653" s="229"/>
      <c r="BX653"/>
      <c r="BY653"/>
      <c r="BZ653"/>
      <c r="CA653"/>
      <c r="CC653"/>
      <c r="CD653"/>
      <c r="CE653">
        <v>5.9</v>
      </c>
      <c r="CF653"/>
      <c r="CG653">
        <v>0.3</v>
      </c>
      <c r="CH653"/>
      <c r="CI653"/>
      <c r="CJ653"/>
      <c r="CK653" t="s">
        <v>8820</v>
      </c>
      <c r="CL653">
        <v>6.2</v>
      </c>
      <c r="CM653" s="392">
        <v>41802</v>
      </c>
    </row>
    <row r="654" spans="1:91" ht="15">
      <c r="A654" s="364" t="s">
        <v>7643</v>
      </c>
      <c r="B654" s="178" t="s">
        <v>267</v>
      </c>
      <c r="C654" s="178" t="s">
        <v>8213</v>
      </c>
      <c r="D654">
        <v>38</v>
      </c>
      <c r="E654" s="113">
        <v>1</v>
      </c>
      <c r="F654" s="113">
        <v>7</v>
      </c>
      <c r="G654" s="233"/>
      <c r="H654" s="233"/>
      <c r="I654" s="232"/>
      <c r="J654" s="234"/>
      <c r="K654" s="235">
        <v>7</v>
      </c>
      <c r="L654" s="390">
        <v>41625</v>
      </c>
      <c r="M654" s="232"/>
      <c r="N654" s="235"/>
      <c r="O654" s="232"/>
      <c r="P654" s="232"/>
      <c r="Q654" s="232"/>
      <c r="R654" s="236"/>
      <c r="S654" s="235"/>
      <c r="T654" s="235"/>
      <c r="U654" s="232"/>
      <c r="V654" s="232"/>
      <c r="W654" s="232"/>
      <c r="X654" s="232"/>
      <c r="Y654" s="237"/>
      <c r="Z654" s="235"/>
      <c r="AA654" s="238"/>
      <c r="AB654" s="235"/>
      <c r="AC654" s="237"/>
      <c r="AD654" s="235"/>
      <c r="AE654" s="235"/>
      <c r="AF654" s="235"/>
      <c r="AG654" s="232"/>
      <c r="AH654" s="232"/>
      <c r="AI654" s="232">
        <v>145</v>
      </c>
      <c r="AJ654" s="194">
        <v>41785</v>
      </c>
      <c r="AK654" s="232">
        <v>37</v>
      </c>
      <c r="AL654" s="395">
        <v>41677</v>
      </c>
      <c r="AM654" s="232">
        <v>90</v>
      </c>
      <c r="AN654" s="391">
        <v>41730</v>
      </c>
      <c r="AO654" s="232"/>
      <c r="AP654" s="391" t="s">
        <v>8819</v>
      </c>
      <c r="AQ654" s="239"/>
      <c r="AR654" s="239"/>
      <c r="AS654" s="232"/>
      <c r="AT654" s="232"/>
      <c r="AU654" s="232"/>
      <c r="AV654" s="391" t="s">
        <v>8819</v>
      </c>
      <c r="AW654" s="232"/>
      <c r="AX654" s="391" t="s">
        <v>8819</v>
      </c>
      <c r="AY654" s="232"/>
      <c r="AZ654" s="232"/>
      <c r="BA654" s="232"/>
      <c r="BB654" s="232"/>
      <c r="BC654" s="232"/>
      <c r="BD654" s="232"/>
      <c r="BE654" s="232"/>
      <c r="BF654" s="232"/>
      <c r="BG654" s="232"/>
      <c r="BH654" s="232"/>
      <c r="BI654" s="232"/>
      <c r="BJ654" s="232"/>
      <c r="BK654" s="232"/>
      <c r="BL654" s="232"/>
      <c r="BM654" s="232"/>
      <c r="BN654" s="232"/>
      <c r="BO654" s="232"/>
      <c r="BP654" s="232"/>
      <c r="BQ654" s="232"/>
      <c r="BR654" s="232"/>
      <c r="BS654" s="232">
        <v>45.8</v>
      </c>
      <c r="BT654" s="232"/>
      <c r="BU654" s="232">
        <v>22.4</v>
      </c>
      <c r="BV654" s="232"/>
      <c r="BW654" s="240"/>
      <c r="BX654" s="232"/>
      <c r="BY654" s="232"/>
      <c r="BZ654" s="232"/>
      <c r="CA654" s="232"/>
      <c r="CB654" s="241"/>
      <c r="CC654" s="232"/>
      <c r="CD654" s="232"/>
      <c r="CE654" s="232">
        <v>5.8</v>
      </c>
      <c r="CF654" s="232"/>
      <c r="CG654" s="232">
        <v>0.4</v>
      </c>
      <c r="CH654" s="232"/>
      <c r="CI654" s="232"/>
      <c r="CJ654" s="232"/>
      <c r="CK654" t="s">
        <v>8820</v>
      </c>
      <c r="CL654" s="232">
        <v>1</v>
      </c>
      <c r="CM654" s="392">
        <v>41802</v>
      </c>
    </row>
    <row r="655" spans="1:91" ht="15">
      <c r="A655" s="364" t="s">
        <v>7644</v>
      </c>
      <c r="B655" t="s">
        <v>267</v>
      </c>
      <c r="C655" t="s">
        <v>8213</v>
      </c>
      <c r="D655">
        <v>39</v>
      </c>
      <c r="E655" s="113">
        <v>35</v>
      </c>
      <c r="F655" s="113">
        <v>11</v>
      </c>
      <c r="I655"/>
      <c r="K655" s="224">
        <v>7</v>
      </c>
      <c r="L655" s="390">
        <v>41625</v>
      </c>
      <c r="M655"/>
      <c r="N655" s="224"/>
      <c r="O655"/>
      <c r="P655"/>
      <c r="Q655"/>
      <c r="S655" s="224"/>
      <c r="T655" s="224"/>
      <c r="U655"/>
      <c r="V655"/>
      <c r="W655"/>
      <c r="X655"/>
      <c r="Y655" s="225"/>
      <c r="Z655" s="224"/>
      <c r="AA655" s="226"/>
      <c r="AB655" s="224"/>
      <c r="AC655" s="225"/>
      <c r="AD655" s="224"/>
      <c r="AE655" s="224"/>
      <c r="AF655" s="224"/>
      <c r="AG655"/>
      <c r="AH655"/>
      <c r="AI655">
        <v>160</v>
      </c>
      <c r="AJ655" s="194">
        <v>41785</v>
      </c>
      <c r="AK655">
        <v>37</v>
      </c>
      <c r="AL655" s="395">
        <v>41677</v>
      </c>
      <c r="AM655">
        <v>93</v>
      </c>
      <c r="AN655" s="391">
        <v>41733</v>
      </c>
      <c r="AO655"/>
      <c r="AP655" s="391">
        <v>41737</v>
      </c>
      <c r="AQ655" s="227"/>
      <c r="AR655" s="227"/>
      <c r="AS655"/>
      <c r="AT655"/>
      <c r="AU655"/>
      <c r="AV655" s="391">
        <v>41740</v>
      </c>
      <c r="AW655"/>
      <c r="AX655" s="391" t="s">
        <v>8819</v>
      </c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>
        <v>46.7</v>
      </c>
      <c r="BT655"/>
      <c r="BU655">
        <v>22.1</v>
      </c>
      <c r="BV655"/>
      <c r="BW655" s="229"/>
      <c r="BX655"/>
      <c r="BY655"/>
      <c r="BZ655"/>
      <c r="CA655"/>
      <c r="CC655"/>
      <c r="CD655"/>
      <c r="CE655">
        <v>6.9</v>
      </c>
      <c r="CF655"/>
      <c r="CG655">
        <v>0.4</v>
      </c>
      <c r="CH655"/>
      <c r="CI655"/>
      <c r="CJ655"/>
      <c r="CK655" t="s">
        <v>8820</v>
      </c>
      <c r="CL655">
        <v>1</v>
      </c>
      <c r="CM655" s="392">
        <v>41802</v>
      </c>
    </row>
    <row r="656" spans="1:91" ht="15">
      <c r="A656" s="364" t="s">
        <v>7645</v>
      </c>
      <c r="B656" t="s">
        <v>267</v>
      </c>
      <c r="C656" t="s">
        <v>8213</v>
      </c>
      <c r="D656">
        <v>40</v>
      </c>
      <c r="E656" s="113">
        <v>10</v>
      </c>
      <c r="F656" s="113">
        <v>8</v>
      </c>
      <c r="I656"/>
      <c r="K656" s="224">
        <v>7</v>
      </c>
      <c r="L656" s="390">
        <v>41625</v>
      </c>
      <c r="M656"/>
      <c r="N656" s="224"/>
      <c r="O656"/>
      <c r="P656"/>
      <c r="Q656"/>
      <c r="S656" s="224"/>
      <c r="T656" s="224"/>
      <c r="U656"/>
      <c r="V656"/>
      <c r="W656"/>
      <c r="X656"/>
      <c r="Y656" s="225"/>
      <c r="Z656" s="224"/>
      <c r="AA656" s="226"/>
      <c r="AB656" s="224"/>
      <c r="AC656" s="225"/>
      <c r="AD656" s="224"/>
      <c r="AE656" s="224"/>
      <c r="AF656" s="224"/>
      <c r="AG656"/>
      <c r="AH656"/>
      <c r="AI656">
        <v>130</v>
      </c>
      <c r="AJ656" s="194">
        <v>41785</v>
      </c>
      <c r="AK656">
        <v>37</v>
      </c>
      <c r="AL656" s="395">
        <v>41677</v>
      </c>
      <c r="AM656">
        <v>93</v>
      </c>
      <c r="AN656" s="391">
        <v>41733</v>
      </c>
      <c r="AO656"/>
      <c r="AP656" s="391" t="s">
        <v>8819</v>
      </c>
      <c r="AQ656" s="227"/>
      <c r="AR656" s="227"/>
      <c r="AS656"/>
      <c r="AT656"/>
      <c r="AU656"/>
      <c r="AV656" s="391">
        <v>41737</v>
      </c>
      <c r="AW656"/>
      <c r="AX656" s="391" t="s">
        <v>8819</v>
      </c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>
        <v>49.4</v>
      </c>
      <c r="BT656"/>
      <c r="BU656">
        <v>17.100000000000001</v>
      </c>
      <c r="BV656"/>
      <c r="BW656" s="229"/>
      <c r="BX656"/>
      <c r="BY656"/>
      <c r="BZ656"/>
      <c r="CA656"/>
      <c r="CC656"/>
      <c r="CD656"/>
      <c r="CE656">
        <v>5.8</v>
      </c>
      <c r="CF656"/>
      <c r="CG656">
        <v>0.5</v>
      </c>
      <c r="CH656"/>
      <c r="CI656"/>
      <c r="CJ656"/>
      <c r="CK656" t="s">
        <v>8820</v>
      </c>
      <c r="CL656">
        <v>7</v>
      </c>
      <c r="CM656" s="392">
        <v>41802</v>
      </c>
    </row>
    <row r="657" spans="1:91" ht="15">
      <c r="A657" s="364" t="s">
        <v>7646</v>
      </c>
      <c r="B657" t="s">
        <v>267</v>
      </c>
      <c r="C657" t="s">
        <v>8213</v>
      </c>
      <c r="D657">
        <v>41</v>
      </c>
      <c r="E657" s="113">
        <v>34</v>
      </c>
      <c r="F657" s="113">
        <v>9</v>
      </c>
      <c r="I657"/>
      <c r="K657" s="224">
        <v>7</v>
      </c>
      <c r="L657" s="390">
        <v>41625</v>
      </c>
      <c r="M657"/>
      <c r="N657" s="224"/>
      <c r="O657"/>
      <c r="P657"/>
      <c r="Q657"/>
      <c r="S657" s="224"/>
      <c r="T657" s="224"/>
      <c r="U657"/>
      <c r="V657"/>
      <c r="W657"/>
      <c r="X657"/>
      <c r="Y657" s="225"/>
      <c r="Z657" s="224"/>
      <c r="AA657" s="226"/>
      <c r="AB657" s="224"/>
      <c r="AC657" s="225"/>
      <c r="AD657" s="224"/>
      <c r="AE657" s="224"/>
      <c r="AF657" s="224"/>
      <c r="AG657"/>
      <c r="AH657"/>
      <c r="AI657">
        <v>155</v>
      </c>
      <c r="AJ657" s="194">
        <v>41785</v>
      </c>
      <c r="AK657">
        <v>37</v>
      </c>
      <c r="AL657" s="395">
        <v>41677</v>
      </c>
      <c r="AM657">
        <v>90</v>
      </c>
      <c r="AN657" s="391">
        <v>41730</v>
      </c>
      <c r="AO657"/>
      <c r="AP657" s="391" t="s">
        <v>8819</v>
      </c>
      <c r="AQ657" s="227"/>
      <c r="AR657" s="227"/>
      <c r="AS657"/>
      <c r="AT657"/>
      <c r="AU657"/>
      <c r="AV657" s="391" t="s">
        <v>8819</v>
      </c>
      <c r="AW657"/>
      <c r="AX657" s="391" t="s">
        <v>8819</v>
      </c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>
        <v>48</v>
      </c>
      <c r="BT657"/>
      <c r="BU657">
        <v>19.600000000000001</v>
      </c>
      <c r="BV657"/>
      <c r="BW657" s="229"/>
      <c r="BX657"/>
      <c r="BY657"/>
      <c r="BZ657"/>
      <c r="CA657"/>
      <c r="CC657"/>
      <c r="CD657"/>
      <c r="CE657">
        <v>6.6</v>
      </c>
      <c r="CF657"/>
      <c r="CG657">
        <v>0.2</v>
      </c>
      <c r="CH657"/>
      <c r="CI657"/>
      <c r="CJ657"/>
      <c r="CK657" t="s">
        <v>8820</v>
      </c>
      <c r="CL657">
        <v>3</v>
      </c>
      <c r="CM657" s="392">
        <v>41802</v>
      </c>
    </row>
    <row r="658" spans="1:91" ht="15">
      <c r="A658" s="364" t="s">
        <v>7648</v>
      </c>
      <c r="B658" t="s">
        <v>267</v>
      </c>
      <c r="C658" t="s">
        <v>8213</v>
      </c>
      <c r="D658">
        <v>43</v>
      </c>
      <c r="E658" s="113">
        <v>15</v>
      </c>
      <c r="F658" s="113">
        <v>10</v>
      </c>
      <c r="I658"/>
      <c r="K658" s="224">
        <v>6</v>
      </c>
      <c r="L658" s="390">
        <v>41625</v>
      </c>
      <c r="M658"/>
      <c r="N658" s="224"/>
      <c r="O658"/>
      <c r="P658"/>
      <c r="Q658"/>
      <c r="S658" s="224"/>
      <c r="T658" s="224"/>
      <c r="U658"/>
      <c r="V658"/>
      <c r="W658"/>
      <c r="X658"/>
      <c r="Y658" s="225"/>
      <c r="Z658" s="224"/>
      <c r="AA658" s="226"/>
      <c r="AB658" s="224"/>
      <c r="AC658" s="225"/>
      <c r="AD658" s="224"/>
      <c r="AE658" s="224"/>
      <c r="AF658" s="224"/>
      <c r="AG658"/>
      <c r="AH658"/>
      <c r="AI658">
        <v>170</v>
      </c>
      <c r="AJ658" s="194">
        <v>41785</v>
      </c>
      <c r="AK658">
        <v>37</v>
      </c>
      <c r="AL658" s="395">
        <v>41677</v>
      </c>
      <c r="AM658">
        <v>93</v>
      </c>
      <c r="AN658" s="391">
        <v>41733</v>
      </c>
      <c r="AO658"/>
      <c r="AP658" s="391" t="s">
        <v>8819</v>
      </c>
      <c r="AQ658" s="227"/>
      <c r="AR658" s="227"/>
      <c r="AS658"/>
      <c r="AT658"/>
      <c r="AU658"/>
      <c r="AV658" s="391">
        <v>41737</v>
      </c>
      <c r="AW658"/>
      <c r="AX658" s="391" t="s">
        <v>8819</v>
      </c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>
        <v>51.9</v>
      </c>
      <c r="BT658"/>
      <c r="BU658">
        <v>17.8</v>
      </c>
      <c r="BV658"/>
      <c r="BW658" s="229"/>
      <c r="BX658"/>
      <c r="BY658"/>
      <c r="BZ658"/>
      <c r="CA658"/>
      <c r="CC658"/>
      <c r="CD658"/>
      <c r="CE658">
        <v>7.6</v>
      </c>
      <c r="CF658"/>
      <c r="CG658">
        <v>0.1</v>
      </c>
      <c r="CH658"/>
      <c r="CI658"/>
      <c r="CJ658"/>
      <c r="CK658" t="s">
        <v>8820</v>
      </c>
      <c r="CL658">
        <v>6.2</v>
      </c>
      <c r="CM658" s="392">
        <v>41802</v>
      </c>
    </row>
    <row r="659" spans="1:91" ht="15">
      <c r="A659" s="364" t="s">
        <v>7649</v>
      </c>
      <c r="B659" t="s">
        <v>267</v>
      </c>
      <c r="C659" t="s">
        <v>8213</v>
      </c>
      <c r="D659">
        <v>44</v>
      </c>
      <c r="E659" s="113">
        <v>13</v>
      </c>
      <c r="F659" s="113">
        <v>12</v>
      </c>
      <c r="I659"/>
      <c r="K659" s="224">
        <v>7</v>
      </c>
      <c r="L659" s="390">
        <v>41625</v>
      </c>
      <c r="M659"/>
      <c r="N659" s="224"/>
      <c r="O659"/>
      <c r="P659"/>
      <c r="Q659"/>
      <c r="S659" s="224"/>
      <c r="T659" s="224"/>
      <c r="U659"/>
      <c r="V659"/>
      <c r="W659"/>
      <c r="X659"/>
      <c r="Y659" s="225"/>
      <c r="Z659" s="224"/>
      <c r="AA659" s="226"/>
      <c r="AB659" s="224"/>
      <c r="AC659" s="225"/>
      <c r="AD659" s="224"/>
      <c r="AE659" s="224"/>
      <c r="AF659" s="224"/>
      <c r="AG659"/>
      <c r="AH659"/>
      <c r="AI659">
        <v>150</v>
      </c>
      <c r="AJ659" s="194">
        <v>41785</v>
      </c>
      <c r="AK659">
        <v>37</v>
      </c>
      <c r="AL659" s="395">
        <v>41677</v>
      </c>
      <c r="AM659">
        <v>93</v>
      </c>
      <c r="AN659" s="391">
        <v>41733</v>
      </c>
      <c r="AO659"/>
      <c r="AP659" s="391">
        <v>41737</v>
      </c>
      <c r="AQ659" s="227"/>
      <c r="AR659" s="227"/>
      <c r="AS659"/>
      <c r="AT659"/>
      <c r="AU659"/>
      <c r="AV659" s="391" t="s">
        <v>8819</v>
      </c>
      <c r="AW659"/>
      <c r="AX659" s="391" t="s">
        <v>8819</v>
      </c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>
        <v>47.8</v>
      </c>
      <c r="BT659"/>
      <c r="BU659">
        <v>19.7</v>
      </c>
      <c r="BV659"/>
      <c r="BW659"/>
      <c r="BX659"/>
      <c r="BY659"/>
      <c r="BZ659"/>
      <c r="CA659"/>
      <c r="CC659"/>
      <c r="CD659"/>
      <c r="CE659">
        <v>10.199999999999999</v>
      </c>
      <c r="CF659"/>
      <c r="CG659">
        <v>0.3</v>
      </c>
      <c r="CH659"/>
      <c r="CI659"/>
      <c r="CJ659"/>
      <c r="CK659" t="s">
        <v>8820</v>
      </c>
      <c r="CL659">
        <v>7</v>
      </c>
      <c r="CM659" s="392">
        <v>41802</v>
      </c>
    </row>
    <row r="660" spans="1:91" ht="15">
      <c r="A660" s="364" t="s">
        <v>7650</v>
      </c>
      <c r="B660" t="s">
        <v>267</v>
      </c>
      <c r="C660" t="s">
        <v>8213</v>
      </c>
      <c r="D660">
        <v>45</v>
      </c>
      <c r="E660" s="113">
        <v>20</v>
      </c>
      <c r="F660" s="113">
        <v>7</v>
      </c>
      <c r="G660" s="233"/>
      <c r="H660" s="233"/>
      <c r="I660" s="232"/>
      <c r="J660" s="234"/>
      <c r="K660" s="235">
        <v>7</v>
      </c>
      <c r="L660" s="390">
        <v>41625</v>
      </c>
      <c r="M660" s="232"/>
      <c r="N660" s="235"/>
      <c r="O660" s="232"/>
      <c r="P660" s="232"/>
      <c r="Q660" s="232"/>
      <c r="R660" s="236"/>
      <c r="S660" s="235"/>
      <c r="T660" s="235"/>
      <c r="U660" s="232"/>
      <c r="V660" s="232"/>
      <c r="W660" s="232"/>
      <c r="X660" s="232"/>
      <c r="Y660" s="237"/>
      <c r="Z660" s="235"/>
      <c r="AA660" s="238"/>
      <c r="AB660" s="235"/>
      <c r="AC660" s="237"/>
      <c r="AD660" s="235"/>
      <c r="AE660" s="235"/>
      <c r="AF660" s="235"/>
      <c r="AG660" s="232"/>
      <c r="AH660" s="232"/>
      <c r="AI660" s="232">
        <v>160</v>
      </c>
      <c r="AJ660" s="194">
        <v>41785</v>
      </c>
      <c r="AK660" s="232">
        <v>37</v>
      </c>
      <c r="AL660" s="395">
        <v>41677</v>
      </c>
      <c r="AM660" s="232">
        <v>93</v>
      </c>
      <c r="AN660" s="391">
        <v>41733</v>
      </c>
      <c r="AO660" s="232"/>
      <c r="AP660" s="391">
        <v>41737</v>
      </c>
      <c r="AQ660" s="239"/>
      <c r="AR660" s="239"/>
      <c r="AS660" s="232"/>
      <c r="AT660" s="232"/>
      <c r="AU660" s="232"/>
      <c r="AV660" s="391" t="s">
        <v>8819</v>
      </c>
      <c r="AW660" s="232"/>
      <c r="AX660" s="391" t="s">
        <v>8819</v>
      </c>
      <c r="AY660" s="232"/>
      <c r="AZ660" s="232"/>
      <c r="BA660" s="232"/>
      <c r="BB660" s="232"/>
      <c r="BC660" s="232"/>
      <c r="BD660" s="232"/>
      <c r="BE660" s="232"/>
      <c r="BF660" s="232"/>
      <c r="BG660" s="232"/>
      <c r="BH660" s="232"/>
      <c r="BI660" s="232"/>
      <c r="BJ660" s="232"/>
      <c r="BK660" s="232"/>
      <c r="BL660" s="232"/>
      <c r="BM660" s="232"/>
      <c r="BN660" s="232"/>
      <c r="BO660" s="232"/>
      <c r="BP660" s="232"/>
      <c r="BQ660" s="232"/>
      <c r="BR660" s="232"/>
      <c r="BS660" s="232">
        <v>48</v>
      </c>
      <c r="BT660" s="232"/>
      <c r="BU660" s="232">
        <v>18.899999999999999</v>
      </c>
      <c r="BV660" s="232"/>
      <c r="BW660" s="240"/>
      <c r="BX660" s="232"/>
      <c r="BY660" s="232"/>
      <c r="BZ660" s="232"/>
      <c r="CA660" s="232"/>
      <c r="CB660" s="241"/>
      <c r="CC660" s="232"/>
      <c r="CD660" s="232"/>
      <c r="CE660" s="232">
        <v>6</v>
      </c>
      <c r="CF660" s="232"/>
      <c r="CG660" s="232">
        <v>0.6</v>
      </c>
      <c r="CH660" s="232"/>
      <c r="CI660" s="232"/>
      <c r="CJ660" s="232"/>
      <c r="CK660" t="s">
        <v>8820</v>
      </c>
      <c r="CL660" s="232">
        <v>6.6</v>
      </c>
      <c r="CM660" s="392">
        <v>41802</v>
      </c>
    </row>
    <row r="661" spans="1:91" ht="15">
      <c r="A661" s="364" t="s">
        <v>7651</v>
      </c>
      <c r="B661" t="s">
        <v>267</v>
      </c>
      <c r="C661" t="s">
        <v>8213</v>
      </c>
      <c r="D661">
        <v>46</v>
      </c>
      <c r="E661" s="113">
        <v>16</v>
      </c>
      <c r="F661" s="113">
        <v>12</v>
      </c>
      <c r="G661" s="233"/>
      <c r="H661" s="233"/>
      <c r="I661" s="232"/>
      <c r="J661" s="234"/>
      <c r="K661" s="235">
        <v>8</v>
      </c>
      <c r="L661" s="390">
        <v>41625</v>
      </c>
      <c r="M661" s="232"/>
      <c r="N661" s="235"/>
      <c r="O661" s="232"/>
      <c r="P661" s="232"/>
      <c r="Q661" s="232"/>
      <c r="R661" s="236"/>
      <c r="S661" s="235"/>
      <c r="T661" s="235"/>
      <c r="U661" s="232"/>
      <c r="V661" s="232"/>
      <c r="W661" s="232"/>
      <c r="X661" s="232"/>
      <c r="Y661" s="237"/>
      <c r="Z661" s="235"/>
      <c r="AA661" s="238"/>
      <c r="AB661" s="235"/>
      <c r="AC661" s="237"/>
      <c r="AD661" s="235"/>
      <c r="AE661" s="235"/>
      <c r="AF661" s="235"/>
      <c r="AG661" s="232"/>
      <c r="AH661" s="232"/>
      <c r="AI661" s="232">
        <v>150</v>
      </c>
      <c r="AJ661" s="194">
        <v>41785</v>
      </c>
      <c r="AK661" s="232">
        <v>37</v>
      </c>
      <c r="AL661" s="395">
        <v>41677</v>
      </c>
      <c r="AM661" s="232">
        <v>93</v>
      </c>
      <c r="AN661" s="391">
        <v>41733</v>
      </c>
      <c r="AO661" s="232"/>
      <c r="AP661" s="391">
        <v>41737</v>
      </c>
      <c r="AQ661" s="239"/>
      <c r="AR661" s="239"/>
      <c r="AS661" s="232"/>
      <c r="AT661" s="232"/>
      <c r="AU661" s="232"/>
      <c r="AV661" s="391">
        <v>41740</v>
      </c>
      <c r="AW661" s="232"/>
      <c r="AX661" s="391" t="s">
        <v>8819</v>
      </c>
      <c r="AY661" s="232"/>
      <c r="AZ661" s="232"/>
      <c r="BA661" s="232"/>
      <c r="BB661" s="232"/>
      <c r="BC661" s="232"/>
      <c r="BD661" s="232"/>
      <c r="BE661" s="232"/>
      <c r="BF661" s="232"/>
      <c r="BG661" s="232"/>
      <c r="BH661" s="232"/>
      <c r="BI661" s="232"/>
      <c r="BJ661" s="232"/>
      <c r="BK661" s="232"/>
      <c r="BL661" s="232"/>
      <c r="BM661" s="232"/>
      <c r="BN661" s="232"/>
      <c r="BO661" s="232"/>
      <c r="BP661" s="232"/>
      <c r="BQ661" s="232"/>
      <c r="BR661" s="232"/>
      <c r="BS661" s="232">
        <v>46.2</v>
      </c>
      <c r="BT661" s="232"/>
      <c r="BU661" s="232">
        <v>21.5</v>
      </c>
      <c r="BV661" s="232"/>
      <c r="BW661" s="240"/>
      <c r="BX661" s="232"/>
      <c r="BY661" s="232"/>
      <c r="BZ661" s="232"/>
      <c r="CA661" s="232"/>
      <c r="CB661" s="241"/>
      <c r="CC661" s="232"/>
      <c r="CD661" s="232"/>
      <c r="CE661" s="232">
        <v>11.3</v>
      </c>
      <c r="CF661" s="232"/>
      <c r="CG661" s="232">
        <v>1.2</v>
      </c>
      <c r="CH661" s="232"/>
      <c r="CI661" s="232"/>
      <c r="CJ661" s="232"/>
      <c r="CK661" t="s">
        <v>8820</v>
      </c>
      <c r="CL661" s="232">
        <v>9</v>
      </c>
      <c r="CM661" s="392">
        <v>41802</v>
      </c>
    </row>
    <row r="662" spans="1:91" ht="15">
      <c r="A662" s="364" t="s">
        <v>7652</v>
      </c>
      <c r="B662" t="s">
        <v>267</v>
      </c>
      <c r="C662" t="s">
        <v>8213</v>
      </c>
      <c r="D662">
        <v>47</v>
      </c>
      <c r="E662" s="113">
        <v>31</v>
      </c>
      <c r="F662" s="113">
        <v>12</v>
      </c>
      <c r="I662"/>
      <c r="K662" s="224">
        <v>7</v>
      </c>
      <c r="L662" s="390">
        <v>41625</v>
      </c>
      <c r="M662"/>
      <c r="N662" s="224"/>
      <c r="O662"/>
      <c r="P662"/>
      <c r="Q662"/>
      <c r="S662" s="224"/>
      <c r="T662" s="224"/>
      <c r="U662"/>
      <c r="V662"/>
      <c r="W662"/>
      <c r="X662"/>
      <c r="Y662" s="225"/>
      <c r="Z662" s="224"/>
      <c r="AA662" s="226"/>
      <c r="AB662" s="224"/>
      <c r="AC662" s="225"/>
      <c r="AD662" s="224"/>
      <c r="AE662" s="224"/>
      <c r="AF662" s="224"/>
      <c r="AG662"/>
      <c r="AH662"/>
      <c r="AI662">
        <v>115</v>
      </c>
      <c r="AJ662" s="194">
        <v>41785</v>
      </c>
      <c r="AK662">
        <v>37</v>
      </c>
      <c r="AL662" s="395">
        <v>41677</v>
      </c>
      <c r="AM662">
        <v>90</v>
      </c>
      <c r="AN662" s="391">
        <v>41730</v>
      </c>
      <c r="AO662"/>
      <c r="AP662" s="391" t="s">
        <v>8819</v>
      </c>
      <c r="AQ662" s="227"/>
      <c r="AR662" s="227"/>
      <c r="AS662"/>
      <c r="AT662"/>
      <c r="AU662"/>
      <c r="AV662" s="391" t="s">
        <v>8819</v>
      </c>
      <c r="AW662"/>
      <c r="AX662" s="391" t="s">
        <v>8819</v>
      </c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>
        <v>51.7</v>
      </c>
      <c r="BT662"/>
      <c r="BU662">
        <v>19.100000000000001</v>
      </c>
      <c r="BV662"/>
      <c r="BW662" s="229"/>
      <c r="BX662"/>
      <c r="BY662"/>
      <c r="BZ662"/>
      <c r="CA662"/>
      <c r="CC662"/>
      <c r="CD662"/>
      <c r="CE662">
        <v>6.3</v>
      </c>
      <c r="CF662"/>
      <c r="CG662">
        <v>0.3</v>
      </c>
      <c r="CH662"/>
      <c r="CI662"/>
      <c r="CJ662"/>
      <c r="CK662" t="s">
        <v>8820</v>
      </c>
      <c r="CL662">
        <v>1</v>
      </c>
      <c r="CM662" s="392">
        <v>41802</v>
      </c>
    </row>
    <row r="663" spans="1:91" ht="15">
      <c r="A663" s="364" t="s">
        <v>7653</v>
      </c>
      <c r="B663" t="s">
        <v>267</v>
      </c>
      <c r="C663" t="s">
        <v>8213</v>
      </c>
      <c r="D663">
        <v>48</v>
      </c>
      <c r="E663" s="113">
        <v>12</v>
      </c>
      <c r="F663" s="113">
        <v>8</v>
      </c>
      <c r="I663"/>
      <c r="K663" s="224">
        <v>7</v>
      </c>
      <c r="L663" s="390">
        <v>41625</v>
      </c>
      <c r="M663"/>
      <c r="N663" s="224"/>
      <c r="O663"/>
      <c r="P663"/>
      <c r="Q663"/>
      <c r="S663" s="224"/>
      <c r="T663" s="224"/>
      <c r="U663"/>
      <c r="V663"/>
      <c r="W663"/>
      <c r="X663"/>
      <c r="Y663" s="225"/>
      <c r="Z663" s="224"/>
      <c r="AA663" s="226"/>
      <c r="AB663" s="224"/>
      <c r="AC663" s="225"/>
      <c r="AD663" s="224"/>
      <c r="AE663" s="224"/>
      <c r="AF663" s="224"/>
      <c r="AG663"/>
      <c r="AH663"/>
      <c r="AI663">
        <v>150</v>
      </c>
      <c r="AJ663" s="194">
        <v>41785</v>
      </c>
      <c r="AK663">
        <v>37</v>
      </c>
      <c r="AL663" s="395">
        <v>41677</v>
      </c>
      <c r="AM663">
        <v>90</v>
      </c>
      <c r="AN663" s="391">
        <v>41730</v>
      </c>
      <c r="AO663"/>
      <c r="AP663" s="391" t="s">
        <v>8819</v>
      </c>
      <c r="AQ663" s="227"/>
      <c r="AR663" s="227"/>
      <c r="AS663"/>
      <c r="AT663"/>
      <c r="AU663"/>
      <c r="AV663" s="391">
        <v>41737</v>
      </c>
      <c r="AW663"/>
      <c r="AX663" s="391" t="s">
        <v>8819</v>
      </c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>
        <v>50.2</v>
      </c>
      <c r="BT663"/>
      <c r="BU663">
        <v>18</v>
      </c>
      <c r="BV663"/>
      <c r="BW663" s="229"/>
      <c r="BX663"/>
      <c r="BY663"/>
      <c r="BZ663"/>
      <c r="CA663"/>
      <c r="CC663"/>
      <c r="CD663"/>
      <c r="CE663">
        <v>6</v>
      </c>
      <c r="CF663"/>
      <c r="CG663">
        <v>0.3</v>
      </c>
      <c r="CH663"/>
      <c r="CI663"/>
      <c r="CJ663"/>
      <c r="CK663" t="s">
        <v>8820</v>
      </c>
      <c r="CL663">
        <v>8</v>
      </c>
      <c r="CM663" s="392">
        <v>41802</v>
      </c>
    </row>
    <row r="664" spans="1:91" ht="15">
      <c r="A664" s="364" t="s">
        <v>7654</v>
      </c>
      <c r="B664" t="s">
        <v>267</v>
      </c>
      <c r="C664" t="s">
        <v>8213</v>
      </c>
      <c r="D664">
        <v>49</v>
      </c>
      <c r="E664" s="113">
        <v>15</v>
      </c>
      <c r="F664" s="113">
        <v>11</v>
      </c>
      <c r="I664"/>
      <c r="K664" s="224">
        <v>7</v>
      </c>
      <c r="L664" s="390">
        <v>41625</v>
      </c>
      <c r="M664"/>
      <c r="N664" s="224"/>
      <c r="O664"/>
      <c r="P664"/>
      <c r="Q664"/>
      <c r="S664" s="224"/>
      <c r="T664" s="224"/>
      <c r="U664"/>
      <c r="V664"/>
      <c r="W664"/>
      <c r="X664"/>
      <c r="Y664" s="225"/>
      <c r="Z664" s="224"/>
      <c r="AA664" s="226"/>
      <c r="AB664" s="224"/>
      <c r="AC664" s="225"/>
      <c r="AD664" s="224"/>
      <c r="AE664" s="224"/>
      <c r="AF664" s="224"/>
      <c r="AG664"/>
      <c r="AH664"/>
      <c r="AI664">
        <v>125</v>
      </c>
      <c r="AJ664" s="194">
        <v>41785</v>
      </c>
      <c r="AK664">
        <v>37</v>
      </c>
      <c r="AL664" s="395">
        <v>41677</v>
      </c>
      <c r="AM664">
        <v>90</v>
      </c>
      <c r="AN664" s="391">
        <v>41730</v>
      </c>
      <c r="AO664"/>
      <c r="AP664" s="391" t="s">
        <v>8819</v>
      </c>
      <c r="AQ664" s="227"/>
      <c r="AR664" s="227"/>
      <c r="AS664"/>
      <c r="AT664"/>
      <c r="AU664"/>
      <c r="AV664" s="391" t="s">
        <v>8819</v>
      </c>
      <c r="AW664"/>
      <c r="AX664" s="391" t="s">
        <v>8819</v>
      </c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>
        <v>50.1</v>
      </c>
      <c r="BT664"/>
      <c r="BU664">
        <v>18.2</v>
      </c>
      <c r="BV664"/>
      <c r="BW664"/>
      <c r="BX664" s="228"/>
      <c r="BY664"/>
      <c r="BZ664"/>
      <c r="CA664"/>
      <c r="CC664"/>
      <c r="CD664"/>
      <c r="CE664">
        <v>8.3000000000000007</v>
      </c>
      <c r="CF664"/>
      <c r="CG664">
        <v>0.1</v>
      </c>
      <c r="CH664"/>
      <c r="CI664"/>
      <c r="CJ664"/>
      <c r="CK664" t="s">
        <v>8820</v>
      </c>
      <c r="CL664">
        <v>1</v>
      </c>
      <c r="CM664" s="392">
        <v>41802</v>
      </c>
    </row>
    <row r="665" spans="1:91" ht="15">
      <c r="A665" s="364" t="s">
        <v>7655</v>
      </c>
      <c r="B665" t="s">
        <v>267</v>
      </c>
      <c r="C665" t="s">
        <v>8213</v>
      </c>
      <c r="D665">
        <v>50</v>
      </c>
      <c r="E665" s="113">
        <v>35</v>
      </c>
      <c r="F665" s="113">
        <v>12</v>
      </c>
      <c r="G665" s="233"/>
      <c r="H665" s="233"/>
      <c r="I665" s="232"/>
      <c r="J665" s="234"/>
      <c r="K665" s="235">
        <v>7</v>
      </c>
      <c r="L665" s="390">
        <v>41625</v>
      </c>
      <c r="M665" s="232"/>
      <c r="N665" s="235"/>
      <c r="O665" s="232"/>
      <c r="P665" s="232"/>
      <c r="Q665" s="232"/>
      <c r="R665" s="236"/>
      <c r="S665" s="235"/>
      <c r="T665" s="235"/>
      <c r="U665" s="232"/>
      <c r="V665" s="232"/>
      <c r="W665" s="232"/>
      <c r="X665" s="232"/>
      <c r="Y665" s="237"/>
      <c r="Z665" s="235"/>
      <c r="AA665" s="238"/>
      <c r="AB665" s="235"/>
      <c r="AC665" s="237"/>
      <c r="AD665" s="235"/>
      <c r="AE665" s="235"/>
      <c r="AF665" s="235"/>
      <c r="AG665" s="232"/>
      <c r="AH665" s="232"/>
      <c r="AI665" s="232">
        <v>145</v>
      </c>
      <c r="AJ665" s="194">
        <v>41785</v>
      </c>
      <c r="AK665" s="232">
        <v>37</v>
      </c>
      <c r="AL665" s="395">
        <v>41677</v>
      </c>
      <c r="AM665" s="232">
        <v>90</v>
      </c>
      <c r="AN665" s="391">
        <v>41730</v>
      </c>
      <c r="AO665" s="232"/>
      <c r="AP665" s="391" t="s">
        <v>8819</v>
      </c>
      <c r="AQ665" s="239"/>
      <c r="AR665" s="239"/>
      <c r="AS665" s="232"/>
      <c r="AT665" s="232"/>
      <c r="AU665" s="232"/>
      <c r="AV665" s="391" t="s">
        <v>8819</v>
      </c>
      <c r="AW665" s="232"/>
      <c r="AX665" s="391" t="s">
        <v>8819</v>
      </c>
      <c r="AY665" s="232"/>
      <c r="AZ665" s="232"/>
      <c r="BA665" s="232"/>
      <c r="BB665" s="232"/>
      <c r="BC665" s="232"/>
      <c r="BD665" s="232"/>
      <c r="BE665" s="232"/>
      <c r="BF665" s="232"/>
      <c r="BG665" s="232"/>
      <c r="BH665" s="232"/>
      <c r="BI665" s="232"/>
      <c r="BJ665" s="232"/>
      <c r="BK665" s="232"/>
      <c r="BL665" s="232"/>
      <c r="BM665" s="232"/>
      <c r="BN665" s="232"/>
      <c r="BO665" s="232"/>
      <c r="BP665" s="232"/>
      <c r="BQ665" s="232"/>
      <c r="BR665" s="232"/>
      <c r="BS665" s="232">
        <v>49.3</v>
      </c>
      <c r="BT665" s="232"/>
      <c r="BU665" s="232">
        <v>19.3</v>
      </c>
      <c r="BV665" s="232"/>
      <c r="BW665" s="232"/>
      <c r="BX665" s="243"/>
      <c r="BY665" s="232"/>
      <c r="BZ665" s="232"/>
      <c r="CA665" s="232"/>
      <c r="CB665" s="241"/>
      <c r="CC665" s="232"/>
      <c r="CD665" s="232"/>
      <c r="CE665" s="232">
        <v>6.3</v>
      </c>
      <c r="CF665" s="232"/>
      <c r="CG665" s="232">
        <v>0</v>
      </c>
      <c r="CH665" s="232"/>
      <c r="CI665" s="232"/>
      <c r="CJ665" s="232"/>
      <c r="CK665" t="s">
        <v>8820</v>
      </c>
      <c r="CL665" s="232">
        <v>3</v>
      </c>
      <c r="CM665" s="392">
        <v>41802</v>
      </c>
    </row>
    <row r="666" spans="1:91" ht="15">
      <c r="A666" s="364" t="s">
        <v>7656</v>
      </c>
      <c r="B666" t="s">
        <v>267</v>
      </c>
      <c r="C666" t="s">
        <v>8213</v>
      </c>
      <c r="D666">
        <v>51</v>
      </c>
      <c r="E666" s="113">
        <v>3</v>
      </c>
      <c r="F666" s="113">
        <v>12</v>
      </c>
      <c r="I666"/>
      <c r="K666" s="224">
        <v>8</v>
      </c>
      <c r="L666" s="390">
        <v>41625</v>
      </c>
      <c r="M666"/>
      <c r="N666" s="224"/>
      <c r="O666"/>
      <c r="P666"/>
      <c r="Q666"/>
      <c r="S666" s="224"/>
      <c r="T666" s="224"/>
      <c r="U666"/>
      <c r="V666"/>
      <c r="W666"/>
      <c r="X666"/>
      <c r="Y666" s="225"/>
      <c r="Z666" s="224"/>
      <c r="AA666" s="226"/>
      <c r="AB666" s="224"/>
      <c r="AC666" s="225"/>
      <c r="AD666" s="224"/>
      <c r="AE666" s="224"/>
      <c r="AF666" s="224"/>
      <c r="AG666"/>
      <c r="AH666"/>
      <c r="AI666">
        <v>135</v>
      </c>
      <c r="AJ666" s="194">
        <v>41785</v>
      </c>
      <c r="AK666">
        <v>37</v>
      </c>
      <c r="AL666" s="395">
        <v>41677</v>
      </c>
      <c r="AM666">
        <v>90</v>
      </c>
      <c r="AN666" s="391">
        <v>41730</v>
      </c>
      <c r="AO666"/>
      <c r="AP666" s="391" t="s">
        <v>8819</v>
      </c>
      <c r="AQ666" s="227"/>
      <c r="AR666" s="227"/>
      <c r="AS666"/>
      <c r="AT666"/>
      <c r="AU666"/>
      <c r="AV666" s="391" t="s">
        <v>8819</v>
      </c>
      <c r="AW666"/>
      <c r="AX666" s="391" t="s">
        <v>8819</v>
      </c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>
        <v>51</v>
      </c>
      <c r="BT666"/>
      <c r="BU666">
        <v>16.899999999999999</v>
      </c>
      <c r="BV666"/>
      <c r="BW666" s="229"/>
      <c r="BX666"/>
      <c r="BY666"/>
      <c r="BZ666"/>
      <c r="CA666"/>
      <c r="CC666"/>
      <c r="CD666"/>
      <c r="CE666">
        <v>5.3</v>
      </c>
      <c r="CF666"/>
      <c r="CG666">
        <v>0.3</v>
      </c>
      <c r="CH666"/>
      <c r="CI666"/>
      <c r="CJ666"/>
      <c r="CK666" t="s">
        <v>8820</v>
      </c>
      <c r="CL666">
        <v>3</v>
      </c>
      <c r="CM666" s="392">
        <v>41802</v>
      </c>
    </row>
    <row r="667" spans="1:91" ht="15">
      <c r="A667" s="364" t="s">
        <v>7658</v>
      </c>
      <c r="B667" t="s">
        <v>267</v>
      </c>
      <c r="C667" t="s">
        <v>8213</v>
      </c>
      <c r="D667" s="232">
        <v>53</v>
      </c>
      <c r="E667" s="113">
        <v>14</v>
      </c>
      <c r="F667" s="113">
        <v>7</v>
      </c>
      <c r="I667"/>
      <c r="K667" s="224">
        <v>6</v>
      </c>
      <c r="L667" s="390">
        <v>41625</v>
      </c>
      <c r="M667"/>
      <c r="N667" s="224"/>
      <c r="O667"/>
      <c r="P667"/>
      <c r="Q667"/>
      <c r="S667" s="224"/>
      <c r="T667" s="224"/>
      <c r="U667"/>
      <c r="V667"/>
      <c r="W667"/>
      <c r="X667"/>
      <c r="Y667" s="225"/>
      <c r="Z667" s="224"/>
      <c r="AA667" s="226"/>
      <c r="AB667" s="224"/>
      <c r="AC667" s="225"/>
      <c r="AD667" s="224"/>
      <c r="AE667" s="224"/>
      <c r="AF667" s="224"/>
      <c r="AG667"/>
      <c r="AH667"/>
      <c r="AI667">
        <v>155</v>
      </c>
      <c r="AJ667" s="194">
        <v>41785</v>
      </c>
      <c r="AK667">
        <v>37</v>
      </c>
      <c r="AL667" s="395">
        <v>41677</v>
      </c>
      <c r="AM667">
        <v>93</v>
      </c>
      <c r="AN667" s="391">
        <v>41733</v>
      </c>
      <c r="AO667"/>
      <c r="AP667" s="391">
        <v>41737</v>
      </c>
      <c r="AQ667" s="227"/>
      <c r="AR667" s="227"/>
      <c r="AS667"/>
      <c r="AT667"/>
      <c r="AU667"/>
      <c r="AV667" s="391" t="s">
        <v>8819</v>
      </c>
      <c r="AW667"/>
      <c r="AX667" s="391" t="s">
        <v>8819</v>
      </c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>
        <v>53.7</v>
      </c>
      <c r="BT667"/>
      <c r="BU667">
        <v>15.6</v>
      </c>
      <c r="BV667"/>
      <c r="BW667" s="229"/>
      <c r="BX667"/>
      <c r="BY667"/>
      <c r="BZ667"/>
      <c r="CA667"/>
      <c r="CC667"/>
      <c r="CD667"/>
      <c r="CE667">
        <v>7</v>
      </c>
      <c r="CF667"/>
      <c r="CG667">
        <v>0</v>
      </c>
      <c r="CH667"/>
      <c r="CI667"/>
      <c r="CJ667"/>
      <c r="CK667" t="s">
        <v>8820</v>
      </c>
      <c r="CL667">
        <v>1</v>
      </c>
      <c r="CM667" s="392">
        <v>41802</v>
      </c>
    </row>
    <row r="668" spans="1:91" ht="15">
      <c r="A668" s="364" t="s">
        <v>7659</v>
      </c>
      <c r="B668" t="s">
        <v>267</v>
      </c>
      <c r="C668" t="s">
        <v>8213</v>
      </c>
      <c r="D668">
        <v>54</v>
      </c>
      <c r="E668" s="113">
        <v>27</v>
      </c>
      <c r="F668" s="113">
        <v>12</v>
      </c>
      <c r="G668" s="233"/>
      <c r="H668" s="233"/>
      <c r="I668" s="232"/>
      <c r="J668" s="234"/>
      <c r="K668" s="235">
        <v>7</v>
      </c>
      <c r="L668" s="390">
        <v>41625</v>
      </c>
      <c r="M668" s="232"/>
      <c r="N668" s="235"/>
      <c r="O668" s="232"/>
      <c r="P668" s="232"/>
      <c r="Q668" s="232"/>
      <c r="R668" s="236"/>
      <c r="S668" s="235"/>
      <c r="T668" s="235"/>
      <c r="U668" s="232"/>
      <c r="V668" s="232"/>
      <c r="W668" s="232"/>
      <c r="X668" s="232"/>
      <c r="Y668" s="237"/>
      <c r="Z668" s="235"/>
      <c r="AA668" s="238"/>
      <c r="AB668" s="235"/>
      <c r="AC668" s="237"/>
      <c r="AD668" s="235"/>
      <c r="AE668" s="235"/>
      <c r="AF668" s="235"/>
      <c r="AG668" s="232"/>
      <c r="AH668" s="232"/>
      <c r="AI668" s="232">
        <v>145</v>
      </c>
      <c r="AJ668" s="194">
        <v>41785</v>
      </c>
      <c r="AK668" s="232">
        <v>37</v>
      </c>
      <c r="AL668" s="395">
        <v>41677</v>
      </c>
      <c r="AM668" s="232">
        <v>93</v>
      </c>
      <c r="AN668" s="391">
        <v>41733</v>
      </c>
      <c r="AO668" s="232"/>
      <c r="AP668" s="391">
        <v>41737</v>
      </c>
      <c r="AQ668" s="239"/>
      <c r="AR668" s="239"/>
      <c r="AS668" s="232"/>
      <c r="AT668" s="232"/>
      <c r="AU668" s="232"/>
      <c r="AV668" s="391">
        <v>41740</v>
      </c>
      <c r="AW668" s="232"/>
      <c r="AX668" s="391" t="s">
        <v>8819</v>
      </c>
      <c r="AY668" s="232"/>
      <c r="AZ668" s="232"/>
      <c r="BA668" s="232"/>
      <c r="BB668" s="232"/>
      <c r="BC668" s="232"/>
      <c r="BD668" s="232"/>
      <c r="BE668" s="232"/>
      <c r="BF668" s="232"/>
      <c r="BG668" s="232"/>
      <c r="BH668" s="232"/>
      <c r="BI668" s="232"/>
      <c r="BJ668" s="232"/>
      <c r="BK668" s="232"/>
      <c r="BL668" s="232"/>
      <c r="BM668" s="232"/>
      <c r="BN668" s="232"/>
      <c r="BO668" s="232"/>
      <c r="BP668" s="232"/>
      <c r="BQ668" s="232"/>
      <c r="BR668" s="232"/>
      <c r="BS668" s="232">
        <v>52</v>
      </c>
      <c r="BT668" s="232"/>
      <c r="BU668" s="232">
        <v>16.8</v>
      </c>
      <c r="BV668" s="232"/>
      <c r="BW668" s="240"/>
      <c r="BX668" s="232"/>
      <c r="BY668" s="232"/>
      <c r="BZ668" s="232"/>
      <c r="CA668" s="232"/>
      <c r="CB668" s="241"/>
      <c r="CC668" s="232"/>
      <c r="CD668" s="232"/>
      <c r="CE668" s="232">
        <v>6.1</v>
      </c>
      <c r="CF668" s="232"/>
      <c r="CG668" s="232">
        <v>0.3</v>
      </c>
      <c r="CH668" s="232"/>
      <c r="CI668" s="232"/>
      <c r="CJ668" s="232"/>
      <c r="CK668" t="s">
        <v>8820</v>
      </c>
      <c r="CL668" s="232">
        <v>1</v>
      </c>
      <c r="CM668" s="392">
        <v>41802</v>
      </c>
    </row>
    <row r="669" spans="1:91" ht="15">
      <c r="A669" s="364" t="s">
        <v>7660</v>
      </c>
      <c r="B669" t="s">
        <v>267</v>
      </c>
      <c r="C669" t="s">
        <v>8213</v>
      </c>
      <c r="D669">
        <v>55</v>
      </c>
      <c r="E669" s="113">
        <v>20</v>
      </c>
      <c r="F669" s="113">
        <v>10</v>
      </c>
      <c r="I669"/>
      <c r="K669" s="224">
        <v>7</v>
      </c>
      <c r="L669" s="390">
        <v>41625</v>
      </c>
      <c r="M669"/>
      <c r="N669" s="224"/>
      <c r="O669"/>
      <c r="P669"/>
      <c r="Q669"/>
      <c r="S669" s="224"/>
      <c r="T669" s="224"/>
      <c r="U669"/>
      <c r="V669"/>
      <c r="W669"/>
      <c r="X669"/>
      <c r="Y669" s="225"/>
      <c r="Z669" s="224"/>
      <c r="AA669" s="226"/>
      <c r="AB669" s="224"/>
      <c r="AC669" s="225"/>
      <c r="AD669" s="224"/>
      <c r="AE669" s="224"/>
      <c r="AF669" s="224"/>
      <c r="AG669"/>
      <c r="AH669"/>
      <c r="AI669">
        <v>145</v>
      </c>
      <c r="AJ669" s="194">
        <v>41785</v>
      </c>
      <c r="AK669">
        <v>37</v>
      </c>
      <c r="AL669" s="395">
        <v>41677</v>
      </c>
      <c r="AM669">
        <v>93</v>
      </c>
      <c r="AN669" s="391">
        <v>41733</v>
      </c>
      <c r="AO669"/>
      <c r="AP669" s="391">
        <v>41737</v>
      </c>
      <c r="AQ669" s="227"/>
      <c r="AR669" s="227"/>
      <c r="AS669"/>
      <c r="AT669"/>
      <c r="AU669"/>
      <c r="AV669" s="391" t="s">
        <v>8819</v>
      </c>
      <c r="AW669"/>
      <c r="AX669" s="391" t="s">
        <v>8819</v>
      </c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>
        <v>50.3</v>
      </c>
      <c r="BT669"/>
      <c r="BU669">
        <v>17.100000000000001</v>
      </c>
      <c r="BV669"/>
      <c r="BW669" s="229"/>
      <c r="BX669"/>
      <c r="BY669"/>
      <c r="BZ669"/>
      <c r="CA669"/>
      <c r="CC669"/>
      <c r="CD669"/>
      <c r="CE669">
        <v>5.9</v>
      </c>
      <c r="CF669"/>
      <c r="CG669">
        <v>0.7</v>
      </c>
      <c r="CH669"/>
      <c r="CI669"/>
      <c r="CJ669"/>
      <c r="CK669" t="s">
        <v>8820</v>
      </c>
      <c r="CL669">
        <v>1</v>
      </c>
      <c r="CM669" s="392">
        <v>41802</v>
      </c>
    </row>
    <row r="670" spans="1:91" ht="15">
      <c r="A670" s="364" t="s">
        <v>7661</v>
      </c>
      <c r="B670" t="s">
        <v>267</v>
      </c>
      <c r="C670" t="s">
        <v>8213</v>
      </c>
      <c r="D670">
        <v>56</v>
      </c>
      <c r="E670" s="113">
        <v>29</v>
      </c>
      <c r="F670" s="113">
        <v>10</v>
      </c>
      <c r="I670"/>
      <c r="K670" s="224">
        <v>7</v>
      </c>
      <c r="L670" s="390">
        <v>41625</v>
      </c>
      <c r="M670"/>
      <c r="N670" s="224"/>
      <c r="O670"/>
      <c r="P670"/>
      <c r="Q670"/>
      <c r="S670" s="224"/>
      <c r="T670" s="224"/>
      <c r="U670"/>
      <c r="V670"/>
      <c r="W670"/>
      <c r="X670"/>
      <c r="Y670" s="225"/>
      <c r="Z670" s="224"/>
      <c r="AA670" s="226"/>
      <c r="AB670" s="224"/>
      <c r="AC670" s="225"/>
      <c r="AD670" s="224"/>
      <c r="AE670" s="224"/>
      <c r="AF670" s="224"/>
      <c r="AG670"/>
      <c r="AH670"/>
      <c r="AI670">
        <v>155</v>
      </c>
      <c r="AJ670" s="194">
        <v>41785</v>
      </c>
      <c r="AK670">
        <v>37</v>
      </c>
      <c r="AL670" s="395">
        <v>41677</v>
      </c>
      <c r="AM670">
        <v>97</v>
      </c>
      <c r="AN670" s="391">
        <v>41737</v>
      </c>
      <c r="AO670"/>
      <c r="AP670" s="391" t="s">
        <v>8819</v>
      </c>
      <c r="AQ670" s="227"/>
      <c r="AR670" s="227"/>
      <c r="AS670"/>
      <c r="AT670"/>
      <c r="AU670"/>
      <c r="AV670" s="391">
        <v>41740</v>
      </c>
      <c r="AW670"/>
      <c r="AX670" s="391" t="s">
        <v>8819</v>
      </c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>
        <v>51.3</v>
      </c>
      <c r="BT670"/>
      <c r="BU670">
        <v>17</v>
      </c>
      <c r="BV670"/>
      <c r="BW670" s="229"/>
      <c r="BX670"/>
      <c r="BY670"/>
      <c r="BZ670"/>
      <c r="CA670"/>
      <c r="CC670"/>
      <c r="CD670"/>
      <c r="CE670">
        <v>6.1</v>
      </c>
      <c r="CF670"/>
      <c r="CG670">
        <v>0</v>
      </c>
      <c r="CH670"/>
      <c r="CI670"/>
      <c r="CJ670"/>
      <c r="CK670" t="s">
        <v>8820</v>
      </c>
      <c r="CL670">
        <v>1</v>
      </c>
      <c r="CM670" s="392">
        <v>41802</v>
      </c>
    </row>
    <row r="671" spans="1:91" ht="15">
      <c r="A671" s="364" t="s">
        <v>7662</v>
      </c>
      <c r="B671" t="s">
        <v>267</v>
      </c>
      <c r="C671" t="s">
        <v>8213</v>
      </c>
      <c r="D671">
        <v>57</v>
      </c>
      <c r="E671" s="113">
        <v>11</v>
      </c>
      <c r="F671" s="113">
        <v>9</v>
      </c>
      <c r="I671"/>
      <c r="K671" s="224">
        <v>6</v>
      </c>
      <c r="L671" s="390">
        <v>41625</v>
      </c>
      <c r="M671"/>
      <c r="N671" s="224"/>
      <c r="O671"/>
      <c r="P671"/>
      <c r="Q671"/>
      <c r="S671" s="224"/>
      <c r="T671" s="224"/>
      <c r="U671"/>
      <c r="V671"/>
      <c r="W671"/>
      <c r="X671"/>
      <c r="Y671" s="225"/>
      <c r="Z671" s="224"/>
      <c r="AA671" s="226"/>
      <c r="AB671" s="224"/>
      <c r="AC671" s="225"/>
      <c r="AD671" s="224"/>
      <c r="AE671" s="224"/>
      <c r="AF671" s="224"/>
      <c r="AG671"/>
      <c r="AH671"/>
      <c r="AI671">
        <v>150</v>
      </c>
      <c r="AJ671" s="194">
        <v>41785</v>
      </c>
      <c r="AK671">
        <v>37</v>
      </c>
      <c r="AL671" s="395">
        <v>41677</v>
      </c>
      <c r="AM671">
        <v>93</v>
      </c>
      <c r="AN671" s="391">
        <v>41733</v>
      </c>
      <c r="AO671"/>
      <c r="AP671" s="391" t="s">
        <v>8819</v>
      </c>
      <c r="AQ671" s="227"/>
      <c r="AR671" s="227"/>
      <c r="AS671"/>
      <c r="AT671"/>
      <c r="AU671"/>
      <c r="AV671" s="391">
        <v>41737</v>
      </c>
      <c r="AW671"/>
      <c r="AX671" s="391" t="s">
        <v>8819</v>
      </c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>
        <v>50.6</v>
      </c>
      <c r="BT671"/>
      <c r="BU671">
        <v>17.2</v>
      </c>
      <c r="BV671"/>
      <c r="BW671"/>
      <c r="BX671" s="228"/>
      <c r="BY671"/>
      <c r="BZ671"/>
      <c r="CA671"/>
      <c r="CC671"/>
      <c r="CD671"/>
      <c r="CE671">
        <v>5.9</v>
      </c>
      <c r="CF671"/>
      <c r="CG671">
        <v>0.1</v>
      </c>
      <c r="CH671"/>
      <c r="CI671"/>
      <c r="CJ671"/>
      <c r="CK671" t="s">
        <v>8820</v>
      </c>
      <c r="CL671">
        <v>1</v>
      </c>
      <c r="CM671" s="392">
        <v>41802</v>
      </c>
    </row>
    <row r="672" spans="1:91" ht="15">
      <c r="A672" s="364" t="s">
        <v>7663</v>
      </c>
      <c r="B672" t="s">
        <v>267</v>
      </c>
      <c r="C672" t="s">
        <v>8213</v>
      </c>
      <c r="D672">
        <v>58</v>
      </c>
      <c r="E672" s="113">
        <v>11</v>
      </c>
      <c r="F672" s="113">
        <v>8</v>
      </c>
      <c r="G672" s="233"/>
      <c r="H672" s="233"/>
      <c r="I672" s="232"/>
      <c r="J672" s="234"/>
      <c r="K672" s="235">
        <v>7</v>
      </c>
      <c r="L672" s="390">
        <v>41625</v>
      </c>
      <c r="M672" s="232"/>
      <c r="N672" s="235"/>
      <c r="O672" s="232"/>
      <c r="P672" s="232"/>
      <c r="Q672" s="232"/>
      <c r="R672" s="236"/>
      <c r="S672" s="235"/>
      <c r="T672" s="235"/>
      <c r="U672" s="232"/>
      <c r="V672" s="232"/>
      <c r="W672" s="232"/>
      <c r="X672" s="232"/>
      <c r="Y672" s="237"/>
      <c r="Z672" s="235"/>
      <c r="AA672" s="238"/>
      <c r="AB672" s="235"/>
      <c r="AC672" s="237"/>
      <c r="AD672" s="235"/>
      <c r="AE672" s="235"/>
      <c r="AF672" s="235"/>
      <c r="AG672" s="232"/>
      <c r="AH672" s="232"/>
      <c r="AI672" s="232">
        <v>150</v>
      </c>
      <c r="AJ672" s="194">
        <v>41785</v>
      </c>
      <c r="AK672" s="232">
        <v>37</v>
      </c>
      <c r="AL672" s="395">
        <v>41677</v>
      </c>
      <c r="AM672" s="232">
        <v>97</v>
      </c>
      <c r="AN672" s="391">
        <v>41737</v>
      </c>
      <c r="AO672" s="232"/>
      <c r="AP672" s="391">
        <v>41740</v>
      </c>
      <c r="AQ672" s="239"/>
      <c r="AR672" s="239"/>
      <c r="AS672" s="232"/>
      <c r="AT672" s="232"/>
      <c r="AU672" s="232"/>
      <c r="AV672" s="391" t="s">
        <v>8819</v>
      </c>
      <c r="AW672" s="232"/>
      <c r="AX672" s="391" t="s">
        <v>8819</v>
      </c>
      <c r="AY672" s="232"/>
      <c r="AZ672" s="232"/>
      <c r="BA672" s="232"/>
      <c r="BB672" s="232"/>
      <c r="BC672" s="232"/>
      <c r="BD672" s="232"/>
      <c r="BE672" s="232"/>
      <c r="BF672" s="232"/>
      <c r="BG672" s="232"/>
      <c r="BH672" s="232"/>
      <c r="BI672" s="232"/>
      <c r="BJ672" s="232"/>
      <c r="BK672" s="232"/>
      <c r="BL672" s="232"/>
      <c r="BM672" s="232"/>
      <c r="BN672" s="232"/>
      <c r="BO672" s="232"/>
      <c r="BP672" s="232"/>
      <c r="BQ672" s="232"/>
      <c r="BR672" s="232"/>
      <c r="BS672" s="232">
        <v>49</v>
      </c>
      <c r="BT672" s="232"/>
      <c r="BU672" s="232">
        <v>18.100000000000001</v>
      </c>
      <c r="BV672" s="232"/>
      <c r="BW672" s="240"/>
      <c r="BX672" s="232"/>
      <c r="BY672" s="232"/>
      <c r="BZ672" s="232"/>
      <c r="CA672" s="232"/>
      <c r="CB672" s="241"/>
      <c r="CC672" s="232"/>
      <c r="CD672" s="232"/>
      <c r="CE672" s="232">
        <v>5.8</v>
      </c>
      <c r="CF672" s="232"/>
      <c r="CG672" s="232">
        <v>0.1</v>
      </c>
      <c r="CH672" s="232"/>
      <c r="CI672" s="232"/>
      <c r="CJ672" s="232"/>
      <c r="CK672" t="s">
        <v>8820</v>
      </c>
      <c r="CL672" s="232">
        <v>1</v>
      </c>
      <c r="CM672" s="392">
        <v>41802</v>
      </c>
    </row>
    <row r="673" spans="1:91" ht="15">
      <c r="A673" s="364" t="s">
        <v>7664</v>
      </c>
      <c r="B673" t="s">
        <v>267</v>
      </c>
      <c r="C673" t="s">
        <v>8213</v>
      </c>
      <c r="D673">
        <v>59</v>
      </c>
      <c r="E673" s="113">
        <v>19</v>
      </c>
      <c r="F673" s="113">
        <v>7</v>
      </c>
      <c r="I673"/>
      <c r="K673" s="224">
        <v>7</v>
      </c>
      <c r="L673" s="390">
        <v>41625</v>
      </c>
      <c r="M673"/>
      <c r="N673" s="224"/>
      <c r="O673"/>
      <c r="P673"/>
      <c r="Q673"/>
      <c r="S673" s="224"/>
      <c r="T673" s="224"/>
      <c r="U673"/>
      <c r="V673"/>
      <c r="W673"/>
      <c r="X673"/>
      <c r="Y673" s="225"/>
      <c r="Z673" s="224"/>
      <c r="AA673" s="226"/>
      <c r="AB673" s="224"/>
      <c r="AC673" s="225"/>
      <c r="AD673" s="224"/>
      <c r="AE673" s="224"/>
      <c r="AF673" s="224"/>
      <c r="AG673"/>
      <c r="AH673"/>
      <c r="AI673">
        <v>150</v>
      </c>
      <c r="AJ673" s="194">
        <v>41785</v>
      </c>
      <c r="AK673">
        <v>37</v>
      </c>
      <c r="AL673" s="395">
        <v>41677</v>
      </c>
      <c r="AM673">
        <v>90</v>
      </c>
      <c r="AN673" s="391">
        <v>41730</v>
      </c>
      <c r="AO673"/>
      <c r="AP673" s="391" t="s">
        <v>8819</v>
      </c>
      <c r="AQ673" s="227"/>
      <c r="AR673" s="227"/>
      <c r="AS673"/>
      <c r="AT673"/>
      <c r="AU673"/>
      <c r="AV673" s="391" t="s">
        <v>8819</v>
      </c>
      <c r="AW673"/>
      <c r="AX673" s="391" t="s">
        <v>8819</v>
      </c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>
        <v>51.8</v>
      </c>
      <c r="BT673"/>
      <c r="BU673">
        <v>17.3</v>
      </c>
      <c r="BV673"/>
      <c r="BW673" s="229"/>
      <c r="BX673"/>
      <c r="BY673"/>
      <c r="BZ673"/>
      <c r="CA673"/>
      <c r="CC673"/>
      <c r="CD673"/>
      <c r="CE673">
        <v>5.9</v>
      </c>
      <c r="CF673"/>
      <c r="CG673">
        <v>0.1</v>
      </c>
      <c r="CH673"/>
      <c r="CI673"/>
      <c r="CJ673"/>
      <c r="CK673" t="s">
        <v>8820</v>
      </c>
      <c r="CL673">
        <v>1</v>
      </c>
      <c r="CM673" s="392">
        <v>41802</v>
      </c>
    </row>
    <row r="674" spans="1:91" ht="15">
      <c r="A674" s="364" t="s">
        <v>7665</v>
      </c>
      <c r="B674" t="s">
        <v>267</v>
      </c>
      <c r="C674" t="s">
        <v>8213</v>
      </c>
      <c r="D674">
        <v>60</v>
      </c>
      <c r="E674" s="113">
        <v>12</v>
      </c>
      <c r="F674" s="113">
        <v>9</v>
      </c>
      <c r="I674"/>
      <c r="K674" s="224">
        <v>6</v>
      </c>
      <c r="L674" s="390">
        <v>41625</v>
      </c>
      <c r="M674"/>
      <c r="N674" s="224"/>
      <c r="O674"/>
      <c r="P674"/>
      <c r="Q674"/>
      <c r="S674" s="224"/>
      <c r="T674" s="224"/>
      <c r="U674"/>
      <c r="V674"/>
      <c r="W674"/>
      <c r="X674"/>
      <c r="Y674" s="225"/>
      <c r="Z674" s="224"/>
      <c r="AA674" s="226"/>
      <c r="AB674" s="224"/>
      <c r="AC674" s="225"/>
      <c r="AD674" s="224"/>
      <c r="AE674" s="224"/>
      <c r="AF674" s="224"/>
      <c r="AG674"/>
      <c r="AH674"/>
      <c r="AI674">
        <v>140</v>
      </c>
      <c r="AJ674" s="194">
        <v>41785</v>
      </c>
      <c r="AK674">
        <v>31</v>
      </c>
      <c r="AL674" s="395">
        <v>41671</v>
      </c>
      <c r="AM674">
        <v>90</v>
      </c>
      <c r="AN674" s="391">
        <v>41730</v>
      </c>
      <c r="AO674"/>
      <c r="AP674" s="391" t="s">
        <v>8819</v>
      </c>
      <c r="AQ674" s="227"/>
      <c r="AR674" s="227"/>
      <c r="AS674"/>
      <c r="AT674"/>
      <c r="AU674"/>
      <c r="AV674" s="391">
        <v>41737</v>
      </c>
      <c r="AW674"/>
      <c r="AX674" s="391" t="s">
        <v>8819</v>
      </c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>
        <v>52.1</v>
      </c>
      <c r="BT674"/>
      <c r="BU674">
        <v>17</v>
      </c>
      <c r="BV674"/>
      <c r="BW674" s="229"/>
      <c r="BX674"/>
      <c r="BY674"/>
      <c r="BZ674"/>
      <c r="CA674"/>
      <c r="CC674"/>
      <c r="CD674"/>
      <c r="CE674">
        <v>6</v>
      </c>
      <c r="CF674"/>
      <c r="CG674">
        <v>0.2</v>
      </c>
      <c r="CH674"/>
      <c r="CI674"/>
      <c r="CJ674"/>
      <c r="CK674" t="s">
        <v>8820</v>
      </c>
      <c r="CL674">
        <v>1</v>
      </c>
      <c r="CM674" s="392">
        <v>41802</v>
      </c>
    </row>
    <row r="675" spans="1:91" ht="15">
      <c r="A675" s="364" t="s">
        <v>7666</v>
      </c>
      <c r="B675" t="s">
        <v>267</v>
      </c>
      <c r="C675" t="s">
        <v>8213</v>
      </c>
      <c r="D675">
        <v>61</v>
      </c>
      <c r="E675" s="113">
        <v>11</v>
      </c>
      <c r="F675" s="113">
        <v>7</v>
      </c>
      <c r="I675"/>
      <c r="K675" s="224">
        <v>6</v>
      </c>
      <c r="L675" s="390">
        <v>41625</v>
      </c>
      <c r="M675"/>
      <c r="N675" s="224"/>
      <c r="O675"/>
      <c r="P675"/>
      <c r="Q675"/>
      <c r="S675" s="224"/>
      <c r="T675" s="224"/>
      <c r="U675"/>
      <c r="V675"/>
      <c r="W675"/>
      <c r="X675"/>
      <c r="Y675" s="225"/>
      <c r="Z675" s="224"/>
      <c r="AA675" s="226"/>
      <c r="AB675" s="224"/>
      <c r="AC675" s="225"/>
      <c r="AD675" s="224"/>
      <c r="AE675" s="224"/>
      <c r="AF675" s="224"/>
      <c r="AG675"/>
      <c r="AH675"/>
      <c r="AI675">
        <v>150</v>
      </c>
      <c r="AJ675" s="194">
        <v>41785</v>
      </c>
      <c r="AK675">
        <v>31</v>
      </c>
      <c r="AL675" s="395">
        <v>41671</v>
      </c>
      <c r="AM675">
        <v>90</v>
      </c>
      <c r="AN675" s="391">
        <v>41730</v>
      </c>
      <c r="AO675"/>
      <c r="AP675" s="391" t="s">
        <v>8819</v>
      </c>
      <c r="AQ675" s="227"/>
      <c r="AR675" s="227"/>
      <c r="AS675"/>
      <c r="AT675"/>
      <c r="AU675"/>
      <c r="AV675" s="391" t="s">
        <v>8819</v>
      </c>
      <c r="AW675">
        <v>111</v>
      </c>
      <c r="AX675" s="391">
        <v>41751</v>
      </c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>
        <v>51.8</v>
      </c>
      <c r="BT675"/>
      <c r="BU675">
        <v>17.100000000000001</v>
      </c>
      <c r="BV675"/>
      <c r="BW675"/>
      <c r="BX675" s="228"/>
      <c r="BY675"/>
      <c r="BZ675"/>
      <c r="CA675"/>
      <c r="CC675"/>
      <c r="CD675"/>
      <c r="CE675">
        <v>5.7</v>
      </c>
      <c r="CF675"/>
      <c r="CG675">
        <v>0.2</v>
      </c>
      <c r="CH675"/>
      <c r="CI675"/>
      <c r="CJ675"/>
      <c r="CK675" t="s">
        <v>8820</v>
      </c>
      <c r="CL675">
        <v>1</v>
      </c>
      <c r="CM675" s="392">
        <v>41802</v>
      </c>
    </row>
    <row r="676" spans="1:91" ht="15">
      <c r="A676" s="364" t="s">
        <v>7667</v>
      </c>
      <c r="B676" t="s">
        <v>267</v>
      </c>
      <c r="C676" t="s">
        <v>8213</v>
      </c>
      <c r="D676">
        <v>62</v>
      </c>
      <c r="E676" s="113">
        <v>17</v>
      </c>
      <c r="F676" s="113">
        <v>10</v>
      </c>
      <c r="G676" s="233"/>
      <c r="H676" s="233"/>
      <c r="I676" s="232"/>
      <c r="J676" s="234"/>
      <c r="K676" s="235">
        <v>6</v>
      </c>
      <c r="L676" s="390">
        <v>41625</v>
      </c>
      <c r="M676" s="232"/>
      <c r="N676" s="235"/>
      <c r="O676" s="232"/>
      <c r="P676" s="232"/>
      <c r="Q676" s="232"/>
      <c r="R676" s="236"/>
      <c r="S676" s="235"/>
      <c r="T676" s="235"/>
      <c r="U676" s="232"/>
      <c r="V676" s="232"/>
      <c r="W676" s="232"/>
      <c r="X676" s="232"/>
      <c r="Y676" s="237"/>
      <c r="Z676" s="235"/>
      <c r="AA676" s="238"/>
      <c r="AB676" s="235"/>
      <c r="AC676" s="237"/>
      <c r="AD676" s="235"/>
      <c r="AE676" s="235"/>
      <c r="AF676" s="235"/>
      <c r="AG676" s="232"/>
      <c r="AH676" s="232"/>
      <c r="AI676" s="232">
        <v>135</v>
      </c>
      <c r="AJ676" s="194">
        <v>41785</v>
      </c>
      <c r="AK676" s="232">
        <v>37</v>
      </c>
      <c r="AL676" s="395">
        <v>41677</v>
      </c>
      <c r="AM676" s="232">
        <v>93</v>
      </c>
      <c r="AN676" s="391">
        <v>41733</v>
      </c>
      <c r="AO676" s="232"/>
      <c r="AP676" s="391">
        <v>41737</v>
      </c>
      <c r="AQ676" s="239"/>
      <c r="AR676" s="239"/>
      <c r="AS676" s="232"/>
      <c r="AT676" s="232"/>
      <c r="AU676" s="232"/>
      <c r="AV676" s="391">
        <v>41740</v>
      </c>
      <c r="AW676" s="232"/>
      <c r="AX676" s="391" t="s">
        <v>8819</v>
      </c>
      <c r="AY676" s="232"/>
      <c r="AZ676" s="232"/>
      <c r="BA676" s="232"/>
      <c r="BB676" s="232"/>
      <c r="BC676" s="232"/>
      <c r="BD676" s="232"/>
      <c r="BE676" s="232"/>
      <c r="BF676" s="232"/>
      <c r="BG676" s="232"/>
      <c r="BH676" s="232"/>
      <c r="BI676" s="232"/>
      <c r="BJ676" s="232"/>
      <c r="BK676" s="232"/>
      <c r="BL676" s="232"/>
      <c r="BM676" s="232"/>
      <c r="BN676" s="232"/>
      <c r="BO676" s="232"/>
      <c r="BP676" s="232"/>
      <c r="BQ676" s="232"/>
      <c r="BR676" s="232"/>
      <c r="BS676" s="232">
        <v>49.3</v>
      </c>
      <c r="BT676" s="232"/>
      <c r="BU676" s="232">
        <v>19</v>
      </c>
      <c r="BV676" s="232"/>
      <c r="BW676" s="232"/>
      <c r="BX676" s="243"/>
      <c r="BY676" s="232"/>
      <c r="BZ676" s="232"/>
      <c r="CA676" s="232"/>
      <c r="CB676" s="241"/>
      <c r="CC676" s="232"/>
      <c r="CD676" s="232"/>
      <c r="CE676" s="232">
        <v>8.3000000000000007</v>
      </c>
      <c r="CF676" s="232"/>
      <c r="CG676" s="232">
        <v>0.6</v>
      </c>
      <c r="CH676" s="232"/>
      <c r="CI676" s="232"/>
      <c r="CJ676" s="232"/>
      <c r="CK676" t="s">
        <v>8820</v>
      </c>
      <c r="CL676" s="232">
        <v>1</v>
      </c>
      <c r="CM676" s="392">
        <v>41802</v>
      </c>
    </row>
    <row r="677" spans="1:91" ht="15">
      <c r="A677" s="364" t="s">
        <v>7668</v>
      </c>
      <c r="B677" t="s">
        <v>267</v>
      </c>
      <c r="C677" t="s">
        <v>8213</v>
      </c>
      <c r="D677">
        <v>63</v>
      </c>
      <c r="E677" s="113">
        <v>27</v>
      </c>
      <c r="F677" s="113">
        <v>8</v>
      </c>
      <c r="I677"/>
      <c r="K677" s="224">
        <v>6</v>
      </c>
      <c r="L677" s="390">
        <v>41625</v>
      </c>
      <c r="M677"/>
      <c r="N677" s="224"/>
      <c r="O677"/>
      <c r="P677"/>
      <c r="Q677"/>
      <c r="S677" s="224"/>
      <c r="T677" s="224"/>
      <c r="U677"/>
      <c r="V677"/>
      <c r="W677"/>
      <c r="X677"/>
      <c r="Y677" s="225"/>
      <c r="Z677" s="224"/>
      <c r="AA677" s="226"/>
      <c r="AB677" s="224"/>
      <c r="AC677" s="225"/>
      <c r="AD677" s="224"/>
      <c r="AE677" s="224"/>
      <c r="AF677" s="224"/>
      <c r="AG677"/>
      <c r="AH677"/>
      <c r="AI677">
        <v>150</v>
      </c>
      <c r="AJ677" s="194">
        <v>41785</v>
      </c>
      <c r="AK677">
        <v>37</v>
      </c>
      <c r="AL677" s="395">
        <v>41677</v>
      </c>
      <c r="AM677">
        <v>93</v>
      </c>
      <c r="AN677" s="391">
        <v>41733</v>
      </c>
      <c r="AO677"/>
      <c r="AP677" s="391" t="s">
        <v>8819</v>
      </c>
      <c r="AQ677" s="227"/>
      <c r="AR677" s="227"/>
      <c r="AS677"/>
      <c r="AT677"/>
      <c r="AU677"/>
      <c r="AV677" s="391">
        <v>41737</v>
      </c>
      <c r="AW677"/>
      <c r="AX677" s="391" t="s">
        <v>8819</v>
      </c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>
        <v>51</v>
      </c>
      <c r="BT677"/>
      <c r="BU677">
        <v>18.600000000000001</v>
      </c>
      <c r="BV677"/>
      <c r="BW677"/>
      <c r="BX677" s="228"/>
      <c r="BY677"/>
      <c r="BZ677"/>
      <c r="CA677"/>
      <c r="CC677"/>
      <c r="CD677"/>
      <c r="CE677">
        <v>5.4</v>
      </c>
      <c r="CF677"/>
      <c r="CG677">
        <v>0.3</v>
      </c>
      <c r="CH677"/>
      <c r="CI677"/>
      <c r="CJ677"/>
      <c r="CK677" t="s">
        <v>8820</v>
      </c>
      <c r="CL677">
        <v>1</v>
      </c>
      <c r="CM677" s="392">
        <v>41802</v>
      </c>
    </row>
    <row r="678" spans="1:91" ht="15">
      <c r="A678" s="364" t="s">
        <v>7669</v>
      </c>
      <c r="B678" t="s">
        <v>267</v>
      </c>
      <c r="C678" t="s">
        <v>8213</v>
      </c>
      <c r="D678">
        <v>64</v>
      </c>
      <c r="E678" s="113">
        <v>3</v>
      </c>
      <c r="F678" s="113">
        <v>9</v>
      </c>
      <c r="I678"/>
      <c r="K678" s="224">
        <v>5</v>
      </c>
      <c r="L678" s="390">
        <v>41625</v>
      </c>
      <c r="M678"/>
      <c r="N678" s="224"/>
      <c r="O678"/>
      <c r="P678"/>
      <c r="Q678"/>
      <c r="S678" s="224"/>
      <c r="T678" s="224"/>
      <c r="U678"/>
      <c r="V678"/>
      <c r="W678"/>
      <c r="X678"/>
      <c r="Y678" s="225"/>
      <c r="Z678" s="224"/>
      <c r="AA678" s="226"/>
      <c r="AB678" s="224"/>
      <c r="AC678" s="225"/>
      <c r="AD678" s="224"/>
      <c r="AE678" s="224"/>
      <c r="AF678" s="224"/>
      <c r="AG678"/>
      <c r="AH678"/>
      <c r="AI678">
        <v>150</v>
      </c>
      <c r="AJ678" s="194">
        <v>41785</v>
      </c>
      <c r="AK678">
        <v>31</v>
      </c>
      <c r="AL678" s="395">
        <v>41671</v>
      </c>
      <c r="AM678">
        <v>85</v>
      </c>
      <c r="AN678" s="391">
        <v>41725</v>
      </c>
      <c r="AO678"/>
      <c r="AP678" s="391">
        <v>41730</v>
      </c>
      <c r="AQ678" s="227"/>
      <c r="AR678" s="227"/>
      <c r="AS678"/>
      <c r="AT678"/>
      <c r="AU678"/>
      <c r="AV678" s="391" t="s">
        <v>8819</v>
      </c>
      <c r="AW678"/>
      <c r="AX678" s="391" t="s">
        <v>8819</v>
      </c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>
        <v>50.8</v>
      </c>
      <c r="BT678"/>
      <c r="BU678">
        <v>17.2</v>
      </c>
      <c r="BV678"/>
      <c r="BW678"/>
      <c r="BX678" s="228"/>
      <c r="BY678"/>
      <c r="BZ678"/>
      <c r="CA678"/>
      <c r="CC678"/>
      <c r="CD678"/>
      <c r="CE678">
        <v>5.2</v>
      </c>
      <c r="CF678"/>
      <c r="CG678">
        <v>0.2</v>
      </c>
      <c r="CH678"/>
      <c r="CI678"/>
      <c r="CJ678"/>
      <c r="CK678" t="s">
        <v>8820</v>
      </c>
      <c r="CL678">
        <v>6.4</v>
      </c>
      <c r="CM678" s="392">
        <v>41802</v>
      </c>
    </row>
    <row r="679" spans="1:91" ht="15">
      <c r="A679" s="364" t="s">
        <v>7670</v>
      </c>
      <c r="B679" t="s">
        <v>267</v>
      </c>
      <c r="C679" t="s">
        <v>8213</v>
      </c>
      <c r="D679">
        <v>65</v>
      </c>
      <c r="E679" s="113">
        <v>2</v>
      </c>
      <c r="F679" s="113">
        <v>12</v>
      </c>
      <c r="I679"/>
      <c r="K679" s="224">
        <v>7</v>
      </c>
      <c r="L679" s="390">
        <v>41625</v>
      </c>
      <c r="M679"/>
      <c r="N679" s="224"/>
      <c r="O679"/>
      <c r="P679"/>
      <c r="Q679"/>
      <c r="S679" s="224"/>
      <c r="T679" s="224"/>
      <c r="U679"/>
      <c r="V679"/>
      <c r="W679"/>
      <c r="X679"/>
      <c r="Y679" s="225"/>
      <c r="Z679" s="224"/>
      <c r="AA679" s="226"/>
      <c r="AB679" s="224"/>
      <c r="AC679" s="225"/>
      <c r="AD679" s="224"/>
      <c r="AE679" s="224"/>
      <c r="AF679" s="224"/>
      <c r="AG679"/>
      <c r="AH679"/>
      <c r="AI679">
        <v>145</v>
      </c>
      <c r="AJ679" s="194">
        <v>41785</v>
      </c>
      <c r="AK679">
        <v>37</v>
      </c>
      <c r="AL679" s="395">
        <v>41677</v>
      </c>
      <c r="AM679">
        <v>90</v>
      </c>
      <c r="AN679" s="391">
        <v>41730</v>
      </c>
      <c r="AO679"/>
      <c r="AP679" s="391" t="s">
        <v>8819</v>
      </c>
      <c r="AQ679" s="227"/>
      <c r="AR679" s="227"/>
      <c r="AS679"/>
      <c r="AT679"/>
      <c r="AU679"/>
      <c r="AV679" s="391" t="s">
        <v>8819</v>
      </c>
      <c r="AW679"/>
      <c r="AX679" s="391" t="s">
        <v>8819</v>
      </c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>
        <v>51.9</v>
      </c>
      <c r="BT679"/>
      <c r="BU679">
        <v>16.2</v>
      </c>
      <c r="BV679"/>
      <c r="BW679" s="229"/>
      <c r="BX679"/>
      <c r="BY679"/>
      <c r="BZ679"/>
      <c r="CA679"/>
      <c r="CC679"/>
      <c r="CD679"/>
      <c r="CE679">
        <v>5.5</v>
      </c>
      <c r="CF679"/>
      <c r="CG679">
        <v>0.6</v>
      </c>
      <c r="CH679"/>
      <c r="CI679"/>
      <c r="CJ679"/>
      <c r="CK679" t="s">
        <v>8820</v>
      </c>
      <c r="CL679">
        <v>1</v>
      </c>
      <c r="CM679" s="392">
        <v>41802</v>
      </c>
    </row>
    <row r="680" spans="1:91" ht="15">
      <c r="A680" s="364" t="s">
        <v>7671</v>
      </c>
      <c r="B680" t="s">
        <v>267</v>
      </c>
      <c r="C680" t="s">
        <v>8213</v>
      </c>
      <c r="D680">
        <v>66</v>
      </c>
      <c r="E680" s="113">
        <v>32</v>
      </c>
      <c r="F680" s="113">
        <v>10</v>
      </c>
      <c r="G680" s="233"/>
      <c r="H680" s="233"/>
      <c r="I680" s="232"/>
      <c r="J680" s="234"/>
      <c r="K680" s="235">
        <v>7</v>
      </c>
      <c r="L680" s="390">
        <v>41625</v>
      </c>
      <c r="M680" s="232"/>
      <c r="N680" s="235"/>
      <c r="O680" s="232"/>
      <c r="P680" s="232"/>
      <c r="Q680" s="232"/>
      <c r="R680" s="236"/>
      <c r="S680" s="235"/>
      <c r="T680" s="235"/>
      <c r="U680" s="232"/>
      <c r="V680" s="232"/>
      <c r="W680" s="232"/>
      <c r="X680" s="232"/>
      <c r="Y680" s="237"/>
      <c r="Z680" s="235"/>
      <c r="AA680" s="238"/>
      <c r="AB680" s="235"/>
      <c r="AC680" s="237"/>
      <c r="AD680" s="235"/>
      <c r="AE680" s="235"/>
      <c r="AF680" s="235"/>
      <c r="AG680" s="232"/>
      <c r="AH680" s="232"/>
      <c r="AI680" s="232">
        <v>125</v>
      </c>
      <c r="AJ680" s="194">
        <v>41785</v>
      </c>
      <c r="AK680" s="232">
        <v>26</v>
      </c>
      <c r="AL680" s="395">
        <v>41666</v>
      </c>
      <c r="AM680" s="232">
        <v>90</v>
      </c>
      <c r="AN680" s="391">
        <v>41730</v>
      </c>
      <c r="AO680" s="232"/>
      <c r="AP680" s="391" t="s">
        <v>8819</v>
      </c>
      <c r="AQ680" s="239"/>
      <c r="AR680" s="239"/>
      <c r="AS680" s="232"/>
      <c r="AT680" s="232"/>
      <c r="AU680" s="232"/>
      <c r="AV680" s="391" t="s">
        <v>8819</v>
      </c>
      <c r="AW680" s="232"/>
      <c r="AX680" s="391" t="s">
        <v>8819</v>
      </c>
      <c r="AY680" s="232"/>
      <c r="AZ680" s="232"/>
      <c r="BA680" s="232"/>
      <c r="BB680" s="232"/>
      <c r="BC680" s="232"/>
      <c r="BD680" s="232"/>
      <c r="BE680" s="232"/>
      <c r="BF680" s="232"/>
      <c r="BG680" s="232"/>
      <c r="BH680" s="232"/>
      <c r="BI680" s="232"/>
      <c r="BJ680" s="232"/>
      <c r="BK680" s="232"/>
      <c r="BL680" s="232"/>
      <c r="BM680" s="232"/>
      <c r="BN680" s="232"/>
      <c r="BO680" s="232"/>
      <c r="BP680" s="232"/>
      <c r="BQ680" s="232"/>
      <c r="BR680" s="232"/>
      <c r="BS680" s="232">
        <v>52.2</v>
      </c>
      <c r="BT680" s="232"/>
      <c r="BU680" s="232">
        <v>17</v>
      </c>
      <c r="BV680" s="232"/>
      <c r="BW680" s="240"/>
      <c r="BX680" s="232"/>
      <c r="BY680" s="232"/>
      <c r="BZ680" s="232"/>
      <c r="CA680" s="232"/>
      <c r="CB680" s="241"/>
      <c r="CC680" s="232"/>
      <c r="CD680" s="232"/>
      <c r="CE680" s="232">
        <v>6.8</v>
      </c>
      <c r="CF680" s="232"/>
      <c r="CG680" s="232">
        <v>0</v>
      </c>
      <c r="CH680" s="232"/>
      <c r="CI680" s="232"/>
      <c r="CJ680" s="232"/>
      <c r="CK680" t="s">
        <v>8820</v>
      </c>
      <c r="CL680" s="232">
        <v>1</v>
      </c>
      <c r="CM680" s="392">
        <v>41802</v>
      </c>
    </row>
    <row r="681" spans="1:91" ht="15">
      <c r="A681" s="364" t="s">
        <v>7672</v>
      </c>
      <c r="B681" t="s">
        <v>267</v>
      </c>
      <c r="C681" t="s">
        <v>8213</v>
      </c>
      <c r="D681" s="232">
        <v>67</v>
      </c>
      <c r="E681" s="113">
        <v>6</v>
      </c>
      <c r="F681" s="113">
        <v>12</v>
      </c>
      <c r="I681"/>
      <c r="K681" s="224">
        <v>7</v>
      </c>
      <c r="L681" s="390">
        <v>41625</v>
      </c>
      <c r="M681"/>
      <c r="N681" s="224"/>
      <c r="O681"/>
      <c r="P681"/>
      <c r="Q681"/>
      <c r="S681" s="224"/>
      <c r="T681" s="224"/>
      <c r="U681"/>
      <c r="V681"/>
      <c r="W681"/>
      <c r="X681"/>
      <c r="Y681" s="225"/>
      <c r="Z681" s="224"/>
      <c r="AA681" s="226"/>
      <c r="AB681" s="224"/>
      <c r="AC681" s="225"/>
      <c r="AD681" s="224"/>
      <c r="AE681" s="224"/>
      <c r="AF681" s="224"/>
      <c r="AG681"/>
      <c r="AH681"/>
      <c r="AI681">
        <v>135</v>
      </c>
      <c r="AJ681" s="194">
        <v>41785</v>
      </c>
      <c r="AK681">
        <v>37</v>
      </c>
      <c r="AL681" s="395">
        <v>41677</v>
      </c>
      <c r="AM681">
        <v>97</v>
      </c>
      <c r="AN681" s="391">
        <v>41737</v>
      </c>
      <c r="AO681"/>
      <c r="AP681" s="391">
        <v>41740</v>
      </c>
      <c r="AQ681" s="227"/>
      <c r="AR681" s="227"/>
      <c r="AS681"/>
      <c r="AT681"/>
      <c r="AU681"/>
      <c r="AV681" s="391">
        <v>41744</v>
      </c>
      <c r="AW681"/>
      <c r="AX681" s="391" t="s">
        <v>8819</v>
      </c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>
        <v>50.5</v>
      </c>
      <c r="BT681"/>
      <c r="BU681">
        <v>18.600000000000001</v>
      </c>
      <c r="BV681"/>
      <c r="BW681" s="229"/>
      <c r="BX681"/>
      <c r="BY681"/>
      <c r="BZ681"/>
      <c r="CA681"/>
      <c r="CC681"/>
      <c r="CD681"/>
      <c r="CE681">
        <v>5.4</v>
      </c>
      <c r="CF681"/>
      <c r="CG681">
        <v>0.2</v>
      </c>
      <c r="CH681"/>
      <c r="CI681"/>
      <c r="CJ681"/>
      <c r="CK681" t="s">
        <v>8820</v>
      </c>
      <c r="CL681">
        <v>1</v>
      </c>
      <c r="CM681" s="392">
        <v>41802</v>
      </c>
    </row>
    <row r="682" spans="1:91" ht="15">
      <c r="A682" s="364" t="s">
        <v>7673</v>
      </c>
      <c r="B682" t="s">
        <v>267</v>
      </c>
      <c r="C682" t="s">
        <v>8213</v>
      </c>
      <c r="D682" s="232">
        <v>68</v>
      </c>
      <c r="E682" s="113">
        <v>18</v>
      </c>
      <c r="F682" s="113">
        <v>10</v>
      </c>
      <c r="I682"/>
      <c r="K682" s="224">
        <v>6</v>
      </c>
      <c r="L682" s="390">
        <v>41625</v>
      </c>
      <c r="M682"/>
      <c r="N682" s="224"/>
      <c r="O682"/>
      <c r="P682"/>
      <c r="Q682"/>
      <c r="S682" s="224"/>
      <c r="T682" s="224"/>
      <c r="U682"/>
      <c r="V682"/>
      <c r="W682"/>
      <c r="X682"/>
      <c r="Y682" s="225"/>
      <c r="Z682" s="224"/>
      <c r="AA682" s="226"/>
      <c r="AB682" s="224"/>
      <c r="AC682" s="225"/>
      <c r="AD682" s="224"/>
      <c r="AE682" s="224"/>
      <c r="AF682" s="224"/>
      <c r="AG682"/>
      <c r="AH682"/>
      <c r="AI682">
        <v>160</v>
      </c>
      <c r="AJ682" s="194">
        <v>41785</v>
      </c>
      <c r="AK682">
        <v>26</v>
      </c>
      <c r="AL682" s="395">
        <v>41666</v>
      </c>
      <c r="AM682">
        <v>93</v>
      </c>
      <c r="AN682" s="391">
        <v>41733</v>
      </c>
      <c r="AO682"/>
      <c r="AP682" s="391" t="s">
        <v>8819</v>
      </c>
      <c r="AQ682" s="227"/>
      <c r="AR682" s="227"/>
      <c r="AS682"/>
      <c r="AT682"/>
      <c r="AU682"/>
      <c r="AV682" s="391">
        <v>41737</v>
      </c>
      <c r="AW682"/>
      <c r="AX682" s="391" t="s">
        <v>8819</v>
      </c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>
        <v>51.7</v>
      </c>
      <c r="BT682"/>
      <c r="BU682">
        <v>16.8</v>
      </c>
      <c r="BV682"/>
      <c r="BW682" s="229"/>
      <c r="BX682"/>
      <c r="BY682"/>
      <c r="BZ682"/>
      <c r="CA682"/>
      <c r="CC682"/>
      <c r="CD682"/>
      <c r="CE682">
        <v>8.1</v>
      </c>
      <c r="CF682"/>
      <c r="CG682">
        <v>0</v>
      </c>
      <c r="CH682"/>
      <c r="CI682"/>
      <c r="CJ682"/>
      <c r="CK682" t="s">
        <v>8820</v>
      </c>
      <c r="CL682">
        <v>1</v>
      </c>
      <c r="CM682" s="392">
        <v>41802</v>
      </c>
    </row>
    <row r="683" spans="1:91" ht="15">
      <c r="A683" s="364" t="s">
        <v>7674</v>
      </c>
      <c r="B683" t="s">
        <v>267</v>
      </c>
      <c r="C683" t="s">
        <v>8213</v>
      </c>
      <c r="D683" s="232">
        <v>69</v>
      </c>
      <c r="E683" s="113">
        <v>34</v>
      </c>
      <c r="F683" s="113">
        <v>10</v>
      </c>
      <c r="G683" s="233"/>
      <c r="H683" s="233"/>
      <c r="I683" s="232"/>
      <c r="J683" s="234"/>
      <c r="K683" s="235">
        <v>7</v>
      </c>
      <c r="L683" s="390">
        <v>41625</v>
      </c>
      <c r="M683" s="232"/>
      <c r="N683" s="235"/>
      <c r="O683" s="232"/>
      <c r="P683" s="232"/>
      <c r="Q683" s="232"/>
      <c r="R683" s="236"/>
      <c r="S683" s="235"/>
      <c r="T683" s="235"/>
      <c r="U683" s="232"/>
      <c r="V683" s="232"/>
      <c r="W683" s="232"/>
      <c r="X683" s="232"/>
      <c r="Y683" s="237"/>
      <c r="Z683" s="235"/>
      <c r="AA683" s="238"/>
      <c r="AB683" s="235"/>
      <c r="AC683" s="237"/>
      <c r="AD683" s="235"/>
      <c r="AE683" s="235"/>
      <c r="AF683" s="235"/>
      <c r="AG683" s="232"/>
      <c r="AH683" s="232"/>
      <c r="AI683" s="232">
        <v>120</v>
      </c>
      <c r="AJ683" s="194">
        <v>41785</v>
      </c>
      <c r="AK683" s="232">
        <v>37</v>
      </c>
      <c r="AL683" s="395">
        <v>41677</v>
      </c>
      <c r="AM683" s="232">
        <v>93</v>
      </c>
      <c r="AN683" s="391">
        <v>41733</v>
      </c>
      <c r="AO683" s="232"/>
      <c r="AP683" s="391">
        <v>41737</v>
      </c>
      <c r="AQ683" s="239"/>
      <c r="AR683" s="239"/>
      <c r="AS683" s="232"/>
      <c r="AT683" s="232"/>
      <c r="AU683" s="232"/>
      <c r="AV683" s="391">
        <v>41740</v>
      </c>
      <c r="AW683" s="232"/>
      <c r="AX683" s="391" t="s">
        <v>8819</v>
      </c>
      <c r="AY683" s="232"/>
      <c r="AZ683" s="232"/>
      <c r="BA683" s="232"/>
      <c r="BB683" s="232"/>
      <c r="BC683" s="232"/>
      <c r="BD683" s="232"/>
      <c r="BE683" s="232"/>
      <c r="BF683" s="232"/>
      <c r="BG683" s="232"/>
      <c r="BH683" s="232"/>
      <c r="BI683" s="232"/>
      <c r="BJ683" s="232"/>
      <c r="BK683" s="232"/>
      <c r="BL683" s="232"/>
      <c r="BM683" s="232"/>
      <c r="BN683" s="232"/>
      <c r="BO683" s="232"/>
      <c r="BP683" s="232"/>
      <c r="BQ683" s="232"/>
      <c r="BR683" s="232"/>
      <c r="BS683" s="232">
        <v>50.8</v>
      </c>
      <c r="BT683" s="232"/>
      <c r="BU683" s="232">
        <v>18.2</v>
      </c>
      <c r="BV683" s="232"/>
      <c r="BW683" s="240"/>
      <c r="BX683" s="232"/>
      <c r="BY683" s="232"/>
      <c r="BZ683" s="232"/>
      <c r="CA683" s="232"/>
      <c r="CB683" s="241"/>
      <c r="CC683" s="232"/>
      <c r="CD683" s="232"/>
      <c r="CE683" s="232">
        <v>6.1</v>
      </c>
      <c r="CF683" s="232"/>
      <c r="CG683" s="232">
        <v>0.1</v>
      </c>
      <c r="CH683" s="232"/>
      <c r="CI683" s="232"/>
      <c r="CJ683" s="232"/>
      <c r="CK683" t="s">
        <v>8820</v>
      </c>
      <c r="CL683" s="232">
        <v>1</v>
      </c>
      <c r="CM683" s="392">
        <v>41802</v>
      </c>
    </row>
    <row r="684" spans="1:91" ht="15">
      <c r="A684" s="364" t="s">
        <v>7675</v>
      </c>
      <c r="B684" t="s">
        <v>267</v>
      </c>
      <c r="C684" t="s">
        <v>8213</v>
      </c>
      <c r="D684">
        <v>70</v>
      </c>
      <c r="E684" s="113">
        <v>33</v>
      </c>
      <c r="F684" s="113">
        <v>8</v>
      </c>
      <c r="I684"/>
      <c r="K684" s="224">
        <v>6</v>
      </c>
      <c r="L684" s="390">
        <v>41625</v>
      </c>
      <c r="M684"/>
      <c r="N684" s="224"/>
      <c r="O684"/>
      <c r="P684"/>
      <c r="Q684"/>
      <c r="S684" s="224"/>
      <c r="T684" s="224"/>
      <c r="U684"/>
      <c r="V684"/>
      <c r="W684"/>
      <c r="X684"/>
      <c r="Y684" s="225"/>
      <c r="Z684" s="224"/>
      <c r="AA684" s="226"/>
      <c r="AB684" s="224"/>
      <c r="AC684" s="225"/>
      <c r="AD684" s="224"/>
      <c r="AE684" s="224"/>
      <c r="AF684" s="224"/>
      <c r="AG684"/>
      <c r="AH684"/>
      <c r="AI684">
        <v>140</v>
      </c>
      <c r="AJ684" s="194">
        <v>41785</v>
      </c>
      <c r="AK684">
        <v>37</v>
      </c>
      <c r="AL684" s="395">
        <v>41677</v>
      </c>
      <c r="AM684">
        <v>93</v>
      </c>
      <c r="AN684" s="391">
        <v>41733</v>
      </c>
      <c r="AO684"/>
      <c r="AP684" s="391">
        <v>41737</v>
      </c>
      <c r="AQ684" s="227"/>
      <c r="AR684" s="227"/>
      <c r="AS684"/>
      <c r="AT684"/>
      <c r="AU684"/>
      <c r="AV684" s="391" t="s">
        <v>8819</v>
      </c>
      <c r="AW684"/>
      <c r="AX684" s="391" t="s">
        <v>8819</v>
      </c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>
        <v>52</v>
      </c>
      <c r="BT684"/>
      <c r="BU684">
        <v>16.899999999999999</v>
      </c>
      <c r="BV684"/>
      <c r="BW684" s="229"/>
      <c r="BX684"/>
      <c r="BY684"/>
      <c r="BZ684"/>
      <c r="CA684"/>
      <c r="CC684"/>
      <c r="CD684"/>
      <c r="CE684">
        <v>6.1</v>
      </c>
      <c r="CF684"/>
      <c r="CG684">
        <v>0.2</v>
      </c>
      <c r="CH684"/>
      <c r="CI684"/>
      <c r="CJ684"/>
      <c r="CK684" t="s">
        <v>8820</v>
      </c>
      <c r="CL684">
        <v>1</v>
      </c>
      <c r="CM684" s="392">
        <v>41802</v>
      </c>
    </row>
    <row r="685" spans="1:91" ht="15">
      <c r="A685" s="364" t="s">
        <v>7676</v>
      </c>
      <c r="B685" t="s">
        <v>267</v>
      </c>
      <c r="C685" t="s">
        <v>8213</v>
      </c>
      <c r="D685">
        <v>71</v>
      </c>
      <c r="E685" s="113">
        <v>14</v>
      </c>
      <c r="F685" s="113">
        <v>10</v>
      </c>
      <c r="I685"/>
      <c r="K685" s="224">
        <v>6</v>
      </c>
      <c r="L685" s="390">
        <v>41625</v>
      </c>
      <c r="M685"/>
      <c r="N685" s="224"/>
      <c r="O685"/>
      <c r="P685"/>
      <c r="Q685"/>
      <c r="S685" s="224"/>
      <c r="T685" s="224"/>
      <c r="U685"/>
      <c r="V685"/>
      <c r="W685"/>
      <c r="X685"/>
      <c r="Y685" s="225"/>
      <c r="Z685" s="224"/>
      <c r="AA685" s="226"/>
      <c r="AB685" s="224"/>
      <c r="AC685" s="225"/>
      <c r="AD685" s="224"/>
      <c r="AE685" s="224"/>
      <c r="AF685" s="224"/>
      <c r="AG685"/>
      <c r="AH685"/>
      <c r="AI685">
        <v>160</v>
      </c>
      <c r="AJ685" s="194">
        <v>41785</v>
      </c>
      <c r="AK685">
        <v>37</v>
      </c>
      <c r="AL685" s="395">
        <v>41677</v>
      </c>
      <c r="AM685">
        <v>93</v>
      </c>
      <c r="AN685" s="391">
        <v>41733</v>
      </c>
      <c r="AO685"/>
      <c r="AP685" s="391" t="s">
        <v>8819</v>
      </c>
      <c r="AQ685" s="227"/>
      <c r="AR685" s="227"/>
      <c r="AS685"/>
      <c r="AT685"/>
      <c r="AU685"/>
      <c r="AV685" s="391">
        <v>41737</v>
      </c>
      <c r="AW685"/>
      <c r="AX685" s="391" t="s">
        <v>8819</v>
      </c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>
        <v>51.7</v>
      </c>
      <c r="BT685"/>
      <c r="BU685">
        <v>15.6</v>
      </c>
      <c r="BV685"/>
      <c r="BW685" s="229"/>
      <c r="BX685"/>
      <c r="BY685"/>
      <c r="BZ685"/>
      <c r="CA685"/>
      <c r="CC685"/>
      <c r="CD685"/>
      <c r="CE685">
        <v>8</v>
      </c>
      <c r="CF685"/>
      <c r="CG685">
        <v>0</v>
      </c>
      <c r="CH685"/>
      <c r="CI685"/>
      <c r="CJ685"/>
      <c r="CK685" t="s">
        <v>8820</v>
      </c>
      <c r="CL685">
        <v>1</v>
      </c>
      <c r="CM685" s="392">
        <v>41802</v>
      </c>
    </row>
    <row r="686" spans="1:91" ht="15.75" thickBot="1">
      <c r="A686" s="364" t="s">
        <v>7677</v>
      </c>
      <c r="B686" s="344" t="s">
        <v>267</v>
      </c>
      <c r="C686" s="344" t="s">
        <v>8213</v>
      </c>
      <c r="D686">
        <v>72</v>
      </c>
      <c r="E686" s="113">
        <v>8</v>
      </c>
      <c r="F686" s="113">
        <v>8</v>
      </c>
      <c r="I686"/>
      <c r="K686" s="224">
        <v>7</v>
      </c>
      <c r="L686" s="390">
        <v>41625</v>
      </c>
      <c r="M686"/>
      <c r="N686" s="224"/>
      <c r="O686"/>
      <c r="P686"/>
      <c r="Q686"/>
      <c r="S686" s="224"/>
      <c r="T686" s="224"/>
      <c r="U686"/>
      <c r="V686"/>
      <c r="W686"/>
      <c r="X686"/>
      <c r="Y686" s="225"/>
      <c r="Z686" s="224"/>
      <c r="AA686" s="226"/>
      <c r="AB686" s="224"/>
      <c r="AC686" s="225"/>
      <c r="AD686" s="224"/>
      <c r="AE686" s="224"/>
      <c r="AF686" s="224"/>
      <c r="AG686"/>
      <c r="AH686"/>
      <c r="AI686">
        <v>150</v>
      </c>
      <c r="AJ686" s="194">
        <v>41785</v>
      </c>
      <c r="AK686">
        <v>37</v>
      </c>
      <c r="AL686" s="395">
        <v>41677</v>
      </c>
      <c r="AM686">
        <v>93</v>
      </c>
      <c r="AN686" s="391">
        <v>41733</v>
      </c>
      <c r="AO686"/>
      <c r="AP686" s="391">
        <v>41737</v>
      </c>
      <c r="AQ686" s="227"/>
      <c r="AR686" s="227"/>
      <c r="AS686"/>
      <c r="AT686"/>
      <c r="AU686"/>
      <c r="AV686" s="391" t="s">
        <v>8819</v>
      </c>
      <c r="AW686"/>
      <c r="AX686" s="391" t="s">
        <v>8819</v>
      </c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>
        <v>50.9</v>
      </c>
      <c r="BT686"/>
      <c r="BU686">
        <v>17.899999999999999</v>
      </c>
      <c r="BV686"/>
      <c r="BW686" s="229"/>
      <c r="BX686"/>
      <c r="BY686"/>
      <c r="BZ686"/>
      <c r="CA686"/>
      <c r="CC686"/>
      <c r="CD686"/>
      <c r="CE686">
        <v>6.3</v>
      </c>
      <c r="CF686"/>
      <c r="CG686">
        <v>0.1</v>
      </c>
      <c r="CH686"/>
      <c r="CI686"/>
      <c r="CJ686"/>
      <c r="CK686" t="s">
        <v>8820</v>
      </c>
      <c r="CL686">
        <v>1</v>
      </c>
      <c r="CM686" s="392">
        <v>41802</v>
      </c>
    </row>
    <row r="687" spans="1:91" ht="15">
      <c r="A687" s="364" t="s">
        <v>7678</v>
      </c>
      <c r="B687" t="s">
        <v>267</v>
      </c>
      <c r="C687" t="s">
        <v>8213</v>
      </c>
      <c r="D687" s="232">
        <v>73</v>
      </c>
      <c r="E687" s="113">
        <v>6</v>
      </c>
      <c r="F687" s="113">
        <v>9</v>
      </c>
      <c r="I687"/>
      <c r="K687" s="224">
        <v>6</v>
      </c>
      <c r="L687" s="390">
        <v>41625</v>
      </c>
      <c r="M687"/>
      <c r="N687" s="224"/>
      <c r="O687"/>
      <c r="P687"/>
      <c r="Q687"/>
      <c r="S687" s="224"/>
      <c r="T687" s="224"/>
      <c r="U687"/>
      <c r="V687"/>
      <c r="W687"/>
      <c r="X687"/>
      <c r="Y687" s="225"/>
      <c r="Z687" s="224"/>
      <c r="AA687" s="226"/>
      <c r="AB687" s="224"/>
      <c r="AC687" s="225"/>
      <c r="AD687" s="224"/>
      <c r="AE687" s="224"/>
      <c r="AF687" s="224"/>
      <c r="AG687"/>
      <c r="AH687"/>
      <c r="AI687">
        <v>140</v>
      </c>
      <c r="AJ687" s="194">
        <v>41785</v>
      </c>
      <c r="AK687">
        <v>37</v>
      </c>
      <c r="AL687" s="395">
        <v>41677</v>
      </c>
      <c r="AM687">
        <v>90</v>
      </c>
      <c r="AN687" s="391">
        <v>41730</v>
      </c>
      <c r="AO687"/>
      <c r="AP687" s="391" t="s">
        <v>8819</v>
      </c>
      <c r="AQ687" s="227"/>
      <c r="AR687" s="227"/>
      <c r="AS687"/>
      <c r="AT687"/>
      <c r="AU687"/>
      <c r="AV687" s="391" t="s">
        <v>8819</v>
      </c>
      <c r="AW687"/>
      <c r="AX687" s="391" t="s">
        <v>8819</v>
      </c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>
        <v>51.6</v>
      </c>
      <c r="BT687"/>
      <c r="BU687">
        <v>17.8</v>
      </c>
      <c r="BV687"/>
      <c r="BW687"/>
      <c r="BX687" s="228"/>
      <c r="BY687"/>
      <c r="BZ687"/>
      <c r="CA687"/>
      <c r="CC687"/>
      <c r="CD687"/>
      <c r="CE687">
        <v>5.4</v>
      </c>
      <c r="CF687"/>
      <c r="CG687">
        <v>0.4</v>
      </c>
      <c r="CH687"/>
      <c r="CI687"/>
      <c r="CJ687"/>
      <c r="CK687" t="s">
        <v>8820</v>
      </c>
      <c r="CL687">
        <v>1</v>
      </c>
      <c r="CM687" s="392">
        <v>41802</v>
      </c>
    </row>
    <row r="688" spans="1:91" ht="15">
      <c r="A688" s="364" t="s">
        <v>7679</v>
      </c>
      <c r="B688" t="s">
        <v>267</v>
      </c>
      <c r="C688" t="s">
        <v>8213</v>
      </c>
      <c r="D688">
        <v>74</v>
      </c>
      <c r="E688" s="113">
        <v>24</v>
      </c>
      <c r="F688" s="113">
        <v>11</v>
      </c>
      <c r="I688"/>
      <c r="K688" s="224">
        <v>7</v>
      </c>
      <c r="L688" s="390">
        <v>41625</v>
      </c>
      <c r="M688"/>
      <c r="N688" s="224"/>
      <c r="O688"/>
      <c r="P688"/>
      <c r="Q688"/>
      <c r="S688" s="224"/>
      <c r="T688" s="224"/>
      <c r="U688"/>
      <c r="V688"/>
      <c r="W688"/>
      <c r="X688"/>
      <c r="Y688" s="225"/>
      <c r="Z688" s="224"/>
      <c r="AA688" s="226"/>
      <c r="AB688" s="224"/>
      <c r="AC688" s="225"/>
      <c r="AD688" s="224"/>
      <c r="AE688" s="224"/>
      <c r="AF688" s="224"/>
      <c r="AG688"/>
      <c r="AH688"/>
      <c r="AI688">
        <v>145</v>
      </c>
      <c r="AJ688" s="194">
        <v>41785</v>
      </c>
      <c r="AK688">
        <v>37</v>
      </c>
      <c r="AL688" s="395">
        <v>41677</v>
      </c>
      <c r="AM688">
        <v>90</v>
      </c>
      <c r="AN688" s="391">
        <v>41730</v>
      </c>
      <c r="AO688"/>
      <c r="AP688" s="391" t="s">
        <v>8819</v>
      </c>
      <c r="AQ688" s="227"/>
      <c r="AR688" s="227"/>
      <c r="AS688"/>
      <c r="AT688"/>
      <c r="AU688"/>
      <c r="AV688" s="391" t="s">
        <v>8819</v>
      </c>
      <c r="AW688"/>
      <c r="AX688" s="391" t="s">
        <v>8819</v>
      </c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>
        <v>50.6</v>
      </c>
      <c r="BT688"/>
      <c r="BU688">
        <v>19.2</v>
      </c>
      <c r="BV688"/>
      <c r="BW688" s="229"/>
      <c r="BX688"/>
      <c r="BY688"/>
      <c r="BZ688"/>
      <c r="CA688"/>
      <c r="CC688"/>
      <c r="CD688"/>
      <c r="CE688">
        <v>6.1</v>
      </c>
      <c r="CF688"/>
      <c r="CG688">
        <v>0.6</v>
      </c>
      <c r="CH688"/>
      <c r="CI688"/>
      <c r="CJ688"/>
      <c r="CK688" t="s">
        <v>8820</v>
      </c>
      <c r="CL688">
        <v>1</v>
      </c>
      <c r="CM688" s="392">
        <v>41802</v>
      </c>
    </row>
    <row r="689" spans="1:91" ht="15">
      <c r="A689" s="364" t="s">
        <v>7680</v>
      </c>
      <c r="B689" t="s">
        <v>267</v>
      </c>
      <c r="C689" t="s">
        <v>8213</v>
      </c>
      <c r="D689">
        <v>75</v>
      </c>
      <c r="E689" s="113">
        <v>11</v>
      </c>
      <c r="F689" s="113">
        <v>11</v>
      </c>
      <c r="I689"/>
      <c r="K689" s="224">
        <v>6</v>
      </c>
      <c r="L689" s="390">
        <v>41625</v>
      </c>
      <c r="M689"/>
      <c r="N689" s="224"/>
      <c r="O689"/>
      <c r="P689"/>
      <c r="Q689"/>
      <c r="S689" s="224"/>
      <c r="T689" s="224"/>
      <c r="U689"/>
      <c r="V689"/>
      <c r="W689"/>
      <c r="X689"/>
      <c r="Y689" s="225"/>
      <c r="Z689" s="224"/>
      <c r="AA689" s="226"/>
      <c r="AB689" s="224"/>
      <c r="AC689" s="225"/>
      <c r="AD689" s="224"/>
      <c r="AE689" s="224"/>
      <c r="AF689" s="224"/>
      <c r="AG689"/>
      <c r="AH689"/>
      <c r="AI689">
        <v>130</v>
      </c>
      <c r="AJ689" s="194">
        <v>41785</v>
      </c>
      <c r="AK689">
        <v>26</v>
      </c>
      <c r="AL689" s="395">
        <v>41666</v>
      </c>
      <c r="AM689">
        <v>93</v>
      </c>
      <c r="AN689" s="391">
        <v>41733</v>
      </c>
      <c r="AO689"/>
      <c r="AP689" s="391">
        <v>41737</v>
      </c>
      <c r="AQ689" s="227"/>
      <c r="AR689" s="227"/>
      <c r="AS689"/>
      <c r="AT689"/>
      <c r="AU689"/>
      <c r="AV689" s="391">
        <v>41740</v>
      </c>
      <c r="AW689"/>
      <c r="AX689" s="391" t="s">
        <v>8819</v>
      </c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>
        <v>50.4</v>
      </c>
      <c r="BT689"/>
      <c r="BU689">
        <v>19.600000000000001</v>
      </c>
      <c r="BV689"/>
      <c r="BW689"/>
      <c r="BX689" s="228"/>
      <c r="BY689"/>
      <c r="BZ689"/>
      <c r="CA689"/>
      <c r="CC689"/>
      <c r="CD689"/>
      <c r="CE689">
        <v>5.7</v>
      </c>
      <c r="CF689"/>
      <c r="CG689">
        <v>0.1</v>
      </c>
      <c r="CH689"/>
      <c r="CI689"/>
      <c r="CJ689"/>
      <c r="CK689" t="s">
        <v>8820</v>
      </c>
      <c r="CL689">
        <v>1</v>
      </c>
      <c r="CM689" s="392">
        <v>41802</v>
      </c>
    </row>
    <row r="690" spans="1:91" ht="15">
      <c r="A690" s="364" t="s">
        <v>7681</v>
      </c>
      <c r="B690" t="s">
        <v>267</v>
      </c>
      <c r="C690" t="s">
        <v>8213</v>
      </c>
      <c r="D690">
        <v>76</v>
      </c>
      <c r="E690" s="113">
        <v>28</v>
      </c>
      <c r="F690" s="113">
        <v>10</v>
      </c>
      <c r="I690"/>
      <c r="K690" s="224">
        <v>7</v>
      </c>
      <c r="L690" s="390">
        <v>41625</v>
      </c>
      <c r="M690"/>
      <c r="N690" s="224"/>
      <c r="O690"/>
      <c r="P690"/>
      <c r="Q690"/>
      <c r="S690" s="224"/>
      <c r="T690" s="224"/>
      <c r="U690"/>
      <c r="V690"/>
      <c r="W690"/>
      <c r="X690"/>
      <c r="Y690" s="225"/>
      <c r="Z690" s="224"/>
      <c r="AA690" s="226"/>
      <c r="AB690" s="224"/>
      <c r="AC690" s="225"/>
      <c r="AD690" s="224"/>
      <c r="AE690" s="224"/>
      <c r="AF690" s="224"/>
      <c r="AG690"/>
      <c r="AH690"/>
      <c r="AI690">
        <v>145</v>
      </c>
      <c r="AJ690" s="194">
        <v>41785</v>
      </c>
      <c r="AK690">
        <v>37</v>
      </c>
      <c r="AL690" s="395">
        <v>41677</v>
      </c>
      <c r="AM690">
        <v>93</v>
      </c>
      <c r="AN690" s="391">
        <v>41733</v>
      </c>
      <c r="AO690"/>
      <c r="AP690" s="391" t="s">
        <v>8819</v>
      </c>
      <c r="AQ690" s="227"/>
      <c r="AR690" s="227"/>
      <c r="AS690"/>
      <c r="AT690"/>
      <c r="AU690"/>
      <c r="AV690" s="391">
        <v>41737</v>
      </c>
      <c r="AW690"/>
      <c r="AX690" s="391" t="s">
        <v>8819</v>
      </c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>
        <v>51.8</v>
      </c>
      <c r="BT690"/>
      <c r="BU690">
        <v>16.7</v>
      </c>
      <c r="BV690"/>
      <c r="BW690" s="229"/>
      <c r="BX690"/>
      <c r="BY690"/>
      <c r="BZ690"/>
      <c r="CA690"/>
      <c r="CC690"/>
      <c r="CD690"/>
      <c r="CE690">
        <v>6.2</v>
      </c>
      <c r="CF690"/>
      <c r="CG690">
        <v>0.1</v>
      </c>
      <c r="CH690"/>
      <c r="CI690"/>
      <c r="CJ690"/>
      <c r="CK690" t="s">
        <v>8820</v>
      </c>
      <c r="CL690">
        <v>1</v>
      </c>
      <c r="CM690" s="392">
        <v>41802</v>
      </c>
    </row>
    <row r="691" spans="1:91" ht="15">
      <c r="A691" s="364" t="s">
        <v>7682</v>
      </c>
      <c r="B691" t="s">
        <v>267</v>
      </c>
      <c r="C691" t="s">
        <v>8213</v>
      </c>
      <c r="D691">
        <v>77</v>
      </c>
      <c r="E691" s="113">
        <v>20</v>
      </c>
      <c r="F691" s="113">
        <v>8</v>
      </c>
      <c r="I691"/>
      <c r="K691" s="224">
        <v>7</v>
      </c>
      <c r="L691" s="390">
        <v>41625</v>
      </c>
      <c r="M691"/>
      <c r="N691" s="224"/>
      <c r="O691"/>
      <c r="P691"/>
      <c r="Q691"/>
      <c r="S691" s="224"/>
      <c r="T691" s="224"/>
      <c r="U691"/>
      <c r="V691"/>
      <c r="W691"/>
      <c r="X691"/>
      <c r="Y691" s="225"/>
      <c r="Z691" s="224"/>
      <c r="AA691" s="226"/>
      <c r="AB691" s="224"/>
      <c r="AC691" s="225"/>
      <c r="AD691" s="224"/>
      <c r="AE691" s="224"/>
      <c r="AF691" s="224"/>
      <c r="AG691"/>
      <c r="AH691"/>
      <c r="AI691">
        <v>135</v>
      </c>
      <c r="AJ691" s="194">
        <v>41785</v>
      </c>
      <c r="AK691">
        <v>37</v>
      </c>
      <c r="AL691" s="395">
        <v>41677</v>
      </c>
      <c r="AM691">
        <v>97</v>
      </c>
      <c r="AN691" s="391">
        <v>41737</v>
      </c>
      <c r="AO691"/>
      <c r="AP691" s="391" t="s">
        <v>8819</v>
      </c>
      <c r="AQ691" s="227"/>
      <c r="AR691" s="227"/>
      <c r="AS691"/>
      <c r="AT691"/>
      <c r="AU691"/>
      <c r="AV691" s="391">
        <v>41740</v>
      </c>
      <c r="AW691"/>
      <c r="AX691" s="391" t="s">
        <v>8819</v>
      </c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>
        <v>50.1</v>
      </c>
      <c r="BT691"/>
      <c r="BU691">
        <v>18.100000000000001</v>
      </c>
      <c r="BV691"/>
      <c r="BW691" s="229"/>
      <c r="BX691"/>
      <c r="BY691"/>
      <c r="BZ691"/>
      <c r="CA691"/>
      <c r="CC691"/>
      <c r="CD691"/>
      <c r="CE691">
        <v>6.1</v>
      </c>
      <c r="CF691"/>
      <c r="CG691">
        <v>0</v>
      </c>
      <c r="CH691"/>
      <c r="CI691"/>
      <c r="CJ691"/>
      <c r="CK691" t="s">
        <v>8820</v>
      </c>
      <c r="CL691">
        <v>1</v>
      </c>
      <c r="CM691" s="392">
        <v>41802</v>
      </c>
    </row>
    <row r="692" spans="1:91" ht="15">
      <c r="A692" s="364" t="s">
        <v>7683</v>
      </c>
      <c r="B692" t="s">
        <v>267</v>
      </c>
      <c r="C692" t="s">
        <v>8213</v>
      </c>
      <c r="D692">
        <v>78</v>
      </c>
      <c r="E692" s="113">
        <v>29</v>
      </c>
      <c r="F692" s="113">
        <v>12</v>
      </c>
      <c r="I692"/>
      <c r="K692" s="224">
        <v>7</v>
      </c>
      <c r="L692" s="390">
        <v>41625</v>
      </c>
      <c r="M692"/>
      <c r="N692" s="224"/>
      <c r="O692"/>
      <c r="P692"/>
      <c r="Q692"/>
      <c r="S692" s="224"/>
      <c r="T692" s="224"/>
      <c r="U692"/>
      <c r="V692"/>
      <c r="W692"/>
      <c r="X692"/>
      <c r="Y692" s="225"/>
      <c r="Z692" s="224"/>
      <c r="AA692" s="226"/>
      <c r="AB692" s="224"/>
      <c r="AC692" s="225"/>
      <c r="AD692" s="224"/>
      <c r="AE692" s="224"/>
      <c r="AF692" s="224"/>
      <c r="AG692"/>
      <c r="AH692"/>
      <c r="AI692">
        <v>160</v>
      </c>
      <c r="AJ692" s="194">
        <v>41785</v>
      </c>
      <c r="AK692">
        <v>37</v>
      </c>
      <c r="AL692" s="395">
        <v>41677</v>
      </c>
      <c r="AM692">
        <v>90</v>
      </c>
      <c r="AN692" s="391">
        <v>41730</v>
      </c>
      <c r="AO692"/>
      <c r="AP692" s="391" t="s">
        <v>8819</v>
      </c>
      <c r="AQ692" s="227"/>
      <c r="AR692" s="227"/>
      <c r="AS692"/>
      <c r="AT692"/>
      <c r="AU692"/>
      <c r="AV692" s="391" t="s">
        <v>8819</v>
      </c>
      <c r="AW692"/>
      <c r="AX692" s="391" t="s">
        <v>8819</v>
      </c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>
        <v>51.8</v>
      </c>
      <c r="BT692"/>
      <c r="BU692">
        <v>17.600000000000001</v>
      </c>
      <c r="BV692"/>
      <c r="BW692"/>
      <c r="BX692" s="228"/>
      <c r="BY692"/>
      <c r="BZ692"/>
      <c r="CA692"/>
      <c r="CC692"/>
      <c r="CD692"/>
      <c r="CE692">
        <v>5.8</v>
      </c>
      <c r="CF692"/>
      <c r="CG692">
        <v>0.2</v>
      </c>
      <c r="CH692"/>
      <c r="CI692"/>
      <c r="CJ692"/>
      <c r="CK692" t="s">
        <v>8820</v>
      </c>
      <c r="CL692">
        <v>3</v>
      </c>
      <c r="CM692" s="392">
        <v>41802</v>
      </c>
    </row>
    <row r="693" spans="1:91" ht="15">
      <c r="A693" s="364" t="s">
        <v>7684</v>
      </c>
      <c r="B693" t="s">
        <v>267</v>
      </c>
      <c r="C693" t="s">
        <v>8213</v>
      </c>
      <c r="D693">
        <v>79</v>
      </c>
      <c r="E693" s="113">
        <v>17</v>
      </c>
      <c r="F693" s="113">
        <v>11</v>
      </c>
      <c r="I693"/>
      <c r="K693" s="224">
        <v>6</v>
      </c>
      <c r="L693" s="390">
        <v>41625</v>
      </c>
      <c r="M693"/>
      <c r="N693" s="224"/>
      <c r="O693"/>
      <c r="P693"/>
      <c r="Q693"/>
      <c r="S693" s="224"/>
      <c r="T693" s="224"/>
      <c r="U693"/>
      <c r="V693"/>
      <c r="W693"/>
      <c r="X693"/>
      <c r="Y693" s="225"/>
      <c r="Z693" s="224"/>
      <c r="AA693" s="226"/>
      <c r="AB693" s="224"/>
      <c r="AC693" s="225"/>
      <c r="AD693" s="224"/>
      <c r="AE693" s="224"/>
      <c r="AF693" s="224"/>
      <c r="AG693"/>
      <c r="AH693"/>
      <c r="AI693">
        <v>140</v>
      </c>
      <c r="AJ693" s="194">
        <v>41785</v>
      </c>
      <c r="AK693">
        <v>26</v>
      </c>
      <c r="AL693" s="395">
        <v>41666</v>
      </c>
      <c r="AM693">
        <v>90</v>
      </c>
      <c r="AN693" s="391">
        <v>41730</v>
      </c>
      <c r="AO693"/>
      <c r="AP693" s="391" t="s">
        <v>8819</v>
      </c>
      <c r="AQ693" s="227"/>
      <c r="AR693" s="227"/>
      <c r="AS693"/>
      <c r="AT693"/>
      <c r="AU693"/>
      <c r="AV693" s="391" t="s">
        <v>8819</v>
      </c>
      <c r="AW693"/>
      <c r="AX693" s="391" t="s">
        <v>8819</v>
      </c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>
        <v>53.5</v>
      </c>
      <c r="BT693"/>
      <c r="BU693">
        <v>16.5</v>
      </c>
      <c r="BV693"/>
      <c r="BW693"/>
      <c r="BX693" s="228"/>
      <c r="BY693"/>
      <c r="BZ693"/>
      <c r="CA693"/>
      <c r="CC693"/>
      <c r="CD693"/>
      <c r="CE693">
        <v>8.5</v>
      </c>
      <c r="CF693"/>
      <c r="CG693">
        <v>0</v>
      </c>
      <c r="CH693"/>
      <c r="CI693"/>
      <c r="CJ693"/>
      <c r="CK693" t="s">
        <v>8820</v>
      </c>
      <c r="CL693">
        <v>1</v>
      </c>
      <c r="CM693" s="392">
        <v>41802</v>
      </c>
    </row>
    <row r="694" spans="1:91" ht="15">
      <c r="A694" s="364" t="s">
        <v>7685</v>
      </c>
      <c r="B694" t="s">
        <v>267</v>
      </c>
      <c r="C694" t="s">
        <v>8213</v>
      </c>
      <c r="D694" s="232">
        <v>80</v>
      </c>
      <c r="E694" s="113">
        <v>26</v>
      </c>
      <c r="F694" s="113">
        <v>10</v>
      </c>
      <c r="I694"/>
      <c r="K694" s="224">
        <v>7</v>
      </c>
      <c r="L694" s="390">
        <v>41625</v>
      </c>
      <c r="M694"/>
      <c r="N694" s="224"/>
      <c r="O694"/>
      <c r="P694"/>
      <c r="Q694"/>
      <c r="S694" s="224"/>
      <c r="T694" s="224"/>
      <c r="U694"/>
      <c r="V694"/>
      <c r="W694"/>
      <c r="X694"/>
      <c r="Y694" s="225"/>
      <c r="Z694" s="224"/>
      <c r="AA694" s="226"/>
      <c r="AB694" s="224"/>
      <c r="AC694" s="225"/>
      <c r="AD694" s="224"/>
      <c r="AE694" s="224"/>
      <c r="AF694" s="224"/>
      <c r="AG694"/>
      <c r="AH694"/>
      <c r="AI694">
        <v>145</v>
      </c>
      <c r="AJ694" s="194">
        <v>41785</v>
      </c>
      <c r="AK694">
        <v>37</v>
      </c>
      <c r="AL694" s="395">
        <v>41677</v>
      </c>
      <c r="AM694">
        <v>90</v>
      </c>
      <c r="AN694" s="391">
        <v>41730</v>
      </c>
      <c r="AO694"/>
      <c r="AP694" s="391" t="s">
        <v>8819</v>
      </c>
      <c r="AQ694" s="227"/>
      <c r="AR694" s="227"/>
      <c r="AS694"/>
      <c r="AT694"/>
      <c r="AU694"/>
      <c r="AV694" s="391">
        <v>41737</v>
      </c>
      <c r="AW694"/>
      <c r="AX694" s="391" t="s">
        <v>8819</v>
      </c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>
        <v>52.1</v>
      </c>
      <c r="BT694"/>
      <c r="BU694">
        <v>17.7</v>
      </c>
      <c r="BV694"/>
      <c r="BW694" s="229"/>
      <c r="BX694"/>
      <c r="BY694"/>
      <c r="BZ694"/>
      <c r="CA694"/>
      <c r="CC694"/>
      <c r="CD694"/>
      <c r="CE694">
        <v>5.5</v>
      </c>
      <c r="CF694"/>
      <c r="CG694">
        <v>0.3</v>
      </c>
      <c r="CH694"/>
      <c r="CI694"/>
      <c r="CJ694"/>
      <c r="CK694" t="s">
        <v>8820</v>
      </c>
      <c r="CL694">
        <v>1</v>
      </c>
      <c r="CM694" s="392">
        <v>41802</v>
      </c>
    </row>
    <row r="695" spans="1:91" ht="15">
      <c r="A695" s="364" t="s">
        <v>7686</v>
      </c>
      <c r="B695" t="s">
        <v>267</v>
      </c>
      <c r="C695" t="s">
        <v>8213</v>
      </c>
      <c r="D695">
        <v>81</v>
      </c>
      <c r="E695" s="113">
        <v>1</v>
      </c>
      <c r="F695" s="113">
        <v>9</v>
      </c>
      <c r="I695"/>
      <c r="K695" s="224">
        <v>5</v>
      </c>
      <c r="L695" s="390">
        <v>41625</v>
      </c>
      <c r="M695"/>
      <c r="N695" s="224"/>
      <c r="O695"/>
      <c r="P695"/>
      <c r="Q695"/>
      <c r="S695" s="224"/>
      <c r="T695" s="224"/>
      <c r="U695"/>
      <c r="V695"/>
      <c r="W695"/>
      <c r="X695"/>
      <c r="Y695" s="225"/>
      <c r="Z695" s="224"/>
      <c r="AA695" s="226"/>
      <c r="AB695" s="224"/>
      <c r="AC695" s="225"/>
      <c r="AD695" s="224"/>
      <c r="AE695" s="224"/>
      <c r="AF695" s="224"/>
      <c r="AG695"/>
      <c r="AH695"/>
      <c r="AI695">
        <v>135</v>
      </c>
      <c r="AJ695" s="194">
        <v>41785</v>
      </c>
      <c r="AK695">
        <v>37</v>
      </c>
      <c r="AL695" s="395">
        <v>41677</v>
      </c>
      <c r="AM695">
        <v>90</v>
      </c>
      <c r="AN695" s="391">
        <v>41730</v>
      </c>
      <c r="AO695"/>
      <c r="AP695" s="391" t="s">
        <v>8819</v>
      </c>
      <c r="AQ695" s="227"/>
      <c r="AR695" s="227"/>
      <c r="AS695"/>
      <c r="AT695"/>
      <c r="AU695"/>
      <c r="AV695" s="391" t="s">
        <v>8819</v>
      </c>
      <c r="AW695"/>
      <c r="AX695" s="391" t="s">
        <v>8819</v>
      </c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>
        <v>50.6</v>
      </c>
      <c r="BT695"/>
      <c r="BU695">
        <v>17.8</v>
      </c>
      <c r="BV695"/>
      <c r="BW695" s="229"/>
      <c r="BX695"/>
      <c r="BY695"/>
      <c r="BZ695"/>
      <c r="CA695"/>
      <c r="CC695"/>
      <c r="CD695"/>
      <c r="CE695">
        <v>5.7</v>
      </c>
      <c r="CF695"/>
      <c r="CG695">
        <v>0.3</v>
      </c>
      <c r="CH695"/>
      <c r="CI695"/>
      <c r="CJ695"/>
      <c r="CK695" t="s">
        <v>8820</v>
      </c>
      <c r="CL695">
        <v>1</v>
      </c>
      <c r="CM695" s="392">
        <v>41802</v>
      </c>
    </row>
    <row r="696" spans="1:91" ht="15">
      <c r="A696" s="364" t="s">
        <v>7687</v>
      </c>
      <c r="B696" t="s">
        <v>267</v>
      </c>
      <c r="C696" t="s">
        <v>8213</v>
      </c>
      <c r="D696">
        <v>82</v>
      </c>
      <c r="E696" s="113">
        <v>23</v>
      </c>
      <c r="F696" s="113">
        <v>12</v>
      </c>
      <c r="G696" s="233"/>
      <c r="H696" s="233"/>
      <c r="I696" s="232"/>
      <c r="J696" s="234"/>
      <c r="K696" s="235">
        <v>7</v>
      </c>
      <c r="L696" s="390">
        <v>41625</v>
      </c>
      <c r="M696" s="232"/>
      <c r="N696" s="235"/>
      <c r="O696" s="232"/>
      <c r="P696" s="232"/>
      <c r="Q696" s="232"/>
      <c r="R696" s="236"/>
      <c r="S696" s="235"/>
      <c r="T696" s="235"/>
      <c r="U696" s="232"/>
      <c r="V696" s="232"/>
      <c r="W696" s="232"/>
      <c r="X696" s="232"/>
      <c r="Y696" s="237"/>
      <c r="Z696" s="235"/>
      <c r="AA696" s="238"/>
      <c r="AB696" s="235"/>
      <c r="AC696" s="237"/>
      <c r="AD696" s="235"/>
      <c r="AE696" s="235"/>
      <c r="AF696" s="235"/>
      <c r="AG696" s="232"/>
      <c r="AH696" s="232"/>
      <c r="AI696" s="232">
        <v>140</v>
      </c>
      <c r="AJ696" s="194">
        <v>41785</v>
      </c>
      <c r="AK696" s="232">
        <v>31</v>
      </c>
      <c r="AL696" s="395">
        <v>41671</v>
      </c>
      <c r="AM696" s="232">
        <v>90</v>
      </c>
      <c r="AN696" s="391">
        <v>41730</v>
      </c>
      <c r="AO696" s="232"/>
      <c r="AP696" s="391" t="s">
        <v>8819</v>
      </c>
      <c r="AQ696" s="239"/>
      <c r="AR696" s="239"/>
      <c r="AS696" s="232"/>
      <c r="AT696" s="232"/>
      <c r="AU696" s="232"/>
      <c r="AV696" s="391" t="s">
        <v>8819</v>
      </c>
      <c r="AW696" s="232">
        <v>111</v>
      </c>
      <c r="AX696" s="391">
        <v>41751</v>
      </c>
      <c r="AY696" s="232"/>
      <c r="AZ696" s="232"/>
      <c r="BA696" s="232"/>
      <c r="BB696" s="232"/>
      <c r="BC696" s="232"/>
      <c r="BD696" s="232"/>
      <c r="BE696" s="232"/>
      <c r="BF696" s="232"/>
      <c r="BG696" s="232"/>
      <c r="BH696" s="232"/>
      <c r="BI696" s="232"/>
      <c r="BJ696" s="232"/>
      <c r="BK696" s="232"/>
      <c r="BL696" s="232"/>
      <c r="BM696" s="232"/>
      <c r="BN696" s="232"/>
      <c r="BO696" s="232"/>
      <c r="BP696" s="232"/>
      <c r="BQ696" s="232"/>
      <c r="BR696" s="232"/>
      <c r="BS696" s="232">
        <v>50.5</v>
      </c>
      <c r="BT696" s="232"/>
      <c r="BU696" s="232">
        <v>18</v>
      </c>
      <c r="BV696" s="232"/>
      <c r="BW696" s="232"/>
      <c r="BX696" s="243"/>
      <c r="BY696" s="232"/>
      <c r="BZ696" s="232"/>
      <c r="CA696" s="232"/>
      <c r="CB696" s="241"/>
      <c r="CC696" s="232"/>
      <c r="CD696" s="232"/>
      <c r="CE696" s="232">
        <v>6</v>
      </c>
      <c r="CF696" s="232"/>
      <c r="CG696" s="232">
        <v>0.8</v>
      </c>
      <c r="CH696" s="232"/>
      <c r="CI696" s="232"/>
      <c r="CJ696" s="232"/>
      <c r="CK696" t="s">
        <v>8820</v>
      </c>
      <c r="CL696" s="232">
        <v>1</v>
      </c>
      <c r="CM696" s="392">
        <v>41802</v>
      </c>
    </row>
    <row r="697" spans="1:91" ht="15">
      <c r="A697" s="364" t="s">
        <v>7688</v>
      </c>
      <c r="B697" t="s">
        <v>267</v>
      </c>
      <c r="C697" t="s">
        <v>8213</v>
      </c>
      <c r="D697">
        <v>83</v>
      </c>
      <c r="E697" s="113">
        <v>9</v>
      </c>
      <c r="F697" s="113">
        <v>7</v>
      </c>
      <c r="I697"/>
      <c r="K697" s="224">
        <v>6</v>
      </c>
      <c r="L697" s="390">
        <v>41625</v>
      </c>
      <c r="M697"/>
      <c r="N697" s="224"/>
      <c r="O697"/>
      <c r="P697"/>
      <c r="Q697"/>
      <c r="S697" s="224"/>
      <c r="T697" s="224"/>
      <c r="U697"/>
      <c r="V697"/>
      <c r="W697"/>
      <c r="X697"/>
      <c r="Y697" s="225"/>
      <c r="Z697" s="224"/>
      <c r="AA697" s="226"/>
      <c r="AB697" s="224"/>
      <c r="AC697" s="225"/>
      <c r="AD697" s="224"/>
      <c r="AE697" s="224"/>
      <c r="AF697" s="224"/>
      <c r="AG697"/>
      <c r="AH697"/>
      <c r="AI697">
        <v>135</v>
      </c>
      <c r="AJ697" s="194">
        <v>41785</v>
      </c>
      <c r="AK697">
        <v>37</v>
      </c>
      <c r="AL697" s="395">
        <v>41677</v>
      </c>
      <c r="AM697">
        <v>90</v>
      </c>
      <c r="AN697" s="391">
        <v>41730</v>
      </c>
      <c r="AO697"/>
      <c r="AP697" s="391" t="s">
        <v>8819</v>
      </c>
      <c r="AQ697" s="227"/>
      <c r="AR697" s="227"/>
      <c r="AS697"/>
      <c r="AT697"/>
      <c r="AU697"/>
      <c r="AV697" s="391" t="s">
        <v>8819</v>
      </c>
      <c r="AW697">
        <v>111</v>
      </c>
      <c r="AX697" s="391">
        <v>41751</v>
      </c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>
        <v>51.1</v>
      </c>
      <c r="BT697"/>
      <c r="BU697">
        <v>18.7</v>
      </c>
      <c r="BV697"/>
      <c r="BW697"/>
      <c r="BX697" s="228"/>
      <c r="BY697"/>
      <c r="BZ697"/>
      <c r="CA697"/>
      <c r="CC697"/>
      <c r="CD697"/>
      <c r="CE697">
        <v>6.1</v>
      </c>
      <c r="CF697"/>
      <c r="CG697">
        <v>0.1</v>
      </c>
      <c r="CH697"/>
      <c r="CI697"/>
      <c r="CJ697"/>
      <c r="CK697" t="s">
        <v>8820</v>
      </c>
      <c r="CL697">
        <v>1</v>
      </c>
      <c r="CM697" s="392">
        <v>41802</v>
      </c>
    </row>
    <row r="698" spans="1:91" ht="15">
      <c r="A698" s="364" t="s">
        <v>7689</v>
      </c>
      <c r="B698" t="s">
        <v>267</v>
      </c>
      <c r="C698" t="s">
        <v>8213</v>
      </c>
      <c r="D698">
        <v>84</v>
      </c>
      <c r="E698" s="113">
        <v>35</v>
      </c>
      <c r="F698" s="113">
        <v>9</v>
      </c>
      <c r="I698"/>
      <c r="K698" s="224">
        <v>7</v>
      </c>
      <c r="L698" s="390">
        <v>41625</v>
      </c>
      <c r="M698"/>
      <c r="N698" s="224"/>
      <c r="O698"/>
      <c r="P698"/>
      <c r="Q698"/>
      <c r="S698" s="224"/>
      <c r="T698" s="224"/>
      <c r="U698"/>
      <c r="V698"/>
      <c r="W698"/>
      <c r="X698"/>
      <c r="Y698" s="225"/>
      <c r="Z698" s="224"/>
      <c r="AA698" s="226"/>
      <c r="AB698" s="224"/>
      <c r="AC698" s="225"/>
      <c r="AD698" s="224"/>
      <c r="AE698" s="224"/>
      <c r="AF698" s="224"/>
      <c r="AG698"/>
      <c r="AH698"/>
      <c r="AI698">
        <v>135</v>
      </c>
      <c r="AJ698" s="194">
        <v>41785</v>
      </c>
      <c r="AK698">
        <v>37</v>
      </c>
      <c r="AL698" s="395">
        <v>41677</v>
      </c>
      <c r="AM698">
        <v>90</v>
      </c>
      <c r="AN698" s="391">
        <v>41730</v>
      </c>
      <c r="AO698"/>
      <c r="AP698" s="391" t="s">
        <v>8819</v>
      </c>
      <c r="AQ698" s="227"/>
      <c r="AR698" s="227"/>
      <c r="AS698"/>
      <c r="AT698"/>
      <c r="AU698"/>
      <c r="AV698" s="391" t="s">
        <v>8819</v>
      </c>
      <c r="AW698"/>
      <c r="AX698" s="391" t="s">
        <v>8819</v>
      </c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>
        <v>52.1</v>
      </c>
      <c r="BT698"/>
      <c r="BU698">
        <v>17.100000000000001</v>
      </c>
      <c r="BV698"/>
      <c r="BW698"/>
      <c r="BX698" s="228"/>
      <c r="BY698"/>
      <c r="BZ698"/>
      <c r="CA698"/>
      <c r="CC698"/>
      <c r="CD698"/>
      <c r="CE698">
        <v>7</v>
      </c>
      <c r="CF698"/>
      <c r="CG698">
        <v>0.3</v>
      </c>
      <c r="CH698"/>
      <c r="CI698"/>
      <c r="CJ698"/>
      <c r="CK698" t="s">
        <v>8820</v>
      </c>
      <c r="CL698">
        <v>1</v>
      </c>
      <c r="CM698" s="392">
        <v>41802</v>
      </c>
    </row>
    <row r="699" spans="1:91" ht="15">
      <c r="A699" s="364" t="s">
        <v>7690</v>
      </c>
      <c r="B699" t="s">
        <v>267</v>
      </c>
      <c r="C699" t="s">
        <v>8213</v>
      </c>
      <c r="D699" s="232">
        <v>85</v>
      </c>
      <c r="E699" s="113">
        <v>26</v>
      </c>
      <c r="F699" s="113">
        <v>7</v>
      </c>
      <c r="I699"/>
      <c r="K699" s="224">
        <v>7</v>
      </c>
      <c r="L699" s="390">
        <v>41625</v>
      </c>
      <c r="M699"/>
      <c r="N699" s="224"/>
      <c r="O699"/>
      <c r="P699"/>
      <c r="Q699"/>
      <c r="S699" s="224"/>
      <c r="T699" s="224"/>
      <c r="U699"/>
      <c r="V699"/>
      <c r="W699"/>
      <c r="X699"/>
      <c r="Y699" s="225"/>
      <c r="Z699" s="224"/>
      <c r="AA699" s="226"/>
      <c r="AB699" s="224"/>
      <c r="AC699" s="225"/>
      <c r="AD699" s="224"/>
      <c r="AE699" s="224"/>
      <c r="AF699" s="224"/>
      <c r="AG699"/>
      <c r="AH699"/>
      <c r="AI699">
        <v>145</v>
      </c>
      <c r="AJ699" s="194">
        <v>41785</v>
      </c>
      <c r="AK699">
        <v>37</v>
      </c>
      <c r="AL699" s="395">
        <v>41677</v>
      </c>
      <c r="AM699">
        <v>97</v>
      </c>
      <c r="AN699" s="391">
        <v>41737</v>
      </c>
      <c r="AO699"/>
      <c r="AP699" s="391" t="s">
        <v>8819</v>
      </c>
      <c r="AQ699" s="227"/>
      <c r="AR699" s="227"/>
      <c r="AS699"/>
      <c r="AT699"/>
      <c r="AU699"/>
      <c r="AV699" s="391">
        <v>41744</v>
      </c>
      <c r="AW699"/>
      <c r="AX699" s="391" t="s">
        <v>8819</v>
      </c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>
        <v>51</v>
      </c>
      <c r="BT699"/>
      <c r="BU699">
        <v>17.3</v>
      </c>
      <c r="BV699"/>
      <c r="BW699" s="229"/>
      <c r="BX699"/>
      <c r="BY699"/>
      <c r="BZ699"/>
      <c r="CA699"/>
      <c r="CC699"/>
      <c r="CD699"/>
      <c r="CE699">
        <v>6.2</v>
      </c>
      <c r="CF699"/>
      <c r="CG699">
        <v>0.3</v>
      </c>
      <c r="CH699"/>
      <c r="CI699"/>
      <c r="CJ699"/>
      <c r="CK699" t="s">
        <v>8820</v>
      </c>
      <c r="CL699">
        <v>1</v>
      </c>
      <c r="CM699" s="392">
        <v>41802</v>
      </c>
    </row>
    <row r="700" spans="1:91" ht="15">
      <c r="A700" s="364" t="s">
        <v>7691</v>
      </c>
      <c r="B700" t="s">
        <v>267</v>
      </c>
      <c r="C700" t="s">
        <v>8213</v>
      </c>
      <c r="D700">
        <v>86</v>
      </c>
      <c r="E700" s="113">
        <v>19</v>
      </c>
      <c r="F700" s="113">
        <v>8</v>
      </c>
      <c r="I700"/>
      <c r="K700" s="224">
        <v>6</v>
      </c>
      <c r="L700" s="390">
        <v>41625</v>
      </c>
      <c r="M700"/>
      <c r="N700" s="224"/>
      <c r="O700"/>
      <c r="P700"/>
      <c r="Q700"/>
      <c r="S700" s="224"/>
      <c r="T700" s="224"/>
      <c r="U700"/>
      <c r="V700"/>
      <c r="W700"/>
      <c r="X700"/>
      <c r="Y700" s="225"/>
      <c r="Z700" s="224"/>
      <c r="AA700" s="226"/>
      <c r="AB700" s="224"/>
      <c r="AC700" s="225"/>
      <c r="AD700" s="224"/>
      <c r="AE700" s="224"/>
      <c r="AF700" s="224"/>
      <c r="AG700"/>
      <c r="AH700"/>
      <c r="AI700">
        <v>140</v>
      </c>
      <c r="AJ700" s="194">
        <v>41785</v>
      </c>
      <c r="AK700">
        <v>37</v>
      </c>
      <c r="AL700" s="395">
        <v>41677</v>
      </c>
      <c r="AM700">
        <v>93</v>
      </c>
      <c r="AN700" s="391">
        <v>41733</v>
      </c>
      <c r="AO700"/>
      <c r="AP700" s="391">
        <v>41737</v>
      </c>
      <c r="AQ700" s="227"/>
      <c r="AR700" s="227"/>
      <c r="AS700"/>
      <c r="AT700"/>
      <c r="AU700"/>
      <c r="AV700" s="391" t="s">
        <v>8819</v>
      </c>
      <c r="AW700"/>
      <c r="AX700" s="391" t="s">
        <v>8819</v>
      </c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>
        <v>50.4</v>
      </c>
      <c r="BT700"/>
      <c r="BU700">
        <v>18</v>
      </c>
      <c r="BV700"/>
      <c r="BW700" s="229"/>
      <c r="BX700"/>
      <c r="BY700"/>
      <c r="BZ700"/>
      <c r="CA700"/>
      <c r="CC700"/>
      <c r="CD700"/>
      <c r="CE700">
        <v>5.7</v>
      </c>
      <c r="CF700"/>
      <c r="CG700">
        <v>0.3</v>
      </c>
      <c r="CH700"/>
      <c r="CI700"/>
      <c r="CJ700"/>
      <c r="CK700" t="s">
        <v>8820</v>
      </c>
      <c r="CL700">
        <v>1</v>
      </c>
      <c r="CM700" s="392">
        <v>41802</v>
      </c>
    </row>
    <row r="701" spans="1:91" ht="15">
      <c r="A701" s="364" t="s">
        <v>7692</v>
      </c>
      <c r="B701" t="s">
        <v>267</v>
      </c>
      <c r="C701" t="s">
        <v>8213</v>
      </c>
      <c r="D701">
        <v>87</v>
      </c>
      <c r="E701" s="113">
        <v>9</v>
      </c>
      <c r="F701" s="113">
        <v>9</v>
      </c>
      <c r="I701"/>
      <c r="K701" s="224">
        <v>7</v>
      </c>
      <c r="L701" s="390">
        <v>41625</v>
      </c>
      <c r="M701"/>
      <c r="N701" s="224"/>
      <c r="O701"/>
      <c r="P701"/>
      <c r="Q701"/>
      <c r="S701" s="224"/>
      <c r="T701" s="224"/>
      <c r="U701"/>
      <c r="V701"/>
      <c r="W701"/>
      <c r="X701"/>
      <c r="Y701" s="225"/>
      <c r="Z701" s="224"/>
      <c r="AA701" s="226"/>
      <c r="AB701" s="224"/>
      <c r="AC701" s="225"/>
      <c r="AD701" s="224"/>
      <c r="AE701" s="224"/>
      <c r="AF701" s="224"/>
      <c r="AG701"/>
      <c r="AH701"/>
      <c r="AI701">
        <v>140</v>
      </c>
      <c r="AJ701" s="194">
        <v>41785</v>
      </c>
      <c r="AK701">
        <v>37</v>
      </c>
      <c r="AL701" s="395">
        <v>41677</v>
      </c>
      <c r="AM701">
        <v>90</v>
      </c>
      <c r="AN701" s="391">
        <v>41730</v>
      </c>
      <c r="AO701"/>
      <c r="AP701" s="391" t="s">
        <v>8819</v>
      </c>
      <c r="AQ701" s="227"/>
      <c r="AR701" s="227"/>
      <c r="AS701"/>
      <c r="AT701"/>
      <c r="AU701"/>
      <c r="AV701" s="391">
        <v>41737</v>
      </c>
      <c r="AW701"/>
      <c r="AX701" s="391" t="s">
        <v>8819</v>
      </c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>
        <v>51.2</v>
      </c>
      <c r="BT701"/>
      <c r="BU701">
        <v>18.2</v>
      </c>
      <c r="BV701"/>
      <c r="BW701" s="229"/>
      <c r="BX701"/>
      <c r="BY701"/>
      <c r="BZ701"/>
      <c r="CA701"/>
      <c r="CC701"/>
      <c r="CD701"/>
      <c r="CE701">
        <v>5.6</v>
      </c>
      <c r="CF701"/>
      <c r="CG701">
        <v>0.3</v>
      </c>
      <c r="CH701"/>
      <c r="CI701"/>
      <c r="CJ701"/>
      <c r="CK701" t="s">
        <v>8820</v>
      </c>
      <c r="CL701">
        <v>1</v>
      </c>
      <c r="CM701" s="392">
        <v>41802</v>
      </c>
    </row>
    <row r="702" spans="1:91" ht="15">
      <c r="A702" s="364" t="s">
        <v>7693</v>
      </c>
      <c r="B702" t="s">
        <v>267</v>
      </c>
      <c r="C702" t="s">
        <v>8213</v>
      </c>
      <c r="D702">
        <v>88</v>
      </c>
      <c r="E702" s="113">
        <v>31</v>
      </c>
      <c r="F702" s="113">
        <v>8</v>
      </c>
      <c r="I702"/>
      <c r="K702" s="224">
        <v>6</v>
      </c>
      <c r="L702" s="390">
        <v>41625</v>
      </c>
      <c r="M702"/>
      <c r="N702" s="224"/>
      <c r="O702"/>
      <c r="P702"/>
      <c r="Q702"/>
      <c r="S702" s="224"/>
      <c r="T702" s="224"/>
      <c r="U702"/>
      <c r="V702"/>
      <c r="W702"/>
      <c r="X702"/>
      <c r="Y702" s="225"/>
      <c r="Z702" s="224"/>
      <c r="AA702" s="226"/>
      <c r="AB702" s="224"/>
      <c r="AC702" s="225"/>
      <c r="AD702" s="224"/>
      <c r="AE702" s="224"/>
      <c r="AF702" s="224"/>
      <c r="AG702"/>
      <c r="AH702"/>
      <c r="AI702">
        <v>165</v>
      </c>
      <c r="AJ702" s="194">
        <v>41785</v>
      </c>
      <c r="AK702">
        <v>37</v>
      </c>
      <c r="AL702" s="395">
        <v>41677</v>
      </c>
      <c r="AM702">
        <v>93</v>
      </c>
      <c r="AN702" s="391">
        <v>41733</v>
      </c>
      <c r="AO702"/>
      <c r="AP702" s="391">
        <v>41737</v>
      </c>
      <c r="AQ702" s="227"/>
      <c r="AR702" s="227"/>
      <c r="AS702"/>
      <c r="AT702"/>
      <c r="AU702"/>
      <c r="AV702" s="391">
        <v>41740</v>
      </c>
      <c r="AW702"/>
      <c r="AX702" s="391" t="s">
        <v>8819</v>
      </c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>
        <v>54.8</v>
      </c>
      <c r="BT702"/>
      <c r="BU702">
        <v>14.5</v>
      </c>
      <c r="BV702"/>
      <c r="BW702" s="229"/>
      <c r="BX702"/>
      <c r="BY702"/>
      <c r="BZ702"/>
      <c r="CA702"/>
      <c r="CC702"/>
      <c r="CD702"/>
      <c r="CE702">
        <v>6.8</v>
      </c>
      <c r="CF702"/>
      <c r="CG702">
        <v>0.1</v>
      </c>
      <c r="CH702"/>
      <c r="CI702"/>
      <c r="CJ702"/>
      <c r="CK702" t="s">
        <v>8820</v>
      </c>
      <c r="CL702">
        <v>1</v>
      </c>
      <c r="CM702" s="392">
        <v>41802</v>
      </c>
    </row>
    <row r="703" spans="1:91" ht="15">
      <c r="A703" s="364" t="s">
        <v>7694</v>
      </c>
      <c r="B703" t="s">
        <v>267</v>
      </c>
      <c r="C703" t="s">
        <v>8213</v>
      </c>
      <c r="D703">
        <v>89</v>
      </c>
      <c r="E703" s="113">
        <v>10</v>
      </c>
      <c r="F703" s="113">
        <v>12</v>
      </c>
      <c r="I703"/>
      <c r="K703" s="224">
        <v>7</v>
      </c>
      <c r="L703" s="390">
        <v>41625</v>
      </c>
      <c r="M703"/>
      <c r="N703" s="224"/>
      <c r="O703"/>
      <c r="P703"/>
      <c r="Q703"/>
      <c r="S703" s="224"/>
      <c r="T703" s="224"/>
      <c r="U703"/>
      <c r="V703"/>
      <c r="W703"/>
      <c r="X703"/>
      <c r="Y703" s="225"/>
      <c r="Z703" s="224"/>
      <c r="AA703" s="226"/>
      <c r="AB703" s="224"/>
      <c r="AC703" s="225"/>
      <c r="AD703" s="224"/>
      <c r="AE703" s="224"/>
      <c r="AF703" s="224"/>
      <c r="AG703"/>
      <c r="AH703"/>
      <c r="AI703">
        <v>140</v>
      </c>
      <c r="AJ703" s="194">
        <v>41785</v>
      </c>
      <c r="AK703">
        <v>37</v>
      </c>
      <c r="AL703" s="395">
        <v>41677</v>
      </c>
      <c r="AM703">
        <v>90</v>
      </c>
      <c r="AN703" s="391">
        <v>41730</v>
      </c>
      <c r="AO703"/>
      <c r="AP703" s="391">
        <v>41737</v>
      </c>
      <c r="AQ703" s="227"/>
      <c r="AR703" s="227"/>
      <c r="AS703"/>
      <c r="AT703"/>
      <c r="AU703"/>
      <c r="AV703" s="391" t="s">
        <v>8819</v>
      </c>
      <c r="AW703"/>
      <c r="AX703" s="391" t="s">
        <v>8819</v>
      </c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>
        <v>50.6</v>
      </c>
      <c r="BT703"/>
      <c r="BU703">
        <v>18</v>
      </c>
      <c r="BV703"/>
      <c r="BW703" s="229"/>
      <c r="BX703"/>
      <c r="BY703"/>
      <c r="BZ703"/>
      <c r="CA703"/>
      <c r="CC703"/>
      <c r="CD703"/>
      <c r="CE703">
        <v>5.4</v>
      </c>
      <c r="CF703"/>
      <c r="CG703">
        <v>0.1</v>
      </c>
      <c r="CH703"/>
      <c r="CI703"/>
      <c r="CJ703"/>
      <c r="CK703" t="s">
        <v>8820</v>
      </c>
      <c r="CL703">
        <v>1</v>
      </c>
      <c r="CM703" s="392">
        <v>41802</v>
      </c>
    </row>
    <row r="704" spans="1:91" ht="15">
      <c r="A704" s="364" t="s">
        <v>7695</v>
      </c>
      <c r="B704" t="s">
        <v>267</v>
      </c>
      <c r="C704" t="s">
        <v>8213</v>
      </c>
      <c r="D704">
        <v>90</v>
      </c>
      <c r="E704" s="113">
        <v>33</v>
      </c>
      <c r="F704" s="113">
        <v>12</v>
      </c>
      <c r="G704" s="233"/>
      <c r="H704" s="233"/>
      <c r="I704" s="232"/>
      <c r="J704" s="234"/>
      <c r="K704" s="235">
        <v>7</v>
      </c>
      <c r="L704" s="390">
        <v>41625</v>
      </c>
      <c r="M704" s="232"/>
      <c r="N704" s="235"/>
      <c r="O704" s="232"/>
      <c r="P704" s="232"/>
      <c r="Q704" s="232"/>
      <c r="R704" s="236"/>
      <c r="S704" s="235"/>
      <c r="T704" s="235"/>
      <c r="U704" s="232"/>
      <c r="V704" s="232"/>
      <c r="W704" s="232"/>
      <c r="X704" s="232"/>
      <c r="Y704" s="237"/>
      <c r="Z704" s="235"/>
      <c r="AA704" s="238"/>
      <c r="AB704" s="235"/>
      <c r="AC704" s="237"/>
      <c r="AD704" s="235"/>
      <c r="AE704" s="235"/>
      <c r="AF704" s="235"/>
      <c r="AG704" s="232"/>
      <c r="AH704" s="232"/>
      <c r="AI704" s="232">
        <v>120</v>
      </c>
      <c r="AJ704" s="194">
        <v>41785</v>
      </c>
      <c r="AK704" s="232">
        <v>37</v>
      </c>
      <c r="AL704" s="395">
        <v>41677</v>
      </c>
      <c r="AM704" s="232">
        <v>90</v>
      </c>
      <c r="AN704" s="391">
        <v>41730</v>
      </c>
      <c r="AO704" s="232"/>
      <c r="AP704" s="391" t="s">
        <v>8819</v>
      </c>
      <c r="AQ704" s="239"/>
      <c r="AR704" s="239"/>
      <c r="AS704" s="232"/>
      <c r="AT704" s="232"/>
      <c r="AU704" s="232"/>
      <c r="AV704" s="391">
        <v>41737</v>
      </c>
      <c r="AW704" s="232"/>
      <c r="AX704" s="391" t="s">
        <v>8819</v>
      </c>
      <c r="AY704" s="232"/>
      <c r="AZ704" s="232"/>
      <c r="BA704" s="232"/>
      <c r="BB704" s="232"/>
      <c r="BC704" s="232"/>
      <c r="BD704" s="232"/>
      <c r="BE704" s="232"/>
      <c r="BF704" s="232"/>
      <c r="BG704" s="232"/>
      <c r="BH704" s="232"/>
      <c r="BI704" s="232"/>
      <c r="BJ704" s="232"/>
      <c r="BK704" s="232"/>
      <c r="BL704" s="232"/>
      <c r="BM704" s="232"/>
      <c r="BN704" s="232"/>
      <c r="BO704" s="232"/>
      <c r="BP704" s="232"/>
      <c r="BQ704" s="232"/>
      <c r="BR704" s="232"/>
      <c r="BS704" s="232">
        <v>51</v>
      </c>
      <c r="BT704" s="232"/>
      <c r="BU704" s="232">
        <v>18.2</v>
      </c>
      <c r="BV704" s="232"/>
      <c r="BW704" s="240"/>
      <c r="BX704" s="232"/>
      <c r="BY704" s="232"/>
      <c r="BZ704" s="232"/>
      <c r="CA704" s="232"/>
      <c r="CB704" s="241"/>
      <c r="CC704" s="232"/>
      <c r="CD704" s="232"/>
      <c r="CE704" s="232">
        <v>6</v>
      </c>
      <c r="CF704" s="232"/>
      <c r="CG704" s="232">
        <v>0.1</v>
      </c>
      <c r="CH704" s="232"/>
      <c r="CI704" s="232"/>
      <c r="CJ704" s="232"/>
      <c r="CK704" t="s">
        <v>8820</v>
      </c>
      <c r="CL704" s="232">
        <v>1</v>
      </c>
      <c r="CM704" s="392">
        <v>41802</v>
      </c>
    </row>
    <row r="705" spans="1:91" ht="15">
      <c r="A705" s="364" t="s">
        <v>7696</v>
      </c>
      <c r="B705" t="s">
        <v>267</v>
      </c>
      <c r="C705" t="s">
        <v>8213</v>
      </c>
      <c r="D705" s="232">
        <v>91</v>
      </c>
      <c r="E705" s="113">
        <v>30</v>
      </c>
      <c r="F705" s="113">
        <v>11</v>
      </c>
      <c r="I705"/>
      <c r="K705" s="224">
        <v>7</v>
      </c>
      <c r="L705" s="390">
        <v>41625</v>
      </c>
      <c r="M705"/>
      <c r="N705" s="224"/>
      <c r="O705"/>
      <c r="P705"/>
      <c r="Q705"/>
      <c r="S705" s="224"/>
      <c r="T705" s="224"/>
      <c r="U705"/>
      <c r="V705"/>
      <c r="W705"/>
      <c r="X705"/>
      <c r="Y705" s="225"/>
      <c r="Z705" s="224"/>
      <c r="AA705" s="226"/>
      <c r="AB705" s="224"/>
      <c r="AC705" s="225"/>
      <c r="AD705" s="224"/>
      <c r="AE705" s="224"/>
      <c r="AF705" s="224"/>
      <c r="AG705"/>
      <c r="AH705"/>
      <c r="AI705">
        <v>130</v>
      </c>
      <c r="AJ705" s="194">
        <v>41785</v>
      </c>
      <c r="AK705">
        <v>37</v>
      </c>
      <c r="AL705" s="395">
        <v>41677</v>
      </c>
      <c r="AM705">
        <v>93</v>
      </c>
      <c r="AN705" s="391">
        <v>41733</v>
      </c>
      <c r="AO705"/>
      <c r="AP705" s="391" t="s">
        <v>8819</v>
      </c>
      <c r="AQ705" s="227"/>
      <c r="AR705" s="227"/>
      <c r="AS705"/>
      <c r="AT705"/>
      <c r="AU705"/>
      <c r="AV705" s="391">
        <v>41737</v>
      </c>
      <c r="AW705"/>
      <c r="AX705" s="391" t="s">
        <v>8819</v>
      </c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>
        <v>49.3</v>
      </c>
      <c r="BT705"/>
      <c r="BU705">
        <v>18.399999999999999</v>
      </c>
      <c r="BV705"/>
      <c r="BW705"/>
      <c r="BX705" s="228"/>
      <c r="BY705"/>
      <c r="BZ705"/>
      <c r="CA705"/>
      <c r="CC705"/>
      <c r="CD705"/>
      <c r="CE705">
        <v>6.5</v>
      </c>
      <c r="CF705"/>
      <c r="CG705">
        <v>0.1</v>
      </c>
      <c r="CH705"/>
      <c r="CI705"/>
      <c r="CJ705"/>
      <c r="CK705" t="s">
        <v>8820</v>
      </c>
      <c r="CL705">
        <v>1</v>
      </c>
      <c r="CM705" s="392">
        <v>41802</v>
      </c>
    </row>
    <row r="706" spans="1:91" ht="15">
      <c r="A706" s="364" t="s">
        <v>7697</v>
      </c>
      <c r="B706" t="s">
        <v>267</v>
      </c>
      <c r="C706" t="s">
        <v>8213</v>
      </c>
      <c r="D706">
        <v>92</v>
      </c>
      <c r="E706" s="113">
        <v>33</v>
      </c>
      <c r="F706" s="113">
        <v>9</v>
      </c>
      <c r="I706"/>
      <c r="K706" s="224">
        <v>6</v>
      </c>
      <c r="L706" s="390">
        <v>41625</v>
      </c>
      <c r="M706"/>
      <c r="N706" s="224"/>
      <c r="O706"/>
      <c r="P706"/>
      <c r="Q706"/>
      <c r="S706" s="224"/>
      <c r="T706" s="224"/>
      <c r="U706"/>
      <c r="V706"/>
      <c r="W706"/>
      <c r="X706"/>
      <c r="Y706" s="225"/>
      <c r="Z706" s="224"/>
      <c r="AA706" s="226"/>
      <c r="AB706" s="224"/>
      <c r="AC706" s="225"/>
      <c r="AD706" s="224"/>
      <c r="AE706" s="224"/>
      <c r="AF706" s="224"/>
      <c r="AG706"/>
      <c r="AH706"/>
      <c r="AI706">
        <v>145</v>
      </c>
      <c r="AJ706" s="194">
        <v>41785</v>
      </c>
      <c r="AK706">
        <v>37</v>
      </c>
      <c r="AL706" s="395">
        <v>41677</v>
      </c>
      <c r="AM706">
        <v>93</v>
      </c>
      <c r="AN706" s="391">
        <v>41733</v>
      </c>
      <c r="AO706"/>
      <c r="AP706" s="391">
        <v>41737</v>
      </c>
      <c r="AQ706" s="227"/>
      <c r="AR706" s="227"/>
      <c r="AS706"/>
      <c r="AT706"/>
      <c r="AU706"/>
      <c r="AV706" s="391">
        <v>41740</v>
      </c>
      <c r="AW706"/>
      <c r="AX706" s="391" t="s">
        <v>8819</v>
      </c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>
        <v>52</v>
      </c>
      <c r="BT706"/>
      <c r="BU706">
        <v>16.7</v>
      </c>
      <c r="BV706"/>
      <c r="BW706"/>
      <c r="BX706" s="228"/>
      <c r="BY706"/>
      <c r="BZ706"/>
      <c r="CA706"/>
      <c r="CC706"/>
      <c r="CD706"/>
      <c r="CE706">
        <v>6.2</v>
      </c>
      <c r="CF706"/>
      <c r="CG706">
        <v>0.2</v>
      </c>
      <c r="CH706"/>
      <c r="CI706"/>
      <c r="CJ706"/>
      <c r="CK706" t="s">
        <v>8820</v>
      </c>
      <c r="CL706">
        <v>1</v>
      </c>
      <c r="CM706" s="392">
        <v>41802</v>
      </c>
    </row>
    <row r="707" spans="1:91" ht="15">
      <c r="A707" s="364" t="s">
        <v>7698</v>
      </c>
      <c r="B707" t="s">
        <v>267</v>
      </c>
      <c r="C707" t="s">
        <v>8213</v>
      </c>
      <c r="D707">
        <v>93</v>
      </c>
      <c r="E707" s="113">
        <v>22</v>
      </c>
      <c r="F707" s="113">
        <v>12</v>
      </c>
      <c r="I707"/>
      <c r="K707" s="224">
        <v>6</v>
      </c>
      <c r="L707" s="390">
        <v>41625</v>
      </c>
      <c r="M707"/>
      <c r="N707" s="224"/>
      <c r="O707"/>
      <c r="P707"/>
      <c r="Q707"/>
      <c r="S707" s="224"/>
      <c r="T707" s="224"/>
      <c r="U707"/>
      <c r="V707"/>
      <c r="W707"/>
      <c r="X707"/>
      <c r="Y707" s="225"/>
      <c r="Z707" s="224"/>
      <c r="AA707" s="226"/>
      <c r="AB707" s="224"/>
      <c r="AC707" s="225"/>
      <c r="AD707" s="224"/>
      <c r="AE707" s="224"/>
      <c r="AF707" s="224"/>
      <c r="AG707"/>
      <c r="AH707"/>
      <c r="AI707">
        <v>135</v>
      </c>
      <c r="AJ707" s="194">
        <v>41785</v>
      </c>
      <c r="AK707">
        <v>31</v>
      </c>
      <c r="AL707" s="395">
        <v>41671</v>
      </c>
      <c r="AM707">
        <v>90</v>
      </c>
      <c r="AN707" s="391">
        <v>41730</v>
      </c>
      <c r="AO707"/>
      <c r="AP707" s="391" t="s">
        <v>8819</v>
      </c>
      <c r="AQ707" s="227"/>
      <c r="AR707" s="227"/>
      <c r="AS707"/>
      <c r="AT707"/>
      <c r="AU707"/>
      <c r="AV707" s="391" t="s">
        <v>8819</v>
      </c>
      <c r="AW707"/>
      <c r="AX707" s="391" t="s">
        <v>8819</v>
      </c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>
        <v>50</v>
      </c>
      <c r="BT707"/>
      <c r="BU707">
        <v>15.8</v>
      </c>
      <c r="BV707"/>
      <c r="BW707" s="229"/>
      <c r="BX707"/>
      <c r="BY707"/>
      <c r="BZ707"/>
      <c r="CA707"/>
      <c r="CC707"/>
      <c r="CD707"/>
      <c r="CE707">
        <v>5.9</v>
      </c>
      <c r="CF707"/>
      <c r="CG707">
        <v>0.3</v>
      </c>
      <c r="CH707"/>
      <c r="CI707"/>
      <c r="CJ707"/>
      <c r="CK707" t="s">
        <v>8820</v>
      </c>
      <c r="CL707">
        <v>1</v>
      </c>
      <c r="CM707" s="392">
        <v>41802</v>
      </c>
    </row>
    <row r="708" spans="1:91" ht="15">
      <c r="A708" s="364" t="s">
        <v>7699</v>
      </c>
      <c r="B708" t="s">
        <v>267</v>
      </c>
      <c r="C708" t="s">
        <v>8213</v>
      </c>
      <c r="D708">
        <v>94</v>
      </c>
      <c r="E708" s="113">
        <v>5</v>
      </c>
      <c r="F708" s="113">
        <v>7</v>
      </c>
      <c r="I708"/>
      <c r="K708" s="224">
        <v>6</v>
      </c>
      <c r="L708" s="390">
        <v>41625</v>
      </c>
      <c r="M708"/>
      <c r="N708" s="224"/>
      <c r="O708"/>
      <c r="P708"/>
      <c r="Q708"/>
      <c r="S708" s="224"/>
      <c r="T708" s="224"/>
      <c r="U708"/>
      <c r="V708"/>
      <c r="W708"/>
      <c r="X708"/>
      <c r="Y708" s="225"/>
      <c r="Z708" s="224"/>
      <c r="AA708" s="226"/>
      <c r="AB708" s="224"/>
      <c r="AC708" s="225"/>
      <c r="AD708" s="224"/>
      <c r="AE708" s="224"/>
      <c r="AF708" s="224"/>
      <c r="AG708"/>
      <c r="AH708"/>
      <c r="AI708">
        <v>130</v>
      </c>
      <c r="AJ708" s="194">
        <v>41785</v>
      </c>
      <c r="AK708">
        <v>31</v>
      </c>
      <c r="AL708" s="395">
        <v>41671</v>
      </c>
      <c r="AM708">
        <v>91</v>
      </c>
      <c r="AN708" s="391">
        <v>41731</v>
      </c>
      <c r="AO708"/>
      <c r="AP708" s="391" t="s">
        <v>8819</v>
      </c>
      <c r="AQ708" s="227"/>
      <c r="AR708" s="227"/>
      <c r="AS708"/>
      <c r="AT708"/>
      <c r="AU708"/>
      <c r="AV708" s="391" t="s">
        <v>8819</v>
      </c>
      <c r="AW708"/>
      <c r="AX708" s="391" t="s">
        <v>8819</v>
      </c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>
        <v>51</v>
      </c>
      <c r="BT708"/>
      <c r="BU708">
        <v>17.899999999999999</v>
      </c>
      <c r="BV708"/>
      <c r="BW708" s="229"/>
      <c r="BX708"/>
      <c r="BY708"/>
      <c r="BZ708"/>
      <c r="CA708"/>
      <c r="CC708"/>
      <c r="CD708"/>
      <c r="CE708">
        <v>5.4</v>
      </c>
      <c r="CF708"/>
      <c r="CG708">
        <v>0.3</v>
      </c>
      <c r="CH708"/>
      <c r="CI708"/>
      <c r="CJ708"/>
      <c r="CK708" t="s">
        <v>8820</v>
      </c>
      <c r="CL708">
        <v>1</v>
      </c>
      <c r="CM708" s="392">
        <v>41802</v>
      </c>
    </row>
    <row r="709" spans="1:91" ht="15">
      <c r="A709" s="364" t="s">
        <v>7700</v>
      </c>
      <c r="B709" t="s">
        <v>267</v>
      </c>
      <c r="C709" t="s">
        <v>8213</v>
      </c>
      <c r="D709">
        <v>95</v>
      </c>
      <c r="E709" s="113">
        <v>16</v>
      </c>
      <c r="F709" s="113">
        <v>11</v>
      </c>
      <c r="I709"/>
      <c r="K709" s="224">
        <v>6</v>
      </c>
      <c r="L709" s="390">
        <v>41625</v>
      </c>
      <c r="M709"/>
      <c r="N709" s="224"/>
      <c r="O709"/>
      <c r="P709"/>
      <c r="Q709"/>
      <c r="S709" s="224"/>
      <c r="T709" s="224"/>
      <c r="U709"/>
      <c r="V709"/>
      <c r="W709"/>
      <c r="X709"/>
      <c r="Y709" s="225"/>
      <c r="Z709" s="224"/>
      <c r="AA709" s="226"/>
      <c r="AB709" s="224"/>
      <c r="AC709" s="225"/>
      <c r="AD709" s="224"/>
      <c r="AE709" s="224"/>
      <c r="AF709" s="224"/>
      <c r="AG709"/>
      <c r="AH709"/>
      <c r="AI709">
        <v>135</v>
      </c>
      <c r="AJ709" s="194">
        <v>41785</v>
      </c>
      <c r="AK709">
        <v>37</v>
      </c>
      <c r="AL709" s="395">
        <v>41677</v>
      </c>
      <c r="AM709">
        <v>97</v>
      </c>
      <c r="AN709" s="391">
        <v>41737</v>
      </c>
      <c r="AO709"/>
      <c r="AP709" s="391">
        <v>41740</v>
      </c>
      <c r="AQ709" s="227"/>
      <c r="AR709" s="227"/>
      <c r="AS709"/>
      <c r="AT709"/>
      <c r="AU709"/>
      <c r="AV709" s="391">
        <v>41744</v>
      </c>
      <c r="AW709"/>
      <c r="AX709" s="391" t="s">
        <v>8819</v>
      </c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>
        <v>49.9</v>
      </c>
      <c r="BT709"/>
      <c r="BU709">
        <v>18.7</v>
      </c>
      <c r="BV709"/>
      <c r="BW709" s="229"/>
      <c r="BX709"/>
      <c r="BY709"/>
      <c r="BZ709"/>
      <c r="CA709"/>
      <c r="CC709"/>
      <c r="CD709"/>
      <c r="CE709">
        <v>8</v>
      </c>
      <c r="CF709"/>
      <c r="CG709">
        <v>0.1</v>
      </c>
      <c r="CH709"/>
      <c r="CI709"/>
      <c r="CJ709"/>
      <c r="CK709" t="s">
        <v>8820</v>
      </c>
      <c r="CL709">
        <v>1</v>
      </c>
      <c r="CM709" s="392">
        <v>41802</v>
      </c>
    </row>
    <row r="710" spans="1:91" ht="15">
      <c r="A710" s="364" t="s">
        <v>7701</v>
      </c>
      <c r="B710" t="s">
        <v>267</v>
      </c>
      <c r="C710" t="s">
        <v>8213</v>
      </c>
      <c r="D710">
        <v>96</v>
      </c>
      <c r="E710" s="113">
        <v>19</v>
      </c>
      <c r="F710" s="113">
        <v>12</v>
      </c>
      <c r="I710"/>
      <c r="K710" s="224">
        <v>7</v>
      </c>
      <c r="L710" s="390">
        <v>41625</v>
      </c>
      <c r="M710"/>
      <c r="N710" s="224"/>
      <c r="O710"/>
      <c r="P710"/>
      <c r="Q710"/>
      <c r="S710" s="224"/>
      <c r="T710" s="224"/>
      <c r="U710"/>
      <c r="V710"/>
      <c r="W710"/>
      <c r="X710"/>
      <c r="Y710" s="225"/>
      <c r="Z710" s="224"/>
      <c r="AA710" s="226"/>
      <c r="AB710" s="224"/>
      <c r="AC710" s="225"/>
      <c r="AD710" s="224"/>
      <c r="AE710" s="224"/>
      <c r="AF710" s="224"/>
      <c r="AG710"/>
      <c r="AH710"/>
      <c r="AI710">
        <v>145</v>
      </c>
      <c r="AJ710" s="194">
        <v>41785</v>
      </c>
      <c r="AK710">
        <v>31</v>
      </c>
      <c r="AL710" s="395">
        <v>41671</v>
      </c>
      <c r="AM710">
        <v>90</v>
      </c>
      <c r="AN710" s="391">
        <v>41730</v>
      </c>
      <c r="AO710"/>
      <c r="AP710" s="391" t="s">
        <v>8819</v>
      </c>
      <c r="AQ710" s="227"/>
      <c r="AR710" s="227"/>
      <c r="AS710"/>
      <c r="AT710"/>
      <c r="AU710"/>
      <c r="AV710" s="391" t="s">
        <v>8819</v>
      </c>
      <c r="AW710"/>
      <c r="AX710" s="391" t="s">
        <v>8819</v>
      </c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>
        <v>53</v>
      </c>
      <c r="BT710"/>
      <c r="BU710">
        <v>17.5</v>
      </c>
      <c r="BV710"/>
      <c r="BW710"/>
      <c r="BX710" s="228"/>
      <c r="BY710"/>
      <c r="BZ710"/>
      <c r="CA710"/>
      <c r="CC710"/>
      <c r="CD710"/>
      <c r="CE710">
        <v>5.6</v>
      </c>
      <c r="CF710"/>
      <c r="CG710">
        <v>0.5</v>
      </c>
      <c r="CH710"/>
      <c r="CI710"/>
      <c r="CJ710"/>
      <c r="CK710" t="s">
        <v>8820</v>
      </c>
      <c r="CL710">
        <v>1</v>
      </c>
      <c r="CM710" s="392">
        <v>41802</v>
      </c>
    </row>
    <row r="711" spans="1:91" ht="15">
      <c r="A711" s="364" t="s">
        <v>7702</v>
      </c>
      <c r="B711" t="s">
        <v>267</v>
      </c>
      <c r="C711" t="s">
        <v>8213</v>
      </c>
      <c r="D711">
        <v>97</v>
      </c>
      <c r="E711" s="113">
        <v>29</v>
      </c>
      <c r="F711" s="113">
        <v>8</v>
      </c>
      <c r="G711" s="233"/>
      <c r="H711" s="233"/>
      <c r="I711" s="232"/>
      <c r="J711" s="234"/>
      <c r="K711" s="235">
        <v>6</v>
      </c>
      <c r="L711" s="390">
        <v>41625</v>
      </c>
      <c r="M711" s="232"/>
      <c r="N711" s="235"/>
      <c r="O711" s="232"/>
      <c r="P711" s="232"/>
      <c r="Q711" s="232"/>
      <c r="R711" s="236"/>
      <c r="S711" s="235"/>
      <c r="T711" s="235"/>
      <c r="U711" s="232"/>
      <c r="V711" s="232"/>
      <c r="W711" s="232"/>
      <c r="X711" s="232"/>
      <c r="Y711" s="237"/>
      <c r="Z711" s="235"/>
      <c r="AA711" s="238"/>
      <c r="AB711" s="235"/>
      <c r="AC711" s="237"/>
      <c r="AD711" s="235"/>
      <c r="AE711" s="235"/>
      <c r="AF711" s="235"/>
      <c r="AG711" s="232"/>
      <c r="AH711" s="232"/>
      <c r="AI711" s="232">
        <v>155</v>
      </c>
      <c r="AJ711" s="194">
        <v>41785</v>
      </c>
      <c r="AK711" s="232">
        <v>37</v>
      </c>
      <c r="AL711" s="395">
        <v>41677</v>
      </c>
      <c r="AM711" s="232">
        <v>90</v>
      </c>
      <c r="AN711" s="391">
        <v>41730</v>
      </c>
      <c r="AO711" s="232"/>
      <c r="AP711" s="391" t="s">
        <v>8819</v>
      </c>
      <c r="AQ711" s="239"/>
      <c r="AR711" s="239"/>
      <c r="AS711" s="232"/>
      <c r="AT711" s="232"/>
      <c r="AU711" s="232"/>
      <c r="AV711" s="391" t="s">
        <v>8819</v>
      </c>
      <c r="AW711" s="232"/>
      <c r="AX711" s="391" t="s">
        <v>8819</v>
      </c>
      <c r="AY711" s="232"/>
      <c r="AZ711" s="232"/>
      <c r="BA711" s="232"/>
      <c r="BB711" s="232"/>
      <c r="BC711" s="232"/>
      <c r="BD711" s="232"/>
      <c r="BE711" s="232"/>
      <c r="BF711" s="232"/>
      <c r="BG711" s="232"/>
      <c r="BH711" s="232"/>
      <c r="BI711" s="232"/>
      <c r="BJ711" s="232"/>
      <c r="BK711" s="232"/>
      <c r="BL711" s="232"/>
      <c r="BM711" s="232"/>
      <c r="BN711" s="232"/>
      <c r="BO711" s="232"/>
      <c r="BP711" s="232"/>
      <c r="BQ711" s="232"/>
      <c r="BR711" s="232"/>
      <c r="BS711" s="232">
        <v>51</v>
      </c>
      <c r="BT711" s="232"/>
      <c r="BU711" s="232">
        <v>17.899999999999999</v>
      </c>
      <c r="BV711" s="232"/>
      <c r="BW711" s="240"/>
      <c r="BX711" s="232"/>
      <c r="BY711" s="232"/>
      <c r="BZ711" s="232"/>
      <c r="CA711" s="232"/>
      <c r="CB711" s="241"/>
      <c r="CC711" s="232"/>
      <c r="CD711" s="232"/>
      <c r="CE711" s="232">
        <v>6.1</v>
      </c>
      <c r="CF711" s="232"/>
      <c r="CG711" s="232">
        <v>0.4</v>
      </c>
      <c r="CH711" s="232"/>
      <c r="CI711" s="232"/>
      <c r="CJ711" s="232"/>
      <c r="CK711" t="s">
        <v>8820</v>
      </c>
      <c r="CL711" s="232">
        <v>1</v>
      </c>
      <c r="CM711" s="392">
        <v>41802</v>
      </c>
    </row>
    <row r="712" spans="1:91" ht="15">
      <c r="A712" s="364" t="s">
        <v>7703</v>
      </c>
      <c r="B712" t="s">
        <v>267</v>
      </c>
      <c r="C712" t="s">
        <v>8213</v>
      </c>
      <c r="D712">
        <v>98</v>
      </c>
      <c r="E712" s="113">
        <v>13</v>
      </c>
      <c r="F712" s="113">
        <v>9</v>
      </c>
      <c r="G712" s="233"/>
      <c r="H712" s="233"/>
      <c r="I712" s="232"/>
      <c r="J712" s="234"/>
      <c r="K712" s="235">
        <v>7</v>
      </c>
      <c r="L712" s="390">
        <v>41625</v>
      </c>
      <c r="M712" s="232"/>
      <c r="N712" s="235"/>
      <c r="O712" s="232"/>
      <c r="P712" s="232"/>
      <c r="Q712" s="232"/>
      <c r="R712" s="236"/>
      <c r="S712" s="235"/>
      <c r="T712" s="235"/>
      <c r="U712" s="232"/>
      <c r="V712" s="232"/>
      <c r="W712" s="232"/>
      <c r="X712" s="232"/>
      <c r="Y712" s="237"/>
      <c r="Z712" s="235"/>
      <c r="AA712" s="238"/>
      <c r="AB712" s="235"/>
      <c r="AC712" s="237"/>
      <c r="AD712" s="235"/>
      <c r="AE712" s="235"/>
      <c r="AF712" s="235"/>
      <c r="AG712" s="232"/>
      <c r="AH712" s="232"/>
      <c r="AI712" s="232">
        <v>150</v>
      </c>
      <c r="AJ712" s="194">
        <v>41785</v>
      </c>
      <c r="AK712" s="232">
        <v>37</v>
      </c>
      <c r="AL712" s="395">
        <v>41677</v>
      </c>
      <c r="AM712" s="232">
        <v>93</v>
      </c>
      <c r="AN712" s="391">
        <v>41733</v>
      </c>
      <c r="AO712" s="232"/>
      <c r="AP712" s="391">
        <v>41737</v>
      </c>
      <c r="AQ712" s="239"/>
      <c r="AR712" s="239"/>
      <c r="AS712" s="232"/>
      <c r="AT712" s="232"/>
      <c r="AU712" s="232"/>
      <c r="AV712" s="391" t="s">
        <v>8819</v>
      </c>
      <c r="AW712" s="232"/>
      <c r="AX712" s="391" t="s">
        <v>8819</v>
      </c>
      <c r="AY712" s="232"/>
      <c r="AZ712" s="232"/>
      <c r="BA712" s="232"/>
      <c r="BB712" s="232"/>
      <c r="BC712" s="232"/>
      <c r="BD712" s="232"/>
      <c r="BE712" s="232"/>
      <c r="BF712" s="232"/>
      <c r="BG712" s="232"/>
      <c r="BH712" s="232"/>
      <c r="BI712" s="232"/>
      <c r="BJ712" s="232"/>
      <c r="BK712" s="232"/>
      <c r="BL712" s="232"/>
      <c r="BM712" s="232"/>
      <c r="BN712" s="232"/>
      <c r="BO712" s="232"/>
      <c r="BP712" s="232"/>
      <c r="BQ712" s="232"/>
      <c r="BR712" s="232"/>
      <c r="BS712" s="232">
        <v>52</v>
      </c>
      <c r="BT712" s="232"/>
      <c r="BU712" s="232">
        <v>17</v>
      </c>
      <c r="BV712" s="232"/>
      <c r="BW712" s="240"/>
      <c r="BX712" s="232"/>
      <c r="BY712" s="232"/>
      <c r="BZ712" s="232"/>
      <c r="CA712" s="232"/>
      <c r="CB712" s="241"/>
      <c r="CC712" s="232"/>
      <c r="CD712" s="232"/>
      <c r="CE712" s="232">
        <v>8.6999999999999993</v>
      </c>
      <c r="CF712" s="232"/>
      <c r="CG712" s="232">
        <v>0.1</v>
      </c>
      <c r="CH712" s="232"/>
      <c r="CI712" s="232"/>
      <c r="CJ712" s="232"/>
      <c r="CK712" t="s">
        <v>8820</v>
      </c>
      <c r="CL712" s="232">
        <v>3</v>
      </c>
      <c r="CM712" s="392">
        <v>41802</v>
      </c>
    </row>
    <row r="713" spans="1:91" ht="15">
      <c r="A713" s="364" t="s">
        <v>7704</v>
      </c>
      <c r="B713" t="s">
        <v>267</v>
      </c>
      <c r="C713" t="s">
        <v>8213</v>
      </c>
      <c r="D713">
        <v>99</v>
      </c>
      <c r="E713" s="113">
        <v>23</v>
      </c>
      <c r="F713" s="113">
        <v>9</v>
      </c>
      <c r="G713" s="233"/>
      <c r="H713" s="233"/>
      <c r="I713" s="232"/>
      <c r="J713" s="234"/>
      <c r="K713" s="235">
        <v>5</v>
      </c>
      <c r="L713" s="390">
        <v>41625</v>
      </c>
      <c r="M713" s="232"/>
      <c r="N713" s="235"/>
      <c r="O713" s="232"/>
      <c r="P713" s="232"/>
      <c r="Q713" s="232"/>
      <c r="R713" s="236"/>
      <c r="S713" s="235"/>
      <c r="T713" s="235"/>
      <c r="U713" s="232"/>
      <c r="V713" s="232"/>
      <c r="W713" s="232"/>
      <c r="X713" s="232"/>
      <c r="Y713" s="237"/>
      <c r="Z713" s="235"/>
      <c r="AA713" s="238"/>
      <c r="AB713" s="235"/>
      <c r="AC713" s="237"/>
      <c r="AD713" s="235"/>
      <c r="AE713" s="235"/>
      <c r="AF713" s="235"/>
      <c r="AG713" s="232"/>
      <c r="AH713" s="232"/>
      <c r="AI713" s="232">
        <v>135</v>
      </c>
      <c r="AJ713" s="194">
        <v>41785</v>
      </c>
      <c r="AK713" s="232">
        <v>37</v>
      </c>
      <c r="AL713" s="395">
        <v>41677</v>
      </c>
      <c r="AM713" s="232">
        <v>93</v>
      </c>
      <c r="AN713" s="391">
        <v>41733</v>
      </c>
      <c r="AO713" s="232"/>
      <c r="AP713" s="391">
        <v>41737</v>
      </c>
      <c r="AQ713" s="239"/>
      <c r="AR713" s="239"/>
      <c r="AS713" s="232"/>
      <c r="AT713" s="232"/>
      <c r="AU713" s="232"/>
      <c r="AV713" s="391" t="s">
        <v>8819</v>
      </c>
      <c r="AW713" s="232"/>
      <c r="AX713" s="391" t="s">
        <v>8819</v>
      </c>
      <c r="AY713" s="232"/>
      <c r="AZ713" s="232"/>
      <c r="BA713" s="232"/>
      <c r="BB713" s="232"/>
      <c r="BC713" s="232"/>
      <c r="BD713" s="232"/>
      <c r="BE713" s="232"/>
      <c r="BF713" s="232"/>
      <c r="BG713" s="232"/>
      <c r="BH713" s="232"/>
      <c r="BI713" s="232"/>
      <c r="BJ713" s="232"/>
      <c r="BK713" s="232"/>
      <c r="BL713" s="232"/>
      <c r="BM713" s="232"/>
      <c r="BN713" s="232"/>
      <c r="BO713" s="232"/>
      <c r="BP713" s="232"/>
      <c r="BQ713" s="232"/>
      <c r="BR713" s="232"/>
      <c r="BS713" s="232">
        <v>50.1</v>
      </c>
      <c r="BT713" s="232"/>
      <c r="BU713" s="232">
        <v>17.2</v>
      </c>
      <c r="BV713" s="232"/>
      <c r="BW713" s="232"/>
      <c r="BX713" s="243"/>
      <c r="BY713" s="232"/>
      <c r="BZ713" s="232"/>
      <c r="CA713" s="232"/>
      <c r="CB713" s="241"/>
      <c r="CC713" s="232"/>
      <c r="CD713" s="232"/>
      <c r="CE713" s="232">
        <v>5.4</v>
      </c>
      <c r="CF713" s="232"/>
      <c r="CG713" s="232">
        <v>0.2</v>
      </c>
      <c r="CH713" s="232"/>
      <c r="CI713" s="232"/>
      <c r="CJ713" s="232"/>
      <c r="CK713" t="s">
        <v>8820</v>
      </c>
      <c r="CL713" s="232">
        <v>1</v>
      </c>
      <c r="CM713" s="392">
        <v>41802</v>
      </c>
    </row>
    <row r="714" spans="1:91" ht="15">
      <c r="A714" s="364" t="s">
        <v>7705</v>
      </c>
      <c r="B714" t="s">
        <v>267</v>
      </c>
      <c r="C714" t="s">
        <v>8213</v>
      </c>
      <c r="D714" s="232">
        <v>100</v>
      </c>
      <c r="E714" s="113">
        <v>34</v>
      </c>
      <c r="F714" s="113">
        <v>7</v>
      </c>
      <c r="G714" s="233"/>
      <c r="H714" s="233"/>
      <c r="I714" s="232"/>
      <c r="J714" s="234"/>
      <c r="K714" s="235">
        <v>7</v>
      </c>
      <c r="L714" s="390">
        <v>41625</v>
      </c>
      <c r="M714" s="232"/>
      <c r="N714" s="235"/>
      <c r="O714" s="232"/>
      <c r="P714" s="232"/>
      <c r="Q714" s="232"/>
      <c r="R714" s="236"/>
      <c r="S714" s="235"/>
      <c r="T714" s="235"/>
      <c r="U714" s="232"/>
      <c r="V714" s="232"/>
      <c r="W714" s="232"/>
      <c r="X714" s="232"/>
      <c r="Y714" s="237"/>
      <c r="Z714" s="235"/>
      <c r="AA714" s="238"/>
      <c r="AB714" s="235"/>
      <c r="AC714" s="237"/>
      <c r="AD714" s="235"/>
      <c r="AE714" s="235"/>
      <c r="AF714" s="235"/>
      <c r="AG714" s="232"/>
      <c r="AH714" s="232"/>
      <c r="AI714" s="232">
        <v>140</v>
      </c>
      <c r="AJ714" s="194">
        <v>41785</v>
      </c>
      <c r="AK714" s="232">
        <v>37</v>
      </c>
      <c r="AL714" s="395">
        <v>41677</v>
      </c>
      <c r="AM714" s="232">
        <v>90</v>
      </c>
      <c r="AN714" s="391">
        <v>41730</v>
      </c>
      <c r="AO714" s="232"/>
      <c r="AP714" s="391">
        <v>41737</v>
      </c>
      <c r="AQ714" s="239"/>
      <c r="AR714" s="239"/>
      <c r="AS714" s="232"/>
      <c r="AT714" s="232"/>
      <c r="AU714" s="232"/>
      <c r="AV714" s="391" t="s">
        <v>8819</v>
      </c>
      <c r="AW714" s="232"/>
      <c r="AX714" s="391" t="s">
        <v>8819</v>
      </c>
      <c r="AY714" s="232"/>
      <c r="AZ714" s="232"/>
      <c r="BA714" s="232"/>
      <c r="BB714" s="232"/>
      <c r="BC714" s="232"/>
      <c r="BD714" s="232"/>
      <c r="BE714" s="232"/>
      <c r="BF714" s="232"/>
      <c r="BG714" s="232"/>
      <c r="BH714" s="232"/>
      <c r="BI714" s="232"/>
      <c r="BJ714" s="232"/>
      <c r="BK714" s="232"/>
      <c r="BL714" s="232"/>
      <c r="BM714" s="232"/>
      <c r="BN714" s="232"/>
      <c r="BO714" s="232"/>
      <c r="BP714" s="232"/>
      <c r="BQ714" s="232"/>
      <c r="BR714" s="232"/>
      <c r="BS714" s="232">
        <v>52.4</v>
      </c>
      <c r="BT714" s="232"/>
      <c r="BU714" s="232">
        <v>17</v>
      </c>
      <c r="BV714" s="232"/>
      <c r="BW714" s="232"/>
      <c r="BX714" s="243"/>
      <c r="BY714" s="232"/>
      <c r="BZ714" s="232"/>
      <c r="CA714" s="232"/>
      <c r="CB714" s="241"/>
      <c r="CC714" s="232"/>
      <c r="CD714" s="232"/>
      <c r="CE714" s="232">
        <v>6.4</v>
      </c>
      <c r="CF714" s="232"/>
      <c r="CG714" s="232">
        <v>0</v>
      </c>
      <c r="CH714" s="232"/>
      <c r="CI714" s="232"/>
      <c r="CJ714" s="232"/>
      <c r="CK714" t="s">
        <v>8820</v>
      </c>
      <c r="CL714" s="232">
        <v>3</v>
      </c>
      <c r="CM714" s="392">
        <v>41802</v>
      </c>
    </row>
    <row r="715" spans="1:91" ht="15">
      <c r="A715" s="364" t="s">
        <v>7706</v>
      </c>
      <c r="B715" s="362" t="s">
        <v>267</v>
      </c>
      <c r="C715" s="362" t="s">
        <v>8213</v>
      </c>
      <c r="D715">
        <v>101</v>
      </c>
      <c r="E715" s="113">
        <v>36</v>
      </c>
      <c r="F715" s="113">
        <v>10</v>
      </c>
      <c r="I715"/>
      <c r="K715" s="224">
        <v>7</v>
      </c>
      <c r="L715" s="390">
        <v>41625</v>
      </c>
      <c r="M715"/>
      <c r="N715" s="224"/>
      <c r="O715"/>
      <c r="P715"/>
      <c r="Q715"/>
      <c r="S715" s="224"/>
      <c r="T715" s="224"/>
      <c r="U715"/>
      <c r="V715"/>
      <c r="W715"/>
      <c r="X715"/>
      <c r="Y715" s="225"/>
      <c r="Z715" s="224"/>
      <c r="AA715" s="226"/>
      <c r="AB715" s="224"/>
      <c r="AC715" s="225"/>
      <c r="AD715" s="224"/>
      <c r="AE715" s="224"/>
      <c r="AF715" s="224"/>
      <c r="AG715"/>
      <c r="AH715"/>
      <c r="AI715">
        <v>145</v>
      </c>
      <c r="AJ715" s="194">
        <v>41785</v>
      </c>
      <c r="AK715">
        <v>37</v>
      </c>
      <c r="AL715" s="395">
        <v>41677</v>
      </c>
      <c r="AM715">
        <v>93</v>
      </c>
      <c r="AN715" s="391">
        <v>41733</v>
      </c>
      <c r="AO715"/>
      <c r="AP715" s="391">
        <v>41737</v>
      </c>
      <c r="AQ715" s="227"/>
      <c r="AR715" s="227"/>
      <c r="AS715"/>
      <c r="AT715"/>
      <c r="AU715"/>
      <c r="AV715" s="391" t="s">
        <v>8819</v>
      </c>
      <c r="AW715"/>
      <c r="AX715" s="391" t="s">
        <v>8819</v>
      </c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>
        <v>49.9</v>
      </c>
      <c r="BT715"/>
      <c r="BU715">
        <v>18.8</v>
      </c>
      <c r="BV715"/>
      <c r="BW715"/>
      <c r="BX715" s="228"/>
      <c r="BY715"/>
      <c r="BZ715"/>
      <c r="CA715"/>
      <c r="CC715"/>
      <c r="CD715"/>
      <c r="CE715">
        <v>7.6</v>
      </c>
      <c r="CF715"/>
      <c r="CG715">
        <v>0.2</v>
      </c>
      <c r="CH715"/>
      <c r="CI715"/>
      <c r="CJ715"/>
      <c r="CK715" t="s">
        <v>8820</v>
      </c>
      <c r="CL715">
        <v>1</v>
      </c>
      <c r="CM715" s="392">
        <v>41802</v>
      </c>
    </row>
    <row r="716" spans="1:91" ht="15">
      <c r="A716" s="364" t="s">
        <v>7707</v>
      </c>
      <c r="B716" t="s">
        <v>267</v>
      </c>
      <c r="C716" t="s">
        <v>8213</v>
      </c>
      <c r="D716">
        <v>102</v>
      </c>
      <c r="E716" s="113">
        <v>21</v>
      </c>
      <c r="F716" s="113">
        <v>7</v>
      </c>
      <c r="I716"/>
      <c r="K716" s="224">
        <v>7</v>
      </c>
      <c r="L716" s="390">
        <v>41625</v>
      </c>
      <c r="M716"/>
      <c r="N716" s="224"/>
      <c r="O716"/>
      <c r="P716"/>
      <c r="Q716"/>
      <c r="S716" s="224"/>
      <c r="T716" s="224"/>
      <c r="U716"/>
      <c r="V716"/>
      <c r="W716"/>
      <c r="X716"/>
      <c r="Y716" s="225"/>
      <c r="Z716" s="224"/>
      <c r="AA716" s="226"/>
      <c r="AB716" s="224"/>
      <c r="AC716" s="225"/>
      <c r="AD716" s="224"/>
      <c r="AE716" s="224"/>
      <c r="AF716" s="224"/>
      <c r="AG716"/>
      <c r="AH716"/>
      <c r="AI716">
        <v>130</v>
      </c>
      <c r="AJ716" s="194">
        <v>41785</v>
      </c>
      <c r="AK716">
        <v>37</v>
      </c>
      <c r="AL716" s="395">
        <v>41677</v>
      </c>
      <c r="AM716">
        <v>93</v>
      </c>
      <c r="AN716" s="391">
        <v>41733</v>
      </c>
      <c r="AO716"/>
      <c r="AP716" s="391">
        <v>41737</v>
      </c>
      <c r="AQ716" s="227"/>
      <c r="AR716" s="227"/>
      <c r="AS716"/>
      <c r="AT716"/>
      <c r="AU716"/>
      <c r="AV716" s="391" t="s">
        <v>8819</v>
      </c>
      <c r="AW716"/>
      <c r="AX716" s="391" t="s">
        <v>8819</v>
      </c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>
        <v>50.7</v>
      </c>
      <c r="BT716"/>
      <c r="BU716">
        <v>19.5</v>
      </c>
      <c r="BV716"/>
      <c r="BW716" s="229"/>
      <c r="BX716"/>
      <c r="BY716"/>
      <c r="BZ716"/>
      <c r="CA716"/>
      <c r="CC716"/>
      <c r="CD716"/>
      <c r="CE716">
        <v>5.9</v>
      </c>
      <c r="CF716"/>
      <c r="CG716">
        <v>0.1</v>
      </c>
      <c r="CH716"/>
      <c r="CI716"/>
      <c r="CJ716"/>
      <c r="CK716" t="s">
        <v>8820</v>
      </c>
      <c r="CL716">
        <v>1</v>
      </c>
      <c r="CM716" s="392">
        <v>41802</v>
      </c>
    </row>
    <row r="717" spans="1:91" ht="15">
      <c r="A717" s="364" t="s">
        <v>7708</v>
      </c>
      <c r="B717" t="s">
        <v>267</v>
      </c>
      <c r="C717" t="s">
        <v>8213</v>
      </c>
      <c r="D717">
        <v>103</v>
      </c>
      <c r="E717" s="113">
        <v>10</v>
      </c>
      <c r="F717" s="113">
        <v>11</v>
      </c>
      <c r="I717"/>
      <c r="K717" s="224">
        <v>7</v>
      </c>
      <c r="L717" s="390">
        <v>41625</v>
      </c>
      <c r="M717"/>
      <c r="N717" s="224"/>
      <c r="O717"/>
      <c r="P717"/>
      <c r="Q717"/>
      <c r="S717" s="224"/>
      <c r="T717" s="224"/>
      <c r="U717"/>
      <c r="V717"/>
      <c r="W717"/>
      <c r="X717"/>
      <c r="Y717" s="225"/>
      <c r="Z717" s="224"/>
      <c r="AA717" s="226"/>
      <c r="AB717" s="224"/>
      <c r="AC717" s="225"/>
      <c r="AD717" s="224"/>
      <c r="AE717" s="224"/>
      <c r="AF717" s="224"/>
      <c r="AG717"/>
      <c r="AH717"/>
      <c r="AI717">
        <v>155</v>
      </c>
      <c r="AJ717" s="194">
        <v>41785</v>
      </c>
      <c r="AK717">
        <v>37</v>
      </c>
      <c r="AL717" s="395">
        <v>41677</v>
      </c>
      <c r="AM717">
        <v>93</v>
      </c>
      <c r="AN717" s="391">
        <v>41733</v>
      </c>
      <c r="AO717"/>
      <c r="AP717" s="391">
        <v>41737</v>
      </c>
      <c r="AQ717" s="227"/>
      <c r="AR717" s="227"/>
      <c r="AS717"/>
      <c r="AT717"/>
      <c r="AU717"/>
      <c r="AV717" s="391" t="s">
        <v>8819</v>
      </c>
      <c r="AW717"/>
      <c r="AX717" s="391" t="s">
        <v>8819</v>
      </c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>
        <v>50.9</v>
      </c>
      <c r="BT717"/>
      <c r="BU717">
        <v>17.600000000000001</v>
      </c>
      <c r="BV717"/>
      <c r="BW717" s="229"/>
      <c r="BX717"/>
      <c r="BY717"/>
      <c r="BZ717"/>
      <c r="CA717"/>
      <c r="CC717"/>
      <c r="CD717"/>
      <c r="CE717">
        <v>5.8</v>
      </c>
      <c r="CF717"/>
      <c r="CG717">
        <v>0.3</v>
      </c>
      <c r="CH717"/>
      <c r="CI717"/>
      <c r="CJ717"/>
      <c r="CK717" t="s">
        <v>8820</v>
      </c>
      <c r="CL717">
        <v>1</v>
      </c>
      <c r="CM717" s="392">
        <v>41802</v>
      </c>
    </row>
    <row r="718" spans="1:91" ht="15">
      <c r="A718" s="364" t="s">
        <v>7709</v>
      </c>
      <c r="B718" t="s">
        <v>267</v>
      </c>
      <c r="C718" t="s">
        <v>8213</v>
      </c>
      <c r="D718" s="232">
        <v>104</v>
      </c>
      <c r="E718" s="113">
        <v>14</v>
      </c>
      <c r="F718" s="113">
        <v>11</v>
      </c>
      <c r="I718"/>
      <c r="K718" s="224">
        <v>7</v>
      </c>
      <c r="L718" s="390">
        <v>41625</v>
      </c>
      <c r="M718"/>
      <c r="N718" s="224"/>
      <c r="O718"/>
      <c r="P718"/>
      <c r="Q718"/>
      <c r="S718" s="224"/>
      <c r="T718" s="224"/>
      <c r="U718"/>
      <c r="V718"/>
      <c r="W718"/>
      <c r="X718"/>
      <c r="Y718" s="225"/>
      <c r="Z718" s="224"/>
      <c r="AA718" s="226"/>
      <c r="AB718" s="224"/>
      <c r="AC718" s="225"/>
      <c r="AD718" s="224"/>
      <c r="AE718" s="224"/>
      <c r="AF718" s="224"/>
      <c r="AG718"/>
      <c r="AH718"/>
      <c r="AI718">
        <v>130</v>
      </c>
      <c r="AJ718" s="194">
        <v>41785</v>
      </c>
      <c r="AK718">
        <v>37</v>
      </c>
      <c r="AL718" s="395">
        <v>41677</v>
      </c>
      <c r="AM718">
        <v>90</v>
      </c>
      <c r="AN718" s="391">
        <v>41730</v>
      </c>
      <c r="AO718"/>
      <c r="AP718" s="391" t="s">
        <v>8819</v>
      </c>
      <c r="AQ718" s="227"/>
      <c r="AR718" s="227"/>
      <c r="AS718"/>
      <c r="AT718"/>
      <c r="AU718"/>
      <c r="AV718" s="391" t="s">
        <v>8819</v>
      </c>
      <c r="AW718"/>
      <c r="AX718" s="391" t="s">
        <v>8819</v>
      </c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>
        <v>52.9</v>
      </c>
      <c r="BT718"/>
      <c r="BU718">
        <v>17.399999999999999</v>
      </c>
      <c r="BV718"/>
      <c r="BW718" s="229"/>
      <c r="BX718"/>
      <c r="BY718"/>
      <c r="BZ718"/>
      <c r="CA718"/>
      <c r="CC718"/>
      <c r="CD718"/>
      <c r="CE718">
        <v>8.1999999999999993</v>
      </c>
      <c r="CF718"/>
      <c r="CG718">
        <v>0.2</v>
      </c>
      <c r="CH718"/>
      <c r="CI718"/>
      <c r="CJ718"/>
      <c r="CK718" t="s">
        <v>8820</v>
      </c>
      <c r="CL718">
        <v>1</v>
      </c>
      <c r="CM718" s="392">
        <v>41802</v>
      </c>
    </row>
    <row r="719" spans="1:91" ht="15">
      <c r="A719" s="364" t="s">
        <v>7710</v>
      </c>
      <c r="B719" t="s">
        <v>267</v>
      </c>
      <c r="C719" t="s">
        <v>8213</v>
      </c>
      <c r="D719">
        <v>105</v>
      </c>
      <c r="E719" s="113">
        <v>23</v>
      </c>
      <c r="F719" s="113">
        <v>8</v>
      </c>
      <c r="G719" s="233"/>
      <c r="H719" s="233"/>
      <c r="I719" s="232"/>
      <c r="J719" s="234"/>
      <c r="K719" s="235">
        <v>6</v>
      </c>
      <c r="L719" s="390">
        <v>41625</v>
      </c>
      <c r="M719" s="232"/>
      <c r="N719" s="235"/>
      <c r="O719" s="232"/>
      <c r="P719" s="232"/>
      <c r="Q719" s="232"/>
      <c r="R719" s="236"/>
      <c r="S719" s="235"/>
      <c r="T719" s="235"/>
      <c r="U719" s="232"/>
      <c r="V719" s="232"/>
      <c r="W719" s="232"/>
      <c r="X719" s="232"/>
      <c r="Y719" s="237"/>
      <c r="Z719" s="235"/>
      <c r="AA719" s="238"/>
      <c r="AB719" s="235"/>
      <c r="AC719" s="237"/>
      <c r="AD719" s="235"/>
      <c r="AE719" s="235"/>
      <c r="AF719" s="235"/>
      <c r="AG719" s="232"/>
      <c r="AH719" s="232"/>
      <c r="AI719" s="232">
        <v>140</v>
      </c>
      <c r="AJ719" s="194">
        <v>41785</v>
      </c>
      <c r="AK719" s="232">
        <v>37</v>
      </c>
      <c r="AL719" s="395">
        <v>41677</v>
      </c>
      <c r="AM719" s="232">
        <v>90</v>
      </c>
      <c r="AN719" s="391">
        <v>41730</v>
      </c>
      <c r="AO719" s="232"/>
      <c r="AP719" s="391" t="s">
        <v>8819</v>
      </c>
      <c r="AQ719" s="239"/>
      <c r="AR719" s="239"/>
      <c r="AS719" s="232"/>
      <c r="AT719" s="232"/>
      <c r="AU719" s="232"/>
      <c r="AV719" s="391" t="s">
        <v>8819</v>
      </c>
      <c r="AW719" s="232"/>
      <c r="AX719" s="391" t="s">
        <v>8819</v>
      </c>
      <c r="AY719" s="232"/>
      <c r="AZ719" s="232"/>
      <c r="BA719" s="232"/>
      <c r="BB719" s="232"/>
      <c r="BC719" s="232"/>
      <c r="BD719" s="232"/>
      <c r="BE719" s="232"/>
      <c r="BF719" s="232"/>
      <c r="BG719" s="232"/>
      <c r="BH719" s="232"/>
      <c r="BI719" s="232"/>
      <c r="BJ719" s="232"/>
      <c r="BK719" s="232"/>
      <c r="BL719" s="232"/>
      <c r="BM719" s="232"/>
      <c r="BN719" s="232"/>
      <c r="BO719" s="232"/>
      <c r="BP719" s="232"/>
      <c r="BQ719" s="232"/>
      <c r="BR719" s="232"/>
      <c r="BS719" s="232">
        <v>50.1</v>
      </c>
      <c r="BT719" s="232"/>
      <c r="BU719" s="232">
        <v>18.3</v>
      </c>
      <c r="BV719" s="232"/>
      <c r="BW719" s="232"/>
      <c r="BX719" s="243"/>
      <c r="BY719" s="232"/>
      <c r="BZ719" s="232"/>
      <c r="CA719" s="232"/>
      <c r="CB719" s="241"/>
      <c r="CC719" s="232"/>
      <c r="CD719" s="232"/>
      <c r="CE719" s="232">
        <v>5.9</v>
      </c>
      <c r="CF719" s="232"/>
      <c r="CG719" s="232">
        <v>0.1</v>
      </c>
      <c r="CH719" s="232"/>
      <c r="CI719" s="232"/>
      <c r="CJ719" s="232"/>
      <c r="CK719" t="s">
        <v>8820</v>
      </c>
      <c r="CL719" s="232">
        <v>1</v>
      </c>
      <c r="CM719" s="392">
        <v>41802</v>
      </c>
    </row>
    <row r="720" spans="1:91" ht="15">
      <c r="A720" s="364" t="s">
        <v>7711</v>
      </c>
      <c r="B720" t="s">
        <v>267</v>
      </c>
      <c r="C720" t="s">
        <v>8213</v>
      </c>
      <c r="D720">
        <v>106</v>
      </c>
      <c r="E720" s="113">
        <v>31</v>
      </c>
      <c r="F720" s="113">
        <v>11</v>
      </c>
      <c r="I720"/>
      <c r="K720" s="224">
        <v>6</v>
      </c>
      <c r="L720" s="390">
        <v>41625</v>
      </c>
      <c r="M720"/>
      <c r="N720" s="224"/>
      <c r="O720"/>
      <c r="P720"/>
      <c r="Q720"/>
      <c r="S720" s="224"/>
      <c r="T720" s="224"/>
      <c r="U720"/>
      <c r="V720"/>
      <c r="W720"/>
      <c r="X720"/>
      <c r="Y720" s="225"/>
      <c r="Z720" s="224"/>
      <c r="AA720" s="226"/>
      <c r="AB720" s="224"/>
      <c r="AC720" s="225"/>
      <c r="AD720" s="224"/>
      <c r="AE720" s="224"/>
      <c r="AF720" s="224"/>
      <c r="AG720"/>
      <c r="AH720"/>
      <c r="AI720">
        <v>140</v>
      </c>
      <c r="AJ720" s="194">
        <v>41785</v>
      </c>
      <c r="AK720">
        <v>31</v>
      </c>
      <c r="AL720" s="395">
        <v>41671</v>
      </c>
      <c r="AM720">
        <v>90</v>
      </c>
      <c r="AN720" s="391">
        <v>41730</v>
      </c>
      <c r="AO720"/>
      <c r="AP720" s="391" t="s">
        <v>8819</v>
      </c>
      <c r="AQ720" s="227"/>
      <c r="AR720" s="227"/>
      <c r="AS720"/>
      <c r="AT720"/>
      <c r="AU720"/>
      <c r="AV720" s="391" t="s">
        <v>8819</v>
      </c>
      <c r="AW720"/>
      <c r="AX720" s="391" t="s">
        <v>8819</v>
      </c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>
        <v>48.6</v>
      </c>
      <c r="BT720"/>
      <c r="BU720">
        <v>17.5</v>
      </c>
      <c r="BV720"/>
      <c r="BW720"/>
      <c r="BX720" s="228"/>
      <c r="BY720"/>
      <c r="BZ720"/>
      <c r="CA720"/>
      <c r="CC720"/>
      <c r="CD720"/>
      <c r="CE720">
        <v>6.7</v>
      </c>
      <c r="CF720"/>
      <c r="CG720">
        <v>0.4</v>
      </c>
      <c r="CH720"/>
      <c r="CI720"/>
      <c r="CJ720"/>
      <c r="CK720" t="s">
        <v>8820</v>
      </c>
      <c r="CL720">
        <v>1</v>
      </c>
      <c r="CM720" s="392">
        <v>41802</v>
      </c>
    </row>
    <row r="721" spans="1:91" ht="15">
      <c r="A721" s="364" t="s">
        <v>7712</v>
      </c>
      <c r="B721" t="s">
        <v>267</v>
      </c>
      <c r="C721" t="s">
        <v>8213</v>
      </c>
      <c r="D721">
        <v>107</v>
      </c>
      <c r="E721" s="113">
        <v>3</v>
      </c>
      <c r="F721" s="113">
        <v>11</v>
      </c>
      <c r="I721"/>
      <c r="K721" s="224">
        <v>6</v>
      </c>
      <c r="L721" s="390">
        <v>41625</v>
      </c>
      <c r="M721"/>
      <c r="N721" s="224"/>
      <c r="O721"/>
      <c r="P721"/>
      <c r="Q721"/>
      <c r="S721" s="224"/>
      <c r="T721" s="224"/>
      <c r="U721"/>
      <c r="V721"/>
      <c r="W721"/>
      <c r="X721"/>
      <c r="Y721" s="225"/>
      <c r="Z721" s="224"/>
      <c r="AA721" s="226"/>
      <c r="AB721" s="224"/>
      <c r="AC721" s="225"/>
      <c r="AD721" s="224"/>
      <c r="AE721" s="224"/>
      <c r="AF721" s="224"/>
      <c r="AG721"/>
      <c r="AH721"/>
      <c r="AI721">
        <v>145</v>
      </c>
      <c r="AJ721" s="194">
        <v>41785</v>
      </c>
      <c r="AK721">
        <v>26</v>
      </c>
      <c r="AL721" s="395">
        <v>41666</v>
      </c>
      <c r="AM721">
        <v>90</v>
      </c>
      <c r="AN721" s="391">
        <v>41730</v>
      </c>
      <c r="AO721"/>
      <c r="AP721" s="391" t="s">
        <v>8819</v>
      </c>
      <c r="AQ721" s="227"/>
      <c r="AR721" s="227"/>
      <c r="AS721"/>
      <c r="AT721"/>
      <c r="AU721"/>
      <c r="AV721" s="391" t="s">
        <v>8819</v>
      </c>
      <c r="AW721"/>
      <c r="AX721" s="391" t="s">
        <v>8819</v>
      </c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>
        <v>53.4</v>
      </c>
      <c r="BT721"/>
      <c r="BU721">
        <v>17.3</v>
      </c>
      <c r="BV721"/>
      <c r="BW721"/>
      <c r="BX721" s="228"/>
      <c r="BY721"/>
      <c r="BZ721"/>
      <c r="CA721"/>
      <c r="CC721"/>
      <c r="CD721"/>
      <c r="CE721">
        <v>5</v>
      </c>
      <c r="CF721"/>
      <c r="CG721">
        <v>0.2</v>
      </c>
      <c r="CH721"/>
      <c r="CI721"/>
      <c r="CJ721"/>
      <c r="CK721" t="s">
        <v>8820</v>
      </c>
      <c r="CL721">
        <v>1</v>
      </c>
      <c r="CM721" s="392">
        <v>41802</v>
      </c>
    </row>
    <row r="722" spans="1:91" ht="15.75" thickBot="1">
      <c r="A722" s="364" t="s">
        <v>7713</v>
      </c>
      <c r="B722" s="344" t="s">
        <v>267</v>
      </c>
      <c r="C722" s="344" t="s">
        <v>8213</v>
      </c>
      <c r="D722">
        <v>108</v>
      </c>
      <c r="E722" s="113">
        <v>36</v>
      </c>
      <c r="F722" s="113">
        <v>8</v>
      </c>
      <c r="I722"/>
      <c r="K722" s="224">
        <v>4</v>
      </c>
      <c r="L722" s="390">
        <v>41625</v>
      </c>
      <c r="M722"/>
      <c r="N722" s="224"/>
      <c r="O722"/>
      <c r="P722"/>
      <c r="Q722"/>
      <c r="S722" s="224"/>
      <c r="T722" s="224"/>
      <c r="U722"/>
      <c r="V722"/>
      <c r="W722"/>
      <c r="X722"/>
      <c r="Y722" s="225"/>
      <c r="Z722" s="224"/>
      <c r="AA722" s="226"/>
      <c r="AB722" s="224"/>
      <c r="AC722" s="225"/>
      <c r="AD722" s="224"/>
      <c r="AE722" s="224"/>
      <c r="AF722" s="224"/>
      <c r="AG722"/>
      <c r="AH722"/>
      <c r="AI722">
        <v>150</v>
      </c>
      <c r="AJ722" s="194">
        <v>41785</v>
      </c>
      <c r="AK722">
        <v>37</v>
      </c>
      <c r="AL722" s="395">
        <v>41677</v>
      </c>
      <c r="AM722">
        <v>97</v>
      </c>
      <c r="AN722" s="391">
        <v>41737</v>
      </c>
      <c r="AO722"/>
      <c r="AP722" s="391">
        <v>41740</v>
      </c>
      <c r="AQ722" s="227"/>
      <c r="AR722" s="227"/>
      <c r="AS722"/>
      <c r="AT722"/>
      <c r="AU722"/>
      <c r="AV722" s="391" t="s">
        <v>8819</v>
      </c>
      <c r="AW722"/>
      <c r="AX722" s="391" t="s">
        <v>8819</v>
      </c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>
        <v>50.9</v>
      </c>
      <c r="BT722"/>
      <c r="BU722">
        <v>17.3</v>
      </c>
      <c r="BV722"/>
      <c r="BW722"/>
      <c r="BX722" s="228"/>
      <c r="BY722"/>
      <c r="BZ722"/>
      <c r="CA722"/>
      <c r="CC722"/>
      <c r="CD722"/>
      <c r="CE722">
        <v>7</v>
      </c>
      <c r="CF722"/>
      <c r="CG722">
        <v>0.5</v>
      </c>
      <c r="CH722"/>
      <c r="CI722"/>
      <c r="CJ722"/>
      <c r="CK722" t="s">
        <v>8820</v>
      </c>
      <c r="CL722">
        <v>2</v>
      </c>
      <c r="CM722" s="392">
        <v>41802</v>
      </c>
    </row>
    <row r="723" spans="1:91" s="242" customFormat="1" ht="15">
      <c r="A723" s="364" t="s">
        <v>7714</v>
      </c>
      <c r="B723" t="s">
        <v>267</v>
      </c>
      <c r="C723" t="s">
        <v>8213</v>
      </c>
      <c r="D723">
        <v>109</v>
      </c>
      <c r="E723" s="113">
        <v>35</v>
      </c>
      <c r="F723" s="113">
        <v>10</v>
      </c>
      <c r="G723" s="113"/>
      <c r="H723" s="113"/>
      <c r="I723"/>
      <c r="J723" s="112"/>
      <c r="K723" s="224">
        <v>7</v>
      </c>
      <c r="L723" s="390">
        <v>41625</v>
      </c>
      <c r="M723"/>
      <c r="N723" s="224"/>
      <c r="O723"/>
      <c r="P723"/>
      <c r="Q723"/>
      <c r="R723" s="153"/>
      <c r="S723" s="224"/>
      <c r="T723" s="224"/>
      <c r="U723"/>
      <c r="V723"/>
      <c r="W723"/>
      <c r="X723"/>
      <c r="Y723" s="225"/>
      <c r="Z723" s="224"/>
      <c r="AA723" s="226"/>
      <c r="AB723" s="224"/>
      <c r="AC723" s="225"/>
      <c r="AD723" s="224"/>
      <c r="AE723" s="224"/>
      <c r="AF723" s="224"/>
      <c r="AG723"/>
      <c r="AH723"/>
      <c r="AI723">
        <v>145</v>
      </c>
      <c r="AJ723" s="194">
        <v>41785</v>
      </c>
      <c r="AK723">
        <v>26</v>
      </c>
      <c r="AL723" s="395">
        <v>41666</v>
      </c>
      <c r="AM723">
        <v>90</v>
      </c>
      <c r="AN723" s="391">
        <v>41730</v>
      </c>
      <c r="AO723"/>
      <c r="AP723" s="391" t="s">
        <v>8819</v>
      </c>
      <c r="AQ723" s="227"/>
      <c r="AR723" s="227"/>
      <c r="AS723"/>
      <c r="AT723"/>
      <c r="AU723"/>
      <c r="AV723" s="391" t="s">
        <v>8819</v>
      </c>
      <c r="AW723"/>
      <c r="AX723" s="391" t="s">
        <v>8819</v>
      </c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>
        <v>52.7</v>
      </c>
      <c r="BT723"/>
      <c r="BU723">
        <v>16.100000000000001</v>
      </c>
      <c r="BV723"/>
      <c r="BW723"/>
      <c r="BX723" s="228"/>
      <c r="BY723"/>
      <c r="BZ723"/>
      <c r="CA723"/>
      <c r="CB723" s="136"/>
      <c r="CC723"/>
      <c r="CD723"/>
      <c r="CE723">
        <v>6.8</v>
      </c>
      <c r="CF723"/>
      <c r="CG723">
        <v>0.4</v>
      </c>
      <c r="CH723"/>
      <c r="CI723"/>
      <c r="CJ723"/>
      <c r="CK723" t="s">
        <v>8820</v>
      </c>
      <c r="CL723">
        <v>1</v>
      </c>
      <c r="CM723" s="392">
        <v>41802</v>
      </c>
    </row>
    <row r="724" spans="1:91" s="242" customFormat="1" ht="15">
      <c r="A724" s="364" t="s">
        <v>7715</v>
      </c>
      <c r="B724" t="s">
        <v>267</v>
      </c>
      <c r="C724" t="s">
        <v>8213</v>
      </c>
      <c r="D724">
        <v>110</v>
      </c>
      <c r="E724" s="113">
        <v>12</v>
      </c>
      <c r="F724" s="113">
        <v>7</v>
      </c>
      <c r="G724" s="113"/>
      <c r="H724" s="113"/>
      <c r="I724"/>
      <c r="J724" s="112"/>
      <c r="K724" s="224">
        <v>6</v>
      </c>
      <c r="L724" s="390">
        <v>41625</v>
      </c>
      <c r="M724"/>
      <c r="N724" s="224"/>
      <c r="O724"/>
      <c r="P724"/>
      <c r="Q724"/>
      <c r="R724" s="153"/>
      <c r="S724" s="224"/>
      <c r="T724" s="224"/>
      <c r="U724"/>
      <c r="V724"/>
      <c r="W724"/>
      <c r="X724"/>
      <c r="Y724" s="225"/>
      <c r="Z724" s="224"/>
      <c r="AA724" s="226"/>
      <c r="AB724" s="224"/>
      <c r="AC724" s="225"/>
      <c r="AD724" s="224"/>
      <c r="AE724" s="224"/>
      <c r="AF724" s="224"/>
      <c r="AG724"/>
      <c r="AH724"/>
      <c r="AI724">
        <v>130</v>
      </c>
      <c r="AJ724" s="194">
        <v>41785</v>
      </c>
      <c r="AK724">
        <v>31</v>
      </c>
      <c r="AL724" s="395">
        <v>41671</v>
      </c>
      <c r="AM724">
        <v>90</v>
      </c>
      <c r="AN724" s="391">
        <v>41730</v>
      </c>
      <c r="AO724"/>
      <c r="AP724" s="391" t="s">
        <v>8819</v>
      </c>
      <c r="AQ724" s="227"/>
      <c r="AR724" s="227"/>
      <c r="AS724"/>
      <c r="AT724"/>
      <c r="AU724"/>
      <c r="AV724" s="391" t="s">
        <v>8819</v>
      </c>
      <c r="AW724"/>
      <c r="AX724" s="391" t="s">
        <v>8819</v>
      </c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>
        <v>51.5</v>
      </c>
      <c r="BT724"/>
      <c r="BU724">
        <v>17.600000000000001</v>
      </c>
      <c r="BV724"/>
      <c r="BW724" s="229"/>
      <c r="BX724"/>
      <c r="BY724"/>
      <c r="BZ724"/>
      <c r="CA724"/>
      <c r="CB724" s="136"/>
      <c r="CC724"/>
      <c r="CD724"/>
      <c r="CE724">
        <v>5.8</v>
      </c>
      <c r="CF724"/>
      <c r="CG724">
        <v>0.1</v>
      </c>
      <c r="CH724"/>
      <c r="CI724"/>
      <c r="CJ724"/>
      <c r="CK724" t="s">
        <v>8820</v>
      </c>
      <c r="CL724">
        <v>1.6</v>
      </c>
      <c r="CM724" s="392">
        <v>41802</v>
      </c>
    </row>
    <row r="725" spans="1:91" s="242" customFormat="1" ht="15">
      <c r="A725" s="364" t="s">
        <v>7716</v>
      </c>
      <c r="B725" t="s">
        <v>267</v>
      </c>
      <c r="C725" t="s">
        <v>8213</v>
      </c>
      <c r="D725">
        <v>111</v>
      </c>
      <c r="E725" s="113">
        <v>12</v>
      </c>
      <c r="F725" s="113">
        <v>10</v>
      </c>
      <c r="G725" s="113"/>
      <c r="H725" s="113"/>
      <c r="I725"/>
      <c r="J725" s="112"/>
      <c r="K725" s="224">
        <v>6</v>
      </c>
      <c r="L725" s="390">
        <v>41625</v>
      </c>
      <c r="M725"/>
      <c r="N725" s="224"/>
      <c r="O725"/>
      <c r="P725"/>
      <c r="Q725"/>
      <c r="R725" s="153"/>
      <c r="S725" s="224"/>
      <c r="T725" s="224"/>
      <c r="U725"/>
      <c r="V725"/>
      <c r="W725"/>
      <c r="X725"/>
      <c r="Y725" s="225"/>
      <c r="Z725" s="224"/>
      <c r="AA725" s="226"/>
      <c r="AB725" s="224"/>
      <c r="AC725" s="225"/>
      <c r="AD725" s="224"/>
      <c r="AE725" s="224"/>
      <c r="AF725" s="224"/>
      <c r="AG725"/>
      <c r="AH725"/>
      <c r="AI725">
        <v>140</v>
      </c>
      <c r="AJ725" s="194">
        <v>41785</v>
      </c>
      <c r="AK725">
        <v>37</v>
      </c>
      <c r="AL725" s="395">
        <v>41677</v>
      </c>
      <c r="AM725">
        <v>93</v>
      </c>
      <c r="AN725" s="391">
        <v>41733</v>
      </c>
      <c r="AO725"/>
      <c r="AP725" s="391">
        <v>41737</v>
      </c>
      <c r="AQ725" s="227"/>
      <c r="AR725" s="227"/>
      <c r="AS725"/>
      <c r="AT725"/>
      <c r="AU725"/>
      <c r="AV725" s="391">
        <v>41740</v>
      </c>
      <c r="AW725"/>
      <c r="AX725" s="391" t="s">
        <v>8819</v>
      </c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>
        <v>50.9</v>
      </c>
      <c r="BT725"/>
      <c r="BU725">
        <v>17.2</v>
      </c>
      <c r="BV725"/>
      <c r="BW725"/>
      <c r="BX725" s="228"/>
      <c r="BY725"/>
      <c r="BZ725"/>
      <c r="CA725"/>
      <c r="CB725" s="136"/>
      <c r="CC725"/>
      <c r="CD725"/>
      <c r="CE725">
        <v>6.5</v>
      </c>
      <c r="CF725"/>
      <c r="CG725">
        <v>0</v>
      </c>
      <c r="CH725"/>
      <c r="CI725"/>
      <c r="CJ725"/>
      <c r="CK725" t="s">
        <v>8820</v>
      </c>
      <c r="CL725">
        <v>1.4</v>
      </c>
      <c r="CM725" s="392">
        <v>41802</v>
      </c>
    </row>
    <row r="726" spans="1:91" s="242" customFormat="1" ht="15">
      <c r="A726" s="364" t="s">
        <v>7717</v>
      </c>
      <c r="B726" t="s">
        <v>267</v>
      </c>
      <c r="C726" t="s">
        <v>8213</v>
      </c>
      <c r="D726">
        <v>112</v>
      </c>
      <c r="E726" s="113">
        <v>4</v>
      </c>
      <c r="F726" s="113">
        <v>12</v>
      </c>
      <c r="G726" s="113"/>
      <c r="H726" s="113"/>
      <c r="I726"/>
      <c r="J726" s="112"/>
      <c r="K726" s="224">
        <v>5</v>
      </c>
      <c r="L726" s="390">
        <v>41625</v>
      </c>
      <c r="M726"/>
      <c r="N726" s="224"/>
      <c r="O726"/>
      <c r="P726"/>
      <c r="Q726"/>
      <c r="R726" s="153"/>
      <c r="S726" s="224"/>
      <c r="T726" s="224"/>
      <c r="U726"/>
      <c r="V726"/>
      <c r="W726"/>
      <c r="X726"/>
      <c r="Y726" s="225"/>
      <c r="Z726" s="224"/>
      <c r="AA726" s="226"/>
      <c r="AB726" s="224"/>
      <c r="AC726" s="225"/>
      <c r="AD726" s="224"/>
      <c r="AE726" s="224"/>
      <c r="AF726" s="224"/>
      <c r="AG726"/>
      <c r="AH726"/>
      <c r="AI726">
        <v>145</v>
      </c>
      <c r="AJ726" s="194">
        <v>41785</v>
      </c>
      <c r="AK726">
        <v>37</v>
      </c>
      <c r="AL726" s="395">
        <v>41677</v>
      </c>
      <c r="AM726">
        <v>90</v>
      </c>
      <c r="AN726" s="391">
        <v>41730</v>
      </c>
      <c r="AO726"/>
      <c r="AP726" s="391" t="s">
        <v>8819</v>
      </c>
      <c r="AQ726" s="227"/>
      <c r="AR726" s="227"/>
      <c r="AS726"/>
      <c r="AT726"/>
      <c r="AU726"/>
      <c r="AV726" s="391" t="s">
        <v>8819</v>
      </c>
      <c r="AW726"/>
      <c r="AX726" s="391" t="s">
        <v>8819</v>
      </c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>
        <v>49.7</v>
      </c>
      <c r="BT726"/>
      <c r="BU726">
        <v>17.2</v>
      </c>
      <c r="BV726"/>
      <c r="BW726"/>
      <c r="BX726" s="228"/>
      <c r="BY726"/>
      <c r="BZ726"/>
      <c r="CA726"/>
      <c r="CB726" s="136"/>
      <c r="CC726"/>
      <c r="CD726"/>
      <c r="CE726">
        <v>5</v>
      </c>
      <c r="CF726"/>
      <c r="CG726">
        <v>0.2</v>
      </c>
      <c r="CH726"/>
      <c r="CI726"/>
      <c r="CJ726"/>
      <c r="CK726" t="s">
        <v>8820</v>
      </c>
      <c r="CL726">
        <v>1</v>
      </c>
      <c r="CM726" s="392">
        <v>41802</v>
      </c>
    </row>
    <row r="727" spans="1:91" ht="15">
      <c r="A727" s="364" t="s">
        <v>7718</v>
      </c>
      <c r="B727" t="s">
        <v>267</v>
      </c>
      <c r="C727" t="s">
        <v>8213</v>
      </c>
      <c r="D727">
        <v>113</v>
      </c>
      <c r="E727" s="113">
        <v>5</v>
      </c>
      <c r="F727" s="113">
        <v>12</v>
      </c>
      <c r="I727"/>
      <c r="K727" s="224">
        <v>7</v>
      </c>
      <c r="L727" s="390">
        <v>41625</v>
      </c>
      <c r="M727"/>
      <c r="N727" s="224"/>
      <c r="O727"/>
      <c r="P727"/>
      <c r="Q727"/>
      <c r="S727" s="224"/>
      <c r="T727" s="224"/>
      <c r="U727"/>
      <c r="V727"/>
      <c r="W727"/>
      <c r="X727"/>
      <c r="Y727" s="225"/>
      <c r="Z727" s="224"/>
      <c r="AA727" s="226"/>
      <c r="AB727" s="224"/>
      <c r="AC727" s="225"/>
      <c r="AD727" s="224"/>
      <c r="AE727" s="224"/>
      <c r="AF727" s="224"/>
      <c r="AG727"/>
      <c r="AH727"/>
      <c r="AI727">
        <v>135</v>
      </c>
      <c r="AJ727" s="194">
        <v>41785</v>
      </c>
      <c r="AK727">
        <v>31</v>
      </c>
      <c r="AL727" s="395">
        <v>41671</v>
      </c>
      <c r="AM727">
        <v>93</v>
      </c>
      <c r="AN727" s="391">
        <v>41733</v>
      </c>
      <c r="AO727"/>
      <c r="AP727" s="391" t="s">
        <v>8819</v>
      </c>
      <c r="AQ727" s="227"/>
      <c r="AR727" s="227"/>
      <c r="AS727"/>
      <c r="AT727"/>
      <c r="AU727"/>
      <c r="AV727" s="391">
        <v>41730</v>
      </c>
      <c r="AW727"/>
      <c r="AX727" s="391" t="s">
        <v>8819</v>
      </c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>
        <v>52.2</v>
      </c>
      <c r="BT727"/>
      <c r="BU727">
        <v>16.600000000000001</v>
      </c>
      <c r="BV727"/>
      <c r="BW727"/>
      <c r="BX727" s="228"/>
      <c r="BY727"/>
      <c r="BZ727"/>
      <c r="CA727"/>
      <c r="CC727"/>
      <c r="CD727"/>
      <c r="CE727">
        <v>5.2</v>
      </c>
      <c r="CF727"/>
      <c r="CG727">
        <v>0.2</v>
      </c>
      <c r="CH727"/>
      <c r="CI727"/>
      <c r="CJ727"/>
      <c r="CK727" t="s">
        <v>8820</v>
      </c>
      <c r="CL727">
        <v>1</v>
      </c>
      <c r="CM727" s="392">
        <v>41802</v>
      </c>
    </row>
    <row r="728" spans="1:91" ht="15">
      <c r="A728" s="364" t="s">
        <v>7719</v>
      </c>
      <c r="B728" t="s">
        <v>267</v>
      </c>
      <c r="C728" t="s">
        <v>8213</v>
      </c>
      <c r="D728">
        <v>114</v>
      </c>
      <c r="E728" s="113">
        <v>32</v>
      </c>
      <c r="F728" s="113">
        <v>9</v>
      </c>
      <c r="I728"/>
      <c r="K728" s="224">
        <v>6</v>
      </c>
      <c r="L728" s="390">
        <v>41625</v>
      </c>
      <c r="M728"/>
      <c r="N728" s="224"/>
      <c r="O728"/>
      <c r="P728"/>
      <c r="Q728"/>
      <c r="S728" s="224"/>
      <c r="T728" s="224"/>
      <c r="U728"/>
      <c r="V728"/>
      <c r="W728"/>
      <c r="X728"/>
      <c r="Y728" s="225"/>
      <c r="Z728" s="224"/>
      <c r="AA728" s="226"/>
      <c r="AB728" s="224"/>
      <c r="AC728" s="225"/>
      <c r="AD728" s="224"/>
      <c r="AE728" s="224"/>
      <c r="AF728" s="224"/>
      <c r="AG728"/>
      <c r="AH728"/>
      <c r="AI728">
        <v>135</v>
      </c>
      <c r="AJ728" s="194">
        <v>41785</v>
      </c>
      <c r="AK728">
        <v>37</v>
      </c>
      <c r="AL728" s="395">
        <v>41677</v>
      </c>
      <c r="AM728">
        <v>90</v>
      </c>
      <c r="AN728" s="391">
        <v>41730</v>
      </c>
      <c r="AO728"/>
      <c r="AP728" s="391" t="s">
        <v>8819</v>
      </c>
      <c r="AQ728" s="227"/>
      <c r="AR728" s="227"/>
      <c r="AS728"/>
      <c r="AT728"/>
      <c r="AU728"/>
      <c r="AV728" s="391">
        <v>41737</v>
      </c>
      <c r="AW728"/>
      <c r="AX728" s="391" t="s">
        <v>8819</v>
      </c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>
        <v>51.2</v>
      </c>
      <c r="BT728"/>
      <c r="BU728">
        <v>17.5</v>
      </c>
      <c r="BV728"/>
      <c r="BW728"/>
      <c r="BX728" s="228"/>
      <c r="BY728"/>
      <c r="BZ728"/>
      <c r="CA728"/>
      <c r="CC728"/>
      <c r="CD728"/>
      <c r="CE728">
        <v>7.2</v>
      </c>
      <c r="CF728"/>
      <c r="CG728">
        <v>0</v>
      </c>
      <c r="CH728"/>
      <c r="CI728"/>
      <c r="CJ728"/>
      <c r="CK728" t="s">
        <v>8820</v>
      </c>
      <c r="CL728">
        <v>1</v>
      </c>
      <c r="CM728" s="392">
        <v>41802</v>
      </c>
    </row>
    <row r="729" spans="1:91" ht="15">
      <c r="A729" s="364" t="s">
        <v>7720</v>
      </c>
      <c r="B729" s="362" t="s">
        <v>267</v>
      </c>
      <c r="C729" s="362" t="s">
        <v>8213</v>
      </c>
      <c r="D729">
        <v>115</v>
      </c>
      <c r="E729" s="113">
        <v>36</v>
      </c>
      <c r="F729" s="113">
        <v>12</v>
      </c>
      <c r="I729"/>
      <c r="K729" s="224">
        <v>7</v>
      </c>
      <c r="L729" s="390">
        <v>41625</v>
      </c>
      <c r="M729"/>
      <c r="N729" s="224"/>
      <c r="O729"/>
      <c r="P729"/>
      <c r="Q729"/>
      <c r="S729" s="224"/>
      <c r="T729" s="224"/>
      <c r="U729"/>
      <c r="V729"/>
      <c r="W729"/>
      <c r="X729"/>
      <c r="Y729" s="225"/>
      <c r="Z729" s="224"/>
      <c r="AA729" s="226"/>
      <c r="AB729" s="224"/>
      <c r="AC729" s="225"/>
      <c r="AD729" s="224"/>
      <c r="AE729" s="224"/>
      <c r="AF729" s="224"/>
      <c r="AG729"/>
      <c r="AH729"/>
      <c r="AI729">
        <v>155</v>
      </c>
      <c r="AJ729" s="194">
        <v>41785</v>
      </c>
      <c r="AK729">
        <v>37</v>
      </c>
      <c r="AL729" s="395">
        <v>41677</v>
      </c>
      <c r="AM729">
        <v>90</v>
      </c>
      <c r="AN729" s="391">
        <v>41730</v>
      </c>
      <c r="AO729"/>
      <c r="AP729" s="391" t="s">
        <v>8819</v>
      </c>
      <c r="AQ729" s="227"/>
      <c r="AR729" s="227"/>
      <c r="AS729"/>
      <c r="AT729"/>
      <c r="AU729"/>
      <c r="AV729" s="391">
        <v>41737</v>
      </c>
      <c r="AW729"/>
      <c r="AX729" s="391" t="s">
        <v>8819</v>
      </c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>
        <v>50.1</v>
      </c>
      <c r="BT729"/>
      <c r="BU729">
        <v>16.8</v>
      </c>
      <c r="BV729"/>
      <c r="BW729"/>
      <c r="BX729" s="228"/>
      <c r="BY729"/>
      <c r="BZ729"/>
      <c r="CA729"/>
      <c r="CC729"/>
      <c r="CD729"/>
      <c r="CE729">
        <v>7.5</v>
      </c>
      <c r="CF729"/>
      <c r="CG729">
        <v>0</v>
      </c>
      <c r="CH729"/>
      <c r="CI729"/>
      <c r="CJ729"/>
      <c r="CK729" t="s">
        <v>8820</v>
      </c>
      <c r="CL729">
        <v>1</v>
      </c>
      <c r="CM729" s="392">
        <v>41802</v>
      </c>
    </row>
    <row r="730" spans="1:91" ht="15">
      <c r="A730" s="364" t="s">
        <v>7721</v>
      </c>
      <c r="B730" t="s">
        <v>267</v>
      </c>
      <c r="C730" t="s">
        <v>8213</v>
      </c>
      <c r="D730">
        <v>116</v>
      </c>
      <c r="E730" s="113">
        <v>24</v>
      </c>
      <c r="F730" s="113">
        <v>12</v>
      </c>
      <c r="I730"/>
      <c r="K730" s="224"/>
      <c r="L730" s="390">
        <v>41625</v>
      </c>
      <c r="M730"/>
      <c r="N730" s="224"/>
      <c r="O730"/>
      <c r="P730"/>
      <c r="Q730"/>
      <c r="S730" s="224"/>
      <c r="T730" s="224"/>
      <c r="U730"/>
      <c r="V730"/>
      <c r="W730"/>
      <c r="X730"/>
      <c r="Y730" s="225"/>
      <c r="Z730" s="224"/>
      <c r="AA730" s="226"/>
      <c r="AB730" s="224"/>
      <c r="AC730" s="225"/>
      <c r="AD730" s="224"/>
      <c r="AE730" s="224"/>
      <c r="AF730" s="224"/>
      <c r="AG730"/>
      <c r="AH730"/>
      <c r="AI730">
        <v>130</v>
      </c>
      <c r="AJ730" s="194">
        <v>41785</v>
      </c>
      <c r="AK730">
        <v>37</v>
      </c>
      <c r="AL730" s="395">
        <v>41677</v>
      </c>
      <c r="AM730">
        <v>90</v>
      </c>
      <c r="AN730" s="391">
        <v>41730</v>
      </c>
      <c r="AO730"/>
      <c r="AP730" s="391" t="s">
        <v>8819</v>
      </c>
      <c r="AQ730" s="227"/>
      <c r="AR730" s="227"/>
      <c r="AS730"/>
      <c r="AT730"/>
      <c r="AU730"/>
      <c r="AV730" s="391">
        <v>41737</v>
      </c>
      <c r="AW730"/>
      <c r="AX730" s="391" t="s">
        <v>8819</v>
      </c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>
        <v>50.2</v>
      </c>
      <c r="BT730"/>
      <c r="BU730">
        <v>17.8</v>
      </c>
      <c r="BV730"/>
      <c r="BW730"/>
      <c r="BX730" s="228"/>
      <c r="BY730"/>
      <c r="BZ730"/>
      <c r="CA730"/>
      <c r="CC730"/>
      <c r="CD730"/>
      <c r="CE730">
        <v>6.1</v>
      </c>
      <c r="CF730"/>
      <c r="CG730">
        <v>0.5</v>
      </c>
      <c r="CH730"/>
      <c r="CI730"/>
      <c r="CJ730"/>
      <c r="CK730" t="s">
        <v>8820</v>
      </c>
      <c r="CL730">
        <v>1</v>
      </c>
      <c r="CM730" s="392">
        <v>41802</v>
      </c>
    </row>
    <row r="731" spans="1:91" ht="15">
      <c r="A731" s="364" t="s">
        <v>7722</v>
      </c>
      <c r="B731" t="s">
        <v>267</v>
      </c>
      <c r="C731" t="s">
        <v>8213</v>
      </c>
      <c r="D731">
        <v>117</v>
      </c>
      <c r="E731" s="113">
        <v>26</v>
      </c>
      <c r="F731" s="113">
        <v>8</v>
      </c>
      <c r="I731"/>
      <c r="K731" s="224">
        <v>6</v>
      </c>
      <c r="L731" s="390">
        <v>41625</v>
      </c>
      <c r="M731"/>
      <c r="N731" s="224"/>
      <c r="O731"/>
      <c r="P731"/>
      <c r="Q731"/>
      <c r="S731" s="224"/>
      <c r="T731" s="224"/>
      <c r="U731"/>
      <c r="V731"/>
      <c r="W731"/>
      <c r="X731"/>
      <c r="Y731" s="225"/>
      <c r="Z731" s="224"/>
      <c r="AA731" s="226"/>
      <c r="AB731" s="224"/>
      <c r="AC731" s="225"/>
      <c r="AD731" s="224"/>
      <c r="AE731" s="224"/>
      <c r="AF731" s="224"/>
      <c r="AG731"/>
      <c r="AH731"/>
      <c r="AI731">
        <v>130</v>
      </c>
      <c r="AJ731" s="194">
        <v>41785</v>
      </c>
      <c r="AK731">
        <v>37</v>
      </c>
      <c r="AL731" s="395">
        <v>41677</v>
      </c>
      <c r="AM731">
        <v>93</v>
      </c>
      <c r="AN731" s="391">
        <v>41733</v>
      </c>
      <c r="AO731"/>
      <c r="AP731" s="391" t="s">
        <v>8819</v>
      </c>
      <c r="AQ731" s="227"/>
      <c r="AR731" s="227"/>
      <c r="AS731"/>
      <c r="AT731"/>
      <c r="AU731"/>
      <c r="AV731" s="391">
        <v>41737</v>
      </c>
      <c r="AW731"/>
      <c r="AX731" s="391" t="s">
        <v>8819</v>
      </c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>
        <v>51.4</v>
      </c>
      <c r="BT731"/>
      <c r="BU731">
        <v>17.2</v>
      </c>
      <c r="BV731"/>
      <c r="BW731" s="229"/>
      <c r="BX731"/>
      <c r="BY731"/>
      <c r="BZ731"/>
      <c r="CA731"/>
      <c r="CC731"/>
      <c r="CD731"/>
      <c r="CE731">
        <v>6</v>
      </c>
      <c r="CF731"/>
      <c r="CG731">
        <v>0.1</v>
      </c>
      <c r="CH731"/>
      <c r="CI731"/>
      <c r="CJ731"/>
      <c r="CK731" t="s">
        <v>8820</v>
      </c>
      <c r="CL731">
        <v>5</v>
      </c>
      <c r="CM731" s="392">
        <v>41802</v>
      </c>
    </row>
    <row r="732" spans="1:91" ht="15">
      <c r="A732" s="364" t="s">
        <v>7723</v>
      </c>
      <c r="B732" t="s">
        <v>267</v>
      </c>
      <c r="C732" t="s">
        <v>8213</v>
      </c>
      <c r="D732">
        <v>118</v>
      </c>
      <c r="E732" s="113">
        <v>19</v>
      </c>
      <c r="F732" s="113">
        <v>11</v>
      </c>
      <c r="I732"/>
      <c r="K732" s="224">
        <v>7</v>
      </c>
      <c r="L732" s="390">
        <v>41625</v>
      </c>
      <c r="M732"/>
      <c r="N732" s="224"/>
      <c r="O732"/>
      <c r="P732"/>
      <c r="Q732"/>
      <c r="S732" s="224"/>
      <c r="T732" s="224"/>
      <c r="U732"/>
      <c r="V732"/>
      <c r="W732"/>
      <c r="X732"/>
      <c r="Y732" s="225"/>
      <c r="Z732" s="224"/>
      <c r="AA732" s="226"/>
      <c r="AB732" s="224"/>
      <c r="AC732" s="225"/>
      <c r="AD732" s="224"/>
      <c r="AE732" s="224"/>
      <c r="AF732" s="224"/>
      <c r="AG732"/>
      <c r="AH732"/>
      <c r="AI732">
        <v>150</v>
      </c>
      <c r="AJ732" s="194">
        <v>41785</v>
      </c>
      <c r="AK732">
        <v>37</v>
      </c>
      <c r="AL732" s="395">
        <v>41677</v>
      </c>
      <c r="AM732">
        <v>90</v>
      </c>
      <c r="AN732" s="391">
        <v>41730</v>
      </c>
      <c r="AO732"/>
      <c r="AP732" s="391" t="s">
        <v>8819</v>
      </c>
      <c r="AQ732" s="227"/>
      <c r="AR732" s="227"/>
      <c r="AS732"/>
      <c r="AT732"/>
      <c r="AU732"/>
      <c r="AV732" s="391">
        <v>41737</v>
      </c>
      <c r="AW732"/>
      <c r="AX732" s="391" t="s">
        <v>8819</v>
      </c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>
        <v>50.9</v>
      </c>
      <c r="BT732"/>
      <c r="BU732">
        <v>17.600000000000001</v>
      </c>
      <c r="BV732"/>
      <c r="BW732"/>
      <c r="BX732" s="228"/>
      <c r="BY732"/>
      <c r="BZ732"/>
      <c r="CA732"/>
      <c r="CC732"/>
      <c r="CD732"/>
      <c r="CE732">
        <v>5.9</v>
      </c>
      <c r="CF732"/>
      <c r="CG732">
        <v>0.1</v>
      </c>
      <c r="CH732"/>
      <c r="CI732"/>
      <c r="CJ732"/>
      <c r="CK732" t="s">
        <v>8820</v>
      </c>
      <c r="CL732">
        <v>1</v>
      </c>
      <c r="CM732" s="392">
        <v>41802</v>
      </c>
    </row>
    <row r="733" spans="1:91" ht="15">
      <c r="A733" s="364" t="s">
        <v>7724</v>
      </c>
      <c r="B733" t="s">
        <v>267</v>
      </c>
      <c r="C733" t="s">
        <v>8213</v>
      </c>
      <c r="D733" s="232">
        <v>119</v>
      </c>
      <c r="E733" s="113">
        <v>27</v>
      </c>
      <c r="F733" s="113">
        <v>7</v>
      </c>
      <c r="I733"/>
      <c r="K733" s="224">
        <v>6</v>
      </c>
      <c r="L733" s="390">
        <v>41625</v>
      </c>
      <c r="M733"/>
      <c r="N733" s="224"/>
      <c r="O733"/>
      <c r="P733"/>
      <c r="Q733"/>
      <c r="S733" s="224"/>
      <c r="T733" s="224"/>
      <c r="U733"/>
      <c r="V733"/>
      <c r="W733"/>
      <c r="X733"/>
      <c r="Y733" s="225"/>
      <c r="Z733" s="224"/>
      <c r="AA733" s="226"/>
      <c r="AB733" s="224"/>
      <c r="AC733" s="225"/>
      <c r="AD733" s="224"/>
      <c r="AE733" s="224"/>
      <c r="AF733" s="224"/>
      <c r="AG733"/>
      <c r="AH733"/>
      <c r="AI733">
        <v>150</v>
      </c>
      <c r="AJ733" s="194">
        <v>41785</v>
      </c>
      <c r="AK733">
        <v>37</v>
      </c>
      <c r="AL733" s="395">
        <v>41677</v>
      </c>
      <c r="AM733">
        <v>93</v>
      </c>
      <c r="AN733" s="391">
        <v>41733</v>
      </c>
      <c r="AO733"/>
      <c r="AP733" s="391">
        <v>41737</v>
      </c>
      <c r="AQ733" s="227"/>
      <c r="AR733" s="227"/>
      <c r="AS733"/>
      <c r="AT733"/>
      <c r="AU733"/>
      <c r="AV733" s="391" t="s">
        <v>8819</v>
      </c>
      <c r="AW733"/>
      <c r="AX733" s="391" t="s">
        <v>8819</v>
      </c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>
        <v>50.6</v>
      </c>
      <c r="BT733"/>
      <c r="BU733">
        <v>16.7</v>
      </c>
      <c r="BV733"/>
      <c r="BW733" s="229"/>
      <c r="BX733"/>
      <c r="BY733"/>
      <c r="BZ733"/>
      <c r="CA733"/>
      <c r="CC733"/>
      <c r="CD733"/>
      <c r="CE733">
        <v>6.3</v>
      </c>
      <c r="CF733"/>
      <c r="CG733">
        <v>0.1</v>
      </c>
      <c r="CH733"/>
      <c r="CI733"/>
      <c r="CJ733"/>
      <c r="CK733" t="s">
        <v>8820</v>
      </c>
      <c r="CL733">
        <v>1</v>
      </c>
      <c r="CM733" s="392">
        <v>41802</v>
      </c>
    </row>
    <row r="734" spans="1:91" ht="15">
      <c r="A734" s="364" t="s">
        <v>7725</v>
      </c>
      <c r="B734" t="s">
        <v>267</v>
      </c>
      <c r="C734" t="s">
        <v>8213</v>
      </c>
      <c r="D734">
        <v>120</v>
      </c>
      <c r="E734" s="113">
        <v>27</v>
      </c>
      <c r="F734" s="113">
        <v>10</v>
      </c>
      <c r="I734"/>
      <c r="K734" s="224">
        <v>7</v>
      </c>
      <c r="L734" s="390">
        <v>41625</v>
      </c>
      <c r="M734"/>
      <c r="N734" s="224"/>
      <c r="O734"/>
      <c r="P734"/>
      <c r="Q734"/>
      <c r="S734" s="224"/>
      <c r="T734" s="224"/>
      <c r="U734"/>
      <c r="V734"/>
      <c r="W734"/>
      <c r="X734"/>
      <c r="Y734" s="225"/>
      <c r="Z734" s="224"/>
      <c r="AA734" s="226"/>
      <c r="AB734" s="224"/>
      <c r="AC734" s="225"/>
      <c r="AD734" s="224"/>
      <c r="AE734" s="224"/>
      <c r="AF734" s="224"/>
      <c r="AG734"/>
      <c r="AH734"/>
      <c r="AI734">
        <v>140</v>
      </c>
      <c r="AJ734" s="194">
        <v>41785</v>
      </c>
      <c r="AK734">
        <v>37</v>
      </c>
      <c r="AL734" s="395">
        <v>41677</v>
      </c>
      <c r="AM734">
        <v>93</v>
      </c>
      <c r="AN734" s="391">
        <v>41733</v>
      </c>
      <c r="AO734"/>
      <c r="AP734" s="391" t="s">
        <v>8819</v>
      </c>
      <c r="AQ734" s="227"/>
      <c r="AR734" s="227"/>
      <c r="AS734"/>
      <c r="AT734"/>
      <c r="AU734"/>
      <c r="AV734" s="391">
        <v>41737</v>
      </c>
      <c r="AW734"/>
      <c r="AX734" s="391" t="s">
        <v>8819</v>
      </c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>
        <v>51.5</v>
      </c>
      <c r="BT734"/>
      <c r="BU734">
        <v>17.100000000000001</v>
      </c>
      <c r="BV734"/>
      <c r="BW734"/>
      <c r="BX734" s="228"/>
      <c r="BY734"/>
      <c r="BZ734"/>
      <c r="CA734"/>
      <c r="CC734"/>
      <c r="CD734"/>
      <c r="CE734">
        <v>5.4</v>
      </c>
      <c r="CF734"/>
      <c r="CG734">
        <v>0.1</v>
      </c>
      <c r="CH734"/>
      <c r="CI734"/>
      <c r="CJ734"/>
      <c r="CK734" t="s">
        <v>8820</v>
      </c>
      <c r="CL734">
        <v>1</v>
      </c>
      <c r="CM734" s="392">
        <v>41802</v>
      </c>
    </row>
    <row r="735" spans="1:91" ht="15">
      <c r="A735" s="364" t="s">
        <v>7726</v>
      </c>
      <c r="B735" t="s">
        <v>267</v>
      </c>
      <c r="C735" t="s">
        <v>8213</v>
      </c>
      <c r="D735">
        <v>121</v>
      </c>
      <c r="E735" s="113">
        <v>24</v>
      </c>
      <c r="F735" s="113">
        <v>7</v>
      </c>
      <c r="I735"/>
      <c r="K735" s="224">
        <v>7</v>
      </c>
      <c r="L735" s="390">
        <v>41625</v>
      </c>
      <c r="M735"/>
      <c r="N735" s="224"/>
      <c r="O735"/>
      <c r="P735"/>
      <c r="Q735"/>
      <c r="S735" s="224"/>
      <c r="T735" s="224"/>
      <c r="U735"/>
      <c r="V735"/>
      <c r="W735"/>
      <c r="X735"/>
      <c r="Y735" s="225"/>
      <c r="Z735" s="224"/>
      <c r="AA735" s="226"/>
      <c r="AB735" s="224"/>
      <c r="AC735" s="225"/>
      <c r="AD735" s="224"/>
      <c r="AE735" s="224"/>
      <c r="AF735" s="224"/>
      <c r="AG735"/>
      <c r="AH735"/>
      <c r="AI735">
        <v>135</v>
      </c>
      <c r="AJ735" s="194">
        <v>41785</v>
      </c>
      <c r="AK735">
        <v>37</v>
      </c>
      <c r="AL735" s="395">
        <v>41677</v>
      </c>
      <c r="AM735">
        <v>90</v>
      </c>
      <c r="AN735" s="391">
        <v>41730</v>
      </c>
      <c r="AO735"/>
      <c r="AP735" s="391" t="s">
        <v>8819</v>
      </c>
      <c r="AQ735" s="227"/>
      <c r="AR735" s="227"/>
      <c r="AS735"/>
      <c r="AT735"/>
      <c r="AU735"/>
      <c r="AV735" s="391">
        <v>41737</v>
      </c>
      <c r="AW735">
        <v>111</v>
      </c>
      <c r="AX735" s="391">
        <v>41751</v>
      </c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>
        <v>51.6</v>
      </c>
      <c r="BT735"/>
      <c r="BU735">
        <v>16.2</v>
      </c>
      <c r="BV735"/>
      <c r="BW735"/>
      <c r="BX735" s="228"/>
      <c r="BY735"/>
      <c r="BZ735"/>
      <c r="CA735"/>
      <c r="CC735"/>
      <c r="CD735"/>
      <c r="CE735">
        <v>5.9</v>
      </c>
      <c r="CF735"/>
      <c r="CG735">
        <v>0.1</v>
      </c>
      <c r="CH735"/>
      <c r="CI735"/>
      <c r="CJ735"/>
      <c r="CK735" t="s">
        <v>8820</v>
      </c>
      <c r="CL735">
        <v>1</v>
      </c>
      <c r="CM735" s="392">
        <v>41802</v>
      </c>
    </row>
    <row r="736" spans="1:91" ht="15">
      <c r="A736" s="364" t="s">
        <v>7727</v>
      </c>
      <c r="B736" t="s">
        <v>267</v>
      </c>
      <c r="C736" t="s">
        <v>8213</v>
      </c>
      <c r="D736">
        <v>122</v>
      </c>
      <c r="E736" s="113">
        <v>7</v>
      </c>
      <c r="F736" s="113">
        <v>7</v>
      </c>
      <c r="I736"/>
      <c r="K736" s="224">
        <v>6</v>
      </c>
      <c r="L736" s="390">
        <v>41625</v>
      </c>
      <c r="M736"/>
      <c r="N736" s="224"/>
      <c r="O736"/>
      <c r="P736"/>
      <c r="Q736"/>
      <c r="S736" s="224"/>
      <c r="T736" s="224"/>
      <c r="U736"/>
      <c r="V736"/>
      <c r="W736"/>
      <c r="X736"/>
      <c r="Y736" s="225"/>
      <c r="Z736" s="224"/>
      <c r="AA736" s="226"/>
      <c r="AB736" s="224"/>
      <c r="AC736" s="225"/>
      <c r="AD736" s="224"/>
      <c r="AE736" s="224"/>
      <c r="AF736" s="224"/>
      <c r="AG736"/>
      <c r="AH736"/>
      <c r="AI736">
        <v>145</v>
      </c>
      <c r="AJ736" s="194">
        <v>41785</v>
      </c>
      <c r="AK736">
        <v>37</v>
      </c>
      <c r="AL736" s="395">
        <v>41677</v>
      </c>
      <c r="AM736">
        <v>93</v>
      </c>
      <c r="AN736" s="391">
        <v>41733</v>
      </c>
      <c r="AO736"/>
      <c r="AP736" s="391">
        <v>41737</v>
      </c>
      <c r="AQ736" s="227"/>
      <c r="AR736" s="227"/>
      <c r="AS736"/>
      <c r="AT736"/>
      <c r="AU736"/>
      <c r="AV736" s="391" t="s">
        <v>8819</v>
      </c>
      <c r="AW736"/>
      <c r="AX736" s="391" t="s">
        <v>8819</v>
      </c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>
        <v>49.8</v>
      </c>
      <c r="BT736"/>
      <c r="BU736">
        <v>18.899999999999999</v>
      </c>
      <c r="BV736"/>
      <c r="BW736"/>
      <c r="BX736" s="228"/>
      <c r="BY736"/>
      <c r="BZ736"/>
      <c r="CA736"/>
      <c r="CC736"/>
      <c r="CD736"/>
      <c r="CE736">
        <v>6.7</v>
      </c>
      <c r="CF736"/>
      <c r="CG736">
        <v>0.1</v>
      </c>
      <c r="CH736"/>
      <c r="CI736"/>
      <c r="CJ736"/>
      <c r="CK736" t="s">
        <v>8820</v>
      </c>
      <c r="CL736">
        <v>1</v>
      </c>
      <c r="CM736" s="392">
        <v>41802</v>
      </c>
    </row>
    <row r="737" spans="1:91" ht="15">
      <c r="A737" s="364" t="s">
        <v>7728</v>
      </c>
      <c r="B737" t="s">
        <v>267</v>
      </c>
      <c r="C737" t="s">
        <v>8213</v>
      </c>
      <c r="D737">
        <v>123</v>
      </c>
      <c r="E737" s="113">
        <v>13</v>
      </c>
      <c r="F737" s="113">
        <v>11</v>
      </c>
      <c r="I737"/>
      <c r="K737" s="224">
        <v>7</v>
      </c>
      <c r="L737" s="390">
        <v>41625</v>
      </c>
      <c r="M737"/>
      <c r="N737" s="224"/>
      <c r="O737"/>
      <c r="P737"/>
      <c r="Q737"/>
      <c r="S737" s="224"/>
      <c r="T737" s="224"/>
      <c r="U737"/>
      <c r="V737"/>
      <c r="W737"/>
      <c r="X737"/>
      <c r="Y737" s="225"/>
      <c r="Z737" s="224"/>
      <c r="AA737" s="226"/>
      <c r="AB737" s="224"/>
      <c r="AC737" s="225"/>
      <c r="AD737" s="224"/>
      <c r="AE737" s="224"/>
      <c r="AF737" s="224"/>
      <c r="AG737"/>
      <c r="AH737"/>
      <c r="AI737">
        <v>140</v>
      </c>
      <c r="AJ737" s="194">
        <v>41785</v>
      </c>
      <c r="AK737">
        <v>31</v>
      </c>
      <c r="AL737" s="395">
        <v>41671</v>
      </c>
      <c r="AM737">
        <v>90</v>
      </c>
      <c r="AN737" s="391">
        <v>41730</v>
      </c>
      <c r="AO737"/>
      <c r="AP737" s="391" t="s">
        <v>8819</v>
      </c>
      <c r="AQ737" s="227"/>
      <c r="AR737" s="227"/>
      <c r="AS737"/>
      <c r="AT737"/>
      <c r="AU737"/>
      <c r="AV737" s="391">
        <v>41737</v>
      </c>
      <c r="AW737"/>
      <c r="AX737" s="391" t="s">
        <v>8819</v>
      </c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>
        <v>53.3</v>
      </c>
      <c r="BT737"/>
      <c r="BU737">
        <v>16.899999999999999</v>
      </c>
      <c r="BV737"/>
      <c r="BW737"/>
      <c r="BX737" s="228"/>
      <c r="BY737"/>
      <c r="BZ737"/>
      <c r="CA737"/>
      <c r="CC737"/>
      <c r="CD737"/>
      <c r="CE737">
        <v>8.1</v>
      </c>
      <c r="CF737"/>
      <c r="CG737">
        <v>0</v>
      </c>
      <c r="CH737"/>
      <c r="CI737"/>
      <c r="CJ737"/>
      <c r="CK737" t="s">
        <v>8820</v>
      </c>
      <c r="CL737">
        <v>1</v>
      </c>
      <c r="CM737" s="392">
        <v>41802</v>
      </c>
    </row>
    <row r="738" spans="1:91" ht="15">
      <c r="A738" s="364" t="s">
        <v>7729</v>
      </c>
      <c r="B738" t="s">
        <v>267</v>
      </c>
      <c r="C738" t="s">
        <v>8213</v>
      </c>
      <c r="D738">
        <v>124</v>
      </c>
      <c r="E738" s="113">
        <v>16</v>
      </c>
      <c r="F738" s="113">
        <v>7</v>
      </c>
      <c r="I738"/>
      <c r="K738" s="224">
        <v>3</v>
      </c>
      <c r="L738" s="390">
        <v>41625</v>
      </c>
      <c r="M738"/>
      <c r="N738" s="224"/>
      <c r="O738"/>
      <c r="P738"/>
      <c r="Q738"/>
      <c r="S738" s="224"/>
      <c r="T738" s="224"/>
      <c r="U738"/>
      <c r="V738"/>
      <c r="W738"/>
      <c r="X738"/>
      <c r="Y738" s="225"/>
      <c r="Z738" s="224"/>
      <c r="AA738" s="226"/>
      <c r="AB738" s="224"/>
      <c r="AC738" s="225"/>
      <c r="AD738" s="224"/>
      <c r="AE738" s="224"/>
      <c r="AF738" s="224"/>
      <c r="AG738"/>
      <c r="AH738"/>
      <c r="AI738">
        <v>150</v>
      </c>
      <c r="AJ738" s="194">
        <v>41785</v>
      </c>
      <c r="AK738">
        <v>37</v>
      </c>
      <c r="AL738" s="395">
        <v>41677</v>
      </c>
      <c r="AM738">
        <v>97</v>
      </c>
      <c r="AN738" s="391">
        <v>41737</v>
      </c>
      <c r="AO738"/>
      <c r="AP738" s="391" t="s">
        <v>8819</v>
      </c>
      <c r="AQ738" s="227"/>
      <c r="AR738" s="227"/>
      <c r="AS738"/>
      <c r="AT738"/>
      <c r="AU738"/>
      <c r="AV738" s="391">
        <v>41740</v>
      </c>
      <c r="AW738"/>
      <c r="AX738" s="391" t="s">
        <v>8819</v>
      </c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>
        <v>50.4</v>
      </c>
      <c r="BT738"/>
      <c r="BU738">
        <v>17.5</v>
      </c>
      <c r="BV738"/>
      <c r="BW738" s="228"/>
      <c r="BX738" s="228"/>
      <c r="BY738"/>
      <c r="BZ738"/>
      <c r="CA738"/>
      <c r="CC738"/>
      <c r="CD738"/>
      <c r="CE738">
        <v>8.1</v>
      </c>
      <c r="CF738"/>
      <c r="CG738">
        <v>0.1</v>
      </c>
      <c r="CH738"/>
      <c r="CI738"/>
      <c r="CJ738"/>
      <c r="CK738" t="s">
        <v>8820</v>
      </c>
      <c r="CL738">
        <v>4.5999999999999996</v>
      </c>
      <c r="CM738" s="392">
        <v>41802</v>
      </c>
    </row>
    <row r="739" spans="1:91" ht="15">
      <c r="A739" s="364" t="s">
        <v>7730</v>
      </c>
      <c r="B739" s="362" t="s">
        <v>267</v>
      </c>
      <c r="C739" s="362" t="s">
        <v>8213</v>
      </c>
      <c r="D739" s="232">
        <v>125</v>
      </c>
      <c r="E739" s="113">
        <v>36</v>
      </c>
      <c r="F739" s="113">
        <v>7</v>
      </c>
      <c r="I739"/>
      <c r="K739" s="224">
        <v>7</v>
      </c>
      <c r="L739" s="390">
        <v>41625</v>
      </c>
      <c r="M739"/>
      <c r="N739" s="224"/>
      <c r="O739"/>
      <c r="P739"/>
      <c r="Q739"/>
      <c r="S739" s="224"/>
      <c r="T739" s="224"/>
      <c r="U739"/>
      <c r="V739"/>
      <c r="W739"/>
      <c r="X739"/>
      <c r="Y739" s="225"/>
      <c r="Z739" s="224"/>
      <c r="AA739" s="226"/>
      <c r="AB739" s="224"/>
      <c r="AC739" s="225"/>
      <c r="AD739" s="224"/>
      <c r="AE739" s="224"/>
      <c r="AF739" s="224"/>
      <c r="AG739"/>
      <c r="AH739"/>
      <c r="AI739">
        <v>150</v>
      </c>
      <c r="AJ739" s="194">
        <v>41785</v>
      </c>
      <c r="AK739">
        <v>37</v>
      </c>
      <c r="AL739" s="395">
        <v>41677</v>
      </c>
      <c r="AM739">
        <v>90</v>
      </c>
      <c r="AN739" s="391">
        <v>41730</v>
      </c>
      <c r="AO739"/>
      <c r="AP739" s="391" t="s">
        <v>8819</v>
      </c>
      <c r="AQ739" s="227"/>
      <c r="AR739" s="227"/>
      <c r="AS739"/>
      <c r="AT739"/>
      <c r="AU739"/>
      <c r="AV739" s="391" t="s">
        <v>8819</v>
      </c>
      <c r="AW739"/>
      <c r="AX739" s="391" t="s">
        <v>8819</v>
      </c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>
        <v>52.8</v>
      </c>
      <c r="BT739"/>
      <c r="BU739">
        <v>15.3</v>
      </c>
      <c r="BV739"/>
      <c r="BW739" s="229"/>
      <c r="BX739"/>
      <c r="BY739"/>
      <c r="BZ739"/>
      <c r="CA739"/>
      <c r="CC739"/>
      <c r="CD739"/>
      <c r="CE739">
        <v>7</v>
      </c>
      <c r="CF739"/>
      <c r="CG739">
        <v>0.7</v>
      </c>
      <c r="CH739"/>
      <c r="CI739"/>
      <c r="CJ739"/>
      <c r="CK739" t="s">
        <v>8820</v>
      </c>
      <c r="CL739">
        <v>1</v>
      </c>
      <c r="CM739" s="392">
        <v>41802</v>
      </c>
    </row>
    <row r="740" spans="1:91" ht="15">
      <c r="A740" s="364" t="s">
        <v>7731</v>
      </c>
      <c r="B740" t="s">
        <v>267</v>
      </c>
      <c r="C740" t="s">
        <v>8213</v>
      </c>
      <c r="D740">
        <v>126</v>
      </c>
      <c r="E740" s="113">
        <v>24</v>
      </c>
      <c r="F740" s="113">
        <v>9</v>
      </c>
      <c r="G740" s="233"/>
      <c r="H740" s="233"/>
      <c r="I740" s="232"/>
      <c r="J740" s="234"/>
      <c r="K740" s="235">
        <v>6</v>
      </c>
      <c r="L740" s="390">
        <v>41625</v>
      </c>
      <c r="M740" s="232"/>
      <c r="N740" s="235"/>
      <c r="O740" s="232"/>
      <c r="P740" s="232"/>
      <c r="Q740" s="232"/>
      <c r="R740" s="236"/>
      <c r="S740" s="235"/>
      <c r="T740" s="235"/>
      <c r="U740" s="232"/>
      <c r="V740" s="232"/>
      <c r="W740" s="232"/>
      <c r="X740" s="232"/>
      <c r="Y740" s="237"/>
      <c r="Z740" s="235"/>
      <c r="AA740" s="238"/>
      <c r="AB740" s="235"/>
      <c r="AC740" s="237"/>
      <c r="AD740" s="235"/>
      <c r="AE740" s="235"/>
      <c r="AF740" s="235"/>
      <c r="AG740" s="232"/>
      <c r="AH740" s="232"/>
      <c r="AI740" s="232">
        <v>145</v>
      </c>
      <c r="AJ740" s="194">
        <v>41785</v>
      </c>
      <c r="AK740" s="232">
        <v>37</v>
      </c>
      <c r="AL740" s="395">
        <v>41677</v>
      </c>
      <c r="AM740" s="232">
        <v>93</v>
      </c>
      <c r="AN740" s="391">
        <v>41733</v>
      </c>
      <c r="AO740" s="232"/>
      <c r="AP740" s="391" t="s">
        <v>8819</v>
      </c>
      <c r="AQ740" s="239"/>
      <c r="AR740" s="239"/>
      <c r="AS740" s="232"/>
      <c r="AT740" s="232"/>
      <c r="AU740" s="232"/>
      <c r="AV740" s="391" t="s">
        <v>8819</v>
      </c>
      <c r="AW740" s="232"/>
      <c r="AX740" s="391" t="s">
        <v>8819</v>
      </c>
      <c r="AY740" s="232"/>
      <c r="AZ740" s="232"/>
      <c r="BA740" s="232"/>
      <c r="BB740" s="232"/>
      <c r="BC740" s="232"/>
      <c r="BD740" s="232"/>
      <c r="BE740" s="232"/>
      <c r="BF740" s="232"/>
      <c r="BG740" s="232"/>
      <c r="BH740" s="232"/>
      <c r="BI740" s="232"/>
      <c r="BJ740" s="232"/>
      <c r="BK740" s="232"/>
      <c r="BL740" s="232"/>
      <c r="BM740" s="232"/>
      <c r="BN740" s="232"/>
      <c r="BO740" s="232"/>
      <c r="BP740" s="232"/>
      <c r="BQ740" s="232"/>
      <c r="BR740" s="232"/>
      <c r="BS740" s="232">
        <v>51.7</v>
      </c>
      <c r="BT740" s="232"/>
      <c r="BU740" s="232">
        <v>17.8</v>
      </c>
      <c r="BV740" s="232"/>
      <c r="BW740" s="240"/>
      <c r="BX740" s="232"/>
      <c r="BY740" s="232"/>
      <c r="BZ740" s="232"/>
      <c r="CA740" s="232"/>
      <c r="CB740" s="241"/>
      <c r="CC740" s="232"/>
      <c r="CD740" s="232"/>
      <c r="CE740" s="232">
        <v>5.5</v>
      </c>
      <c r="CF740" s="232"/>
      <c r="CG740" s="232">
        <v>0.1</v>
      </c>
      <c r="CH740" s="232"/>
      <c r="CI740" s="232"/>
      <c r="CJ740" s="232"/>
      <c r="CK740" t="s">
        <v>8820</v>
      </c>
      <c r="CL740" s="232">
        <v>1</v>
      </c>
      <c r="CM740" s="392">
        <v>41802</v>
      </c>
    </row>
    <row r="741" spans="1:91" ht="15">
      <c r="A741" s="364" t="s">
        <v>7732</v>
      </c>
      <c r="B741" t="s">
        <v>267</v>
      </c>
      <c r="C741" t="s">
        <v>8213</v>
      </c>
      <c r="D741">
        <v>127</v>
      </c>
      <c r="E741" s="113">
        <v>25</v>
      </c>
      <c r="F741" s="113">
        <v>8</v>
      </c>
      <c r="I741"/>
      <c r="K741" s="224">
        <v>6</v>
      </c>
      <c r="L741" s="390">
        <v>41625</v>
      </c>
      <c r="M741"/>
      <c r="N741" s="224"/>
      <c r="O741"/>
      <c r="P741"/>
      <c r="Q741"/>
      <c r="S741" s="224"/>
      <c r="T741" s="224"/>
      <c r="U741"/>
      <c r="V741"/>
      <c r="W741"/>
      <c r="X741"/>
      <c r="Y741" s="225"/>
      <c r="Z741" s="224"/>
      <c r="AA741" s="226"/>
      <c r="AB741" s="224"/>
      <c r="AC741" s="225"/>
      <c r="AD741" s="224"/>
      <c r="AE741" s="224"/>
      <c r="AF741" s="224"/>
      <c r="AG741"/>
      <c r="AH741"/>
      <c r="AI741">
        <v>135</v>
      </c>
      <c r="AJ741" s="194">
        <v>41785</v>
      </c>
      <c r="AK741">
        <v>37</v>
      </c>
      <c r="AL741" s="395">
        <v>41677</v>
      </c>
      <c r="AM741">
        <v>90</v>
      </c>
      <c r="AN741" s="391">
        <v>41730</v>
      </c>
      <c r="AO741"/>
      <c r="AP741" s="391" t="s">
        <v>8819</v>
      </c>
      <c r="AQ741" s="227"/>
      <c r="AR741" s="227"/>
      <c r="AS741"/>
      <c r="AT741"/>
      <c r="AU741"/>
      <c r="AV741" s="391" t="s">
        <v>8819</v>
      </c>
      <c r="AW741"/>
      <c r="AX741" s="391" t="s">
        <v>8819</v>
      </c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>
        <v>50.9</v>
      </c>
      <c r="BT741"/>
      <c r="BU741">
        <v>17.600000000000001</v>
      </c>
      <c r="BV741"/>
      <c r="BW741"/>
      <c r="BX741" s="228"/>
      <c r="BY741"/>
      <c r="BZ741"/>
      <c r="CA741"/>
      <c r="CC741"/>
      <c r="CD741"/>
      <c r="CE741">
        <v>6.2</v>
      </c>
      <c r="CF741"/>
      <c r="CG741">
        <v>0</v>
      </c>
      <c r="CH741"/>
      <c r="CI741"/>
      <c r="CJ741"/>
      <c r="CK741" t="s">
        <v>8820</v>
      </c>
      <c r="CL741">
        <v>1</v>
      </c>
      <c r="CM741" s="392">
        <v>41802</v>
      </c>
    </row>
    <row r="742" spans="1:91" ht="15">
      <c r="A742" s="364" t="s">
        <v>7733</v>
      </c>
      <c r="B742" t="s">
        <v>267</v>
      </c>
      <c r="C742" t="s">
        <v>8213</v>
      </c>
      <c r="D742">
        <v>128</v>
      </c>
      <c r="E742" s="113">
        <v>31</v>
      </c>
      <c r="F742" s="113">
        <v>10</v>
      </c>
      <c r="I742"/>
      <c r="K742" s="224">
        <v>7</v>
      </c>
      <c r="L742" s="390">
        <v>41625</v>
      </c>
      <c r="M742"/>
      <c r="N742" s="224"/>
      <c r="O742"/>
      <c r="P742"/>
      <c r="Q742"/>
      <c r="S742" s="224"/>
      <c r="T742" s="224"/>
      <c r="U742"/>
      <c r="V742"/>
      <c r="W742"/>
      <c r="X742"/>
      <c r="Y742" s="225"/>
      <c r="Z742" s="224"/>
      <c r="AA742" s="226"/>
      <c r="AB742" s="224"/>
      <c r="AC742" s="225"/>
      <c r="AD742" s="224"/>
      <c r="AE742" s="224"/>
      <c r="AF742" s="224"/>
      <c r="AG742"/>
      <c r="AH742"/>
      <c r="AI742">
        <v>130</v>
      </c>
      <c r="AJ742" s="194">
        <v>41785</v>
      </c>
      <c r="AK742">
        <v>26</v>
      </c>
      <c r="AL742" s="395">
        <v>41666</v>
      </c>
      <c r="AM742">
        <v>93</v>
      </c>
      <c r="AN742" s="391">
        <v>41733</v>
      </c>
      <c r="AO742"/>
      <c r="AP742" s="391">
        <v>41730</v>
      </c>
      <c r="AQ742" s="227"/>
      <c r="AR742" s="227"/>
      <c r="AS742"/>
      <c r="AT742"/>
      <c r="AU742"/>
      <c r="AV742" s="391" t="s">
        <v>8819</v>
      </c>
      <c r="AW742"/>
      <c r="AX742" s="391" t="s">
        <v>8819</v>
      </c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>
        <v>51.9</v>
      </c>
      <c r="BT742"/>
      <c r="BU742">
        <v>16.600000000000001</v>
      </c>
      <c r="BV742"/>
      <c r="BW742"/>
      <c r="BX742" s="228"/>
      <c r="BY742"/>
      <c r="BZ742"/>
      <c r="CA742"/>
      <c r="CC742"/>
      <c r="CD742"/>
      <c r="CE742">
        <v>8</v>
      </c>
      <c r="CF742"/>
      <c r="CG742">
        <v>0.5</v>
      </c>
      <c r="CH742"/>
      <c r="CI742"/>
      <c r="CJ742"/>
      <c r="CK742" t="s">
        <v>8820</v>
      </c>
      <c r="CL742">
        <v>8.1999999999999993</v>
      </c>
      <c r="CM742" s="392">
        <v>41802</v>
      </c>
    </row>
    <row r="743" spans="1:91" ht="15">
      <c r="A743" s="364" t="s">
        <v>7734</v>
      </c>
      <c r="B743" t="s">
        <v>267</v>
      </c>
      <c r="C743" t="s">
        <v>8213</v>
      </c>
      <c r="D743">
        <v>129</v>
      </c>
      <c r="E743" s="113">
        <v>2</v>
      </c>
      <c r="F743" s="113">
        <v>8</v>
      </c>
      <c r="G743" s="233"/>
      <c r="H743" s="233"/>
      <c r="I743" s="232"/>
      <c r="J743" s="234"/>
      <c r="K743" s="235">
        <v>6</v>
      </c>
      <c r="L743" s="390">
        <v>41625</v>
      </c>
      <c r="M743" s="232"/>
      <c r="N743" s="235"/>
      <c r="O743" s="232"/>
      <c r="P743" s="232"/>
      <c r="Q743" s="232"/>
      <c r="R743" s="236"/>
      <c r="S743" s="235"/>
      <c r="T743" s="235"/>
      <c r="U743" s="232"/>
      <c r="V743" s="232"/>
      <c r="W743" s="232"/>
      <c r="X743" s="232"/>
      <c r="Y743" s="237"/>
      <c r="Z743" s="235"/>
      <c r="AA743" s="238"/>
      <c r="AB743" s="235"/>
      <c r="AC743" s="237"/>
      <c r="AD743" s="235"/>
      <c r="AE743" s="235"/>
      <c r="AF743" s="235"/>
      <c r="AG743" s="232"/>
      <c r="AH743" s="232"/>
      <c r="AI743" s="232">
        <v>135</v>
      </c>
      <c r="AJ743" s="194">
        <v>41785</v>
      </c>
      <c r="AK743" s="232">
        <v>37</v>
      </c>
      <c r="AL743" s="395">
        <v>41677</v>
      </c>
      <c r="AM743" s="232">
        <v>90</v>
      </c>
      <c r="AN743" s="391">
        <v>41730</v>
      </c>
      <c r="AO743" s="232"/>
      <c r="AP743" s="391" t="s">
        <v>8819</v>
      </c>
      <c r="AQ743" s="239"/>
      <c r="AR743" s="239"/>
      <c r="AS743" s="232"/>
      <c r="AT743" s="232"/>
      <c r="AU743" s="232"/>
      <c r="AV743" s="391" t="s">
        <v>8819</v>
      </c>
      <c r="AW743" s="232"/>
      <c r="AX743" s="391" t="s">
        <v>8819</v>
      </c>
      <c r="AY743" s="232"/>
      <c r="AZ743" s="232"/>
      <c r="BA743" s="232"/>
      <c r="BB743" s="232"/>
      <c r="BC743" s="232"/>
      <c r="BD743" s="232"/>
      <c r="BE743" s="232"/>
      <c r="BF743" s="232"/>
      <c r="BG743" s="232"/>
      <c r="BH743" s="232"/>
      <c r="BI743" s="232"/>
      <c r="BJ743" s="232"/>
      <c r="BK743" s="232"/>
      <c r="BL743" s="232"/>
      <c r="BM743" s="232"/>
      <c r="BN743" s="232"/>
      <c r="BO743" s="232"/>
      <c r="BP743" s="232"/>
      <c r="BQ743" s="232"/>
      <c r="BR743" s="232"/>
      <c r="BS743" s="232">
        <v>50.9</v>
      </c>
      <c r="BT743" s="232"/>
      <c r="BU743" s="232">
        <v>17.3</v>
      </c>
      <c r="BV743" s="232"/>
      <c r="BW743" s="240"/>
      <c r="BX743" s="232"/>
      <c r="BY743" s="232"/>
      <c r="BZ743" s="232"/>
      <c r="CA743" s="232"/>
      <c r="CB743" s="241"/>
      <c r="CC743" s="232"/>
      <c r="CD743" s="232"/>
      <c r="CE743" s="232">
        <v>5.0999999999999996</v>
      </c>
      <c r="CF743" s="232"/>
      <c r="CG743" s="232">
        <v>0.1</v>
      </c>
      <c r="CH743" s="232"/>
      <c r="CI743" s="232"/>
      <c r="CJ743" s="232"/>
      <c r="CK743" t="s">
        <v>8820</v>
      </c>
      <c r="CL743" s="232">
        <v>2.6</v>
      </c>
      <c r="CM743" s="392">
        <v>41802</v>
      </c>
    </row>
    <row r="744" spans="1:91" ht="15">
      <c r="A744" s="364" t="s">
        <v>7735</v>
      </c>
      <c r="B744" t="s">
        <v>267</v>
      </c>
      <c r="C744" t="s">
        <v>8213</v>
      </c>
      <c r="D744">
        <v>130</v>
      </c>
      <c r="E744" s="113">
        <v>15</v>
      </c>
      <c r="F744" s="113">
        <v>9</v>
      </c>
      <c r="I744"/>
      <c r="K744" s="224">
        <v>6</v>
      </c>
      <c r="L744" s="390">
        <v>41625</v>
      </c>
      <c r="M744"/>
      <c r="N744" s="224"/>
      <c r="O744"/>
      <c r="P744"/>
      <c r="Q744"/>
      <c r="S744" s="224"/>
      <c r="T744" s="224"/>
      <c r="U744"/>
      <c r="V744"/>
      <c r="W744"/>
      <c r="X744"/>
      <c r="Y744" s="225"/>
      <c r="Z744" s="224"/>
      <c r="AA744" s="226"/>
      <c r="AB744" s="224"/>
      <c r="AC744" s="225"/>
      <c r="AD744" s="224"/>
      <c r="AE744" s="224"/>
      <c r="AF744" s="224"/>
      <c r="AG744"/>
      <c r="AH744"/>
      <c r="AI744">
        <v>140</v>
      </c>
      <c r="AJ744" s="194">
        <v>41785</v>
      </c>
      <c r="AK744">
        <v>37</v>
      </c>
      <c r="AL744" s="395">
        <v>41677</v>
      </c>
      <c r="AM744">
        <v>93</v>
      </c>
      <c r="AN744" s="391">
        <v>41733</v>
      </c>
      <c r="AO744"/>
      <c r="AP744" s="391" t="s">
        <v>8819</v>
      </c>
      <c r="AQ744" s="227"/>
      <c r="AR744" s="227"/>
      <c r="AS744"/>
      <c r="AT744"/>
      <c r="AU744"/>
      <c r="AV744" s="391">
        <v>41737</v>
      </c>
      <c r="AW744"/>
      <c r="AX744" s="391" t="s">
        <v>8819</v>
      </c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>
        <v>51</v>
      </c>
      <c r="BT744"/>
      <c r="BU744">
        <v>17.5</v>
      </c>
      <c r="BV744"/>
      <c r="BW744" s="229"/>
      <c r="BX744"/>
      <c r="BY744"/>
      <c r="BZ744"/>
      <c r="CA744"/>
      <c r="CC744"/>
      <c r="CD744"/>
      <c r="CE744">
        <v>8.6</v>
      </c>
      <c r="CF744"/>
      <c r="CG744">
        <v>0.2</v>
      </c>
      <c r="CH744"/>
      <c r="CI744"/>
      <c r="CJ744"/>
      <c r="CK744" t="s">
        <v>8820</v>
      </c>
      <c r="CL744">
        <v>3</v>
      </c>
      <c r="CM744" s="392">
        <v>41802</v>
      </c>
    </row>
    <row r="745" spans="1:91" ht="15">
      <c r="A745" s="364" t="s">
        <v>7736</v>
      </c>
      <c r="B745" t="s">
        <v>267</v>
      </c>
      <c r="C745" t="s">
        <v>8213</v>
      </c>
      <c r="D745">
        <v>131</v>
      </c>
      <c r="E745" s="113">
        <v>8</v>
      </c>
      <c r="F745" s="113">
        <v>11</v>
      </c>
      <c r="I745"/>
      <c r="K745" s="224">
        <v>8</v>
      </c>
      <c r="L745" s="390">
        <v>41625</v>
      </c>
      <c r="M745"/>
      <c r="N745" s="224"/>
      <c r="O745"/>
      <c r="P745"/>
      <c r="Q745"/>
      <c r="S745" s="224"/>
      <c r="T745" s="224"/>
      <c r="U745"/>
      <c r="V745"/>
      <c r="W745"/>
      <c r="X745"/>
      <c r="Y745" s="225"/>
      <c r="Z745" s="224"/>
      <c r="AA745" s="226"/>
      <c r="AB745" s="224"/>
      <c r="AC745" s="225"/>
      <c r="AD745" s="224"/>
      <c r="AE745" s="224"/>
      <c r="AF745" s="224"/>
      <c r="AG745"/>
      <c r="AH745"/>
      <c r="AI745">
        <v>135</v>
      </c>
      <c r="AJ745" s="194">
        <v>41785</v>
      </c>
      <c r="AK745">
        <v>26</v>
      </c>
      <c r="AL745" s="395">
        <v>41666</v>
      </c>
      <c r="AM745">
        <v>77</v>
      </c>
      <c r="AN745" s="391">
        <v>41717</v>
      </c>
      <c r="AO745"/>
      <c r="AP745" s="391" t="s">
        <v>8819</v>
      </c>
      <c r="AQ745" s="227"/>
      <c r="AR745" s="227"/>
      <c r="AS745"/>
      <c r="AT745"/>
      <c r="AU745"/>
      <c r="AV745" s="391">
        <v>41725</v>
      </c>
      <c r="AW745">
        <v>100</v>
      </c>
      <c r="AX745" s="391">
        <v>41740</v>
      </c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>
        <v>53.3</v>
      </c>
      <c r="BT745"/>
      <c r="BU745">
        <v>17.399999999999999</v>
      </c>
      <c r="BV745"/>
      <c r="BW745" s="229"/>
      <c r="BX745"/>
      <c r="BY745"/>
      <c r="BZ745"/>
      <c r="CA745"/>
      <c r="CC745"/>
      <c r="CD745"/>
      <c r="CE745">
        <v>5.7</v>
      </c>
      <c r="CF745"/>
      <c r="CG745">
        <v>0.5</v>
      </c>
      <c r="CH745"/>
      <c r="CI745"/>
      <c r="CJ745"/>
      <c r="CK745" t="s">
        <v>8820</v>
      </c>
      <c r="CL745">
        <v>1.8</v>
      </c>
      <c r="CM745" s="392">
        <v>41802</v>
      </c>
    </row>
    <row r="746" spans="1:91" ht="15">
      <c r="A746" s="364" t="s">
        <v>7737</v>
      </c>
      <c r="B746" t="s">
        <v>267</v>
      </c>
      <c r="C746" t="s">
        <v>8213</v>
      </c>
      <c r="D746">
        <v>132</v>
      </c>
      <c r="E746" s="113">
        <v>9</v>
      </c>
      <c r="F746" s="113">
        <v>12</v>
      </c>
      <c r="I746"/>
      <c r="K746" s="224">
        <v>8</v>
      </c>
      <c r="L746" s="390">
        <v>41625</v>
      </c>
      <c r="M746"/>
      <c r="N746" s="224"/>
      <c r="O746"/>
      <c r="P746"/>
      <c r="Q746"/>
      <c r="S746" s="224"/>
      <c r="T746" s="224"/>
      <c r="U746"/>
      <c r="V746"/>
      <c r="W746"/>
      <c r="X746"/>
      <c r="Y746" s="225"/>
      <c r="Z746" s="224"/>
      <c r="AA746" s="226"/>
      <c r="AB746" s="224"/>
      <c r="AC746" s="225"/>
      <c r="AD746" s="224"/>
      <c r="AE746" s="224"/>
      <c r="AF746" s="224"/>
      <c r="AG746"/>
      <c r="AH746"/>
      <c r="AI746">
        <v>145</v>
      </c>
      <c r="AJ746" s="194">
        <v>41785</v>
      </c>
      <c r="AK746">
        <v>37</v>
      </c>
      <c r="AL746" s="395">
        <v>41677</v>
      </c>
      <c r="AM746">
        <v>93</v>
      </c>
      <c r="AN746" s="391">
        <v>41733</v>
      </c>
      <c r="AO746"/>
      <c r="AP746" s="391">
        <v>41737</v>
      </c>
      <c r="AQ746" s="227"/>
      <c r="AR746" s="227"/>
      <c r="AS746"/>
      <c r="AT746"/>
      <c r="AU746"/>
      <c r="AV746" s="391" t="s">
        <v>8819</v>
      </c>
      <c r="AW746"/>
      <c r="AX746" s="391" t="s">
        <v>8819</v>
      </c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>
        <v>55.3</v>
      </c>
      <c r="BT746"/>
      <c r="BU746">
        <v>14.8</v>
      </c>
      <c r="BV746"/>
      <c r="BW746" s="229"/>
      <c r="BX746"/>
      <c r="BY746"/>
      <c r="BZ746"/>
      <c r="CA746"/>
      <c r="CC746"/>
      <c r="CD746"/>
      <c r="CE746">
        <v>5.6</v>
      </c>
      <c r="CF746"/>
      <c r="CG746">
        <v>0.1</v>
      </c>
      <c r="CH746"/>
      <c r="CI746"/>
      <c r="CJ746"/>
      <c r="CK746" t="s">
        <v>8820</v>
      </c>
      <c r="CL746">
        <v>1</v>
      </c>
      <c r="CM746" s="392">
        <v>41802</v>
      </c>
    </row>
    <row r="747" spans="1:91" ht="15">
      <c r="A747" s="364" t="s">
        <v>7738</v>
      </c>
      <c r="B747" t="s">
        <v>267</v>
      </c>
      <c r="C747" t="s">
        <v>8213</v>
      </c>
      <c r="D747">
        <v>133</v>
      </c>
      <c r="E747" s="113">
        <v>23</v>
      </c>
      <c r="F747" s="113">
        <v>10</v>
      </c>
      <c r="I747"/>
      <c r="K747" s="224">
        <v>7</v>
      </c>
      <c r="L747" s="390">
        <v>41625</v>
      </c>
      <c r="M747"/>
      <c r="N747" s="224"/>
      <c r="O747"/>
      <c r="P747"/>
      <c r="Q747"/>
      <c r="S747" s="224"/>
      <c r="T747" s="224"/>
      <c r="U747"/>
      <c r="V747"/>
      <c r="W747"/>
      <c r="X747"/>
      <c r="Y747" s="225"/>
      <c r="Z747" s="224"/>
      <c r="AA747" s="226"/>
      <c r="AB747" s="224"/>
      <c r="AC747" s="225"/>
      <c r="AD747" s="224"/>
      <c r="AE747" s="224"/>
      <c r="AF747" s="224"/>
      <c r="AG747"/>
      <c r="AH747"/>
      <c r="AI747">
        <v>145</v>
      </c>
      <c r="AJ747" s="194">
        <v>41785</v>
      </c>
      <c r="AK747">
        <v>37</v>
      </c>
      <c r="AL747" s="395">
        <v>41677</v>
      </c>
      <c r="AM747">
        <v>98</v>
      </c>
      <c r="AN747" s="391">
        <v>41738</v>
      </c>
      <c r="AO747"/>
      <c r="AP747" s="391">
        <v>41740</v>
      </c>
      <c r="AQ747" s="227"/>
      <c r="AR747" s="227"/>
      <c r="AS747"/>
      <c r="AT747"/>
      <c r="AU747"/>
      <c r="AV747" s="391" t="s">
        <v>8819</v>
      </c>
      <c r="AW747"/>
      <c r="AX747" s="391" t="s">
        <v>8819</v>
      </c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>
        <v>52.7</v>
      </c>
      <c r="BT747"/>
      <c r="BU747">
        <v>15</v>
      </c>
      <c r="BV747"/>
      <c r="BW747"/>
      <c r="BX747" s="228"/>
      <c r="BY747"/>
      <c r="BZ747"/>
      <c r="CA747"/>
      <c r="CC747"/>
      <c r="CD747"/>
      <c r="CE747">
        <v>7.4</v>
      </c>
      <c r="CF747"/>
      <c r="CG747">
        <v>0.2</v>
      </c>
      <c r="CH747"/>
      <c r="CI747"/>
      <c r="CJ747"/>
      <c r="CK747" t="s">
        <v>8820</v>
      </c>
      <c r="CL747">
        <v>7</v>
      </c>
      <c r="CM747" s="392">
        <v>41802</v>
      </c>
    </row>
    <row r="748" spans="1:91" ht="15">
      <c r="A748" s="364" t="s">
        <v>7739</v>
      </c>
      <c r="B748" t="s">
        <v>267</v>
      </c>
      <c r="C748" t="s">
        <v>8213</v>
      </c>
      <c r="D748">
        <v>134</v>
      </c>
      <c r="E748" s="113">
        <v>25</v>
      </c>
      <c r="F748" s="113">
        <v>11</v>
      </c>
      <c r="G748" s="233"/>
      <c r="H748" s="233"/>
      <c r="I748" s="232"/>
      <c r="J748" s="234"/>
      <c r="K748" s="235">
        <v>7</v>
      </c>
      <c r="L748" s="390">
        <v>41625</v>
      </c>
      <c r="M748" s="232"/>
      <c r="N748" s="235"/>
      <c r="O748" s="232"/>
      <c r="P748" s="232"/>
      <c r="Q748" s="232"/>
      <c r="R748" s="236"/>
      <c r="S748" s="235"/>
      <c r="T748" s="235"/>
      <c r="U748" s="232"/>
      <c r="V748" s="232"/>
      <c r="W748" s="232"/>
      <c r="X748" s="232"/>
      <c r="Y748" s="237"/>
      <c r="Z748" s="235"/>
      <c r="AA748" s="238"/>
      <c r="AB748" s="235"/>
      <c r="AC748" s="237"/>
      <c r="AD748" s="235"/>
      <c r="AE748" s="235"/>
      <c r="AF748" s="235"/>
      <c r="AG748" s="232"/>
      <c r="AH748" s="232"/>
      <c r="AI748" s="232">
        <v>150</v>
      </c>
      <c r="AJ748" s="194">
        <v>41785</v>
      </c>
      <c r="AK748" s="232">
        <v>37</v>
      </c>
      <c r="AL748" s="395">
        <v>41677</v>
      </c>
      <c r="AM748" s="232">
        <v>97</v>
      </c>
      <c r="AN748" s="391">
        <v>41737</v>
      </c>
      <c r="AO748" s="232"/>
      <c r="AP748" s="391">
        <v>41740</v>
      </c>
      <c r="AQ748" s="239"/>
      <c r="AR748" s="239"/>
      <c r="AS748" s="232"/>
      <c r="AT748" s="232"/>
      <c r="AU748" s="232"/>
      <c r="AV748" s="391" t="s">
        <v>8819</v>
      </c>
      <c r="AW748" s="232"/>
      <c r="AX748" s="391" t="s">
        <v>8819</v>
      </c>
      <c r="AY748" s="232"/>
      <c r="AZ748" s="232"/>
      <c r="BA748" s="232"/>
      <c r="BB748" s="232"/>
      <c r="BC748" s="232"/>
      <c r="BD748" s="232"/>
      <c r="BE748" s="232"/>
      <c r="BF748" s="232"/>
      <c r="BG748" s="232"/>
      <c r="BH748" s="232"/>
      <c r="BI748" s="232"/>
      <c r="BJ748" s="232"/>
      <c r="BK748" s="232"/>
      <c r="BL748" s="232"/>
      <c r="BM748" s="232"/>
      <c r="BN748" s="232"/>
      <c r="BO748" s="232"/>
      <c r="BP748" s="232"/>
      <c r="BQ748" s="232"/>
      <c r="BR748" s="232"/>
      <c r="BS748" s="232">
        <v>53.9</v>
      </c>
      <c r="BT748" s="232"/>
      <c r="BU748" s="232">
        <v>16</v>
      </c>
      <c r="BV748" s="232"/>
      <c r="BW748" s="232"/>
      <c r="BX748" s="243"/>
      <c r="BY748" s="232"/>
      <c r="BZ748" s="232"/>
      <c r="CA748" s="232"/>
      <c r="CB748" s="241"/>
      <c r="CC748" s="232"/>
      <c r="CD748" s="232"/>
      <c r="CE748" s="232">
        <v>6.1</v>
      </c>
      <c r="CF748" s="232"/>
      <c r="CG748" s="232">
        <v>0.6</v>
      </c>
      <c r="CH748" s="232"/>
      <c r="CI748" s="232"/>
      <c r="CJ748" s="232"/>
      <c r="CK748" t="s">
        <v>8820</v>
      </c>
      <c r="CL748" s="232">
        <v>1</v>
      </c>
      <c r="CM748" s="392">
        <v>41802</v>
      </c>
    </row>
    <row r="749" spans="1:91" ht="15">
      <c r="A749" s="364" t="s">
        <v>7740</v>
      </c>
      <c r="B749" t="s">
        <v>267</v>
      </c>
      <c r="C749" t="s">
        <v>8213</v>
      </c>
      <c r="D749">
        <v>135</v>
      </c>
      <c r="E749" s="113">
        <v>32</v>
      </c>
      <c r="F749" s="113">
        <v>11</v>
      </c>
      <c r="I749"/>
      <c r="K749" s="224">
        <v>8</v>
      </c>
      <c r="L749" s="390">
        <v>41625</v>
      </c>
      <c r="M749"/>
      <c r="N749" s="224"/>
      <c r="O749"/>
      <c r="P749"/>
      <c r="Q749"/>
      <c r="S749" s="224"/>
      <c r="T749" s="224"/>
      <c r="U749"/>
      <c r="V749"/>
      <c r="W749"/>
      <c r="X749"/>
      <c r="Y749" s="225"/>
      <c r="Z749" s="224"/>
      <c r="AA749" s="226"/>
      <c r="AB749" s="224"/>
      <c r="AC749" s="225"/>
      <c r="AD749" s="224"/>
      <c r="AE749" s="224"/>
      <c r="AF749" s="224"/>
      <c r="AG749"/>
      <c r="AH749"/>
      <c r="AI749">
        <v>155</v>
      </c>
      <c r="AJ749" s="194">
        <v>41785</v>
      </c>
      <c r="AK749">
        <v>26</v>
      </c>
      <c r="AL749" s="395">
        <v>41666</v>
      </c>
      <c r="AM749">
        <v>90</v>
      </c>
      <c r="AN749" s="391">
        <v>41730</v>
      </c>
      <c r="AO749"/>
      <c r="AP749" s="391" t="s">
        <v>8819</v>
      </c>
      <c r="AQ749" s="227"/>
      <c r="AR749" s="227"/>
      <c r="AS749"/>
      <c r="AT749"/>
      <c r="AU749"/>
      <c r="AV749" s="391" t="s">
        <v>8819</v>
      </c>
      <c r="AW749"/>
      <c r="AX749" s="391" t="s">
        <v>8819</v>
      </c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>
        <v>51.9</v>
      </c>
      <c r="BT749"/>
      <c r="BU749">
        <v>17</v>
      </c>
      <c r="BV749"/>
      <c r="BW749" s="229"/>
      <c r="BX749"/>
      <c r="BY749"/>
      <c r="BZ749"/>
      <c r="CA749"/>
      <c r="CC749"/>
      <c r="CD749"/>
      <c r="CE749">
        <v>7.2</v>
      </c>
      <c r="CF749"/>
      <c r="CG749">
        <v>0.7</v>
      </c>
      <c r="CH749"/>
      <c r="CI749"/>
      <c r="CJ749"/>
      <c r="CK749" t="s">
        <v>8820</v>
      </c>
      <c r="CL749">
        <v>5</v>
      </c>
      <c r="CM749" s="392">
        <v>41802</v>
      </c>
    </row>
    <row r="750" spans="1:91" ht="15">
      <c r="A750" s="364" t="s">
        <v>7742</v>
      </c>
      <c r="B750" t="s">
        <v>267</v>
      </c>
      <c r="C750" t="s">
        <v>8213</v>
      </c>
      <c r="D750" s="232">
        <v>137</v>
      </c>
      <c r="E750" s="113">
        <v>18</v>
      </c>
      <c r="F750" s="113">
        <v>8</v>
      </c>
      <c r="I750"/>
      <c r="K750" s="224">
        <v>6</v>
      </c>
      <c r="L750" s="390">
        <v>41625</v>
      </c>
      <c r="M750"/>
      <c r="N750" s="224"/>
      <c r="O750"/>
      <c r="P750"/>
      <c r="Q750"/>
      <c r="S750" s="224"/>
      <c r="T750" s="224"/>
      <c r="U750"/>
      <c r="V750"/>
      <c r="W750"/>
      <c r="X750"/>
      <c r="Y750" s="225"/>
      <c r="Z750" s="224"/>
      <c r="AA750" s="226"/>
      <c r="AB750" s="224"/>
      <c r="AC750" s="225"/>
      <c r="AD750" s="224"/>
      <c r="AE750" s="224"/>
      <c r="AF750" s="224"/>
      <c r="AG750"/>
      <c r="AH750"/>
      <c r="AI750">
        <v>140</v>
      </c>
      <c r="AJ750" s="194">
        <v>41785</v>
      </c>
      <c r="AK750">
        <v>37</v>
      </c>
      <c r="AL750" s="395">
        <v>41677</v>
      </c>
      <c r="AM750">
        <v>90</v>
      </c>
      <c r="AN750" s="391">
        <v>41730</v>
      </c>
      <c r="AO750"/>
      <c r="AP750" s="391" t="s">
        <v>8819</v>
      </c>
      <c r="AQ750" s="227"/>
      <c r="AR750" s="227"/>
      <c r="AS750"/>
      <c r="AT750"/>
      <c r="AU750"/>
      <c r="AV750" s="391" t="s">
        <v>8819</v>
      </c>
      <c r="AW750"/>
      <c r="AX750" s="391" t="s">
        <v>8819</v>
      </c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>
        <v>54.7</v>
      </c>
      <c r="BT750"/>
      <c r="BU750">
        <v>16.2</v>
      </c>
      <c r="BV750"/>
      <c r="BW750" s="229"/>
      <c r="BX750"/>
      <c r="BY750"/>
      <c r="BZ750"/>
      <c r="CA750"/>
      <c r="CC750"/>
      <c r="CD750"/>
      <c r="CE750">
        <v>9.4</v>
      </c>
      <c r="CF750"/>
      <c r="CG750">
        <v>0.5</v>
      </c>
      <c r="CH750"/>
      <c r="CI750"/>
      <c r="CJ750"/>
      <c r="CK750" t="s">
        <v>8820</v>
      </c>
      <c r="CL750">
        <v>9</v>
      </c>
      <c r="CM750" s="392">
        <v>41802</v>
      </c>
    </row>
    <row r="751" spans="1:91" ht="15">
      <c r="A751" s="364" t="s">
        <v>7743</v>
      </c>
      <c r="B751" t="s">
        <v>267</v>
      </c>
      <c r="C751" t="s">
        <v>8213</v>
      </c>
      <c r="D751">
        <v>138</v>
      </c>
      <c r="E751" s="113">
        <v>16</v>
      </c>
      <c r="F751" s="113">
        <v>10</v>
      </c>
      <c r="G751" s="233"/>
      <c r="H751" s="233"/>
      <c r="I751" s="232"/>
      <c r="J751" s="234"/>
      <c r="K751" s="235">
        <v>7</v>
      </c>
      <c r="L751" s="390">
        <v>41625</v>
      </c>
      <c r="M751" s="232"/>
      <c r="N751" s="235"/>
      <c r="O751" s="232"/>
      <c r="P751" s="232"/>
      <c r="Q751" s="232"/>
      <c r="R751" s="236"/>
      <c r="S751" s="235"/>
      <c r="T751" s="235"/>
      <c r="U751" s="232"/>
      <c r="V751" s="232"/>
      <c r="W751" s="232"/>
      <c r="X751" s="232"/>
      <c r="Y751" s="237"/>
      <c r="Z751" s="235"/>
      <c r="AA751" s="238"/>
      <c r="AB751" s="235"/>
      <c r="AC751" s="237"/>
      <c r="AD751" s="235"/>
      <c r="AE751" s="235"/>
      <c r="AF751" s="235"/>
      <c r="AG751" s="232"/>
      <c r="AH751" s="232"/>
      <c r="AI751" s="232">
        <v>150</v>
      </c>
      <c r="AJ751" s="194">
        <v>41785</v>
      </c>
      <c r="AK751" s="232">
        <v>37</v>
      </c>
      <c r="AL751" s="395">
        <v>41677</v>
      </c>
      <c r="AM751" s="232">
        <v>90</v>
      </c>
      <c r="AN751" s="391">
        <v>41730</v>
      </c>
      <c r="AO751" s="232"/>
      <c r="AP751" s="391" t="s">
        <v>8819</v>
      </c>
      <c r="AQ751" s="239"/>
      <c r="AR751" s="239"/>
      <c r="AS751" s="232"/>
      <c r="AT751" s="232"/>
      <c r="AU751" s="232"/>
      <c r="AV751" s="391" t="s">
        <v>8819</v>
      </c>
      <c r="AW751" s="232"/>
      <c r="AX751" s="391" t="s">
        <v>8819</v>
      </c>
      <c r="AY751" s="232"/>
      <c r="AZ751" s="232"/>
      <c r="BA751" s="232"/>
      <c r="BB751" s="232"/>
      <c r="BC751" s="232"/>
      <c r="BD751" s="232"/>
      <c r="BE751" s="232"/>
      <c r="BF751" s="232"/>
      <c r="BG751" s="232"/>
      <c r="BH751" s="232"/>
      <c r="BI751" s="232"/>
      <c r="BJ751" s="232"/>
      <c r="BK751" s="232"/>
      <c r="BL751" s="232"/>
      <c r="BM751" s="232"/>
      <c r="BN751" s="232"/>
      <c r="BO751" s="232"/>
      <c r="BP751" s="232"/>
      <c r="BQ751" s="232"/>
      <c r="BR751" s="232"/>
      <c r="BS751" s="232">
        <v>53.7</v>
      </c>
      <c r="BT751" s="232"/>
      <c r="BU751" s="232">
        <v>14.8</v>
      </c>
      <c r="BV751" s="232"/>
      <c r="BW751" s="240"/>
      <c r="BX751" s="232"/>
      <c r="BY751" s="232"/>
      <c r="BZ751" s="232"/>
      <c r="CA751" s="232"/>
      <c r="CB751" s="241"/>
      <c r="CC751" s="232"/>
      <c r="CD751" s="232"/>
      <c r="CE751" s="232">
        <v>8.4</v>
      </c>
      <c r="CF751" s="232"/>
      <c r="CG751" s="232">
        <v>0.2</v>
      </c>
      <c r="CH751" s="232"/>
      <c r="CI751" s="232"/>
      <c r="CJ751" s="232"/>
      <c r="CK751" t="s">
        <v>8820</v>
      </c>
      <c r="CL751" s="232">
        <v>1</v>
      </c>
      <c r="CM751" s="392">
        <v>41802</v>
      </c>
    </row>
    <row r="752" spans="1:91" ht="15">
      <c r="A752" s="364" t="s">
        <v>7744</v>
      </c>
      <c r="B752" t="s">
        <v>267</v>
      </c>
      <c r="C752" t="s">
        <v>8213</v>
      </c>
      <c r="D752">
        <v>139</v>
      </c>
      <c r="E752" s="113">
        <v>29</v>
      </c>
      <c r="F752" s="113">
        <v>7</v>
      </c>
      <c r="I752"/>
      <c r="K752" s="224">
        <v>8</v>
      </c>
      <c r="L752" s="390">
        <v>41625</v>
      </c>
      <c r="M752"/>
      <c r="N752" s="224"/>
      <c r="O752"/>
      <c r="P752"/>
      <c r="Q752"/>
      <c r="S752" s="224"/>
      <c r="T752" s="224"/>
      <c r="U752"/>
      <c r="V752"/>
      <c r="W752"/>
      <c r="X752"/>
      <c r="Y752" s="225"/>
      <c r="Z752" s="224"/>
      <c r="AA752" s="226"/>
      <c r="AB752" s="224"/>
      <c r="AC752" s="225"/>
      <c r="AD752" s="224"/>
      <c r="AE752" s="224"/>
      <c r="AF752" s="224"/>
      <c r="AG752"/>
      <c r="AH752"/>
      <c r="AI752">
        <v>170</v>
      </c>
      <c r="AJ752" s="194">
        <v>41785</v>
      </c>
      <c r="AK752">
        <v>37</v>
      </c>
      <c r="AL752" s="395">
        <v>41677</v>
      </c>
      <c r="AM752">
        <v>93</v>
      </c>
      <c r="AN752" s="391">
        <v>41733</v>
      </c>
      <c r="AO752"/>
      <c r="AP752" s="391">
        <v>41737</v>
      </c>
      <c r="AQ752" s="227"/>
      <c r="AR752" s="227"/>
      <c r="AS752"/>
      <c r="AT752"/>
      <c r="AU752"/>
      <c r="AV752" s="391" t="s">
        <v>8819</v>
      </c>
      <c r="AW752"/>
      <c r="AX752" s="391" t="s">
        <v>8819</v>
      </c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>
        <v>52.6</v>
      </c>
      <c r="BT752"/>
      <c r="BU752">
        <v>17.600000000000001</v>
      </c>
      <c r="BV752"/>
      <c r="BW752"/>
      <c r="BX752" s="228"/>
      <c r="BY752"/>
      <c r="BZ752"/>
      <c r="CA752"/>
      <c r="CC752"/>
      <c r="CD752"/>
      <c r="CE752">
        <v>6</v>
      </c>
      <c r="CF752"/>
      <c r="CG752">
        <v>0.6</v>
      </c>
      <c r="CH752"/>
      <c r="CI752"/>
      <c r="CJ752"/>
      <c r="CK752" t="s">
        <v>8820</v>
      </c>
      <c r="CL752">
        <v>9</v>
      </c>
      <c r="CM752" s="392">
        <v>41802</v>
      </c>
    </row>
    <row r="753" spans="1:91" ht="15">
      <c r="A753" s="364" t="s">
        <v>7745</v>
      </c>
      <c r="B753" t="s">
        <v>267</v>
      </c>
      <c r="C753" t="s">
        <v>8213</v>
      </c>
      <c r="D753">
        <v>140</v>
      </c>
      <c r="E753" s="113">
        <v>6</v>
      </c>
      <c r="F753" s="113">
        <v>7</v>
      </c>
      <c r="I753"/>
      <c r="K753" s="224">
        <v>7</v>
      </c>
      <c r="L753" s="390">
        <v>41625</v>
      </c>
      <c r="M753"/>
      <c r="N753" s="224"/>
      <c r="O753"/>
      <c r="P753"/>
      <c r="Q753"/>
      <c r="S753" s="224"/>
      <c r="T753" s="224"/>
      <c r="U753"/>
      <c r="V753"/>
      <c r="W753"/>
      <c r="X753"/>
      <c r="Y753" s="225"/>
      <c r="Z753" s="224"/>
      <c r="AA753" s="226"/>
      <c r="AB753" s="224"/>
      <c r="AC753" s="225"/>
      <c r="AD753" s="224"/>
      <c r="AE753" s="224"/>
      <c r="AF753" s="224"/>
      <c r="AG753"/>
      <c r="AH753"/>
      <c r="AI753">
        <v>170</v>
      </c>
      <c r="AJ753" s="194">
        <v>41785</v>
      </c>
      <c r="AK753">
        <v>37</v>
      </c>
      <c r="AL753" s="395">
        <v>41677</v>
      </c>
      <c r="AM753">
        <v>97</v>
      </c>
      <c r="AN753" s="391">
        <v>41737</v>
      </c>
      <c r="AO753"/>
      <c r="AP753" s="391">
        <v>41740</v>
      </c>
      <c r="AQ753" s="227"/>
      <c r="AR753" s="227"/>
      <c r="AS753"/>
      <c r="AT753"/>
      <c r="AU753"/>
      <c r="AV753" s="391" t="s">
        <v>8819</v>
      </c>
      <c r="AW753"/>
      <c r="AX753" s="391" t="s">
        <v>8819</v>
      </c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>
        <v>52.9</v>
      </c>
      <c r="BT753"/>
      <c r="BU753">
        <v>18.7</v>
      </c>
      <c r="BV753"/>
      <c r="BW753"/>
      <c r="BX753" s="228"/>
      <c r="BY753"/>
      <c r="BZ753"/>
      <c r="CA753"/>
      <c r="CC753"/>
      <c r="CD753"/>
      <c r="CE753">
        <v>6.8</v>
      </c>
      <c r="CF753"/>
      <c r="CG753">
        <v>0.6</v>
      </c>
      <c r="CH753"/>
      <c r="CI753"/>
      <c r="CJ753"/>
      <c r="CK753" t="s">
        <v>8820</v>
      </c>
      <c r="CL753">
        <v>7</v>
      </c>
      <c r="CM753" s="392">
        <v>41802</v>
      </c>
    </row>
    <row r="754" spans="1:91" ht="15">
      <c r="A754" s="364" t="s">
        <v>7746</v>
      </c>
      <c r="B754" t="s">
        <v>267</v>
      </c>
      <c r="C754" t="s">
        <v>8213</v>
      </c>
      <c r="D754">
        <v>141</v>
      </c>
      <c r="E754" s="113">
        <v>27</v>
      </c>
      <c r="F754" s="113">
        <v>9</v>
      </c>
      <c r="I754"/>
      <c r="K754" s="224">
        <v>7</v>
      </c>
      <c r="L754" s="390">
        <v>41625</v>
      </c>
      <c r="M754"/>
      <c r="N754" s="224"/>
      <c r="O754"/>
      <c r="P754"/>
      <c r="Q754"/>
      <c r="S754" s="224"/>
      <c r="T754" s="224"/>
      <c r="U754"/>
      <c r="V754"/>
      <c r="W754"/>
      <c r="X754"/>
      <c r="Y754" s="225"/>
      <c r="Z754" s="224"/>
      <c r="AA754" s="226"/>
      <c r="AB754" s="224"/>
      <c r="AC754" s="225"/>
      <c r="AD754" s="224"/>
      <c r="AE754" s="224"/>
      <c r="AF754" s="224"/>
      <c r="AG754"/>
      <c r="AH754"/>
      <c r="AI754">
        <v>160</v>
      </c>
      <c r="AJ754" s="194">
        <v>41785</v>
      </c>
      <c r="AK754">
        <v>31</v>
      </c>
      <c r="AL754" s="395">
        <v>41671</v>
      </c>
      <c r="AM754">
        <v>90</v>
      </c>
      <c r="AN754" s="391">
        <v>41730</v>
      </c>
      <c r="AO754"/>
      <c r="AP754" s="391" t="s">
        <v>8819</v>
      </c>
      <c r="AQ754" s="227"/>
      <c r="AR754" s="227"/>
      <c r="AS754"/>
      <c r="AT754"/>
      <c r="AU754"/>
      <c r="AV754" s="391" t="s">
        <v>8819</v>
      </c>
      <c r="AW754">
        <v>111</v>
      </c>
      <c r="AX754" s="391">
        <v>41751</v>
      </c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>
        <v>52.7</v>
      </c>
      <c r="BT754"/>
      <c r="BU754">
        <v>16.100000000000001</v>
      </c>
      <c r="BV754"/>
      <c r="BW754" s="229"/>
      <c r="BX754"/>
      <c r="BY754"/>
      <c r="BZ754"/>
      <c r="CA754"/>
      <c r="CC754"/>
      <c r="CD754"/>
      <c r="CE754">
        <v>6.5</v>
      </c>
      <c r="CF754"/>
      <c r="CG754">
        <v>0.6</v>
      </c>
      <c r="CH754"/>
      <c r="CI754"/>
      <c r="CJ754"/>
      <c r="CK754" t="s">
        <v>8820</v>
      </c>
      <c r="CL754">
        <v>7</v>
      </c>
      <c r="CM754" s="392">
        <v>41802</v>
      </c>
    </row>
    <row r="755" spans="1:91" ht="15">
      <c r="A755" s="364" t="s">
        <v>7747</v>
      </c>
      <c r="B755" t="s">
        <v>267</v>
      </c>
      <c r="C755" t="s">
        <v>8213</v>
      </c>
      <c r="D755">
        <v>142</v>
      </c>
      <c r="E755" s="113">
        <v>23</v>
      </c>
      <c r="F755" s="113">
        <v>11</v>
      </c>
      <c r="G755" s="233"/>
      <c r="H755" s="233"/>
      <c r="I755" s="232"/>
      <c r="J755" s="234"/>
      <c r="K755" s="235">
        <v>7</v>
      </c>
      <c r="L755" s="390">
        <v>41625</v>
      </c>
      <c r="M755" s="232"/>
      <c r="N755" s="235"/>
      <c r="O755" s="232"/>
      <c r="P755" s="232"/>
      <c r="Q755" s="232"/>
      <c r="R755" s="236"/>
      <c r="S755" s="235"/>
      <c r="T755" s="235"/>
      <c r="U755" s="232"/>
      <c r="V755" s="232"/>
      <c r="W755" s="232"/>
      <c r="X755" s="232"/>
      <c r="Y755" s="237"/>
      <c r="Z755" s="235"/>
      <c r="AA755" s="238"/>
      <c r="AB755" s="235"/>
      <c r="AC755" s="237"/>
      <c r="AD755" s="235"/>
      <c r="AE755" s="235"/>
      <c r="AF755" s="235"/>
      <c r="AG755" s="232"/>
      <c r="AH755" s="232"/>
      <c r="AI755" s="232">
        <v>155</v>
      </c>
      <c r="AJ755" s="194">
        <v>41785</v>
      </c>
      <c r="AK755" s="232">
        <v>37</v>
      </c>
      <c r="AL755" s="395">
        <v>41677</v>
      </c>
      <c r="AM755" s="232">
        <v>90</v>
      </c>
      <c r="AN755" s="391">
        <v>41730</v>
      </c>
      <c r="AO755" s="232"/>
      <c r="AP755" s="391" t="s">
        <v>8819</v>
      </c>
      <c r="AQ755" s="239"/>
      <c r="AR755" s="239"/>
      <c r="AS755" s="232"/>
      <c r="AT755" s="232"/>
      <c r="AU755" s="232"/>
      <c r="AV755" s="391" t="s">
        <v>8819</v>
      </c>
      <c r="AW755" s="232"/>
      <c r="AX755" s="391" t="s">
        <v>8819</v>
      </c>
      <c r="AY755" s="232"/>
      <c r="AZ755" s="232"/>
      <c r="BA755" s="232"/>
      <c r="BB755" s="232"/>
      <c r="BC755" s="232"/>
      <c r="BD755" s="232"/>
      <c r="BE755" s="232"/>
      <c r="BF755" s="232"/>
      <c r="BG755" s="232"/>
      <c r="BH755" s="232"/>
      <c r="BI755" s="232"/>
      <c r="BJ755" s="232"/>
      <c r="BK755" s="232"/>
      <c r="BL755" s="232"/>
      <c r="BM755" s="232"/>
      <c r="BN755" s="232"/>
      <c r="BO755" s="232"/>
      <c r="BP755" s="232"/>
      <c r="BQ755" s="232"/>
      <c r="BR755" s="232"/>
      <c r="BS755" s="232">
        <v>51.5</v>
      </c>
      <c r="BT755" s="232"/>
      <c r="BU755" s="232">
        <v>17.5</v>
      </c>
      <c r="BV755" s="232"/>
      <c r="BW755" s="240"/>
      <c r="BX755" s="232"/>
      <c r="BY755" s="232"/>
      <c r="BZ755" s="232"/>
      <c r="CA755" s="232"/>
      <c r="CB755" s="241"/>
      <c r="CC755" s="232"/>
      <c r="CD755" s="232"/>
      <c r="CE755" s="232">
        <v>7.1</v>
      </c>
      <c r="CF755" s="232"/>
      <c r="CG755" s="232">
        <v>2.8</v>
      </c>
      <c r="CH755" s="232"/>
      <c r="CI755" s="232"/>
      <c r="CJ755" s="232"/>
      <c r="CK755" t="s">
        <v>8820</v>
      </c>
      <c r="CL755" s="232">
        <v>6</v>
      </c>
      <c r="CM755" s="392">
        <v>41802</v>
      </c>
    </row>
    <row r="756" spans="1:91" ht="15">
      <c r="A756" s="364" t="s">
        <v>7750</v>
      </c>
      <c r="B756" t="s">
        <v>267</v>
      </c>
      <c r="C756" t="s">
        <v>8213</v>
      </c>
      <c r="D756">
        <v>145</v>
      </c>
      <c r="E756" s="113">
        <v>34</v>
      </c>
      <c r="F756" s="113">
        <v>8</v>
      </c>
      <c r="I756"/>
      <c r="K756" s="224">
        <v>6</v>
      </c>
      <c r="L756" s="390">
        <v>41625</v>
      </c>
      <c r="M756"/>
      <c r="N756" s="224"/>
      <c r="O756"/>
      <c r="P756"/>
      <c r="Q756"/>
      <c r="S756" s="224"/>
      <c r="T756" s="224"/>
      <c r="U756"/>
      <c r="V756"/>
      <c r="W756"/>
      <c r="X756"/>
      <c r="Y756" s="225"/>
      <c r="Z756" s="224"/>
      <c r="AA756" s="226"/>
      <c r="AB756" s="224"/>
      <c r="AC756" s="225"/>
      <c r="AD756" s="224"/>
      <c r="AE756" s="224"/>
      <c r="AF756" s="224"/>
      <c r="AG756"/>
      <c r="AH756"/>
      <c r="AI756">
        <v>170</v>
      </c>
      <c r="AJ756" s="194">
        <v>41785</v>
      </c>
      <c r="AK756">
        <v>37</v>
      </c>
      <c r="AL756" s="395">
        <v>41677</v>
      </c>
      <c r="AM756">
        <v>97</v>
      </c>
      <c r="AN756" s="391">
        <v>41737</v>
      </c>
      <c r="AO756"/>
      <c r="AP756" s="391">
        <v>41740</v>
      </c>
      <c r="AQ756" s="227"/>
      <c r="AR756" s="227"/>
      <c r="AS756"/>
      <c r="AT756"/>
      <c r="AU756"/>
      <c r="AV756" s="391" t="s">
        <v>8819</v>
      </c>
      <c r="AW756"/>
      <c r="AX756" s="391" t="s">
        <v>8819</v>
      </c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>
        <v>52.2</v>
      </c>
      <c r="BT756"/>
      <c r="BU756">
        <v>16.5</v>
      </c>
      <c r="BV756"/>
      <c r="BW756" s="229"/>
      <c r="BX756"/>
      <c r="BY756"/>
      <c r="BZ756"/>
      <c r="CA756"/>
      <c r="CC756"/>
      <c r="CD756"/>
      <c r="CE756">
        <v>7.5</v>
      </c>
      <c r="CF756"/>
      <c r="CG756">
        <v>0.2</v>
      </c>
      <c r="CH756"/>
      <c r="CI756"/>
      <c r="CJ756"/>
      <c r="CK756" t="s">
        <v>8820</v>
      </c>
      <c r="CL756">
        <v>3</v>
      </c>
      <c r="CM756" s="392">
        <v>41802</v>
      </c>
    </row>
    <row r="757" spans="1:91" ht="15">
      <c r="A757" s="364" t="s">
        <v>7751</v>
      </c>
      <c r="B757" t="s">
        <v>267</v>
      </c>
      <c r="C757" t="s">
        <v>8213</v>
      </c>
      <c r="D757">
        <v>146</v>
      </c>
      <c r="E757" s="113">
        <v>14</v>
      </c>
      <c r="F757" s="113">
        <v>9</v>
      </c>
      <c r="I757"/>
      <c r="K757" s="224">
        <v>7</v>
      </c>
      <c r="L757" s="390">
        <v>41625</v>
      </c>
      <c r="M757"/>
      <c r="N757" s="224"/>
      <c r="O757"/>
      <c r="P757"/>
      <c r="Q757"/>
      <c r="S757" s="224"/>
      <c r="T757" s="224"/>
      <c r="U757"/>
      <c r="V757"/>
      <c r="W757"/>
      <c r="X757"/>
      <c r="Y757" s="225"/>
      <c r="Z757" s="224"/>
      <c r="AA757" s="226"/>
      <c r="AB757" s="224"/>
      <c r="AC757" s="225"/>
      <c r="AD757" s="224"/>
      <c r="AE757" s="224"/>
      <c r="AF757" s="224"/>
      <c r="AG757"/>
      <c r="AH757"/>
      <c r="AI757">
        <v>140</v>
      </c>
      <c r="AJ757" s="194">
        <v>41785</v>
      </c>
      <c r="AK757">
        <v>37</v>
      </c>
      <c r="AL757" s="395">
        <v>41677</v>
      </c>
      <c r="AM757">
        <v>93</v>
      </c>
      <c r="AN757" s="391">
        <v>41733</v>
      </c>
      <c r="AO757"/>
      <c r="AP757" s="391" t="s">
        <v>8819</v>
      </c>
      <c r="AQ757" s="227"/>
      <c r="AR757" s="227"/>
      <c r="AS757"/>
      <c r="AT757"/>
      <c r="AU757"/>
      <c r="AV757" s="391">
        <v>41737</v>
      </c>
      <c r="AW757"/>
      <c r="AX757" s="391" t="s">
        <v>8819</v>
      </c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>
        <v>53.7</v>
      </c>
      <c r="BT757"/>
      <c r="BU757">
        <v>16.100000000000001</v>
      </c>
      <c r="BV757"/>
      <c r="BW757" s="229"/>
      <c r="BX757"/>
      <c r="BY757"/>
      <c r="BZ757"/>
      <c r="CA757"/>
      <c r="CC757"/>
      <c r="CD757"/>
      <c r="CE757">
        <v>9.1</v>
      </c>
      <c r="CF757"/>
      <c r="CG757">
        <v>0.1</v>
      </c>
      <c r="CH757"/>
      <c r="CI757"/>
      <c r="CJ757"/>
      <c r="CK757" t="s">
        <v>8820</v>
      </c>
      <c r="CL757">
        <v>5</v>
      </c>
      <c r="CM757" s="392">
        <v>41802</v>
      </c>
    </row>
    <row r="758" spans="1:91" ht="15">
      <c r="A758" s="364" t="s">
        <v>7752</v>
      </c>
      <c r="B758" t="s">
        <v>267</v>
      </c>
      <c r="C758" t="s">
        <v>8213</v>
      </c>
      <c r="D758">
        <v>147</v>
      </c>
      <c r="E758" s="113">
        <v>8</v>
      </c>
      <c r="F758" s="113">
        <v>12</v>
      </c>
      <c r="I758"/>
      <c r="K758" s="224">
        <v>7</v>
      </c>
      <c r="L758" s="390">
        <v>41625</v>
      </c>
      <c r="M758"/>
      <c r="N758" s="224"/>
      <c r="O758"/>
      <c r="P758"/>
      <c r="Q758"/>
      <c r="S758" s="224"/>
      <c r="T758" s="224"/>
      <c r="U758"/>
      <c r="V758"/>
      <c r="W758"/>
      <c r="X758"/>
      <c r="Y758" s="225"/>
      <c r="Z758" s="224"/>
      <c r="AA758" s="226"/>
      <c r="AB758" s="224"/>
      <c r="AC758" s="225"/>
      <c r="AD758" s="224"/>
      <c r="AE758" s="224"/>
      <c r="AF758" s="224"/>
      <c r="AG758"/>
      <c r="AH758"/>
      <c r="AI758">
        <v>115</v>
      </c>
      <c r="AJ758" s="194">
        <v>41785</v>
      </c>
      <c r="AK758">
        <v>37</v>
      </c>
      <c r="AL758" s="395">
        <v>41677</v>
      </c>
      <c r="AM758">
        <v>90</v>
      </c>
      <c r="AN758" s="391">
        <v>41730</v>
      </c>
      <c r="AO758"/>
      <c r="AP758" s="391" t="s">
        <v>8819</v>
      </c>
      <c r="AQ758" s="227"/>
      <c r="AR758" s="227"/>
      <c r="AS758"/>
      <c r="AT758"/>
      <c r="AU758"/>
      <c r="AV758" s="391" t="s">
        <v>8819</v>
      </c>
      <c r="AW758"/>
      <c r="AX758" s="391" t="s">
        <v>8819</v>
      </c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>
        <v>50.2</v>
      </c>
      <c r="BT758"/>
      <c r="BU758">
        <v>19.899999999999999</v>
      </c>
      <c r="BV758"/>
      <c r="BW758" s="229"/>
      <c r="BX758"/>
      <c r="BY758"/>
      <c r="BZ758"/>
      <c r="CA758"/>
      <c r="CC758"/>
      <c r="CD758"/>
      <c r="CE758">
        <v>6.2</v>
      </c>
      <c r="CF758"/>
      <c r="CG758">
        <v>0.2</v>
      </c>
      <c r="CH758"/>
      <c r="CI758"/>
      <c r="CJ758"/>
      <c r="CK758" t="s">
        <v>8820</v>
      </c>
      <c r="CL758">
        <v>2.2000000000000002</v>
      </c>
      <c r="CM758" s="392">
        <v>41802</v>
      </c>
    </row>
    <row r="759" spans="1:91" ht="15">
      <c r="A759" s="364" t="s">
        <v>7753</v>
      </c>
      <c r="B759" t="s">
        <v>267</v>
      </c>
      <c r="C759" t="s">
        <v>8213</v>
      </c>
      <c r="D759">
        <v>148</v>
      </c>
      <c r="E759" s="113">
        <v>9</v>
      </c>
      <c r="F759" s="113">
        <v>11</v>
      </c>
      <c r="I759"/>
      <c r="K759" s="224">
        <v>7</v>
      </c>
      <c r="L759" s="390">
        <v>41625</v>
      </c>
      <c r="M759"/>
      <c r="N759" s="224"/>
      <c r="O759"/>
      <c r="P759"/>
      <c r="Q759"/>
      <c r="S759" s="224"/>
      <c r="T759" s="224"/>
      <c r="U759"/>
      <c r="V759"/>
      <c r="W759"/>
      <c r="X759"/>
      <c r="Y759" s="225"/>
      <c r="Z759" s="224"/>
      <c r="AA759" s="226"/>
      <c r="AB759" s="224"/>
      <c r="AC759" s="225"/>
      <c r="AD759" s="224"/>
      <c r="AE759" s="224"/>
      <c r="AF759" s="224"/>
      <c r="AG759"/>
      <c r="AH759"/>
      <c r="AI759">
        <v>125</v>
      </c>
      <c r="AJ759" s="194">
        <v>41785</v>
      </c>
      <c r="AK759">
        <v>37</v>
      </c>
      <c r="AL759" s="395">
        <v>41677</v>
      </c>
      <c r="AM759">
        <v>93</v>
      </c>
      <c r="AN759" s="391">
        <v>41733</v>
      </c>
      <c r="AO759"/>
      <c r="AP759" s="391">
        <v>41737</v>
      </c>
      <c r="AQ759" s="227"/>
      <c r="AR759" s="227"/>
      <c r="AS759"/>
      <c r="AT759"/>
      <c r="AU759"/>
      <c r="AV759" s="391">
        <v>41740</v>
      </c>
      <c r="AW759"/>
      <c r="AX759" s="391" t="s">
        <v>8819</v>
      </c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>
        <v>54.6</v>
      </c>
      <c r="BT759"/>
      <c r="BU759">
        <v>15.9</v>
      </c>
      <c r="BV759"/>
      <c r="BW759" s="229"/>
      <c r="BX759"/>
      <c r="BY759"/>
      <c r="BZ759"/>
      <c r="CA759"/>
      <c r="CC759"/>
      <c r="CD759"/>
      <c r="CE759">
        <v>6</v>
      </c>
      <c r="CF759"/>
      <c r="CG759">
        <v>0.6</v>
      </c>
      <c r="CH759"/>
      <c r="CI759"/>
      <c r="CJ759"/>
      <c r="CK759" t="s">
        <v>8820</v>
      </c>
      <c r="CL759">
        <v>3</v>
      </c>
      <c r="CM759" s="392">
        <v>41802</v>
      </c>
    </row>
    <row r="760" spans="1:91" ht="15">
      <c r="A760" s="364" t="s">
        <v>7754</v>
      </c>
      <c r="B760" t="s">
        <v>267</v>
      </c>
      <c r="C760" t="s">
        <v>8213</v>
      </c>
      <c r="D760">
        <v>149</v>
      </c>
      <c r="E760" s="113">
        <v>4</v>
      </c>
      <c r="F760" s="113">
        <v>7</v>
      </c>
      <c r="I760"/>
      <c r="K760" s="224">
        <v>7</v>
      </c>
      <c r="L760" s="390">
        <v>41625</v>
      </c>
      <c r="M760"/>
      <c r="N760" s="224"/>
      <c r="O760"/>
      <c r="P760"/>
      <c r="Q760"/>
      <c r="S760" s="224"/>
      <c r="T760" s="224"/>
      <c r="U760"/>
      <c r="V760"/>
      <c r="W760"/>
      <c r="X760"/>
      <c r="Y760" s="225"/>
      <c r="Z760" s="224"/>
      <c r="AA760" s="226"/>
      <c r="AB760" s="224"/>
      <c r="AC760" s="225"/>
      <c r="AD760" s="224"/>
      <c r="AE760" s="224"/>
      <c r="AF760" s="224"/>
      <c r="AG760"/>
      <c r="AH760"/>
      <c r="AI760">
        <v>160</v>
      </c>
      <c r="AJ760" s="194">
        <v>41785</v>
      </c>
      <c r="AK760">
        <v>26</v>
      </c>
      <c r="AL760" s="395">
        <v>41666</v>
      </c>
      <c r="AM760">
        <v>93</v>
      </c>
      <c r="AN760" s="391">
        <v>41733</v>
      </c>
      <c r="AO760"/>
      <c r="AP760" s="391">
        <v>41730</v>
      </c>
      <c r="AQ760" s="227"/>
      <c r="AR760" s="227"/>
      <c r="AS760"/>
      <c r="AT760"/>
      <c r="AU760"/>
      <c r="AV760" s="391" t="s">
        <v>8819</v>
      </c>
      <c r="AW760">
        <v>111</v>
      </c>
      <c r="AX760" s="391">
        <v>41751</v>
      </c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>
        <v>52</v>
      </c>
      <c r="BT760"/>
      <c r="BU760">
        <v>17.399999999999999</v>
      </c>
      <c r="BV760"/>
      <c r="BW760" s="229"/>
      <c r="BX760"/>
      <c r="BY760"/>
      <c r="BZ760"/>
      <c r="CA760"/>
      <c r="CC760"/>
      <c r="CD760"/>
      <c r="CE760">
        <v>5.5</v>
      </c>
      <c r="CF760"/>
      <c r="CG760">
        <v>0.1</v>
      </c>
      <c r="CH760"/>
      <c r="CI760"/>
      <c r="CJ760"/>
      <c r="CK760" t="s">
        <v>8820</v>
      </c>
      <c r="CL760">
        <v>1</v>
      </c>
      <c r="CM760" s="392">
        <v>41802</v>
      </c>
    </row>
    <row r="761" spans="1:91" ht="15">
      <c r="A761" s="364" t="s">
        <v>7755</v>
      </c>
      <c r="B761" t="s">
        <v>267</v>
      </c>
      <c r="C761" t="s">
        <v>8213</v>
      </c>
      <c r="D761">
        <v>150</v>
      </c>
      <c r="E761" s="113">
        <v>3</v>
      </c>
      <c r="F761" s="113">
        <v>10</v>
      </c>
      <c r="G761" s="233"/>
      <c r="H761" s="233"/>
      <c r="I761" s="232"/>
      <c r="J761" s="234"/>
      <c r="K761" s="235">
        <v>6</v>
      </c>
      <c r="L761" s="390">
        <v>41625</v>
      </c>
      <c r="M761" s="232"/>
      <c r="N761" s="235"/>
      <c r="O761" s="232"/>
      <c r="P761" s="232"/>
      <c r="Q761" s="232"/>
      <c r="R761" s="236"/>
      <c r="S761" s="235"/>
      <c r="T761" s="235"/>
      <c r="U761" s="232"/>
      <c r="V761" s="232"/>
      <c r="W761" s="232"/>
      <c r="X761" s="232"/>
      <c r="Y761" s="237"/>
      <c r="Z761" s="235"/>
      <c r="AA761" s="238"/>
      <c r="AB761" s="235"/>
      <c r="AC761" s="237"/>
      <c r="AD761" s="235"/>
      <c r="AE761" s="235"/>
      <c r="AF761" s="235"/>
      <c r="AG761" s="232"/>
      <c r="AH761" s="232"/>
      <c r="AI761" s="232">
        <v>135</v>
      </c>
      <c r="AJ761" s="194">
        <v>41785</v>
      </c>
      <c r="AK761" s="232">
        <v>37</v>
      </c>
      <c r="AL761" s="395">
        <v>41677</v>
      </c>
      <c r="AM761" s="232">
        <v>93</v>
      </c>
      <c r="AN761" s="391">
        <v>41733</v>
      </c>
      <c r="AO761" s="232"/>
      <c r="AP761" s="391" t="s">
        <v>8819</v>
      </c>
      <c r="AQ761" s="239"/>
      <c r="AR761" s="239"/>
      <c r="AS761" s="232"/>
      <c r="AT761" s="232"/>
      <c r="AU761" s="232"/>
      <c r="AV761" s="391" t="s">
        <v>8819</v>
      </c>
      <c r="AW761" s="232"/>
      <c r="AX761" s="391" t="s">
        <v>8819</v>
      </c>
      <c r="AY761" s="232"/>
      <c r="AZ761" s="232"/>
      <c r="BA761" s="232"/>
      <c r="BB761" s="232"/>
      <c r="BC761" s="232"/>
      <c r="BD761" s="232"/>
      <c r="BE761" s="232"/>
      <c r="BF761" s="232"/>
      <c r="BG761" s="232"/>
      <c r="BH761" s="232"/>
      <c r="BI761" s="232"/>
      <c r="BJ761" s="232"/>
      <c r="BK761" s="232"/>
      <c r="BL761" s="232"/>
      <c r="BM761" s="232"/>
      <c r="BN761" s="232"/>
      <c r="BO761" s="232"/>
      <c r="BP761" s="232"/>
      <c r="BQ761" s="232"/>
      <c r="BR761" s="232"/>
      <c r="BS761" s="232">
        <v>50.4</v>
      </c>
      <c r="BT761" s="232"/>
      <c r="BU761" s="232">
        <v>19</v>
      </c>
      <c r="BV761" s="232"/>
      <c r="BW761" s="240"/>
      <c r="BX761" s="232"/>
      <c r="BY761" s="232"/>
      <c r="BZ761" s="232"/>
      <c r="CA761" s="232"/>
      <c r="CB761" s="241"/>
      <c r="CC761" s="232"/>
      <c r="CD761" s="232"/>
      <c r="CE761" s="232">
        <v>5.3</v>
      </c>
      <c r="CF761" s="232"/>
      <c r="CG761" s="232">
        <v>0</v>
      </c>
      <c r="CH761" s="232"/>
      <c r="CI761" s="232"/>
      <c r="CJ761" s="232"/>
      <c r="CK761" t="s">
        <v>8820</v>
      </c>
      <c r="CL761" s="232">
        <v>1</v>
      </c>
      <c r="CM761" s="392">
        <v>41802</v>
      </c>
    </row>
    <row r="762" spans="1:91" ht="15">
      <c r="A762" s="364" t="s">
        <v>7756</v>
      </c>
      <c r="B762" t="s">
        <v>267</v>
      </c>
      <c r="C762" t="s">
        <v>8213</v>
      </c>
      <c r="D762">
        <v>151</v>
      </c>
      <c r="E762" s="113">
        <v>5</v>
      </c>
      <c r="F762" s="113">
        <v>8</v>
      </c>
      <c r="I762"/>
      <c r="K762" s="224">
        <v>7</v>
      </c>
      <c r="L762" s="390">
        <v>41625</v>
      </c>
      <c r="M762"/>
      <c r="N762" s="224"/>
      <c r="O762"/>
      <c r="P762"/>
      <c r="Q762"/>
      <c r="S762" s="224"/>
      <c r="T762" s="224"/>
      <c r="U762"/>
      <c r="V762"/>
      <c r="W762"/>
      <c r="X762"/>
      <c r="Y762" s="225"/>
      <c r="Z762" s="224"/>
      <c r="AA762" s="226"/>
      <c r="AB762" s="224"/>
      <c r="AC762" s="225"/>
      <c r="AD762" s="224"/>
      <c r="AE762" s="224"/>
      <c r="AF762" s="224"/>
      <c r="AG762"/>
      <c r="AH762"/>
      <c r="AI762">
        <v>150</v>
      </c>
      <c r="AJ762" s="194">
        <v>41785</v>
      </c>
      <c r="AK762">
        <v>37</v>
      </c>
      <c r="AL762" s="395">
        <v>41677</v>
      </c>
      <c r="AM762">
        <v>90</v>
      </c>
      <c r="AN762" s="391">
        <v>41730</v>
      </c>
      <c r="AO762"/>
      <c r="AP762" s="391" t="s">
        <v>8819</v>
      </c>
      <c r="AQ762" s="227"/>
      <c r="AR762" s="227"/>
      <c r="AS762"/>
      <c r="AT762"/>
      <c r="AU762"/>
      <c r="AV762" s="391" t="s">
        <v>8819</v>
      </c>
      <c r="AW762"/>
      <c r="AX762" s="391" t="s">
        <v>8819</v>
      </c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>
        <v>51.1</v>
      </c>
      <c r="BT762"/>
      <c r="BU762">
        <v>17.8</v>
      </c>
      <c r="BV762"/>
      <c r="BW762" s="229"/>
      <c r="BX762"/>
      <c r="BY762"/>
      <c r="BZ762"/>
      <c r="CA762"/>
      <c r="CC762"/>
      <c r="CD762"/>
      <c r="CE762">
        <v>5</v>
      </c>
      <c r="CF762"/>
      <c r="CG762">
        <v>0.1</v>
      </c>
      <c r="CH762"/>
      <c r="CI762"/>
      <c r="CJ762"/>
      <c r="CK762" t="s">
        <v>8820</v>
      </c>
      <c r="CL762">
        <v>1</v>
      </c>
      <c r="CM762" s="392">
        <v>41802</v>
      </c>
    </row>
    <row r="763" spans="1:91" ht="15">
      <c r="A763" s="364" t="s">
        <v>7757</v>
      </c>
      <c r="B763" t="s">
        <v>267</v>
      </c>
      <c r="C763" t="s">
        <v>8213</v>
      </c>
      <c r="D763">
        <v>152</v>
      </c>
      <c r="E763" s="113">
        <v>15</v>
      </c>
      <c r="F763" s="113">
        <v>12</v>
      </c>
      <c r="I763"/>
      <c r="K763" s="224">
        <v>8</v>
      </c>
      <c r="L763" s="390">
        <v>41625</v>
      </c>
      <c r="M763"/>
      <c r="N763" s="224"/>
      <c r="O763"/>
      <c r="P763"/>
      <c r="Q763"/>
      <c r="S763" s="224"/>
      <c r="T763" s="224"/>
      <c r="U763"/>
      <c r="V763"/>
      <c r="W763"/>
      <c r="X763"/>
      <c r="Y763" s="225"/>
      <c r="Z763" s="224"/>
      <c r="AA763" s="226"/>
      <c r="AB763" s="224"/>
      <c r="AC763" s="225"/>
      <c r="AD763" s="224"/>
      <c r="AE763" s="224"/>
      <c r="AF763" s="224"/>
      <c r="AG763"/>
      <c r="AH763"/>
      <c r="AI763">
        <v>150</v>
      </c>
      <c r="AJ763" s="194">
        <v>41785</v>
      </c>
      <c r="AK763">
        <v>37</v>
      </c>
      <c r="AL763" s="395">
        <v>41677</v>
      </c>
      <c r="AM763">
        <v>93</v>
      </c>
      <c r="AN763" s="391">
        <v>41733</v>
      </c>
      <c r="AO763"/>
      <c r="AP763" s="391">
        <v>41737</v>
      </c>
      <c r="AQ763" s="227"/>
      <c r="AR763" s="227"/>
      <c r="AS763"/>
      <c r="AT763"/>
      <c r="AU763"/>
      <c r="AV763" s="391" t="s">
        <v>8819</v>
      </c>
      <c r="AW763"/>
      <c r="AX763" s="391" t="s">
        <v>8819</v>
      </c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>
        <v>52.5</v>
      </c>
      <c r="BT763"/>
      <c r="BU763">
        <v>15.5</v>
      </c>
      <c r="BV763"/>
      <c r="BW763" s="229"/>
      <c r="BX763"/>
      <c r="BY763"/>
      <c r="BZ763"/>
      <c r="CA763"/>
      <c r="CC763"/>
      <c r="CD763"/>
      <c r="CE763">
        <v>7.9</v>
      </c>
      <c r="CF763"/>
      <c r="CG763">
        <v>0.2</v>
      </c>
      <c r="CH763"/>
      <c r="CI763"/>
      <c r="CJ763"/>
      <c r="CK763" t="s">
        <v>8820</v>
      </c>
      <c r="CL763">
        <v>7</v>
      </c>
      <c r="CM763" s="392">
        <v>41802</v>
      </c>
    </row>
    <row r="764" spans="1:91" ht="15">
      <c r="A764" s="364" t="s">
        <v>7758</v>
      </c>
      <c r="B764" t="s">
        <v>267</v>
      </c>
      <c r="C764" t="s">
        <v>8213</v>
      </c>
      <c r="D764">
        <v>153</v>
      </c>
      <c r="E764" s="113">
        <v>25</v>
      </c>
      <c r="F764" s="113">
        <v>9</v>
      </c>
      <c r="I764"/>
      <c r="K764" s="224">
        <v>6</v>
      </c>
      <c r="L764" s="390">
        <v>41625</v>
      </c>
      <c r="M764"/>
      <c r="N764" s="224"/>
      <c r="O764"/>
      <c r="P764"/>
      <c r="Q764"/>
      <c r="S764" s="224"/>
      <c r="T764" s="224"/>
      <c r="U764"/>
      <c r="V764"/>
      <c r="W764"/>
      <c r="X764"/>
      <c r="Y764" s="225"/>
      <c r="Z764" s="224"/>
      <c r="AA764" s="226"/>
      <c r="AB764" s="224"/>
      <c r="AC764" s="225"/>
      <c r="AD764" s="224"/>
      <c r="AE764" s="224"/>
      <c r="AF764" s="224"/>
      <c r="AG764"/>
      <c r="AH764"/>
      <c r="AI764">
        <v>140</v>
      </c>
      <c r="AJ764" s="194">
        <v>41785</v>
      </c>
      <c r="AK764">
        <v>37</v>
      </c>
      <c r="AL764" s="395">
        <v>41677</v>
      </c>
      <c r="AM764">
        <v>93</v>
      </c>
      <c r="AN764" s="391">
        <v>41733</v>
      </c>
      <c r="AO764"/>
      <c r="AP764" s="391">
        <v>41737</v>
      </c>
      <c r="AQ764" s="227"/>
      <c r="AR764" s="227"/>
      <c r="AS764"/>
      <c r="AT764"/>
      <c r="AU764"/>
      <c r="AV764" s="391" t="s">
        <v>8819</v>
      </c>
      <c r="AW764"/>
      <c r="AX764" s="391" t="s">
        <v>8819</v>
      </c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>
        <v>46.6</v>
      </c>
      <c r="BT764"/>
      <c r="BU764">
        <v>19.8</v>
      </c>
      <c r="BV764"/>
      <c r="BW764" s="229"/>
      <c r="BX764"/>
      <c r="BY764"/>
      <c r="BZ764"/>
      <c r="CA764"/>
      <c r="CC764"/>
      <c r="CD764"/>
      <c r="CE764">
        <v>6.9</v>
      </c>
      <c r="CF764"/>
      <c r="CG764">
        <v>0.5</v>
      </c>
      <c r="CH764"/>
      <c r="CI764"/>
      <c r="CJ764"/>
      <c r="CK764" t="s">
        <v>8820</v>
      </c>
      <c r="CL764">
        <v>7.6</v>
      </c>
      <c r="CM764" s="392">
        <v>41802</v>
      </c>
    </row>
    <row r="765" spans="1:91" ht="15">
      <c r="A765" s="364" t="s">
        <v>7759</v>
      </c>
      <c r="B765" t="s">
        <v>267</v>
      </c>
      <c r="C765" t="s">
        <v>8213</v>
      </c>
      <c r="D765">
        <v>154</v>
      </c>
      <c r="E765" s="113">
        <v>21</v>
      </c>
      <c r="F765" s="113">
        <v>9</v>
      </c>
      <c r="I765"/>
      <c r="K765" s="224">
        <v>7</v>
      </c>
      <c r="L765" s="390">
        <v>41625</v>
      </c>
      <c r="M765"/>
      <c r="N765" s="224"/>
      <c r="O765"/>
      <c r="P765"/>
      <c r="Q765"/>
      <c r="S765" s="224"/>
      <c r="T765" s="224"/>
      <c r="U765"/>
      <c r="V765"/>
      <c r="W765"/>
      <c r="X765"/>
      <c r="Y765" s="225"/>
      <c r="Z765" s="224"/>
      <c r="AA765" s="226"/>
      <c r="AB765" s="224"/>
      <c r="AC765" s="225"/>
      <c r="AD765" s="224"/>
      <c r="AE765" s="224"/>
      <c r="AF765" s="224"/>
      <c r="AG765"/>
      <c r="AH765"/>
      <c r="AI765">
        <v>180</v>
      </c>
      <c r="AJ765" s="194">
        <v>41785</v>
      </c>
      <c r="AK765">
        <v>37</v>
      </c>
      <c r="AL765" s="395">
        <v>41677</v>
      </c>
      <c r="AM765">
        <v>100</v>
      </c>
      <c r="AN765" s="391">
        <v>41740</v>
      </c>
      <c r="AO765"/>
      <c r="AP765" s="391">
        <v>41744</v>
      </c>
      <c r="AQ765" s="227"/>
      <c r="AR765" s="227"/>
      <c r="AS765"/>
      <c r="AT765"/>
      <c r="AU765"/>
      <c r="AV765" s="391" t="s">
        <v>8819</v>
      </c>
      <c r="AW765"/>
      <c r="AX765" s="391" t="s">
        <v>8819</v>
      </c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>
        <v>53.9</v>
      </c>
      <c r="BT765"/>
      <c r="BU765">
        <v>16.899999999999999</v>
      </c>
      <c r="BV765"/>
      <c r="BW765" s="229"/>
      <c r="BX765"/>
      <c r="BY765"/>
      <c r="BZ765"/>
      <c r="CA765"/>
      <c r="CC765"/>
      <c r="CD765"/>
      <c r="CE765">
        <v>6.1</v>
      </c>
      <c r="CF765"/>
      <c r="CG765">
        <v>0.5</v>
      </c>
      <c r="CH765"/>
      <c r="CI765"/>
      <c r="CJ765"/>
      <c r="CK765" t="s">
        <v>8820</v>
      </c>
      <c r="CL765">
        <v>1</v>
      </c>
      <c r="CM765" s="392">
        <v>41802</v>
      </c>
    </row>
    <row r="766" spans="1:91" ht="15">
      <c r="A766" s="364" t="s">
        <v>7760</v>
      </c>
      <c r="B766" t="s">
        <v>267</v>
      </c>
      <c r="C766" t="s">
        <v>8213</v>
      </c>
      <c r="D766">
        <v>155</v>
      </c>
      <c r="E766" s="113">
        <v>30</v>
      </c>
      <c r="F766" s="113">
        <v>7</v>
      </c>
      <c r="I766"/>
      <c r="K766" s="224">
        <v>6</v>
      </c>
      <c r="L766" s="390">
        <v>41625</v>
      </c>
      <c r="M766"/>
      <c r="N766" s="224"/>
      <c r="O766"/>
      <c r="P766"/>
      <c r="Q766"/>
      <c r="S766" s="224"/>
      <c r="T766" s="224"/>
      <c r="U766"/>
      <c r="V766"/>
      <c r="W766"/>
      <c r="X766"/>
      <c r="Y766" s="225"/>
      <c r="Z766" s="224"/>
      <c r="AA766" s="226"/>
      <c r="AB766" s="224"/>
      <c r="AC766" s="225"/>
      <c r="AD766" s="224"/>
      <c r="AE766" s="224"/>
      <c r="AF766" s="224"/>
      <c r="AG766"/>
      <c r="AH766"/>
      <c r="AI766">
        <v>130</v>
      </c>
      <c r="AJ766" s="194">
        <v>41785</v>
      </c>
      <c r="AK766">
        <v>37</v>
      </c>
      <c r="AL766" s="395">
        <v>41677</v>
      </c>
      <c r="AM766">
        <v>93</v>
      </c>
      <c r="AN766" s="391">
        <v>41733</v>
      </c>
      <c r="AO766"/>
      <c r="AP766" s="391">
        <v>41737</v>
      </c>
      <c r="AQ766" s="227"/>
      <c r="AR766" s="227"/>
      <c r="AS766"/>
      <c r="AT766"/>
      <c r="AU766"/>
      <c r="AV766" s="391" t="s">
        <v>8819</v>
      </c>
      <c r="AW766"/>
      <c r="AX766" s="391" t="s">
        <v>8819</v>
      </c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>
        <v>50</v>
      </c>
      <c r="BT766"/>
      <c r="BU766">
        <v>17.399999999999999</v>
      </c>
      <c r="BV766"/>
      <c r="BW766" s="229"/>
      <c r="BX766"/>
      <c r="BY766"/>
      <c r="BZ766"/>
      <c r="CA766"/>
      <c r="CC766"/>
      <c r="CD766"/>
      <c r="CE766">
        <v>6.2</v>
      </c>
      <c r="CF766"/>
      <c r="CG766">
        <v>0</v>
      </c>
      <c r="CH766"/>
      <c r="CI766"/>
      <c r="CJ766"/>
      <c r="CK766" t="s">
        <v>8820</v>
      </c>
      <c r="CL766">
        <v>1</v>
      </c>
      <c r="CM766" s="392">
        <v>41802</v>
      </c>
    </row>
    <row r="767" spans="1:91" ht="15">
      <c r="A767" s="364" t="s">
        <v>7761</v>
      </c>
      <c r="B767" t="s">
        <v>267</v>
      </c>
      <c r="C767" t="s">
        <v>8213</v>
      </c>
      <c r="D767">
        <v>156</v>
      </c>
      <c r="E767" s="113">
        <v>7</v>
      </c>
      <c r="F767" s="113">
        <v>11</v>
      </c>
      <c r="I767"/>
      <c r="K767" s="224">
        <v>5</v>
      </c>
      <c r="L767" s="390">
        <v>41625</v>
      </c>
      <c r="M767"/>
      <c r="N767" s="224"/>
      <c r="O767"/>
      <c r="P767"/>
      <c r="Q767"/>
      <c r="S767" s="224"/>
      <c r="T767" s="224"/>
      <c r="U767"/>
      <c r="V767"/>
      <c r="W767"/>
      <c r="X767"/>
      <c r="Y767" s="225"/>
      <c r="Z767" s="224"/>
      <c r="AA767" s="226"/>
      <c r="AB767" s="224"/>
      <c r="AC767" s="225"/>
      <c r="AD767" s="224"/>
      <c r="AE767" s="224"/>
      <c r="AF767" s="224"/>
      <c r="AG767"/>
      <c r="AH767"/>
      <c r="AI767">
        <v>130</v>
      </c>
      <c r="AJ767" s="194">
        <v>41785</v>
      </c>
      <c r="AK767">
        <v>37</v>
      </c>
      <c r="AL767" s="395">
        <v>41677</v>
      </c>
      <c r="AM767">
        <v>90</v>
      </c>
      <c r="AN767" s="391">
        <v>41730</v>
      </c>
      <c r="AO767"/>
      <c r="AP767" s="391" t="s">
        <v>8819</v>
      </c>
      <c r="AQ767" s="227"/>
      <c r="AR767" s="227"/>
      <c r="AS767"/>
      <c r="AT767"/>
      <c r="AU767"/>
      <c r="AV767" s="391" t="s">
        <v>8819</v>
      </c>
      <c r="AW767"/>
      <c r="AX767" s="391" t="s">
        <v>8819</v>
      </c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>
        <v>51.6</v>
      </c>
      <c r="BT767"/>
      <c r="BU767">
        <v>17.600000000000001</v>
      </c>
      <c r="BV767"/>
      <c r="BW767" s="229"/>
      <c r="BX767"/>
      <c r="BY767"/>
      <c r="BZ767"/>
      <c r="CA767"/>
      <c r="CC767"/>
      <c r="CD767"/>
      <c r="CE767">
        <v>5.5</v>
      </c>
      <c r="CF767"/>
      <c r="CG767">
        <v>0.1</v>
      </c>
      <c r="CH767"/>
      <c r="CI767"/>
      <c r="CJ767"/>
      <c r="CK767" t="s">
        <v>8820</v>
      </c>
      <c r="CL767">
        <v>1</v>
      </c>
      <c r="CM767" s="392">
        <v>41802</v>
      </c>
    </row>
    <row r="768" spans="1:91" ht="15">
      <c r="A768" s="364" t="s">
        <v>7762</v>
      </c>
      <c r="B768" t="s">
        <v>267</v>
      </c>
      <c r="C768" t="s">
        <v>8213</v>
      </c>
      <c r="D768">
        <v>157</v>
      </c>
      <c r="E768" s="113">
        <v>13</v>
      </c>
      <c r="F768" s="113">
        <v>7</v>
      </c>
      <c r="I768"/>
      <c r="K768" s="224">
        <v>7</v>
      </c>
      <c r="L768" s="390">
        <v>41625</v>
      </c>
      <c r="M768"/>
      <c r="N768" s="224"/>
      <c r="O768"/>
      <c r="P768"/>
      <c r="Q768"/>
      <c r="S768" s="224"/>
      <c r="T768" s="224"/>
      <c r="U768"/>
      <c r="V768"/>
      <c r="W768"/>
      <c r="X768"/>
      <c r="Y768" s="225"/>
      <c r="Z768" s="224"/>
      <c r="AA768" s="226"/>
      <c r="AB768" s="224"/>
      <c r="AC768" s="225"/>
      <c r="AD768" s="224"/>
      <c r="AE768" s="224"/>
      <c r="AF768" s="224"/>
      <c r="AG768"/>
      <c r="AH768"/>
      <c r="AI768">
        <v>160</v>
      </c>
      <c r="AJ768" s="194">
        <v>41785</v>
      </c>
      <c r="AK768">
        <v>37</v>
      </c>
      <c r="AL768" s="395">
        <v>41677</v>
      </c>
      <c r="AM768">
        <v>93</v>
      </c>
      <c r="AN768" s="391">
        <v>41733</v>
      </c>
      <c r="AO768"/>
      <c r="AP768" s="391">
        <v>41737</v>
      </c>
      <c r="AQ768" s="227"/>
      <c r="AR768" s="227"/>
      <c r="AS768"/>
      <c r="AT768"/>
      <c r="AU768"/>
      <c r="AV768" s="391" t="s">
        <v>8819</v>
      </c>
      <c r="AW768"/>
      <c r="AX768" s="391" t="s">
        <v>8819</v>
      </c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>
        <v>51.2</v>
      </c>
      <c r="BT768"/>
      <c r="BU768">
        <v>17</v>
      </c>
      <c r="BV768"/>
      <c r="BW768" s="229"/>
      <c r="BX768"/>
      <c r="BY768"/>
      <c r="BZ768"/>
      <c r="CA768"/>
      <c r="CC768"/>
      <c r="CD768"/>
      <c r="CE768">
        <v>8.4</v>
      </c>
      <c r="CF768"/>
      <c r="CG768">
        <v>0.2</v>
      </c>
      <c r="CH768"/>
      <c r="CI768"/>
      <c r="CJ768"/>
      <c r="CK768" t="s">
        <v>8820</v>
      </c>
      <c r="CL768">
        <v>1</v>
      </c>
      <c r="CM768" s="392">
        <v>41802</v>
      </c>
    </row>
    <row r="769" spans="1:91" ht="15">
      <c r="A769" s="364" t="s">
        <v>7763</v>
      </c>
      <c r="B769" t="s">
        <v>267</v>
      </c>
      <c r="C769" t="s">
        <v>8213</v>
      </c>
      <c r="D769">
        <v>158</v>
      </c>
      <c r="E769" s="113">
        <v>6</v>
      </c>
      <c r="F769" s="113">
        <v>11</v>
      </c>
      <c r="G769" s="233"/>
      <c r="H769" s="233"/>
      <c r="I769" s="232"/>
      <c r="J769" s="234"/>
      <c r="K769" s="235">
        <v>7</v>
      </c>
      <c r="L769" s="390">
        <v>41625</v>
      </c>
      <c r="M769" s="232"/>
      <c r="N769" s="235"/>
      <c r="O769" s="232"/>
      <c r="P769" s="232"/>
      <c r="Q769" s="232"/>
      <c r="R769" s="236"/>
      <c r="S769" s="235"/>
      <c r="T769" s="235"/>
      <c r="U769" s="232"/>
      <c r="V769" s="232"/>
      <c r="W769" s="232"/>
      <c r="X769" s="232"/>
      <c r="Y769" s="237"/>
      <c r="Z769" s="235"/>
      <c r="AA769" s="238"/>
      <c r="AB769" s="235"/>
      <c r="AC769" s="237"/>
      <c r="AD769" s="235"/>
      <c r="AE769" s="235"/>
      <c r="AF769" s="235"/>
      <c r="AG769" s="232"/>
      <c r="AH769" s="232"/>
      <c r="AI769" s="232">
        <v>140</v>
      </c>
      <c r="AJ769" s="194">
        <v>41785</v>
      </c>
      <c r="AK769" s="232">
        <v>31</v>
      </c>
      <c r="AL769" s="395">
        <v>41671</v>
      </c>
      <c r="AM769" s="232">
        <v>90</v>
      </c>
      <c r="AN769" s="391">
        <v>41730</v>
      </c>
      <c r="AO769" s="232"/>
      <c r="AP769" s="391" t="s">
        <v>8819</v>
      </c>
      <c r="AQ769" s="239"/>
      <c r="AR769" s="239"/>
      <c r="AS769" s="232"/>
      <c r="AT769" s="232"/>
      <c r="AU769" s="232"/>
      <c r="AV769" s="391" t="s">
        <v>8819</v>
      </c>
      <c r="AW769" s="232"/>
      <c r="AX769" s="391" t="s">
        <v>8819</v>
      </c>
      <c r="AY769" s="232"/>
      <c r="AZ769" s="232"/>
      <c r="BA769" s="232"/>
      <c r="BB769" s="232"/>
      <c r="BC769" s="232"/>
      <c r="BD769" s="232"/>
      <c r="BE769" s="232"/>
      <c r="BF769" s="232"/>
      <c r="BG769" s="232"/>
      <c r="BH769" s="232"/>
      <c r="BI769" s="232"/>
      <c r="BJ769" s="232"/>
      <c r="BK769" s="232"/>
      <c r="BL769" s="232"/>
      <c r="BM769" s="232"/>
      <c r="BN769" s="232"/>
      <c r="BO769" s="232"/>
      <c r="BP769" s="232"/>
      <c r="BQ769" s="232"/>
      <c r="BR769" s="232"/>
      <c r="BS769" s="232">
        <v>52.2</v>
      </c>
      <c r="BT769" s="232"/>
      <c r="BU769" s="232">
        <v>17.100000000000001</v>
      </c>
      <c r="BV769" s="232"/>
      <c r="BW769" s="240"/>
      <c r="BX769" s="232"/>
      <c r="BY769" s="232"/>
      <c r="BZ769" s="232"/>
      <c r="CA769" s="232"/>
      <c r="CB769" s="241"/>
      <c r="CC769" s="232"/>
      <c r="CD769" s="232"/>
      <c r="CE769" s="232">
        <v>5.8</v>
      </c>
      <c r="CF769" s="232"/>
      <c r="CG769" s="232">
        <v>0.1</v>
      </c>
      <c r="CH769" s="232"/>
      <c r="CI769" s="232"/>
      <c r="CJ769" s="232"/>
      <c r="CK769" t="s">
        <v>8820</v>
      </c>
      <c r="CL769" s="232">
        <v>1</v>
      </c>
      <c r="CM769" s="392">
        <v>41802</v>
      </c>
    </row>
    <row r="770" spans="1:91" ht="15">
      <c r="A770" s="364" t="s">
        <v>7764</v>
      </c>
      <c r="B770" t="s">
        <v>267</v>
      </c>
      <c r="C770" t="s">
        <v>8213</v>
      </c>
      <c r="D770" s="232">
        <v>159</v>
      </c>
      <c r="E770" s="113">
        <v>21</v>
      </c>
      <c r="F770" s="113">
        <v>8</v>
      </c>
      <c r="I770"/>
      <c r="K770" s="224">
        <v>6</v>
      </c>
      <c r="L770" s="390">
        <v>41625</v>
      </c>
      <c r="M770"/>
      <c r="N770" s="224"/>
      <c r="O770"/>
      <c r="P770"/>
      <c r="Q770"/>
      <c r="S770" s="224"/>
      <c r="T770" s="224"/>
      <c r="U770"/>
      <c r="V770"/>
      <c r="W770"/>
      <c r="X770"/>
      <c r="Y770" s="225"/>
      <c r="Z770" s="224"/>
      <c r="AA770" s="226"/>
      <c r="AB770" s="224"/>
      <c r="AC770" s="225"/>
      <c r="AD770" s="224"/>
      <c r="AE770" s="224"/>
      <c r="AF770" s="224"/>
      <c r="AG770"/>
      <c r="AH770"/>
      <c r="AI770">
        <v>135</v>
      </c>
      <c r="AJ770" s="194">
        <v>41785</v>
      </c>
      <c r="AK770">
        <v>31</v>
      </c>
      <c r="AL770" s="395">
        <v>41671</v>
      </c>
      <c r="AM770">
        <v>90</v>
      </c>
      <c r="AN770" s="391">
        <v>41730</v>
      </c>
      <c r="AO770"/>
      <c r="AP770" s="391" t="s">
        <v>8819</v>
      </c>
      <c r="AQ770" s="227"/>
      <c r="AR770" s="227"/>
      <c r="AS770"/>
      <c r="AT770"/>
      <c r="AU770"/>
      <c r="AV770" s="391" t="s">
        <v>8819</v>
      </c>
      <c r="AW770">
        <v>111</v>
      </c>
      <c r="AX770" s="391">
        <v>41751</v>
      </c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>
        <v>52.4</v>
      </c>
      <c r="BT770"/>
      <c r="BU770">
        <v>15.9</v>
      </c>
      <c r="BV770"/>
      <c r="BW770" s="229"/>
      <c r="BX770"/>
      <c r="BY770"/>
      <c r="BZ770"/>
      <c r="CA770"/>
      <c r="CC770"/>
      <c r="CD770"/>
      <c r="CE770">
        <v>5</v>
      </c>
      <c r="CF770"/>
      <c r="CG770">
        <v>0.3</v>
      </c>
      <c r="CH770"/>
      <c r="CI770"/>
      <c r="CJ770"/>
      <c r="CK770" t="s">
        <v>8820</v>
      </c>
      <c r="CL770">
        <v>1</v>
      </c>
      <c r="CM770" s="392">
        <v>41802</v>
      </c>
    </row>
    <row r="771" spans="1:91" ht="15">
      <c r="A771" s="364" t="s">
        <v>7765</v>
      </c>
      <c r="B771" t="s">
        <v>267</v>
      </c>
      <c r="C771" t="s">
        <v>8213</v>
      </c>
      <c r="D771">
        <v>160</v>
      </c>
      <c r="E771" s="113">
        <v>35</v>
      </c>
      <c r="F771" s="113">
        <v>8</v>
      </c>
      <c r="I771"/>
      <c r="K771" s="224">
        <v>6</v>
      </c>
      <c r="L771" s="390">
        <v>41625</v>
      </c>
      <c r="M771"/>
      <c r="N771" s="224"/>
      <c r="O771"/>
      <c r="P771"/>
      <c r="Q771"/>
      <c r="S771" s="224"/>
      <c r="T771" s="224"/>
      <c r="U771"/>
      <c r="V771"/>
      <c r="W771"/>
      <c r="X771"/>
      <c r="Y771" s="225"/>
      <c r="Z771" s="224"/>
      <c r="AA771" s="226"/>
      <c r="AB771" s="224"/>
      <c r="AC771" s="225"/>
      <c r="AD771" s="224"/>
      <c r="AE771" s="224"/>
      <c r="AF771" s="224"/>
      <c r="AG771"/>
      <c r="AH771"/>
      <c r="AI771">
        <v>145</v>
      </c>
      <c r="AJ771" s="194">
        <v>41785</v>
      </c>
      <c r="AK771">
        <v>31</v>
      </c>
      <c r="AL771" s="395">
        <v>41671</v>
      </c>
      <c r="AM771">
        <v>90</v>
      </c>
      <c r="AN771" s="391">
        <v>41730</v>
      </c>
      <c r="AO771"/>
      <c r="AP771" s="391" t="s">
        <v>8819</v>
      </c>
      <c r="AQ771" s="227"/>
      <c r="AR771" s="227"/>
      <c r="AS771"/>
      <c r="AT771"/>
      <c r="AU771"/>
      <c r="AV771" s="391" t="s">
        <v>8819</v>
      </c>
      <c r="AW771"/>
      <c r="AX771" s="391" t="s">
        <v>8819</v>
      </c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>
        <v>52.1</v>
      </c>
      <c r="BT771"/>
      <c r="BU771">
        <v>17.399999999999999</v>
      </c>
      <c r="BV771"/>
      <c r="BW771" s="229"/>
      <c r="BX771"/>
      <c r="BY771"/>
      <c r="BZ771"/>
      <c r="CA771"/>
      <c r="CC771"/>
      <c r="CD771"/>
      <c r="CE771">
        <v>6.1</v>
      </c>
      <c r="CF771"/>
      <c r="CG771">
        <v>0</v>
      </c>
      <c r="CH771"/>
      <c r="CI771"/>
      <c r="CJ771"/>
      <c r="CK771" t="s">
        <v>8820</v>
      </c>
      <c r="CL771">
        <v>1</v>
      </c>
      <c r="CM771" s="392">
        <v>41802</v>
      </c>
    </row>
    <row r="772" spans="1:91" ht="15">
      <c r="A772" s="364" t="s">
        <v>7766</v>
      </c>
      <c r="B772" t="s">
        <v>267</v>
      </c>
      <c r="C772" t="s">
        <v>8213</v>
      </c>
      <c r="D772">
        <v>161</v>
      </c>
      <c r="E772" s="113">
        <v>24</v>
      </c>
      <c r="F772" s="113">
        <v>10</v>
      </c>
      <c r="I772"/>
      <c r="K772" s="224">
        <v>7</v>
      </c>
      <c r="L772" s="390">
        <v>41625</v>
      </c>
      <c r="M772"/>
      <c r="N772" s="224"/>
      <c r="O772"/>
      <c r="P772"/>
      <c r="Q772"/>
      <c r="S772" s="224"/>
      <c r="T772" s="224"/>
      <c r="U772"/>
      <c r="V772"/>
      <c r="W772"/>
      <c r="X772"/>
      <c r="Y772" s="225"/>
      <c r="Z772" s="224"/>
      <c r="AA772" s="226"/>
      <c r="AB772" s="224"/>
      <c r="AC772" s="225"/>
      <c r="AD772" s="224"/>
      <c r="AE772" s="224"/>
      <c r="AF772" s="224"/>
      <c r="AG772"/>
      <c r="AH772"/>
      <c r="AI772">
        <v>140</v>
      </c>
      <c r="AJ772" s="194">
        <v>41785</v>
      </c>
      <c r="AK772">
        <v>37</v>
      </c>
      <c r="AL772" s="395">
        <v>41677</v>
      </c>
      <c r="AM772">
        <v>90</v>
      </c>
      <c r="AN772" s="391">
        <v>41730</v>
      </c>
      <c r="AO772"/>
      <c r="AP772" s="391" t="s">
        <v>8819</v>
      </c>
      <c r="AQ772" s="227"/>
      <c r="AR772" s="227"/>
      <c r="AS772"/>
      <c r="AT772"/>
      <c r="AU772"/>
      <c r="AV772" s="391" t="s">
        <v>8819</v>
      </c>
      <c r="AW772"/>
      <c r="AX772" s="391" t="s">
        <v>8819</v>
      </c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>
        <v>51.5</v>
      </c>
      <c r="BT772"/>
      <c r="BU772">
        <v>17.5</v>
      </c>
      <c r="BV772"/>
      <c r="BW772" s="229"/>
      <c r="BX772"/>
      <c r="BY772"/>
      <c r="BZ772"/>
      <c r="CA772"/>
      <c r="CC772"/>
      <c r="CD772"/>
      <c r="CE772">
        <v>5.6</v>
      </c>
      <c r="CF772"/>
      <c r="CG772">
        <v>0.5</v>
      </c>
      <c r="CH772"/>
      <c r="CI772"/>
      <c r="CJ772"/>
      <c r="CK772" t="s">
        <v>8820</v>
      </c>
      <c r="CL772">
        <v>1</v>
      </c>
      <c r="CM772" s="392">
        <v>41802</v>
      </c>
    </row>
    <row r="773" spans="1:91" ht="15">
      <c r="A773" s="364" t="s">
        <v>7767</v>
      </c>
      <c r="B773" t="s">
        <v>267</v>
      </c>
      <c r="C773" t="s">
        <v>8213</v>
      </c>
      <c r="D773">
        <v>162</v>
      </c>
      <c r="E773" s="113">
        <v>28</v>
      </c>
      <c r="F773" s="113">
        <v>8</v>
      </c>
      <c r="I773"/>
      <c r="K773" s="224">
        <v>6</v>
      </c>
      <c r="L773" s="390">
        <v>41625</v>
      </c>
      <c r="M773"/>
      <c r="N773" s="224"/>
      <c r="O773"/>
      <c r="P773"/>
      <c r="Q773"/>
      <c r="S773" s="224"/>
      <c r="T773" s="224"/>
      <c r="U773"/>
      <c r="V773"/>
      <c r="W773"/>
      <c r="X773"/>
      <c r="Y773" s="225"/>
      <c r="Z773" s="224"/>
      <c r="AA773" s="226"/>
      <c r="AB773" s="224"/>
      <c r="AC773" s="225"/>
      <c r="AD773" s="224"/>
      <c r="AE773" s="224"/>
      <c r="AF773" s="224"/>
      <c r="AG773"/>
      <c r="AH773"/>
      <c r="AI773">
        <v>155</v>
      </c>
      <c r="AJ773" s="194">
        <v>41785</v>
      </c>
      <c r="AK773">
        <v>37</v>
      </c>
      <c r="AL773" s="395">
        <v>41677</v>
      </c>
      <c r="AM773">
        <v>93</v>
      </c>
      <c r="AN773" s="391">
        <v>41733</v>
      </c>
      <c r="AO773"/>
      <c r="AP773" s="391">
        <v>41737</v>
      </c>
      <c r="AQ773" s="227"/>
      <c r="AR773" s="227"/>
      <c r="AS773"/>
      <c r="AT773"/>
      <c r="AU773"/>
      <c r="AV773" s="391" t="s">
        <v>8819</v>
      </c>
      <c r="AW773"/>
      <c r="AX773" s="391" t="s">
        <v>8819</v>
      </c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>
        <v>52.2</v>
      </c>
      <c r="BT773"/>
      <c r="BU773">
        <v>15.7</v>
      </c>
      <c r="BV773"/>
      <c r="BW773" s="229"/>
      <c r="BX773"/>
      <c r="BY773"/>
      <c r="BZ773"/>
      <c r="CA773"/>
      <c r="CC773"/>
      <c r="CD773"/>
      <c r="CE773">
        <v>5.6</v>
      </c>
      <c r="CF773"/>
      <c r="CG773">
        <v>0.1</v>
      </c>
      <c r="CH773"/>
      <c r="CI773"/>
      <c r="CJ773"/>
      <c r="CK773" t="s">
        <v>8820</v>
      </c>
      <c r="CL773">
        <v>1</v>
      </c>
      <c r="CM773" s="392">
        <v>41802</v>
      </c>
    </row>
    <row r="774" spans="1:91" ht="15">
      <c r="A774" s="364" t="s">
        <v>7768</v>
      </c>
      <c r="B774" t="s">
        <v>267</v>
      </c>
      <c r="C774" t="s">
        <v>8213</v>
      </c>
      <c r="D774">
        <v>163</v>
      </c>
      <c r="E774" s="113">
        <v>6</v>
      </c>
      <c r="F774" s="113">
        <v>10</v>
      </c>
      <c r="I774"/>
      <c r="K774" s="224">
        <v>7</v>
      </c>
      <c r="L774" s="390">
        <v>41625</v>
      </c>
      <c r="M774"/>
      <c r="N774" s="224"/>
      <c r="O774"/>
      <c r="P774"/>
      <c r="Q774"/>
      <c r="S774" s="224"/>
      <c r="T774" s="224"/>
      <c r="U774"/>
      <c r="V774"/>
      <c r="W774"/>
      <c r="X774"/>
      <c r="Y774" s="225"/>
      <c r="Z774" s="224"/>
      <c r="AA774" s="226"/>
      <c r="AB774" s="224"/>
      <c r="AC774" s="225"/>
      <c r="AD774" s="224"/>
      <c r="AE774" s="224"/>
      <c r="AF774" s="224"/>
      <c r="AG774"/>
      <c r="AH774"/>
      <c r="AI774">
        <v>140</v>
      </c>
      <c r="AJ774" s="194">
        <v>41785</v>
      </c>
      <c r="AK774">
        <v>37</v>
      </c>
      <c r="AL774" s="395">
        <v>41677</v>
      </c>
      <c r="AM774">
        <v>90</v>
      </c>
      <c r="AN774" s="391">
        <v>41730</v>
      </c>
      <c r="AO774"/>
      <c r="AP774" s="391" t="s">
        <v>8819</v>
      </c>
      <c r="AQ774" s="227"/>
      <c r="AR774" s="227"/>
      <c r="AS774"/>
      <c r="AT774"/>
      <c r="AU774"/>
      <c r="AV774" s="391" t="s">
        <v>8819</v>
      </c>
      <c r="AW774"/>
      <c r="AX774" s="391" t="s">
        <v>8819</v>
      </c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>
        <v>51.9</v>
      </c>
      <c r="BT774"/>
      <c r="BU774">
        <v>17.3</v>
      </c>
      <c r="BV774"/>
      <c r="BW774" s="229"/>
      <c r="BX774"/>
      <c r="BY774"/>
      <c r="BZ774"/>
      <c r="CA774"/>
      <c r="CC774"/>
      <c r="CD774"/>
      <c r="CE774">
        <v>5.5</v>
      </c>
      <c r="CF774"/>
      <c r="CG774">
        <v>0.2</v>
      </c>
      <c r="CH774"/>
      <c r="CI774"/>
      <c r="CJ774"/>
      <c r="CK774" t="s">
        <v>8820</v>
      </c>
      <c r="CL774">
        <v>1</v>
      </c>
      <c r="CM774" s="392">
        <v>41802</v>
      </c>
    </row>
    <row r="775" spans="1:91" ht="15">
      <c r="A775" s="364" t="s">
        <v>7769</v>
      </c>
      <c r="B775" t="s">
        <v>267</v>
      </c>
      <c r="C775" t="s">
        <v>8213</v>
      </c>
      <c r="D775">
        <v>164</v>
      </c>
      <c r="E775" s="113">
        <v>4</v>
      </c>
      <c r="F775" s="113">
        <v>10</v>
      </c>
      <c r="I775"/>
      <c r="K775" s="224">
        <v>6</v>
      </c>
      <c r="L775" s="390">
        <v>41625</v>
      </c>
      <c r="M775"/>
      <c r="N775" s="224"/>
      <c r="O775"/>
      <c r="P775"/>
      <c r="Q775"/>
      <c r="S775" s="224"/>
      <c r="T775" s="224"/>
      <c r="U775"/>
      <c r="V775"/>
      <c r="W775"/>
      <c r="X775"/>
      <c r="Y775" s="225"/>
      <c r="Z775" s="224"/>
      <c r="AA775" s="226"/>
      <c r="AB775" s="224"/>
      <c r="AC775" s="225"/>
      <c r="AD775" s="224"/>
      <c r="AE775" s="224"/>
      <c r="AF775" s="224"/>
      <c r="AG775"/>
      <c r="AH775"/>
      <c r="AI775">
        <v>135</v>
      </c>
      <c r="AJ775" s="194">
        <v>41785</v>
      </c>
      <c r="AK775">
        <v>37</v>
      </c>
      <c r="AL775" s="395">
        <v>41677</v>
      </c>
      <c r="AM775">
        <v>93</v>
      </c>
      <c r="AN775" s="391">
        <v>41733</v>
      </c>
      <c r="AO775"/>
      <c r="AP775" s="391" t="s">
        <v>8819</v>
      </c>
      <c r="AQ775" s="227"/>
      <c r="AR775" s="227"/>
      <c r="AS775"/>
      <c r="AT775"/>
      <c r="AU775"/>
      <c r="AV775" s="391" t="s">
        <v>8819</v>
      </c>
      <c r="AW775"/>
      <c r="AX775" s="391" t="s">
        <v>8819</v>
      </c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>
        <v>50.3</v>
      </c>
      <c r="BT775"/>
      <c r="BU775">
        <v>16.399999999999999</v>
      </c>
      <c r="BV775"/>
      <c r="BW775" s="229"/>
      <c r="BX775"/>
      <c r="BY775"/>
      <c r="BZ775"/>
      <c r="CA775"/>
      <c r="CC775"/>
      <c r="CD775"/>
      <c r="CE775">
        <v>5.9</v>
      </c>
      <c r="CF775"/>
      <c r="CG775">
        <v>0.4</v>
      </c>
      <c r="CH775"/>
      <c r="CI775"/>
      <c r="CJ775"/>
      <c r="CK775" t="s">
        <v>8820</v>
      </c>
      <c r="CL775">
        <v>1</v>
      </c>
      <c r="CM775" s="392">
        <v>41802</v>
      </c>
    </row>
    <row r="776" spans="1:91" ht="15">
      <c r="A776" s="364" t="s">
        <v>7770</v>
      </c>
      <c r="B776" t="s">
        <v>267</v>
      </c>
      <c r="C776" t="s">
        <v>8213</v>
      </c>
      <c r="D776">
        <v>165</v>
      </c>
      <c r="E776" s="113">
        <v>1</v>
      </c>
      <c r="F776" s="113">
        <v>8</v>
      </c>
      <c r="I776"/>
      <c r="K776" s="224">
        <v>6</v>
      </c>
      <c r="L776" s="390">
        <v>41625</v>
      </c>
      <c r="M776"/>
      <c r="N776" s="224"/>
      <c r="O776"/>
      <c r="P776"/>
      <c r="Q776"/>
      <c r="S776" s="224"/>
      <c r="T776" s="224"/>
      <c r="U776"/>
      <c r="V776"/>
      <c r="W776"/>
      <c r="X776"/>
      <c r="Y776" s="225"/>
      <c r="Z776" s="224"/>
      <c r="AA776" s="226"/>
      <c r="AB776" s="224"/>
      <c r="AC776" s="225"/>
      <c r="AD776" s="224"/>
      <c r="AE776" s="224"/>
      <c r="AF776" s="224"/>
      <c r="AG776"/>
      <c r="AH776"/>
      <c r="AI776">
        <v>145</v>
      </c>
      <c r="AJ776" s="194">
        <v>41785</v>
      </c>
      <c r="AK776">
        <v>31</v>
      </c>
      <c r="AL776" s="395">
        <v>41671</v>
      </c>
      <c r="AM776">
        <v>93</v>
      </c>
      <c r="AN776" s="391">
        <v>41733</v>
      </c>
      <c r="AO776"/>
      <c r="AP776" s="391" t="s">
        <v>8819</v>
      </c>
      <c r="AQ776" s="227"/>
      <c r="AR776" s="227"/>
      <c r="AS776"/>
      <c r="AT776"/>
      <c r="AU776"/>
      <c r="AV776" s="391" t="s">
        <v>8819</v>
      </c>
      <c r="AW776"/>
      <c r="AX776" s="391" t="s">
        <v>8819</v>
      </c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>
        <v>51</v>
      </c>
      <c r="BT776"/>
      <c r="BU776">
        <v>17.899999999999999</v>
      </c>
      <c r="BV776"/>
      <c r="BW776" s="229"/>
      <c r="BX776"/>
      <c r="BY776"/>
      <c r="BZ776"/>
      <c r="CA776"/>
      <c r="CC776"/>
      <c r="CD776"/>
      <c r="CE776">
        <v>5.7</v>
      </c>
      <c r="CF776"/>
      <c r="CG776">
        <v>0.1</v>
      </c>
      <c r="CH776"/>
      <c r="CI776"/>
      <c r="CJ776"/>
      <c r="CK776" t="s">
        <v>8820</v>
      </c>
      <c r="CL776">
        <v>1</v>
      </c>
      <c r="CM776" s="392">
        <v>41802</v>
      </c>
    </row>
    <row r="777" spans="1:91" ht="15">
      <c r="A777" s="364" t="s">
        <v>7771</v>
      </c>
      <c r="B777" t="s">
        <v>267</v>
      </c>
      <c r="C777" t="s">
        <v>8213</v>
      </c>
      <c r="D777">
        <v>166</v>
      </c>
      <c r="E777" s="113">
        <v>2</v>
      </c>
      <c r="F777" s="113">
        <v>7</v>
      </c>
      <c r="I777"/>
      <c r="K777" s="224">
        <v>7</v>
      </c>
      <c r="L777" s="390">
        <v>41625</v>
      </c>
      <c r="M777"/>
      <c r="N777" s="224"/>
      <c r="O777"/>
      <c r="P777"/>
      <c r="Q777"/>
      <c r="S777" s="224"/>
      <c r="T777" s="224"/>
      <c r="U777"/>
      <c r="V777"/>
      <c r="W777"/>
      <c r="X777"/>
      <c r="Y777" s="225"/>
      <c r="Z777" s="224"/>
      <c r="AA777" s="226"/>
      <c r="AB777" s="224"/>
      <c r="AC777" s="225"/>
      <c r="AD777" s="224"/>
      <c r="AE777" s="224"/>
      <c r="AF777" s="224"/>
      <c r="AG777"/>
      <c r="AH777"/>
      <c r="AI777">
        <v>135</v>
      </c>
      <c r="AJ777" s="194">
        <v>41785</v>
      </c>
      <c r="AK777">
        <v>37</v>
      </c>
      <c r="AL777" s="395">
        <v>41677</v>
      </c>
      <c r="AM777">
        <v>90</v>
      </c>
      <c r="AN777" s="391">
        <v>41730</v>
      </c>
      <c r="AO777"/>
      <c r="AP777" s="391" t="s">
        <v>8819</v>
      </c>
      <c r="AQ777" s="227"/>
      <c r="AR777" s="227"/>
      <c r="AS777"/>
      <c r="AT777"/>
      <c r="AU777"/>
      <c r="AV777" s="391">
        <v>41737</v>
      </c>
      <c r="AW777">
        <v>111</v>
      </c>
      <c r="AX777" s="391">
        <v>41751</v>
      </c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>
        <v>50.2</v>
      </c>
      <c r="BT777"/>
      <c r="BU777">
        <v>17.899999999999999</v>
      </c>
      <c r="BV777"/>
      <c r="BW777" s="229"/>
      <c r="BX777"/>
      <c r="BY777"/>
      <c r="BZ777"/>
      <c r="CA777"/>
      <c r="CC777"/>
      <c r="CD777"/>
      <c r="CE777">
        <v>5.4</v>
      </c>
      <c r="CF777"/>
      <c r="CG777">
        <v>0.8</v>
      </c>
      <c r="CH777"/>
      <c r="CI777"/>
      <c r="CJ777"/>
      <c r="CK777" t="s">
        <v>8820</v>
      </c>
      <c r="CL777">
        <v>1</v>
      </c>
      <c r="CM777" s="392">
        <v>41802</v>
      </c>
    </row>
    <row r="778" spans="1:91" ht="15">
      <c r="A778" s="364" t="s">
        <v>7772</v>
      </c>
      <c r="B778" t="s">
        <v>267</v>
      </c>
      <c r="C778" t="s">
        <v>8213</v>
      </c>
      <c r="D778">
        <v>167</v>
      </c>
      <c r="E778" s="113">
        <v>21</v>
      </c>
      <c r="F778" s="113">
        <v>11</v>
      </c>
      <c r="I778"/>
      <c r="K778" s="224">
        <v>7</v>
      </c>
      <c r="L778" s="390">
        <v>41625</v>
      </c>
      <c r="M778"/>
      <c r="N778" s="224"/>
      <c r="O778"/>
      <c r="P778"/>
      <c r="Q778"/>
      <c r="S778" s="224"/>
      <c r="T778" s="224"/>
      <c r="U778"/>
      <c r="V778"/>
      <c r="W778"/>
      <c r="X778"/>
      <c r="Y778" s="225"/>
      <c r="Z778" s="224"/>
      <c r="AA778" s="226"/>
      <c r="AB778" s="224"/>
      <c r="AC778" s="225"/>
      <c r="AD778" s="224"/>
      <c r="AE778" s="224"/>
      <c r="AF778" s="224"/>
      <c r="AG778"/>
      <c r="AH778"/>
      <c r="AI778">
        <v>135</v>
      </c>
      <c r="AJ778" s="194">
        <v>41785</v>
      </c>
      <c r="AK778">
        <v>37</v>
      </c>
      <c r="AL778" s="395">
        <v>41677</v>
      </c>
      <c r="AM778">
        <v>93</v>
      </c>
      <c r="AN778" s="391">
        <v>41733</v>
      </c>
      <c r="AO778"/>
      <c r="AP778" s="391" t="s">
        <v>8819</v>
      </c>
      <c r="AQ778" s="227"/>
      <c r="AR778" s="227"/>
      <c r="AS778"/>
      <c r="AT778"/>
      <c r="AU778"/>
      <c r="AV778" s="391" t="s">
        <v>8819</v>
      </c>
      <c r="AW778"/>
      <c r="AX778" s="391" t="s">
        <v>8819</v>
      </c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>
        <v>53.1</v>
      </c>
      <c r="BT778"/>
      <c r="BU778">
        <v>16.2</v>
      </c>
      <c r="BV778"/>
      <c r="BW778" s="229"/>
      <c r="BX778"/>
      <c r="BY778"/>
      <c r="BZ778"/>
      <c r="CA778"/>
      <c r="CC778"/>
      <c r="CD778"/>
      <c r="CE778">
        <v>5.2</v>
      </c>
      <c r="CF778"/>
      <c r="CG778">
        <v>0.1</v>
      </c>
      <c r="CH778"/>
      <c r="CI778"/>
      <c r="CJ778"/>
      <c r="CK778" t="s">
        <v>8820</v>
      </c>
      <c r="CL778">
        <v>1</v>
      </c>
      <c r="CM778" s="392">
        <v>41802</v>
      </c>
    </row>
    <row r="779" spans="1:91" ht="15">
      <c r="A779" s="364" t="s">
        <v>7773</v>
      </c>
      <c r="B779" t="s">
        <v>267</v>
      </c>
      <c r="C779" t="s">
        <v>8213</v>
      </c>
      <c r="D779">
        <v>168</v>
      </c>
      <c r="E779" s="113">
        <v>2</v>
      </c>
      <c r="F779" s="113">
        <v>9</v>
      </c>
      <c r="I779"/>
      <c r="K779" s="224">
        <v>5</v>
      </c>
      <c r="L779" s="390">
        <v>41625</v>
      </c>
      <c r="M779"/>
      <c r="N779" s="224"/>
      <c r="O779"/>
      <c r="P779"/>
      <c r="Q779"/>
      <c r="S779" s="224"/>
      <c r="T779" s="224"/>
      <c r="U779"/>
      <c r="V779"/>
      <c r="W779"/>
      <c r="X779"/>
      <c r="Y779" s="225"/>
      <c r="Z779" s="224"/>
      <c r="AA779" s="226"/>
      <c r="AB779" s="224"/>
      <c r="AC779" s="225"/>
      <c r="AD779" s="224"/>
      <c r="AE779" s="224"/>
      <c r="AF779" s="224"/>
      <c r="AG779"/>
      <c r="AH779"/>
      <c r="AI779">
        <v>145</v>
      </c>
      <c r="AJ779" s="194">
        <v>41785</v>
      </c>
      <c r="AK779">
        <v>31</v>
      </c>
      <c r="AL779" s="395">
        <v>41671</v>
      </c>
      <c r="AM779">
        <v>90</v>
      </c>
      <c r="AN779" s="391">
        <v>41730</v>
      </c>
      <c r="AO779"/>
      <c r="AP779" s="391" t="s">
        <v>8819</v>
      </c>
      <c r="AQ779" s="227"/>
      <c r="AR779" s="227"/>
      <c r="AS779"/>
      <c r="AT779"/>
      <c r="AU779"/>
      <c r="AV779" s="391" t="s">
        <v>8819</v>
      </c>
      <c r="AW779"/>
      <c r="AX779" s="391" t="s">
        <v>8819</v>
      </c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>
        <v>52.7</v>
      </c>
      <c r="BT779"/>
      <c r="BU779">
        <v>15.8</v>
      </c>
      <c r="BV779"/>
      <c r="BW779" s="229"/>
      <c r="BX779"/>
      <c r="BY779"/>
      <c r="BZ779"/>
      <c r="CA779"/>
      <c r="CC779"/>
      <c r="CD779"/>
      <c r="CE779">
        <v>5.7</v>
      </c>
      <c r="CF779"/>
      <c r="CG779">
        <v>0.2</v>
      </c>
      <c r="CH779"/>
      <c r="CI779"/>
      <c r="CJ779"/>
      <c r="CK779" t="s">
        <v>8820</v>
      </c>
      <c r="CL779">
        <v>1</v>
      </c>
      <c r="CM779" s="392">
        <v>41802</v>
      </c>
    </row>
    <row r="780" spans="1:91" ht="15">
      <c r="A780" s="364" t="s">
        <v>7774</v>
      </c>
      <c r="B780" t="s">
        <v>267</v>
      </c>
      <c r="C780" t="s">
        <v>8213</v>
      </c>
      <c r="D780">
        <v>169</v>
      </c>
      <c r="E780" s="113">
        <v>12</v>
      </c>
      <c r="F780" s="113">
        <v>12</v>
      </c>
      <c r="I780"/>
      <c r="K780" s="224">
        <v>7</v>
      </c>
      <c r="L780" s="390">
        <v>41625</v>
      </c>
      <c r="M780"/>
      <c r="N780" s="224"/>
      <c r="O780"/>
      <c r="P780"/>
      <c r="Q780"/>
      <c r="S780" s="224"/>
      <c r="T780" s="224"/>
      <c r="U780"/>
      <c r="V780"/>
      <c r="W780"/>
      <c r="X780"/>
      <c r="Y780" s="225"/>
      <c r="Z780" s="224"/>
      <c r="AA780" s="226"/>
      <c r="AB780" s="224"/>
      <c r="AC780" s="225"/>
      <c r="AD780" s="224"/>
      <c r="AE780" s="224"/>
      <c r="AF780" s="224"/>
      <c r="AG780"/>
      <c r="AH780"/>
      <c r="AI780">
        <v>155</v>
      </c>
      <c r="AJ780" s="194">
        <v>41785</v>
      </c>
      <c r="AK780">
        <v>37</v>
      </c>
      <c r="AL780" s="395">
        <v>41677</v>
      </c>
      <c r="AM780">
        <v>90</v>
      </c>
      <c r="AN780" s="391">
        <v>41730</v>
      </c>
      <c r="AO780"/>
      <c r="AP780" s="391" t="s">
        <v>8819</v>
      </c>
      <c r="AQ780" s="227"/>
      <c r="AR780" s="227"/>
      <c r="AS780"/>
      <c r="AT780"/>
      <c r="AU780"/>
      <c r="AV780" s="391">
        <v>41737</v>
      </c>
      <c r="AW780"/>
      <c r="AX780" s="391" t="s">
        <v>8819</v>
      </c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>
        <v>52.3</v>
      </c>
      <c r="BT780"/>
      <c r="BU780">
        <v>16.899999999999999</v>
      </c>
      <c r="BV780"/>
      <c r="BW780" s="229"/>
      <c r="BX780"/>
      <c r="BY780"/>
      <c r="BZ780"/>
      <c r="CA780"/>
      <c r="CC780"/>
      <c r="CD780"/>
      <c r="CE780">
        <v>6.1</v>
      </c>
      <c r="CF780"/>
      <c r="CG780">
        <v>0.2</v>
      </c>
      <c r="CH780"/>
      <c r="CI780"/>
      <c r="CJ780"/>
      <c r="CK780" t="s">
        <v>8820</v>
      </c>
      <c r="CL780">
        <v>1</v>
      </c>
      <c r="CM780" s="392">
        <v>41802</v>
      </c>
    </row>
    <row r="781" spans="1:91" ht="15">
      <c r="A781" s="364" t="s">
        <v>7775</v>
      </c>
      <c r="B781" t="s">
        <v>267</v>
      </c>
      <c r="C781" t="s">
        <v>8213</v>
      </c>
      <c r="D781">
        <v>170</v>
      </c>
      <c r="E781" s="113">
        <v>8</v>
      </c>
      <c r="F781" s="113">
        <v>9</v>
      </c>
      <c r="G781" s="233"/>
      <c r="H781" s="233"/>
      <c r="I781" s="232"/>
      <c r="J781" s="234"/>
      <c r="K781" s="235">
        <v>6</v>
      </c>
      <c r="L781" s="390">
        <v>41625</v>
      </c>
      <c r="M781" s="232"/>
      <c r="N781" s="235"/>
      <c r="O781" s="232"/>
      <c r="P781" s="232"/>
      <c r="Q781" s="232"/>
      <c r="R781" s="236"/>
      <c r="S781" s="235"/>
      <c r="T781" s="235"/>
      <c r="U781" s="232"/>
      <c r="V781" s="232"/>
      <c r="W781" s="232"/>
      <c r="X781" s="232"/>
      <c r="Y781" s="237"/>
      <c r="Z781" s="235"/>
      <c r="AA781" s="238"/>
      <c r="AB781" s="235"/>
      <c r="AC781" s="237"/>
      <c r="AD781" s="235"/>
      <c r="AE781" s="235"/>
      <c r="AF781" s="235"/>
      <c r="AG781" s="232"/>
      <c r="AH781" s="232"/>
      <c r="AI781" s="232">
        <v>155</v>
      </c>
      <c r="AJ781" s="194">
        <v>41785</v>
      </c>
      <c r="AK781" s="232">
        <v>31</v>
      </c>
      <c r="AL781" s="395">
        <v>41671</v>
      </c>
      <c r="AM781" s="232">
        <v>90</v>
      </c>
      <c r="AN781" s="391">
        <v>41730</v>
      </c>
      <c r="AO781" s="232"/>
      <c r="AP781" s="391" t="s">
        <v>8819</v>
      </c>
      <c r="AQ781" s="239"/>
      <c r="AR781" s="239"/>
      <c r="AS781" s="232"/>
      <c r="AT781" s="232"/>
      <c r="AU781" s="232"/>
      <c r="AV781" s="391" t="s">
        <v>8819</v>
      </c>
      <c r="AW781" s="232">
        <v>111</v>
      </c>
      <c r="AX781" s="391">
        <v>41751</v>
      </c>
      <c r="AY781" s="232"/>
      <c r="AZ781" s="232"/>
      <c r="BA781" s="232"/>
      <c r="BB781" s="232"/>
      <c r="BC781" s="232"/>
      <c r="BD781" s="232"/>
      <c r="BE781" s="232"/>
      <c r="BF781" s="232"/>
      <c r="BG781" s="232"/>
      <c r="BH781" s="232"/>
      <c r="BI781" s="232"/>
      <c r="BJ781" s="232"/>
      <c r="BK781" s="232"/>
      <c r="BL781" s="232"/>
      <c r="BM781" s="232"/>
      <c r="BN781" s="232"/>
      <c r="BO781" s="232"/>
      <c r="BP781" s="232"/>
      <c r="BQ781" s="232"/>
      <c r="BR781" s="232"/>
      <c r="BS781" s="232">
        <v>51.4</v>
      </c>
      <c r="BT781" s="232"/>
      <c r="BU781" s="232">
        <v>17.3</v>
      </c>
      <c r="BV781" s="232"/>
      <c r="BW781" s="240"/>
      <c r="BX781" s="232"/>
      <c r="BY781" s="232"/>
      <c r="BZ781" s="232"/>
      <c r="CA781" s="232"/>
      <c r="CB781" s="241"/>
      <c r="CC781" s="232"/>
      <c r="CD781" s="232"/>
      <c r="CE781" s="232">
        <v>5.0999999999999996</v>
      </c>
      <c r="CF781" s="232"/>
      <c r="CG781" s="232">
        <v>0</v>
      </c>
      <c r="CH781" s="232"/>
      <c r="CI781" s="232"/>
      <c r="CJ781" s="232"/>
      <c r="CK781" t="s">
        <v>8820</v>
      </c>
      <c r="CL781" s="232">
        <v>1</v>
      </c>
      <c r="CM781" s="392">
        <v>41802</v>
      </c>
    </row>
    <row r="782" spans="1:91" ht="15">
      <c r="A782" s="364" t="s">
        <v>7776</v>
      </c>
      <c r="B782" t="s">
        <v>267</v>
      </c>
      <c r="C782" t="s">
        <v>8213</v>
      </c>
      <c r="D782">
        <v>171</v>
      </c>
      <c r="E782" s="113">
        <v>10</v>
      </c>
      <c r="F782" s="113">
        <v>10</v>
      </c>
      <c r="I782"/>
      <c r="K782" s="224">
        <v>7</v>
      </c>
      <c r="L782" s="390">
        <v>41625</v>
      </c>
      <c r="M782"/>
      <c r="N782" s="224"/>
      <c r="O782"/>
      <c r="P782"/>
      <c r="Q782"/>
      <c r="S782" s="224"/>
      <c r="T782" s="224"/>
      <c r="U782"/>
      <c r="V782"/>
      <c r="W782"/>
      <c r="X782"/>
      <c r="Y782" s="225"/>
      <c r="Z782" s="224"/>
      <c r="AA782" s="226"/>
      <c r="AB782" s="224"/>
      <c r="AC782" s="225"/>
      <c r="AD782" s="224"/>
      <c r="AE782" s="224"/>
      <c r="AF782" s="224"/>
      <c r="AG782"/>
      <c r="AH782"/>
      <c r="AI782">
        <v>140</v>
      </c>
      <c r="AJ782" s="194">
        <v>41785</v>
      </c>
      <c r="AK782">
        <v>37</v>
      </c>
      <c r="AL782" s="395">
        <v>41677</v>
      </c>
      <c r="AM782">
        <v>93</v>
      </c>
      <c r="AN782" s="391">
        <v>41733</v>
      </c>
      <c r="AO782"/>
      <c r="AP782" s="391" t="s">
        <v>8819</v>
      </c>
      <c r="AQ782" s="227"/>
      <c r="AR782" s="227"/>
      <c r="AS782"/>
      <c r="AT782"/>
      <c r="AU782"/>
      <c r="AV782" s="391">
        <v>41737</v>
      </c>
      <c r="AW782"/>
      <c r="AX782" s="391" t="s">
        <v>8819</v>
      </c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>
        <v>51.6</v>
      </c>
      <c r="BT782"/>
      <c r="BU782">
        <v>16.3</v>
      </c>
      <c r="BV782"/>
      <c r="BW782" s="229"/>
      <c r="BX782"/>
      <c r="BY782"/>
      <c r="BZ782"/>
      <c r="CA782"/>
      <c r="CC782"/>
      <c r="CD782"/>
      <c r="CE782">
        <v>5.8</v>
      </c>
      <c r="CF782"/>
      <c r="CG782">
        <v>0.1</v>
      </c>
      <c r="CH782"/>
      <c r="CI782"/>
      <c r="CJ782"/>
      <c r="CK782" t="s">
        <v>8820</v>
      </c>
      <c r="CL782">
        <v>3</v>
      </c>
      <c r="CM782" s="392">
        <v>41802</v>
      </c>
    </row>
    <row r="783" spans="1:91" ht="15">
      <c r="A783" s="364" t="s">
        <v>7777</v>
      </c>
      <c r="B783" t="s">
        <v>267</v>
      </c>
      <c r="C783" t="s">
        <v>8213</v>
      </c>
      <c r="D783" s="232">
        <v>172</v>
      </c>
      <c r="E783" s="113">
        <v>10</v>
      </c>
      <c r="F783" s="113">
        <v>9</v>
      </c>
      <c r="I783"/>
      <c r="K783" s="224">
        <v>7</v>
      </c>
      <c r="L783" s="390">
        <v>41625</v>
      </c>
      <c r="M783"/>
      <c r="N783" s="224"/>
      <c r="O783"/>
      <c r="P783"/>
      <c r="Q783"/>
      <c r="S783" s="224"/>
      <c r="T783" s="224"/>
      <c r="U783"/>
      <c r="V783"/>
      <c r="W783"/>
      <c r="X783"/>
      <c r="Y783" s="225"/>
      <c r="Z783" s="224"/>
      <c r="AA783" s="226"/>
      <c r="AB783" s="224"/>
      <c r="AC783" s="225"/>
      <c r="AD783" s="224"/>
      <c r="AE783" s="224"/>
      <c r="AF783" s="224"/>
      <c r="AG783"/>
      <c r="AH783"/>
      <c r="AI783">
        <v>150</v>
      </c>
      <c r="AJ783" s="194">
        <v>41785</v>
      </c>
      <c r="AK783">
        <v>37</v>
      </c>
      <c r="AL783" s="395">
        <v>41677</v>
      </c>
      <c r="AM783">
        <v>93</v>
      </c>
      <c r="AN783" s="391">
        <v>41733</v>
      </c>
      <c r="AO783"/>
      <c r="AP783" s="391" t="s">
        <v>8819</v>
      </c>
      <c r="AQ783" s="227"/>
      <c r="AR783" s="227"/>
      <c r="AS783"/>
      <c r="AT783"/>
      <c r="AU783"/>
      <c r="AV783" s="391">
        <v>41737</v>
      </c>
      <c r="AW783"/>
      <c r="AX783" s="391" t="s">
        <v>8819</v>
      </c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>
        <v>51.3</v>
      </c>
      <c r="BT783"/>
      <c r="BU783">
        <v>16.5</v>
      </c>
      <c r="BV783"/>
      <c r="BW783" s="229"/>
      <c r="BX783"/>
      <c r="BY783"/>
      <c r="BZ783"/>
      <c r="CA783"/>
      <c r="CC783"/>
      <c r="CD783"/>
      <c r="CE783">
        <v>5.6</v>
      </c>
      <c r="CF783"/>
      <c r="CG783">
        <v>0.1</v>
      </c>
      <c r="CH783"/>
      <c r="CI783"/>
      <c r="CJ783"/>
      <c r="CK783" t="s">
        <v>8820</v>
      </c>
      <c r="CL783">
        <v>1</v>
      </c>
      <c r="CM783" s="392">
        <v>41802</v>
      </c>
    </row>
    <row r="784" spans="1:91" ht="15">
      <c r="A784" s="364" t="s">
        <v>7778</v>
      </c>
      <c r="B784" t="s">
        <v>267</v>
      </c>
      <c r="C784" t="s">
        <v>8213</v>
      </c>
      <c r="D784">
        <v>173</v>
      </c>
      <c r="E784" s="113">
        <v>22</v>
      </c>
      <c r="F784" s="113">
        <v>9</v>
      </c>
      <c r="I784"/>
      <c r="K784" s="224">
        <v>5</v>
      </c>
      <c r="L784" s="390">
        <v>41625</v>
      </c>
      <c r="M784"/>
      <c r="N784" s="224"/>
      <c r="O784"/>
      <c r="P784"/>
      <c r="Q784"/>
      <c r="S784" s="224"/>
      <c r="T784" s="224"/>
      <c r="U784"/>
      <c r="V784"/>
      <c r="W784"/>
      <c r="X784"/>
      <c r="Y784" s="225"/>
      <c r="Z784" s="224"/>
      <c r="AA784" s="226"/>
      <c r="AB784" s="224"/>
      <c r="AC784" s="225"/>
      <c r="AD784" s="224"/>
      <c r="AE784" s="224"/>
      <c r="AF784" s="224"/>
      <c r="AG784"/>
      <c r="AH784"/>
      <c r="AI784">
        <v>145</v>
      </c>
      <c r="AJ784" s="194">
        <v>41785</v>
      </c>
      <c r="AK784">
        <v>37</v>
      </c>
      <c r="AL784" s="395">
        <v>41677</v>
      </c>
      <c r="AM784">
        <v>93</v>
      </c>
      <c r="AN784" s="391">
        <v>41733</v>
      </c>
      <c r="AO784"/>
      <c r="AP784" s="391" t="s">
        <v>8819</v>
      </c>
      <c r="AQ784" s="227"/>
      <c r="AR784" s="227"/>
      <c r="AS784"/>
      <c r="AT784"/>
      <c r="AU784"/>
      <c r="AV784" s="391">
        <v>41737</v>
      </c>
      <c r="AW784"/>
      <c r="AX784" s="391" t="s">
        <v>8819</v>
      </c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>
        <v>51.3</v>
      </c>
      <c r="BT784"/>
      <c r="BU784">
        <v>16.5</v>
      </c>
      <c r="BV784"/>
      <c r="BW784" s="229"/>
      <c r="BX784"/>
      <c r="BY784"/>
      <c r="BZ784"/>
      <c r="CA784"/>
      <c r="CC784"/>
      <c r="CD784"/>
      <c r="CE784">
        <v>5.8</v>
      </c>
      <c r="CF784"/>
      <c r="CG784">
        <v>0.3</v>
      </c>
      <c r="CH784"/>
      <c r="CI784"/>
      <c r="CJ784"/>
      <c r="CK784" t="s">
        <v>8820</v>
      </c>
      <c r="CL784">
        <v>1</v>
      </c>
      <c r="CM784" s="392">
        <v>41802</v>
      </c>
    </row>
    <row r="785" spans="1:91" ht="15">
      <c r="A785" s="364" t="s">
        <v>7780</v>
      </c>
      <c r="B785" t="s">
        <v>267</v>
      </c>
      <c r="C785" t="s">
        <v>8213</v>
      </c>
      <c r="D785">
        <v>175</v>
      </c>
      <c r="E785" s="113">
        <v>30</v>
      </c>
      <c r="F785" s="113">
        <v>10</v>
      </c>
      <c r="I785"/>
      <c r="K785" s="224">
        <v>7</v>
      </c>
      <c r="L785" s="390">
        <v>41625</v>
      </c>
      <c r="M785"/>
      <c r="N785" s="224"/>
      <c r="O785"/>
      <c r="P785"/>
      <c r="Q785"/>
      <c r="S785" s="224"/>
      <c r="T785" s="224"/>
      <c r="U785"/>
      <c r="V785"/>
      <c r="W785"/>
      <c r="X785"/>
      <c r="Y785" s="225"/>
      <c r="Z785" s="224"/>
      <c r="AA785" s="226"/>
      <c r="AB785" s="224"/>
      <c r="AC785" s="225"/>
      <c r="AD785" s="224"/>
      <c r="AE785" s="224"/>
      <c r="AF785" s="224"/>
      <c r="AG785"/>
      <c r="AH785"/>
      <c r="AI785">
        <v>150</v>
      </c>
      <c r="AJ785" s="194">
        <v>41785</v>
      </c>
      <c r="AK785">
        <v>37</v>
      </c>
      <c r="AL785" s="395">
        <v>41677</v>
      </c>
      <c r="AM785">
        <v>93</v>
      </c>
      <c r="AN785" s="391">
        <v>41733</v>
      </c>
      <c r="AO785"/>
      <c r="AP785" s="391" t="s">
        <v>8819</v>
      </c>
      <c r="AQ785" s="227"/>
      <c r="AR785" s="227"/>
      <c r="AS785"/>
      <c r="AT785"/>
      <c r="AU785"/>
      <c r="AV785" s="391" t="s">
        <v>8819</v>
      </c>
      <c r="AW785"/>
      <c r="AX785" s="391" t="s">
        <v>8819</v>
      </c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>
        <v>51.5</v>
      </c>
      <c r="BT785"/>
      <c r="BU785">
        <v>16.2</v>
      </c>
      <c r="BV785"/>
      <c r="BW785" s="229"/>
      <c r="BX785"/>
      <c r="BY785"/>
      <c r="BZ785"/>
      <c r="CA785"/>
      <c r="CC785"/>
      <c r="CD785"/>
      <c r="CE785">
        <v>6.7</v>
      </c>
      <c r="CF785"/>
      <c r="CG785">
        <v>0.1</v>
      </c>
      <c r="CH785"/>
      <c r="CI785"/>
      <c r="CJ785"/>
      <c r="CK785" t="s">
        <v>8820</v>
      </c>
      <c r="CL785">
        <v>1</v>
      </c>
      <c r="CM785" s="392">
        <v>41802</v>
      </c>
    </row>
    <row r="786" spans="1:91" ht="15">
      <c r="A786" s="364" t="s">
        <v>7782</v>
      </c>
      <c r="B786" t="s">
        <v>267</v>
      </c>
      <c r="C786" t="s">
        <v>8213</v>
      </c>
      <c r="D786">
        <v>177</v>
      </c>
      <c r="E786" s="113">
        <v>24</v>
      </c>
      <c r="F786" s="113">
        <v>8</v>
      </c>
      <c r="I786"/>
      <c r="K786" s="224">
        <v>7</v>
      </c>
      <c r="L786" s="390">
        <v>41625</v>
      </c>
      <c r="M786"/>
      <c r="N786" s="224"/>
      <c r="O786"/>
      <c r="P786"/>
      <c r="Q786"/>
      <c r="S786" s="224"/>
      <c r="T786" s="224"/>
      <c r="U786"/>
      <c r="V786"/>
      <c r="W786"/>
      <c r="X786"/>
      <c r="Y786" s="225"/>
      <c r="Z786" s="224"/>
      <c r="AA786" s="226"/>
      <c r="AB786" s="224"/>
      <c r="AC786" s="225"/>
      <c r="AD786" s="224"/>
      <c r="AE786" s="224"/>
      <c r="AF786" s="224"/>
      <c r="AG786"/>
      <c r="AH786"/>
      <c r="AI786">
        <v>145</v>
      </c>
      <c r="AJ786" s="194">
        <v>41785</v>
      </c>
      <c r="AK786">
        <v>37</v>
      </c>
      <c r="AL786" s="395">
        <v>41677</v>
      </c>
      <c r="AM786">
        <v>90</v>
      </c>
      <c r="AN786" s="391">
        <v>41730</v>
      </c>
      <c r="AO786"/>
      <c r="AP786" s="391" t="s">
        <v>8819</v>
      </c>
      <c r="AQ786" s="227"/>
      <c r="AR786" s="227"/>
      <c r="AS786"/>
      <c r="AT786"/>
      <c r="AU786"/>
      <c r="AV786" s="391">
        <v>41737</v>
      </c>
      <c r="AW786"/>
      <c r="AX786" s="391" t="s">
        <v>8819</v>
      </c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>
        <v>50.9</v>
      </c>
      <c r="BT786"/>
      <c r="BU786">
        <v>17.7</v>
      </c>
      <c r="BV786"/>
      <c r="BW786" s="229"/>
      <c r="BX786"/>
      <c r="BY786"/>
      <c r="BZ786"/>
      <c r="CA786"/>
      <c r="CC786"/>
      <c r="CD786"/>
      <c r="CE786">
        <v>5.4</v>
      </c>
      <c r="CF786"/>
      <c r="CG786">
        <v>0.8</v>
      </c>
      <c r="CH786"/>
      <c r="CI786"/>
      <c r="CJ786"/>
      <c r="CK786" t="s">
        <v>8820</v>
      </c>
      <c r="CL786">
        <v>1</v>
      </c>
      <c r="CM786" s="392">
        <v>41802</v>
      </c>
    </row>
    <row r="787" spans="1:91" ht="15">
      <c r="A787" s="364" t="s">
        <v>7783</v>
      </c>
      <c r="B787" t="s">
        <v>267</v>
      </c>
      <c r="C787" t="s">
        <v>8213</v>
      </c>
      <c r="D787">
        <v>178</v>
      </c>
      <c r="E787" s="113">
        <v>31</v>
      </c>
      <c r="F787" s="113">
        <v>9</v>
      </c>
      <c r="I787"/>
      <c r="K787" s="224">
        <v>7</v>
      </c>
      <c r="L787" s="390">
        <v>41625</v>
      </c>
      <c r="M787"/>
      <c r="N787" s="224"/>
      <c r="O787"/>
      <c r="P787"/>
      <c r="Q787"/>
      <c r="S787" s="224"/>
      <c r="T787" s="224"/>
      <c r="U787"/>
      <c r="V787"/>
      <c r="W787"/>
      <c r="X787"/>
      <c r="Y787" s="225"/>
      <c r="Z787" s="224"/>
      <c r="AA787" s="226"/>
      <c r="AB787" s="224"/>
      <c r="AC787" s="225"/>
      <c r="AD787" s="224"/>
      <c r="AE787" s="224"/>
      <c r="AF787" s="224"/>
      <c r="AG787"/>
      <c r="AH787"/>
      <c r="AI787">
        <v>135</v>
      </c>
      <c r="AJ787" s="194">
        <v>41785</v>
      </c>
      <c r="AK787">
        <v>37</v>
      </c>
      <c r="AL787" s="395">
        <v>41677</v>
      </c>
      <c r="AM787">
        <v>90</v>
      </c>
      <c r="AN787" s="391">
        <v>41730</v>
      </c>
      <c r="AO787"/>
      <c r="AP787" s="391" t="s">
        <v>8819</v>
      </c>
      <c r="AQ787" s="227"/>
      <c r="AR787" s="227"/>
      <c r="AS787"/>
      <c r="AT787"/>
      <c r="AU787"/>
      <c r="AV787" s="391">
        <v>41737</v>
      </c>
      <c r="AW787"/>
      <c r="AX787" s="391" t="s">
        <v>8819</v>
      </c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>
        <v>52.2</v>
      </c>
      <c r="BT787"/>
      <c r="BU787">
        <v>17.100000000000001</v>
      </c>
      <c r="BV787"/>
      <c r="BW787" s="229"/>
      <c r="BX787"/>
      <c r="BY787"/>
      <c r="BZ787"/>
      <c r="CA787"/>
      <c r="CC787"/>
      <c r="CD787"/>
      <c r="CE787">
        <v>7.5</v>
      </c>
      <c r="CF787"/>
      <c r="CG787">
        <v>0.1</v>
      </c>
      <c r="CH787"/>
      <c r="CI787"/>
      <c r="CJ787"/>
      <c r="CK787" t="s">
        <v>8820</v>
      </c>
      <c r="CL787">
        <v>1</v>
      </c>
      <c r="CM787" s="392">
        <v>41802</v>
      </c>
    </row>
    <row r="788" spans="1:91" ht="15">
      <c r="A788" s="364" t="s">
        <v>7784</v>
      </c>
      <c r="B788" t="s">
        <v>267</v>
      </c>
      <c r="C788" t="s">
        <v>8213</v>
      </c>
      <c r="D788" s="232">
        <v>179</v>
      </c>
      <c r="E788" s="113">
        <v>28</v>
      </c>
      <c r="F788" s="113">
        <v>7</v>
      </c>
      <c r="G788" s="233"/>
      <c r="H788" s="233"/>
      <c r="I788" s="232"/>
      <c r="J788" s="234"/>
      <c r="K788" s="235">
        <v>6</v>
      </c>
      <c r="L788" s="390">
        <v>41625</v>
      </c>
      <c r="M788" s="232"/>
      <c r="N788" s="235"/>
      <c r="O788" s="232"/>
      <c r="P788" s="232"/>
      <c r="Q788" s="232"/>
      <c r="R788" s="236"/>
      <c r="S788" s="235"/>
      <c r="T788" s="235"/>
      <c r="U788" s="232"/>
      <c r="V788" s="232"/>
      <c r="W788" s="232"/>
      <c r="X788" s="232"/>
      <c r="Y788" s="237"/>
      <c r="Z788" s="235"/>
      <c r="AA788" s="238"/>
      <c r="AB788" s="235"/>
      <c r="AC788" s="237"/>
      <c r="AD788" s="235"/>
      <c r="AE788" s="235"/>
      <c r="AF788" s="235"/>
      <c r="AG788" s="232"/>
      <c r="AH788" s="232"/>
      <c r="AI788" s="232">
        <v>145</v>
      </c>
      <c r="AJ788" s="194">
        <v>41785</v>
      </c>
      <c r="AK788" s="232">
        <v>31</v>
      </c>
      <c r="AL788" s="395">
        <v>41671</v>
      </c>
      <c r="AM788" s="232">
        <v>90</v>
      </c>
      <c r="AN788" s="391">
        <v>41730</v>
      </c>
      <c r="AO788" s="232"/>
      <c r="AP788" s="391" t="s">
        <v>8819</v>
      </c>
      <c r="AQ788" s="239"/>
      <c r="AR788" s="239"/>
      <c r="AS788" s="232"/>
      <c r="AT788" s="232"/>
      <c r="AU788" s="232"/>
      <c r="AV788" s="391" t="s">
        <v>8819</v>
      </c>
      <c r="AW788" s="232">
        <v>111</v>
      </c>
      <c r="AX788" s="391">
        <v>41751</v>
      </c>
      <c r="AY788" s="232"/>
      <c r="AZ788" s="232"/>
      <c r="BA788" s="232"/>
      <c r="BB788" s="232"/>
      <c r="BC788" s="232"/>
      <c r="BD788" s="232"/>
      <c r="BE788" s="232"/>
      <c r="BF788" s="232"/>
      <c r="BG788" s="232"/>
      <c r="BH788" s="232"/>
      <c r="BI788" s="232"/>
      <c r="BJ788" s="232"/>
      <c r="BK788" s="232"/>
      <c r="BL788" s="232"/>
      <c r="BM788" s="232"/>
      <c r="BN788" s="232"/>
      <c r="BO788" s="232"/>
      <c r="BP788" s="232"/>
      <c r="BQ788" s="232"/>
      <c r="BR788" s="232"/>
      <c r="BS788" s="232">
        <v>52.3</v>
      </c>
      <c r="BT788" s="232"/>
      <c r="BU788" s="232">
        <v>16.7</v>
      </c>
      <c r="BV788" s="232"/>
      <c r="BW788" s="240"/>
      <c r="BX788" s="232"/>
      <c r="BY788" s="232"/>
      <c r="BZ788" s="232"/>
      <c r="CA788" s="232"/>
      <c r="CB788" s="241"/>
      <c r="CC788" s="232"/>
      <c r="CD788" s="232"/>
      <c r="CE788" s="232">
        <v>5.4</v>
      </c>
      <c r="CF788" s="232"/>
      <c r="CG788" s="232">
        <v>0.1</v>
      </c>
      <c r="CH788" s="232"/>
      <c r="CI788" s="232"/>
      <c r="CJ788" s="232"/>
      <c r="CK788" t="s">
        <v>8820</v>
      </c>
      <c r="CL788" s="232">
        <v>1</v>
      </c>
      <c r="CM788" s="392">
        <v>41802</v>
      </c>
    </row>
    <row r="789" spans="1:91" ht="15.75" thickBot="1">
      <c r="A789" s="364" t="s">
        <v>7785</v>
      </c>
      <c r="B789" s="344" t="s">
        <v>267</v>
      </c>
      <c r="C789" s="344" t="s">
        <v>8213</v>
      </c>
      <c r="D789">
        <v>180</v>
      </c>
      <c r="E789" s="113">
        <v>32</v>
      </c>
      <c r="F789" s="113">
        <v>7</v>
      </c>
      <c r="G789" s="233"/>
      <c r="H789" s="233"/>
      <c r="I789" s="232"/>
      <c r="J789" s="234"/>
      <c r="K789" s="235">
        <v>7</v>
      </c>
      <c r="L789" s="390">
        <v>41625</v>
      </c>
      <c r="M789" s="232"/>
      <c r="N789" s="235"/>
      <c r="O789" s="232"/>
      <c r="P789" s="232"/>
      <c r="Q789" s="232"/>
      <c r="R789" s="236"/>
      <c r="S789" s="235"/>
      <c r="T789" s="235"/>
      <c r="U789" s="232"/>
      <c r="V789" s="232"/>
      <c r="W789" s="232"/>
      <c r="X789" s="232"/>
      <c r="Y789" s="237"/>
      <c r="Z789" s="235"/>
      <c r="AA789" s="238"/>
      <c r="AB789" s="235"/>
      <c r="AC789" s="237"/>
      <c r="AD789" s="235"/>
      <c r="AE789" s="235"/>
      <c r="AF789" s="235"/>
      <c r="AG789" s="232"/>
      <c r="AH789" s="232"/>
      <c r="AI789" s="232">
        <v>150</v>
      </c>
      <c r="AJ789" s="194">
        <v>41785</v>
      </c>
      <c r="AK789" s="232">
        <v>37</v>
      </c>
      <c r="AL789" s="395">
        <v>41677</v>
      </c>
      <c r="AM789" s="232">
        <v>93</v>
      </c>
      <c r="AN789" s="391">
        <v>41733</v>
      </c>
      <c r="AO789" s="232"/>
      <c r="AP789" s="391">
        <v>41737</v>
      </c>
      <c r="AQ789" s="239"/>
      <c r="AR789" s="239"/>
      <c r="AS789" s="232"/>
      <c r="AT789" s="232"/>
      <c r="AU789" s="232"/>
      <c r="AV789" s="391" t="s">
        <v>8819</v>
      </c>
      <c r="AW789" s="232"/>
      <c r="AX789" s="391" t="s">
        <v>8819</v>
      </c>
      <c r="AY789" s="232"/>
      <c r="AZ789" s="232"/>
      <c r="BA789" s="232"/>
      <c r="BB789" s="232"/>
      <c r="BC789" s="232"/>
      <c r="BD789" s="232"/>
      <c r="BE789" s="232"/>
      <c r="BF789" s="232"/>
      <c r="BG789" s="232"/>
      <c r="BH789" s="232"/>
      <c r="BI789" s="232"/>
      <c r="BJ789" s="232"/>
      <c r="BK789" s="232"/>
      <c r="BL789" s="232"/>
      <c r="BM789" s="232"/>
      <c r="BN789" s="232"/>
      <c r="BO789" s="232"/>
      <c r="BP789" s="232"/>
      <c r="BQ789" s="232"/>
      <c r="BR789" s="232"/>
      <c r="BS789" s="232">
        <v>52</v>
      </c>
      <c r="BT789" s="232"/>
      <c r="BU789" s="232">
        <v>15.2</v>
      </c>
      <c r="BV789" s="232"/>
      <c r="BW789" s="240"/>
      <c r="BX789" s="232"/>
      <c r="BY789" s="232"/>
      <c r="BZ789" s="232"/>
      <c r="CA789" s="232"/>
      <c r="CB789" s="241"/>
      <c r="CC789" s="232"/>
      <c r="CD789" s="232"/>
      <c r="CE789" s="232">
        <v>6.6</v>
      </c>
      <c r="CF789" s="232"/>
      <c r="CG789" s="232">
        <v>0.3</v>
      </c>
      <c r="CH789" s="232"/>
      <c r="CI789" s="232"/>
      <c r="CJ789" s="232"/>
      <c r="CK789" t="s">
        <v>8820</v>
      </c>
      <c r="CL789" s="232">
        <v>1</v>
      </c>
      <c r="CM789" s="392">
        <v>41802</v>
      </c>
    </row>
    <row r="790" spans="1:91" ht="15">
      <c r="A790" s="364" t="s">
        <v>7786</v>
      </c>
      <c r="B790" t="s">
        <v>267</v>
      </c>
      <c r="C790" t="s">
        <v>8213</v>
      </c>
      <c r="D790">
        <v>181</v>
      </c>
      <c r="E790" s="113">
        <v>20</v>
      </c>
      <c r="F790" s="113">
        <v>9</v>
      </c>
      <c r="I790"/>
      <c r="K790" s="224">
        <v>7</v>
      </c>
      <c r="L790" s="390">
        <v>41625</v>
      </c>
      <c r="M790"/>
      <c r="N790" s="224"/>
      <c r="O790"/>
      <c r="P790"/>
      <c r="Q790"/>
      <c r="S790" s="224"/>
      <c r="T790" s="224"/>
      <c r="U790"/>
      <c r="V790"/>
      <c r="W790"/>
      <c r="X790"/>
      <c r="Y790" s="225"/>
      <c r="Z790" s="224"/>
      <c r="AA790" s="226"/>
      <c r="AB790" s="224"/>
      <c r="AC790" s="225"/>
      <c r="AD790" s="224"/>
      <c r="AE790" s="224"/>
      <c r="AF790" s="224"/>
      <c r="AG790"/>
      <c r="AH790"/>
      <c r="AI790">
        <v>140</v>
      </c>
      <c r="AJ790" s="194">
        <v>41785</v>
      </c>
      <c r="AK790">
        <v>37</v>
      </c>
      <c r="AL790" s="395">
        <v>41677</v>
      </c>
      <c r="AM790">
        <v>93</v>
      </c>
      <c r="AN790" s="391">
        <v>41733</v>
      </c>
      <c r="AO790"/>
      <c r="AP790" s="391" t="s">
        <v>8819</v>
      </c>
      <c r="AQ790" s="227"/>
      <c r="AR790" s="227"/>
      <c r="AS790"/>
      <c r="AT790"/>
      <c r="AU790"/>
      <c r="AV790" s="391">
        <v>41737</v>
      </c>
      <c r="AW790"/>
      <c r="AX790" s="391" t="s">
        <v>8819</v>
      </c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>
        <v>51.8</v>
      </c>
      <c r="BT790"/>
      <c r="BU790">
        <v>17</v>
      </c>
      <c r="BV790"/>
      <c r="BW790" s="229"/>
      <c r="BX790"/>
      <c r="BY790"/>
      <c r="BZ790"/>
      <c r="CA790"/>
      <c r="CC790"/>
      <c r="CD790"/>
      <c r="CE790">
        <v>5.6</v>
      </c>
      <c r="CF790"/>
      <c r="CG790">
        <v>1.2</v>
      </c>
      <c r="CH790"/>
      <c r="CI790"/>
      <c r="CJ790"/>
      <c r="CK790" t="s">
        <v>8820</v>
      </c>
      <c r="CL790">
        <v>1</v>
      </c>
      <c r="CM790" s="392">
        <v>41802</v>
      </c>
    </row>
    <row r="791" spans="1:91" ht="15">
      <c r="A791" s="364" t="s">
        <v>7787</v>
      </c>
      <c r="B791" t="s">
        <v>267</v>
      </c>
      <c r="C791" t="s">
        <v>8213</v>
      </c>
      <c r="D791" s="232">
        <v>182</v>
      </c>
      <c r="E791" s="113">
        <v>21</v>
      </c>
      <c r="F791" s="113">
        <v>12</v>
      </c>
      <c r="I791"/>
      <c r="K791" s="224">
        <v>7</v>
      </c>
      <c r="L791" s="390">
        <v>41625</v>
      </c>
      <c r="M791"/>
      <c r="N791" s="224"/>
      <c r="O791"/>
      <c r="P791"/>
      <c r="Q791"/>
      <c r="S791" s="224"/>
      <c r="T791" s="224"/>
      <c r="U791"/>
      <c r="V791"/>
      <c r="W791"/>
      <c r="X791"/>
      <c r="Y791" s="225"/>
      <c r="Z791" s="224"/>
      <c r="AA791" s="226"/>
      <c r="AB791" s="224"/>
      <c r="AC791" s="225"/>
      <c r="AD791" s="224"/>
      <c r="AE791" s="224"/>
      <c r="AF791" s="224"/>
      <c r="AG791"/>
      <c r="AH791"/>
      <c r="AI791">
        <v>140</v>
      </c>
      <c r="AJ791" s="194">
        <v>41785</v>
      </c>
      <c r="AK791">
        <v>37</v>
      </c>
      <c r="AL791" s="395">
        <v>41677</v>
      </c>
      <c r="AM791">
        <v>93</v>
      </c>
      <c r="AN791" s="391">
        <v>41733</v>
      </c>
      <c r="AO791"/>
      <c r="AP791" s="391">
        <v>41730</v>
      </c>
      <c r="AQ791" s="227"/>
      <c r="AR791" s="227"/>
      <c r="AS791"/>
      <c r="AT791"/>
      <c r="AU791"/>
      <c r="AV791" s="391" t="s">
        <v>8819</v>
      </c>
      <c r="AW791"/>
      <c r="AX791" s="391" t="s">
        <v>8819</v>
      </c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>
        <v>52.9</v>
      </c>
      <c r="BT791"/>
      <c r="BU791">
        <v>17.100000000000001</v>
      </c>
      <c r="BV791"/>
      <c r="BW791" s="229"/>
      <c r="BX791"/>
      <c r="BY791"/>
      <c r="BZ791"/>
      <c r="CA791"/>
      <c r="CC791"/>
      <c r="CD791"/>
      <c r="CE791">
        <v>5.8</v>
      </c>
      <c r="CF791"/>
      <c r="CG791">
        <v>0</v>
      </c>
      <c r="CH791"/>
      <c r="CI791"/>
      <c r="CJ791"/>
      <c r="CK791" t="s">
        <v>8820</v>
      </c>
      <c r="CL791">
        <v>1</v>
      </c>
      <c r="CM791" s="392">
        <v>41802</v>
      </c>
    </row>
    <row r="792" spans="1:91" ht="15">
      <c r="A792" s="364" t="s">
        <v>7788</v>
      </c>
      <c r="B792" t="s">
        <v>267</v>
      </c>
      <c r="C792" t="s">
        <v>8213</v>
      </c>
      <c r="D792">
        <v>183</v>
      </c>
      <c r="E792" s="113">
        <v>7</v>
      </c>
      <c r="F792" s="113">
        <v>9</v>
      </c>
      <c r="I792"/>
      <c r="K792" s="224">
        <v>7</v>
      </c>
      <c r="L792" s="390">
        <v>41625</v>
      </c>
      <c r="M792"/>
      <c r="N792" s="224"/>
      <c r="O792"/>
      <c r="P792"/>
      <c r="Q792"/>
      <c r="S792" s="224"/>
      <c r="T792" s="224"/>
      <c r="U792"/>
      <c r="V792"/>
      <c r="W792"/>
      <c r="X792"/>
      <c r="Y792" s="225"/>
      <c r="Z792" s="224"/>
      <c r="AA792" s="226"/>
      <c r="AB792" s="224"/>
      <c r="AC792" s="225"/>
      <c r="AD792" s="224"/>
      <c r="AE792" s="224"/>
      <c r="AF792" s="224"/>
      <c r="AG792"/>
      <c r="AH792"/>
      <c r="AI792">
        <v>150</v>
      </c>
      <c r="AJ792" s="194">
        <v>41785</v>
      </c>
      <c r="AK792">
        <v>37</v>
      </c>
      <c r="AL792" s="395">
        <v>41677</v>
      </c>
      <c r="AM792">
        <v>93</v>
      </c>
      <c r="AN792" s="391">
        <v>41733</v>
      </c>
      <c r="AO792"/>
      <c r="AP792" s="391" t="s">
        <v>8819</v>
      </c>
      <c r="AQ792" s="227"/>
      <c r="AR792" s="227"/>
      <c r="AS792"/>
      <c r="AT792"/>
      <c r="AU792"/>
      <c r="AV792" s="391">
        <v>41737</v>
      </c>
      <c r="AW792"/>
      <c r="AX792" s="391" t="s">
        <v>8819</v>
      </c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>
        <v>52.8</v>
      </c>
      <c r="BT792"/>
      <c r="BU792">
        <v>17.3</v>
      </c>
      <c r="BV792"/>
      <c r="BW792" s="229"/>
      <c r="BX792"/>
      <c r="BY792"/>
      <c r="BZ792"/>
      <c r="CA792"/>
      <c r="CC792"/>
      <c r="CD792"/>
      <c r="CE792">
        <v>5.7</v>
      </c>
      <c r="CF792"/>
      <c r="CG792">
        <v>0</v>
      </c>
      <c r="CH792"/>
      <c r="CI792"/>
      <c r="CJ792"/>
      <c r="CK792" t="s">
        <v>8820</v>
      </c>
      <c r="CL792">
        <v>1</v>
      </c>
      <c r="CM792" s="392">
        <v>41802</v>
      </c>
    </row>
    <row r="793" spans="1:91" ht="15">
      <c r="A793" s="364" t="s">
        <v>7789</v>
      </c>
      <c r="B793" t="s">
        <v>267</v>
      </c>
      <c r="C793" t="s">
        <v>8213</v>
      </c>
      <c r="D793">
        <v>184</v>
      </c>
      <c r="E793" s="113">
        <v>28</v>
      </c>
      <c r="F793" s="113">
        <v>11</v>
      </c>
      <c r="I793"/>
      <c r="K793" s="224">
        <v>7</v>
      </c>
      <c r="L793" s="390">
        <v>41625</v>
      </c>
      <c r="M793"/>
      <c r="N793" s="224"/>
      <c r="O793"/>
      <c r="P793"/>
      <c r="Q793"/>
      <c r="S793" s="224"/>
      <c r="T793" s="224"/>
      <c r="U793"/>
      <c r="V793"/>
      <c r="W793"/>
      <c r="X793"/>
      <c r="Y793" s="225"/>
      <c r="Z793" s="224"/>
      <c r="AA793" s="226"/>
      <c r="AB793" s="224"/>
      <c r="AC793" s="225"/>
      <c r="AD793" s="224"/>
      <c r="AE793" s="224"/>
      <c r="AF793" s="224"/>
      <c r="AG793"/>
      <c r="AH793"/>
      <c r="AI793">
        <v>140</v>
      </c>
      <c r="AJ793" s="194">
        <v>41785</v>
      </c>
      <c r="AK793">
        <v>37</v>
      </c>
      <c r="AL793" s="395">
        <v>41677</v>
      </c>
      <c r="AM793">
        <v>93</v>
      </c>
      <c r="AN793" s="391">
        <v>41733</v>
      </c>
      <c r="AO793"/>
      <c r="AP793" s="391" t="s">
        <v>8819</v>
      </c>
      <c r="AQ793" s="227"/>
      <c r="AR793" s="227"/>
      <c r="AS793"/>
      <c r="AT793"/>
      <c r="AU793"/>
      <c r="AV793" s="391" t="s">
        <v>8819</v>
      </c>
      <c r="AW793"/>
      <c r="AX793" s="391" t="s">
        <v>8819</v>
      </c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>
        <v>51.3</v>
      </c>
      <c r="BT793"/>
      <c r="BU793">
        <v>17.5</v>
      </c>
      <c r="BV793"/>
      <c r="BW793" s="229"/>
      <c r="BX793"/>
      <c r="BY793"/>
      <c r="BZ793"/>
      <c r="CA793"/>
      <c r="CC793"/>
      <c r="CD793"/>
      <c r="CE793">
        <v>5.8</v>
      </c>
      <c r="CF793"/>
      <c r="CG793">
        <v>0.2</v>
      </c>
      <c r="CH793"/>
      <c r="CI793"/>
      <c r="CJ793"/>
      <c r="CK793" t="s">
        <v>8820</v>
      </c>
      <c r="CL793">
        <v>1</v>
      </c>
      <c r="CM793" s="392">
        <v>41802</v>
      </c>
    </row>
    <row r="794" spans="1:91" ht="15">
      <c r="A794" s="364" t="s">
        <v>7790</v>
      </c>
      <c r="B794" t="s">
        <v>267</v>
      </c>
      <c r="C794" t="s">
        <v>8213</v>
      </c>
      <c r="D794">
        <v>185</v>
      </c>
      <c r="E794" s="113">
        <v>5</v>
      </c>
      <c r="F794" s="113">
        <v>9</v>
      </c>
      <c r="I794"/>
      <c r="K794" s="224">
        <v>4</v>
      </c>
      <c r="L794" s="390">
        <v>41625</v>
      </c>
      <c r="M794"/>
      <c r="N794" s="224"/>
      <c r="O794"/>
      <c r="P794"/>
      <c r="Q794"/>
      <c r="S794" s="224"/>
      <c r="T794" s="224"/>
      <c r="U794"/>
      <c r="V794"/>
      <c r="W794"/>
      <c r="X794"/>
      <c r="Y794" s="225"/>
      <c r="Z794" s="224"/>
      <c r="AA794" s="226"/>
      <c r="AB794" s="224"/>
      <c r="AC794" s="225"/>
      <c r="AD794" s="224"/>
      <c r="AE794" s="224"/>
      <c r="AF794" s="224"/>
      <c r="AG794"/>
      <c r="AH794"/>
      <c r="AI794">
        <v>140</v>
      </c>
      <c r="AJ794" s="194">
        <v>41785</v>
      </c>
      <c r="AK794">
        <v>37</v>
      </c>
      <c r="AL794" s="395">
        <v>41677</v>
      </c>
      <c r="AM794">
        <v>93</v>
      </c>
      <c r="AN794" s="391">
        <v>41733</v>
      </c>
      <c r="AO794"/>
      <c r="AP794" s="391" t="s">
        <v>8819</v>
      </c>
      <c r="AQ794" s="227"/>
      <c r="AR794" s="227"/>
      <c r="AS794"/>
      <c r="AT794"/>
      <c r="AU794"/>
      <c r="AV794" s="391" t="s">
        <v>8819</v>
      </c>
      <c r="AW794"/>
      <c r="AX794" s="391" t="s">
        <v>8819</v>
      </c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>
        <v>51.8</v>
      </c>
      <c r="BT794"/>
      <c r="BU794">
        <v>16.2</v>
      </c>
      <c r="BV794"/>
      <c r="BW794" s="229"/>
      <c r="BX794"/>
      <c r="BY794"/>
      <c r="BZ794"/>
      <c r="CA794"/>
      <c r="CC794"/>
      <c r="CD794"/>
      <c r="CE794">
        <v>5.0999999999999996</v>
      </c>
      <c r="CF794"/>
      <c r="CG794">
        <v>0.6</v>
      </c>
      <c r="CH794"/>
      <c r="CI794"/>
      <c r="CJ794"/>
      <c r="CK794" t="s">
        <v>8820</v>
      </c>
      <c r="CL794">
        <v>1</v>
      </c>
      <c r="CM794" s="392">
        <v>41802</v>
      </c>
    </row>
    <row r="795" spans="1:91" ht="15">
      <c r="A795" s="364" t="s">
        <v>7791</v>
      </c>
      <c r="B795" t="s">
        <v>267</v>
      </c>
      <c r="C795" t="s">
        <v>8213</v>
      </c>
      <c r="D795">
        <v>186</v>
      </c>
      <c r="E795" s="113">
        <v>1</v>
      </c>
      <c r="F795" s="113">
        <v>10</v>
      </c>
      <c r="I795"/>
      <c r="K795" s="224">
        <v>5</v>
      </c>
      <c r="L795" s="390">
        <v>41625</v>
      </c>
      <c r="M795"/>
      <c r="N795" s="224"/>
      <c r="O795"/>
      <c r="P795"/>
      <c r="Q795"/>
      <c r="S795" s="224"/>
      <c r="T795" s="224"/>
      <c r="U795"/>
      <c r="V795"/>
      <c r="W795"/>
      <c r="X795"/>
      <c r="Y795" s="225"/>
      <c r="Z795" s="224"/>
      <c r="AA795" s="226"/>
      <c r="AB795" s="224"/>
      <c r="AC795" s="225"/>
      <c r="AD795" s="224"/>
      <c r="AE795" s="224"/>
      <c r="AF795" s="224"/>
      <c r="AG795"/>
      <c r="AH795"/>
      <c r="AI795">
        <v>170</v>
      </c>
      <c r="AJ795" s="194">
        <v>41785</v>
      </c>
      <c r="AK795">
        <v>26</v>
      </c>
      <c r="AL795" s="395">
        <v>41666</v>
      </c>
      <c r="AM795">
        <v>90</v>
      </c>
      <c r="AN795" s="391">
        <v>41730</v>
      </c>
      <c r="AO795"/>
      <c r="AP795" s="391" t="s">
        <v>8819</v>
      </c>
      <c r="AQ795" s="227"/>
      <c r="AR795" s="227"/>
      <c r="AS795"/>
      <c r="AT795"/>
      <c r="AU795"/>
      <c r="AV795" s="391" t="s">
        <v>8819</v>
      </c>
      <c r="AW795">
        <v>111</v>
      </c>
      <c r="AX795" s="391">
        <v>41751</v>
      </c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>
        <v>51.4</v>
      </c>
      <c r="BT795"/>
      <c r="BU795">
        <v>17.5</v>
      </c>
      <c r="BV795"/>
      <c r="BW795" s="229"/>
      <c r="BX795"/>
      <c r="BY795"/>
      <c r="BZ795"/>
      <c r="CA795"/>
      <c r="CC795"/>
      <c r="CD795"/>
      <c r="CE795">
        <v>5.4</v>
      </c>
      <c r="CF795"/>
      <c r="CG795">
        <v>0.1</v>
      </c>
      <c r="CH795"/>
      <c r="CI795"/>
      <c r="CJ795"/>
      <c r="CK795" t="s">
        <v>8820</v>
      </c>
      <c r="CL795">
        <v>1</v>
      </c>
      <c r="CM795" s="392">
        <v>41802</v>
      </c>
    </row>
    <row r="796" spans="1:91" ht="15">
      <c r="A796" s="364" t="s">
        <v>7792</v>
      </c>
      <c r="B796" t="s">
        <v>267</v>
      </c>
      <c r="C796" t="s">
        <v>8213</v>
      </c>
      <c r="D796">
        <v>187</v>
      </c>
      <c r="E796" s="113">
        <v>19</v>
      </c>
      <c r="F796" s="113">
        <v>10</v>
      </c>
      <c r="I796"/>
      <c r="K796" s="224">
        <v>7</v>
      </c>
      <c r="L796" s="390">
        <v>41625</v>
      </c>
      <c r="M796"/>
      <c r="N796" s="224"/>
      <c r="O796"/>
      <c r="P796"/>
      <c r="Q796"/>
      <c r="S796" s="224"/>
      <c r="T796" s="224"/>
      <c r="U796"/>
      <c r="V796"/>
      <c r="W796"/>
      <c r="X796"/>
      <c r="Y796" s="225"/>
      <c r="Z796" s="224"/>
      <c r="AA796" s="226"/>
      <c r="AB796" s="224"/>
      <c r="AC796" s="225"/>
      <c r="AD796" s="224"/>
      <c r="AE796" s="224"/>
      <c r="AF796" s="224"/>
      <c r="AG796"/>
      <c r="AH796"/>
      <c r="AI796">
        <v>150</v>
      </c>
      <c r="AJ796" s="194">
        <v>41785</v>
      </c>
      <c r="AK796">
        <v>37</v>
      </c>
      <c r="AL796" s="395">
        <v>41677</v>
      </c>
      <c r="AM796">
        <v>93</v>
      </c>
      <c r="AN796" s="391">
        <v>41733</v>
      </c>
      <c r="AO796"/>
      <c r="AP796" s="391" t="s">
        <v>8819</v>
      </c>
      <c r="AQ796" s="227"/>
      <c r="AR796" s="227"/>
      <c r="AS796"/>
      <c r="AT796"/>
      <c r="AU796"/>
      <c r="AV796" s="391">
        <v>41737</v>
      </c>
      <c r="AW796"/>
      <c r="AX796" s="391" t="s">
        <v>8819</v>
      </c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>
        <v>51.1</v>
      </c>
      <c r="BT796"/>
      <c r="BU796">
        <v>18.2</v>
      </c>
      <c r="BV796"/>
      <c r="BW796" s="229"/>
      <c r="BX796"/>
      <c r="BY796"/>
      <c r="BZ796"/>
      <c r="CA796"/>
      <c r="CC796"/>
      <c r="CD796"/>
      <c r="CE796">
        <v>6.2</v>
      </c>
      <c r="CF796"/>
      <c r="CG796">
        <v>0.4</v>
      </c>
      <c r="CH796"/>
      <c r="CI796"/>
      <c r="CJ796"/>
      <c r="CK796" t="s">
        <v>8820</v>
      </c>
      <c r="CL796">
        <v>1</v>
      </c>
      <c r="CM796" s="392">
        <v>41802</v>
      </c>
    </row>
    <row r="797" spans="1:91" ht="15">
      <c r="A797" s="364" t="s">
        <v>7793</v>
      </c>
      <c r="B797" t="s">
        <v>267</v>
      </c>
      <c r="C797" t="s">
        <v>8213</v>
      </c>
      <c r="D797" s="232">
        <v>188</v>
      </c>
      <c r="E797" s="113">
        <v>35</v>
      </c>
      <c r="F797" s="113">
        <v>7</v>
      </c>
      <c r="I797"/>
      <c r="K797" s="224">
        <v>6</v>
      </c>
      <c r="L797" s="390">
        <v>41625</v>
      </c>
      <c r="M797"/>
      <c r="N797" s="224"/>
      <c r="O797"/>
      <c r="P797"/>
      <c r="Q797"/>
      <c r="S797" s="224"/>
      <c r="T797" s="224"/>
      <c r="U797"/>
      <c r="V797"/>
      <c r="W797"/>
      <c r="X797"/>
      <c r="Y797" s="225"/>
      <c r="Z797" s="224"/>
      <c r="AA797" s="226"/>
      <c r="AB797" s="224"/>
      <c r="AC797" s="225"/>
      <c r="AD797" s="224"/>
      <c r="AE797" s="224"/>
      <c r="AF797" s="224"/>
      <c r="AG797"/>
      <c r="AH797"/>
      <c r="AI797">
        <v>160</v>
      </c>
      <c r="AJ797" s="194">
        <v>41785</v>
      </c>
      <c r="AK797">
        <v>37</v>
      </c>
      <c r="AL797" s="395">
        <v>41677</v>
      </c>
      <c r="AM797">
        <v>90</v>
      </c>
      <c r="AN797" s="391">
        <v>41730</v>
      </c>
      <c r="AO797"/>
      <c r="AP797" s="391" t="s">
        <v>8819</v>
      </c>
      <c r="AQ797" s="227"/>
      <c r="AR797" s="227"/>
      <c r="AS797"/>
      <c r="AT797"/>
      <c r="AU797"/>
      <c r="AV797" s="391" t="s">
        <v>8819</v>
      </c>
      <c r="AW797">
        <v>111</v>
      </c>
      <c r="AX797" s="391">
        <v>41751</v>
      </c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>
        <v>53.5</v>
      </c>
      <c r="BT797"/>
      <c r="BU797">
        <v>14.5</v>
      </c>
      <c r="BV797"/>
      <c r="BW797" s="229"/>
      <c r="BX797"/>
      <c r="BY797"/>
      <c r="BZ797"/>
      <c r="CA797"/>
      <c r="CC797"/>
      <c r="CD797"/>
      <c r="CE797">
        <v>6.8</v>
      </c>
      <c r="CF797"/>
      <c r="CG797">
        <v>0.2</v>
      </c>
      <c r="CH797"/>
      <c r="CI797"/>
      <c r="CJ797"/>
      <c r="CK797" t="s">
        <v>8820</v>
      </c>
      <c r="CL797">
        <v>1</v>
      </c>
      <c r="CM797" s="392">
        <v>41802</v>
      </c>
    </row>
    <row r="798" spans="1:91" ht="15">
      <c r="A798" s="364" t="s">
        <v>7794</v>
      </c>
      <c r="B798" t="s">
        <v>267</v>
      </c>
      <c r="C798" t="s">
        <v>8213</v>
      </c>
      <c r="D798">
        <v>189</v>
      </c>
      <c r="E798" s="113">
        <v>25</v>
      </c>
      <c r="F798" s="113">
        <v>12</v>
      </c>
      <c r="G798" s="233"/>
      <c r="H798" s="233"/>
      <c r="I798" s="232"/>
      <c r="J798" s="234"/>
      <c r="K798" s="235">
        <v>7</v>
      </c>
      <c r="L798" s="390">
        <v>41625</v>
      </c>
      <c r="M798" s="232"/>
      <c r="N798" s="235"/>
      <c r="O798" s="232"/>
      <c r="P798" s="232"/>
      <c r="Q798" s="232"/>
      <c r="R798" s="236"/>
      <c r="S798" s="235"/>
      <c r="T798" s="235"/>
      <c r="U798" s="232"/>
      <c r="V798" s="232"/>
      <c r="W798" s="232"/>
      <c r="X798" s="232"/>
      <c r="Y798" s="237"/>
      <c r="Z798" s="235"/>
      <c r="AA798" s="238"/>
      <c r="AB798" s="235"/>
      <c r="AC798" s="237"/>
      <c r="AD798" s="235"/>
      <c r="AE798" s="235"/>
      <c r="AF798" s="235"/>
      <c r="AG798" s="232"/>
      <c r="AH798" s="232"/>
      <c r="AI798" s="232">
        <v>150</v>
      </c>
      <c r="AJ798" s="194">
        <v>41785</v>
      </c>
      <c r="AK798" s="232">
        <v>37</v>
      </c>
      <c r="AL798" s="395">
        <v>41677</v>
      </c>
      <c r="AM798" s="232">
        <v>90</v>
      </c>
      <c r="AN798" s="391">
        <v>41730</v>
      </c>
      <c r="AO798" s="232"/>
      <c r="AP798" s="391" t="s">
        <v>8819</v>
      </c>
      <c r="AQ798" s="239"/>
      <c r="AR798" s="239"/>
      <c r="AS798" s="232"/>
      <c r="AT798" s="232"/>
      <c r="AU798" s="232"/>
      <c r="AV798" s="391">
        <v>41737</v>
      </c>
      <c r="AW798" s="232"/>
      <c r="AX798" s="391" t="s">
        <v>8819</v>
      </c>
      <c r="AY798" s="232"/>
      <c r="AZ798" s="232"/>
      <c r="BA798" s="232"/>
      <c r="BB798" s="232"/>
      <c r="BC798" s="232"/>
      <c r="BD798" s="232"/>
      <c r="BE798" s="232"/>
      <c r="BF798" s="232"/>
      <c r="BG798" s="232"/>
      <c r="BH798" s="232"/>
      <c r="BI798" s="232"/>
      <c r="BJ798" s="232"/>
      <c r="BK798" s="232"/>
      <c r="BL798" s="232"/>
      <c r="BM798" s="232"/>
      <c r="BN798" s="232"/>
      <c r="BO798" s="232"/>
      <c r="BP798" s="232"/>
      <c r="BQ798" s="232"/>
      <c r="BR798" s="232"/>
      <c r="BS798" s="232">
        <v>52.5</v>
      </c>
      <c r="BT798" s="232"/>
      <c r="BU798" s="232">
        <v>16.899999999999999</v>
      </c>
      <c r="BV798" s="232"/>
      <c r="BW798" s="240"/>
      <c r="BX798" s="232"/>
      <c r="BY798" s="232"/>
      <c r="BZ798" s="232"/>
      <c r="CA798" s="232"/>
      <c r="CB798" s="241"/>
      <c r="CC798" s="232"/>
      <c r="CD798" s="232"/>
      <c r="CE798" s="232">
        <v>6</v>
      </c>
      <c r="CF798" s="232"/>
      <c r="CG798" s="232">
        <v>0.3</v>
      </c>
      <c r="CH798" s="232"/>
      <c r="CI798" s="232"/>
      <c r="CJ798" s="232"/>
      <c r="CK798" t="s">
        <v>8820</v>
      </c>
      <c r="CL798" s="232">
        <v>1</v>
      </c>
      <c r="CM798" s="392">
        <v>41802</v>
      </c>
    </row>
    <row r="799" spans="1:91" ht="15">
      <c r="A799" s="364" t="s">
        <v>7795</v>
      </c>
      <c r="B799" t="s">
        <v>267</v>
      </c>
      <c r="C799" t="s">
        <v>8213</v>
      </c>
      <c r="D799">
        <v>190</v>
      </c>
      <c r="E799" s="113">
        <v>8</v>
      </c>
      <c r="F799" s="113">
        <v>7</v>
      </c>
      <c r="G799" s="233"/>
      <c r="H799" s="233"/>
      <c r="I799" s="232"/>
      <c r="J799" s="234"/>
      <c r="K799" s="235">
        <v>5</v>
      </c>
      <c r="L799" s="390">
        <v>41625</v>
      </c>
      <c r="M799" s="232"/>
      <c r="N799" s="235"/>
      <c r="O799" s="232"/>
      <c r="P799" s="232"/>
      <c r="Q799" s="232"/>
      <c r="R799" s="236"/>
      <c r="S799" s="235"/>
      <c r="T799" s="235"/>
      <c r="U799" s="232"/>
      <c r="V799" s="232"/>
      <c r="W799" s="232"/>
      <c r="X799" s="232"/>
      <c r="Y799" s="237"/>
      <c r="Z799" s="235"/>
      <c r="AA799" s="238"/>
      <c r="AB799" s="235"/>
      <c r="AC799" s="237"/>
      <c r="AD799" s="235"/>
      <c r="AE799" s="235"/>
      <c r="AF799" s="235"/>
      <c r="AG799" s="232"/>
      <c r="AH799" s="232"/>
      <c r="AI799" s="232">
        <v>150</v>
      </c>
      <c r="AJ799" s="194">
        <v>41785</v>
      </c>
      <c r="AK799" s="232">
        <v>37</v>
      </c>
      <c r="AL799" s="395">
        <v>41677</v>
      </c>
      <c r="AM799" s="232">
        <v>90</v>
      </c>
      <c r="AN799" s="391">
        <v>41730</v>
      </c>
      <c r="AO799" s="232"/>
      <c r="AP799" s="391">
        <v>41737</v>
      </c>
      <c r="AQ799" s="239"/>
      <c r="AR799" s="239"/>
      <c r="AS799" s="232"/>
      <c r="AT799" s="232"/>
      <c r="AU799" s="232"/>
      <c r="AV799" s="391" t="s">
        <v>8819</v>
      </c>
      <c r="AW799" s="232"/>
      <c r="AX799" s="391" t="s">
        <v>8819</v>
      </c>
      <c r="AY799" s="232"/>
      <c r="AZ799" s="232"/>
      <c r="BA799" s="232"/>
      <c r="BB799" s="232"/>
      <c r="BC799" s="232"/>
      <c r="BD799" s="232"/>
      <c r="BE799" s="232"/>
      <c r="BF799" s="232"/>
      <c r="BG799" s="232"/>
      <c r="BH799" s="232"/>
      <c r="BI799" s="232"/>
      <c r="BJ799" s="232"/>
      <c r="BK799" s="232"/>
      <c r="BL799" s="232"/>
      <c r="BM799" s="232"/>
      <c r="BN799" s="232"/>
      <c r="BO799" s="232"/>
      <c r="BP799" s="232"/>
      <c r="BQ799" s="232"/>
      <c r="BR799" s="232"/>
      <c r="BS799" s="232">
        <v>51.1</v>
      </c>
      <c r="BT799" s="232"/>
      <c r="BU799" s="232">
        <v>16.899999999999999</v>
      </c>
      <c r="BV799" s="232"/>
      <c r="BW799" s="240"/>
      <c r="BX799" s="232"/>
      <c r="BY799" s="232"/>
      <c r="BZ799" s="232"/>
      <c r="CA799" s="232"/>
      <c r="CB799" s="241"/>
      <c r="CC799" s="232"/>
      <c r="CD799" s="232"/>
      <c r="CE799" s="232">
        <v>5.6</v>
      </c>
      <c r="CF799" s="232"/>
      <c r="CG799" s="232">
        <v>0.1</v>
      </c>
      <c r="CH799" s="232"/>
      <c r="CI799" s="232"/>
      <c r="CJ799" s="232"/>
      <c r="CK799" t="s">
        <v>8820</v>
      </c>
      <c r="CL799" s="232">
        <v>1</v>
      </c>
      <c r="CM799" s="392">
        <v>41802</v>
      </c>
    </row>
    <row r="800" spans="1:91" ht="15">
      <c r="A800" s="364" t="s">
        <v>7796</v>
      </c>
      <c r="B800" t="s">
        <v>267</v>
      </c>
      <c r="C800" t="s">
        <v>8213</v>
      </c>
      <c r="D800">
        <v>191</v>
      </c>
      <c r="E800" s="113">
        <v>19</v>
      </c>
      <c r="F800" s="113">
        <v>9</v>
      </c>
      <c r="I800"/>
      <c r="K800" s="224">
        <v>6</v>
      </c>
      <c r="L800" s="390">
        <v>41625</v>
      </c>
      <c r="M800"/>
      <c r="N800" s="224"/>
      <c r="O800"/>
      <c r="P800"/>
      <c r="Q800"/>
      <c r="S800" s="224"/>
      <c r="T800" s="224"/>
      <c r="U800"/>
      <c r="V800"/>
      <c r="W800"/>
      <c r="X800"/>
      <c r="Y800" s="225"/>
      <c r="Z800" s="224"/>
      <c r="AA800" s="226"/>
      <c r="AB800" s="224"/>
      <c r="AC800" s="225"/>
      <c r="AD800" s="224"/>
      <c r="AE800" s="224"/>
      <c r="AF800" s="224"/>
      <c r="AG800"/>
      <c r="AH800"/>
      <c r="AI800">
        <v>145</v>
      </c>
      <c r="AJ800" s="194">
        <v>41785</v>
      </c>
      <c r="AK800">
        <v>26</v>
      </c>
      <c r="AL800" s="395">
        <v>41666</v>
      </c>
      <c r="AM800">
        <v>90</v>
      </c>
      <c r="AN800" s="391">
        <v>41730</v>
      </c>
      <c r="AO800"/>
      <c r="AP800" s="391" t="s">
        <v>8819</v>
      </c>
      <c r="AQ800" s="227"/>
      <c r="AR800" s="227"/>
      <c r="AS800"/>
      <c r="AT800"/>
      <c r="AU800"/>
      <c r="AV800" s="391">
        <v>41737</v>
      </c>
      <c r="AW800"/>
      <c r="AX800" s="391" t="s">
        <v>8819</v>
      </c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>
        <v>51.8</v>
      </c>
      <c r="BT800"/>
      <c r="BU800">
        <v>18.2</v>
      </c>
      <c r="BV800"/>
      <c r="BW800" s="229"/>
      <c r="BX800"/>
      <c r="BY800"/>
      <c r="BZ800"/>
      <c r="CA800"/>
      <c r="CC800"/>
      <c r="CD800"/>
      <c r="CE800">
        <v>6.2</v>
      </c>
      <c r="CF800"/>
      <c r="CG800">
        <v>0.1</v>
      </c>
      <c r="CH800"/>
      <c r="CI800"/>
      <c r="CJ800"/>
      <c r="CK800" t="s">
        <v>8820</v>
      </c>
      <c r="CL800">
        <v>1</v>
      </c>
      <c r="CM800" s="392">
        <v>41802</v>
      </c>
    </row>
    <row r="801" spans="1:91" ht="15">
      <c r="A801" s="364" t="s">
        <v>7797</v>
      </c>
      <c r="B801" t="s">
        <v>267</v>
      </c>
      <c r="C801" t="s">
        <v>8213</v>
      </c>
      <c r="D801">
        <v>192</v>
      </c>
      <c r="E801" s="113">
        <v>3</v>
      </c>
      <c r="F801" s="113">
        <v>7</v>
      </c>
      <c r="I801"/>
      <c r="K801" s="224">
        <v>6</v>
      </c>
      <c r="L801" s="390">
        <v>41625</v>
      </c>
      <c r="M801"/>
      <c r="N801" s="224"/>
      <c r="O801"/>
      <c r="P801"/>
      <c r="Q801"/>
      <c r="S801" s="224"/>
      <c r="T801" s="224"/>
      <c r="U801"/>
      <c r="V801"/>
      <c r="W801"/>
      <c r="X801"/>
      <c r="Y801" s="225"/>
      <c r="Z801" s="224"/>
      <c r="AA801" s="226"/>
      <c r="AB801" s="224"/>
      <c r="AC801" s="225"/>
      <c r="AD801" s="224"/>
      <c r="AE801" s="224"/>
      <c r="AF801" s="224"/>
      <c r="AG801"/>
      <c r="AH801"/>
      <c r="AI801">
        <v>140</v>
      </c>
      <c r="AJ801" s="194">
        <v>41785</v>
      </c>
      <c r="AK801">
        <v>37</v>
      </c>
      <c r="AL801" s="395">
        <v>41677</v>
      </c>
      <c r="AM801">
        <v>90</v>
      </c>
      <c r="AN801" s="391">
        <v>41730</v>
      </c>
      <c r="AO801"/>
      <c r="AP801" s="391" t="s">
        <v>8819</v>
      </c>
      <c r="AQ801" s="227"/>
      <c r="AR801" s="227"/>
      <c r="AS801"/>
      <c r="AT801"/>
      <c r="AU801"/>
      <c r="AV801" s="391" t="s">
        <v>8819</v>
      </c>
      <c r="AW801">
        <v>111</v>
      </c>
      <c r="AX801" s="391">
        <v>41751</v>
      </c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>
        <v>51.1</v>
      </c>
      <c r="BT801"/>
      <c r="BU801">
        <v>17.600000000000001</v>
      </c>
      <c r="BV801"/>
      <c r="BW801" s="229"/>
      <c r="BX801"/>
      <c r="BY801"/>
      <c r="BZ801"/>
      <c r="CA801"/>
      <c r="CC801"/>
      <c r="CD801"/>
      <c r="CE801">
        <v>4.9000000000000004</v>
      </c>
      <c r="CF801"/>
      <c r="CG801">
        <v>0.1</v>
      </c>
      <c r="CH801"/>
      <c r="CI801"/>
      <c r="CJ801"/>
      <c r="CK801" t="s">
        <v>8820</v>
      </c>
      <c r="CL801">
        <v>1</v>
      </c>
      <c r="CM801" s="392">
        <v>41802</v>
      </c>
    </row>
    <row r="802" spans="1:91" ht="15">
      <c r="A802" s="364" t="s">
        <v>7798</v>
      </c>
      <c r="B802" t="s">
        <v>267</v>
      </c>
      <c r="C802" t="s">
        <v>8213</v>
      </c>
      <c r="D802">
        <v>193</v>
      </c>
      <c r="E802" s="113">
        <v>16</v>
      </c>
      <c r="F802" s="113">
        <v>8</v>
      </c>
      <c r="I802"/>
      <c r="K802" s="224">
        <v>6</v>
      </c>
      <c r="L802" s="390">
        <v>41625</v>
      </c>
      <c r="M802"/>
      <c r="N802" s="224"/>
      <c r="O802"/>
      <c r="P802"/>
      <c r="Q802"/>
      <c r="S802" s="224"/>
      <c r="T802" s="224"/>
      <c r="U802"/>
      <c r="V802"/>
      <c r="W802"/>
      <c r="X802"/>
      <c r="Y802" s="225"/>
      <c r="Z802" s="224"/>
      <c r="AA802" s="226"/>
      <c r="AB802" s="224"/>
      <c r="AC802" s="225"/>
      <c r="AD802" s="224"/>
      <c r="AE802" s="224"/>
      <c r="AF802" s="224"/>
      <c r="AG802"/>
      <c r="AH802"/>
      <c r="AI802">
        <v>150</v>
      </c>
      <c r="AJ802" s="194">
        <v>41785</v>
      </c>
      <c r="AK802">
        <v>37</v>
      </c>
      <c r="AL802" s="395">
        <v>41677</v>
      </c>
      <c r="AM802">
        <v>93</v>
      </c>
      <c r="AN802" s="391">
        <v>41733</v>
      </c>
      <c r="AO802"/>
      <c r="AP802" s="391" t="s">
        <v>8819</v>
      </c>
      <c r="AQ802" s="227"/>
      <c r="AR802" s="227"/>
      <c r="AS802"/>
      <c r="AT802"/>
      <c r="AU802"/>
      <c r="AV802" s="391" t="s">
        <v>8819</v>
      </c>
      <c r="AW802"/>
      <c r="AX802" s="391" t="s">
        <v>8819</v>
      </c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>
        <v>53.5</v>
      </c>
      <c r="BT802"/>
      <c r="BU802">
        <v>16.3</v>
      </c>
      <c r="BV802"/>
      <c r="BW802" s="229"/>
      <c r="BX802"/>
      <c r="BY802"/>
      <c r="BZ802"/>
      <c r="CA802"/>
      <c r="CC802"/>
      <c r="CD802"/>
      <c r="CE802">
        <v>7</v>
      </c>
      <c r="CF802"/>
      <c r="CG802">
        <v>0.1</v>
      </c>
      <c r="CH802"/>
      <c r="CI802"/>
      <c r="CJ802"/>
      <c r="CK802" t="s">
        <v>8820</v>
      </c>
      <c r="CL802">
        <v>1</v>
      </c>
      <c r="CM802" s="392">
        <v>41802</v>
      </c>
    </row>
    <row r="803" spans="1:91" ht="15">
      <c r="A803" s="364" t="s">
        <v>7799</v>
      </c>
      <c r="B803" t="s">
        <v>267</v>
      </c>
      <c r="C803" t="s">
        <v>8213</v>
      </c>
      <c r="D803" s="232">
        <v>194</v>
      </c>
      <c r="E803" s="113">
        <v>30</v>
      </c>
      <c r="F803" s="113">
        <v>8</v>
      </c>
      <c r="I803"/>
      <c r="K803" s="224">
        <v>6</v>
      </c>
      <c r="L803" s="390">
        <v>41625</v>
      </c>
      <c r="M803"/>
      <c r="N803" s="224"/>
      <c r="O803"/>
      <c r="P803"/>
      <c r="Q803"/>
      <c r="S803" s="224"/>
      <c r="T803" s="224"/>
      <c r="U803"/>
      <c r="V803"/>
      <c r="W803"/>
      <c r="X803"/>
      <c r="Y803" s="225"/>
      <c r="Z803" s="224"/>
      <c r="AA803" s="226"/>
      <c r="AB803" s="224"/>
      <c r="AC803" s="225"/>
      <c r="AD803" s="224"/>
      <c r="AE803" s="224"/>
      <c r="AF803" s="224"/>
      <c r="AG803"/>
      <c r="AH803"/>
      <c r="AI803">
        <v>150</v>
      </c>
      <c r="AJ803" s="194">
        <v>41785</v>
      </c>
      <c r="AK803">
        <v>37</v>
      </c>
      <c r="AL803" s="395">
        <v>41677</v>
      </c>
      <c r="AM803">
        <v>90</v>
      </c>
      <c r="AN803" s="391">
        <v>41730</v>
      </c>
      <c r="AO803"/>
      <c r="AP803" s="391" t="s">
        <v>8819</v>
      </c>
      <c r="AQ803" s="227"/>
      <c r="AR803" s="227"/>
      <c r="AS803"/>
      <c r="AT803"/>
      <c r="AU803"/>
      <c r="AV803" s="391" t="s">
        <v>8819</v>
      </c>
      <c r="AW803"/>
      <c r="AX803" s="391" t="s">
        <v>8819</v>
      </c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>
        <v>52.2</v>
      </c>
      <c r="BT803"/>
      <c r="BU803">
        <v>16.7</v>
      </c>
      <c r="BV803"/>
      <c r="BW803" s="229"/>
      <c r="BX803"/>
      <c r="BY803"/>
      <c r="BZ803"/>
      <c r="CA803"/>
      <c r="CC803"/>
      <c r="CD803"/>
      <c r="CE803">
        <v>6.1</v>
      </c>
      <c r="CF803"/>
      <c r="CG803">
        <v>0.1</v>
      </c>
      <c r="CH803"/>
      <c r="CI803"/>
      <c r="CJ803"/>
      <c r="CK803" t="s">
        <v>8820</v>
      </c>
      <c r="CL803">
        <v>1</v>
      </c>
      <c r="CM803" s="392">
        <v>41802</v>
      </c>
    </row>
    <row r="804" spans="1:91" ht="15">
      <c r="A804" s="364" t="s">
        <v>7800</v>
      </c>
      <c r="B804" t="s">
        <v>267</v>
      </c>
      <c r="C804" t="s">
        <v>8213</v>
      </c>
      <c r="D804" s="232">
        <v>195</v>
      </c>
      <c r="E804" s="113">
        <v>2</v>
      </c>
      <c r="F804" s="113">
        <v>10</v>
      </c>
      <c r="I804"/>
      <c r="K804" s="224">
        <v>7</v>
      </c>
      <c r="L804" s="390">
        <v>41625</v>
      </c>
      <c r="M804"/>
      <c r="N804" s="224"/>
      <c r="O804"/>
      <c r="P804"/>
      <c r="Q804"/>
      <c r="S804" s="224"/>
      <c r="T804" s="224"/>
      <c r="U804"/>
      <c r="V804"/>
      <c r="W804"/>
      <c r="X804"/>
      <c r="Y804" s="225"/>
      <c r="Z804" s="224"/>
      <c r="AA804" s="226"/>
      <c r="AB804" s="224"/>
      <c r="AC804" s="225"/>
      <c r="AD804" s="224"/>
      <c r="AE804" s="224"/>
      <c r="AF804" s="224"/>
      <c r="AG804"/>
      <c r="AH804"/>
      <c r="AI804">
        <v>155</v>
      </c>
      <c r="AJ804" s="194">
        <v>41785</v>
      </c>
      <c r="AK804">
        <v>37</v>
      </c>
      <c r="AL804" s="395">
        <v>41677</v>
      </c>
      <c r="AM804">
        <v>93</v>
      </c>
      <c r="AN804" s="391">
        <v>41733</v>
      </c>
      <c r="AO804"/>
      <c r="AP804" s="391">
        <v>41737</v>
      </c>
      <c r="AQ804" s="227"/>
      <c r="AR804" s="227"/>
      <c r="AS804"/>
      <c r="AT804"/>
      <c r="AU804"/>
      <c r="AV804" s="391" t="s">
        <v>8819</v>
      </c>
      <c r="AW804"/>
      <c r="AX804" s="391" t="s">
        <v>8819</v>
      </c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>
        <v>51.4</v>
      </c>
      <c r="BT804"/>
      <c r="BU804">
        <v>16.600000000000001</v>
      </c>
      <c r="BV804"/>
      <c r="BW804" s="229"/>
      <c r="BX804"/>
      <c r="BY804"/>
      <c r="BZ804"/>
      <c r="CA804"/>
      <c r="CC804"/>
      <c r="CD804"/>
      <c r="CE804">
        <v>5.6</v>
      </c>
      <c r="CF804"/>
      <c r="CG804">
        <v>0.1</v>
      </c>
      <c r="CH804"/>
      <c r="CI804"/>
      <c r="CJ804"/>
      <c r="CK804" t="s">
        <v>8820</v>
      </c>
      <c r="CL804">
        <v>1.6</v>
      </c>
      <c r="CM804" s="392">
        <v>41802</v>
      </c>
    </row>
    <row r="805" spans="1:91" ht="15">
      <c r="A805" s="364" t="s">
        <v>7801</v>
      </c>
      <c r="B805" t="s">
        <v>267</v>
      </c>
      <c r="C805" t="s">
        <v>8213</v>
      </c>
      <c r="D805">
        <v>196</v>
      </c>
      <c r="E805" s="113">
        <v>8</v>
      </c>
      <c r="F805" s="113">
        <v>10</v>
      </c>
      <c r="I805"/>
      <c r="K805" s="224">
        <v>8</v>
      </c>
      <c r="L805" s="390">
        <v>41625</v>
      </c>
      <c r="M805"/>
      <c r="N805" s="224"/>
      <c r="O805"/>
      <c r="P805"/>
      <c r="Q805"/>
      <c r="S805" s="224"/>
      <c r="T805" s="224"/>
      <c r="U805"/>
      <c r="V805"/>
      <c r="W805"/>
      <c r="X805"/>
      <c r="Y805" s="225"/>
      <c r="Z805" s="224"/>
      <c r="AA805" s="226"/>
      <c r="AB805" s="224"/>
      <c r="AC805" s="225"/>
      <c r="AD805" s="224"/>
      <c r="AE805" s="224"/>
      <c r="AF805" s="224"/>
      <c r="AG805"/>
      <c r="AH805"/>
      <c r="AI805">
        <v>150</v>
      </c>
      <c r="AJ805" s="194">
        <v>41785</v>
      </c>
      <c r="AK805">
        <v>31</v>
      </c>
      <c r="AL805" s="395">
        <v>41671</v>
      </c>
      <c r="AM805">
        <v>90</v>
      </c>
      <c r="AN805" s="391">
        <v>41730</v>
      </c>
      <c r="AO805"/>
      <c r="AP805" s="391" t="s">
        <v>8819</v>
      </c>
      <c r="AQ805" s="227"/>
      <c r="AR805" s="227"/>
      <c r="AS805"/>
      <c r="AT805"/>
      <c r="AU805"/>
      <c r="AV805" s="391" t="s">
        <v>8819</v>
      </c>
      <c r="AW805"/>
      <c r="AX805" s="391" t="s">
        <v>8819</v>
      </c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>
        <v>52.4</v>
      </c>
      <c r="BT805"/>
      <c r="BU805">
        <v>17</v>
      </c>
      <c r="BV805"/>
      <c r="BW805" s="229"/>
      <c r="BX805"/>
      <c r="BY805"/>
      <c r="BZ805"/>
      <c r="CA805"/>
      <c r="CC805"/>
      <c r="CD805"/>
      <c r="CE805">
        <v>4.9000000000000004</v>
      </c>
      <c r="CF805"/>
      <c r="CG805">
        <v>0.1</v>
      </c>
      <c r="CH805"/>
      <c r="CI805"/>
      <c r="CJ805"/>
      <c r="CK805" t="s">
        <v>8820</v>
      </c>
      <c r="CL805">
        <v>1</v>
      </c>
      <c r="CM805" s="392">
        <v>41802</v>
      </c>
    </row>
    <row r="806" spans="1:91" ht="15">
      <c r="A806" s="364" t="s">
        <v>7802</v>
      </c>
      <c r="B806" t="s">
        <v>267</v>
      </c>
      <c r="C806" t="s">
        <v>8213</v>
      </c>
      <c r="D806">
        <v>197</v>
      </c>
      <c r="E806" s="113">
        <v>22</v>
      </c>
      <c r="F806" s="113">
        <v>7</v>
      </c>
      <c r="I806"/>
      <c r="K806" s="224">
        <v>6</v>
      </c>
      <c r="L806" s="390">
        <v>41625</v>
      </c>
      <c r="M806"/>
      <c r="N806" s="224"/>
      <c r="O806"/>
      <c r="P806"/>
      <c r="Q806"/>
      <c r="S806" s="224"/>
      <c r="T806" s="224"/>
      <c r="U806"/>
      <c r="V806"/>
      <c r="W806"/>
      <c r="X806"/>
      <c r="Y806" s="225"/>
      <c r="Z806" s="224"/>
      <c r="AA806" s="226"/>
      <c r="AB806" s="224"/>
      <c r="AC806" s="225"/>
      <c r="AD806" s="224"/>
      <c r="AE806" s="224"/>
      <c r="AF806" s="224"/>
      <c r="AG806"/>
      <c r="AH806"/>
      <c r="AI806">
        <v>145</v>
      </c>
      <c r="AJ806" s="194">
        <v>41785</v>
      </c>
      <c r="AK806">
        <v>37</v>
      </c>
      <c r="AL806" s="395">
        <v>41677</v>
      </c>
      <c r="AM806">
        <v>93</v>
      </c>
      <c r="AN806" s="391">
        <v>41733</v>
      </c>
      <c r="AO806"/>
      <c r="AP806" s="391" t="s">
        <v>8819</v>
      </c>
      <c r="AQ806" s="227"/>
      <c r="AR806" s="227"/>
      <c r="AS806"/>
      <c r="AT806"/>
      <c r="AU806"/>
      <c r="AV806" s="391">
        <v>41737</v>
      </c>
      <c r="AW806"/>
      <c r="AX806" s="391" t="s">
        <v>8819</v>
      </c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>
        <v>52.1</v>
      </c>
      <c r="BT806"/>
      <c r="BU806">
        <v>16.5</v>
      </c>
      <c r="BV806"/>
      <c r="BW806" s="229"/>
      <c r="BX806"/>
      <c r="BY806"/>
      <c r="BZ806"/>
      <c r="CA806"/>
      <c r="CC806"/>
      <c r="CD806"/>
      <c r="CE806">
        <v>5.5</v>
      </c>
      <c r="CF806"/>
      <c r="CG806">
        <v>0.3</v>
      </c>
      <c r="CH806"/>
      <c r="CI806"/>
      <c r="CJ806"/>
      <c r="CK806" t="s">
        <v>8820</v>
      </c>
      <c r="CL806">
        <v>1</v>
      </c>
      <c r="CM806" s="392">
        <v>41802</v>
      </c>
    </row>
    <row r="807" spans="1:91" ht="15">
      <c r="A807" s="364" t="s">
        <v>7803</v>
      </c>
      <c r="B807" s="362" t="s">
        <v>267</v>
      </c>
      <c r="C807" s="362" t="s">
        <v>8213</v>
      </c>
      <c r="D807">
        <v>198</v>
      </c>
      <c r="E807" s="113">
        <v>36</v>
      </c>
      <c r="F807" s="113">
        <v>9</v>
      </c>
      <c r="I807"/>
      <c r="K807" s="224">
        <v>7</v>
      </c>
      <c r="L807" s="390">
        <v>41625</v>
      </c>
      <c r="M807"/>
      <c r="N807" s="224"/>
      <c r="O807"/>
      <c r="P807"/>
      <c r="Q807"/>
      <c r="S807" s="224"/>
      <c r="T807" s="224"/>
      <c r="U807"/>
      <c r="V807"/>
      <c r="W807"/>
      <c r="X807"/>
      <c r="Y807" s="225"/>
      <c r="Z807" s="224"/>
      <c r="AA807" s="226"/>
      <c r="AB807" s="224"/>
      <c r="AC807" s="225"/>
      <c r="AD807" s="224"/>
      <c r="AE807" s="224"/>
      <c r="AF807" s="224"/>
      <c r="AG807"/>
      <c r="AH807"/>
      <c r="AI807">
        <v>140</v>
      </c>
      <c r="AJ807" s="194">
        <v>41785</v>
      </c>
      <c r="AK807">
        <v>37</v>
      </c>
      <c r="AL807" s="395">
        <v>41677</v>
      </c>
      <c r="AM807">
        <v>93</v>
      </c>
      <c r="AN807" s="391">
        <v>41733</v>
      </c>
      <c r="AO807"/>
      <c r="AP807" s="391" t="s">
        <v>8819</v>
      </c>
      <c r="AQ807" s="227"/>
      <c r="AR807" s="227"/>
      <c r="AS807"/>
      <c r="AT807"/>
      <c r="AU807"/>
      <c r="AV807" s="391">
        <v>41737</v>
      </c>
      <c r="AW807"/>
      <c r="AX807" s="391" t="s">
        <v>8819</v>
      </c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>
        <v>52</v>
      </c>
      <c r="BT807"/>
      <c r="BU807">
        <v>17</v>
      </c>
      <c r="BV807"/>
      <c r="BW807" s="229"/>
      <c r="BX807"/>
      <c r="BY807"/>
      <c r="BZ807"/>
      <c r="CA807"/>
      <c r="CC807"/>
      <c r="CD807"/>
      <c r="CE807">
        <v>6.7</v>
      </c>
      <c r="CF807"/>
      <c r="CG807">
        <v>0</v>
      </c>
      <c r="CH807"/>
      <c r="CI807"/>
      <c r="CJ807"/>
      <c r="CK807" t="s">
        <v>8820</v>
      </c>
      <c r="CL807">
        <v>1</v>
      </c>
      <c r="CM807" s="392">
        <v>41802</v>
      </c>
    </row>
    <row r="808" spans="1:91" ht="15">
      <c r="A808" s="364" t="s">
        <v>7804</v>
      </c>
      <c r="B808" t="s">
        <v>267</v>
      </c>
      <c r="C808" t="s">
        <v>8213</v>
      </c>
      <c r="D808" s="232">
        <v>199</v>
      </c>
      <c r="E808" s="113">
        <v>18</v>
      </c>
      <c r="F808" s="113">
        <v>12</v>
      </c>
      <c r="I808"/>
      <c r="K808" s="224">
        <v>7</v>
      </c>
      <c r="L808" s="390">
        <v>41625</v>
      </c>
      <c r="M808"/>
      <c r="N808" s="224"/>
      <c r="O808"/>
      <c r="P808"/>
      <c r="Q808"/>
      <c r="S808" s="224"/>
      <c r="T808" s="224"/>
      <c r="U808"/>
      <c r="V808"/>
      <c r="W808"/>
      <c r="X808"/>
      <c r="Y808" s="225"/>
      <c r="Z808" s="224"/>
      <c r="AA808" s="226"/>
      <c r="AB808" s="224"/>
      <c r="AC808" s="225"/>
      <c r="AD808" s="224"/>
      <c r="AE808" s="224"/>
      <c r="AF808" s="224"/>
      <c r="AG808"/>
      <c r="AH808"/>
      <c r="AI808">
        <v>135</v>
      </c>
      <c r="AJ808" s="194">
        <v>41785</v>
      </c>
      <c r="AK808">
        <v>37</v>
      </c>
      <c r="AL808" s="395">
        <v>41677</v>
      </c>
      <c r="AM808">
        <v>93</v>
      </c>
      <c r="AN808" s="391">
        <v>41733</v>
      </c>
      <c r="AO808"/>
      <c r="AP808" s="391">
        <v>41737</v>
      </c>
      <c r="AQ808" s="227"/>
      <c r="AR808" s="227"/>
      <c r="AS808"/>
      <c r="AT808"/>
      <c r="AU808"/>
      <c r="AV808" s="391" t="s">
        <v>8819</v>
      </c>
      <c r="AW808"/>
      <c r="AX808" s="391" t="s">
        <v>8819</v>
      </c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>
        <v>51</v>
      </c>
      <c r="BT808"/>
      <c r="BU808">
        <v>18</v>
      </c>
      <c r="BV808"/>
      <c r="BW808" s="229"/>
      <c r="BX808"/>
      <c r="BY808"/>
      <c r="BZ808"/>
      <c r="CA808"/>
      <c r="CC808"/>
      <c r="CD808"/>
      <c r="CE808">
        <v>8.6999999999999993</v>
      </c>
      <c r="CF808"/>
      <c r="CG808">
        <v>0.1</v>
      </c>
      <c r="CH808"/>
      <c r="CI808"/>
      <c r="CJ808"/>
      <c r="CK808" t="s">
        <v>8820</v>
      </c>
      <c r="CL808">
        <v>1</v>
      </c>
      <c r="CM808" s="392">
        <v>41802</v>
      </c>
    </row>
    <row r="809" spans="1:91" ht="15">
      <c r="A809" s="364" t="s">
        <v>7805</v>
      </c>
      <c r="B809" t="s">
        <v>267</v>
      </c>
      <c r="C809" t="s">
        <v>8213</v>
      </c>
      <c r="D809" s="232">
        <v>200</v>
      </c>
      <c r="E809" s="113">
        <v>14</v>
      </c>
      <c r="F809" s="113">
        <v>8</v>
      </c>
      <c r="I809"/>
      <c r="K809" s="224">
        <v>7</v>
      </c>
      <c r="L809" s="390">
        <v>41625</v>
      </c>
      <c r="M809"/>
      <c r="N809" s="224"/>
      <c r="O809"/>
      <c r="P809"/>
      <c r="Q809"/>
      <c r="S809" s="224"/>
      <c r="T809" s="224"/>
      <c r="U809"/>
      <c r="V809"/>
      <c r="W809"/>
      <c r="X809"/>
      <c r="Y809" s="225"/>
      <c r="Z809" s="224"/>
      <c r="AA809" s="226"/>
      <c r="AB809" s="224"/>
      <c r="AC809" s="225"/>
      <c r="AD809" s="224"/>
      <c r="AE809" s="224"/>
      <c r="AF809" s="224"/>
      <c r="AG809"/>
      <c r="AH809"/>
      <c r="AI809">
        <v>150</v>
      </c>
      <c r="AJ809" s="194">
        <v>41785</v>
      </c>
      <c r="AK809">
        <v>26</v>
      </c>
      <c r="AL809" s="395">
        <v>41666</v>
      </c>
      <c r="AM809">
        <v>90</v>
      </c>
      <c r="AN809" s="391">
        <v>41730</v>
      </c>
      <c r="AO809"/>
      <c r="AP809" s="391" t="s">
        <v>8819</v>
      </c>
      <c r="AQ809" s="227"/>
      <c r="AR809" s="227"/>
      <c r="AS809"/>
      <c r="AT809"/>
      <c r="AU809"/>
      <c r="AV809" s="391" t="s">
        <v>8819</v>
      </c>
      <c r="AW809"/>
      <c r="AX809" s="391" t="s">
        <v>8819</v>
      </c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>
        <v>52.8</v>
      </c>
      <c r="BT809"/>
      <c r="BU809">
        <v>16.5</v>
      </c>
      <c r="BV809"/>
      <c r="BW809" s="229"/>
      <c r="BX809"/>
      <c r="BY809"/>
      <c r="BZ809"/>
      <c r="CA809"/>
      <c r="CC809"/>
      <c r="CD809"/>
      <c r="CE809">
        <v>7.8</v>
      </c>
      <c r="CF809"/>
      <c r="CG809">
        <v>0.1</v>
      </c>
      <c r="CH809"/>
      <c r="CI809"/>
      <c r="CJ809"/>
      <c r="CK809" t="s">
        <v>8820</v>
      </c>
      <c r="CL809">
        <v>1</v>
      </c>
      <c r="CM809" s="392">
        <v>41802</v>
      </c>
    </row>
    <row r="810" spans="1:91" ht="15">
      <c r="A810" s="364" t="s">
        <v>7806</v>
      </c>
      <c r="B810" t="s">
        <v>267</v>
      </c>
      <c r="C810" t="s">
        <v>8213</v>
      </c>
      <c r="D810">
        <v>201</v>
      </c>
      <c r="E810" s="113">
        <v>20</v>
      </c>
      <c r="F810" s="113">
        <v>12</v>
      </c>
      <c r="I810"/>
      <c r="K810" s="224">
        <v>7</v>
      </c>
      <c r="L810" s="390">
        <v>41625</v>
      </c>
      <c r="M810"/>
      <c r="N810" s="224"/>
      <c r="O810"/>
      <c r="P810"/>
      <c r="Q810"/>
      <c r="S810" s="224"/>
      <c r="T810" s="224"/>
      <c r="U810"/>
      <c r="V810"/>
      <c r="W810"/>
      <c r="X810"/>
      <c r="Y810" s="225"/>
      <c r="Z810" s="224"/>
      <c r="AA810" s="226"/>
      <c r="AB810" s="224"/>
      <c r="AC810" s="225"/>
      <c r="AD810" s="224"/>
      <c r="AE810" s="224"/>
      <c r="AF810" s="224"/>
      <c r="AG810"/>
      <c r="AH810"/>
      <c r="AI810">
        <v>155</v>
      </c>
      <c r="AJ810" s="194">
        <v>41785</v>
      </c>
      <c r="AK810">
        <v>37</v>
      </c>
      <c r="AL810" s="395">
        <v>41677</v>
      </c>
      <c r="AM810">
        <v>93</v>
      </c>
      <c r="AN810" s="391">
        <v>41733</v>
      </c>
      <c r="AO810"/>
      <c r="AP810" s="391" t="s">
        <v>8819</v>
      </c>
      <c r="AQ810" s="227"/>
      <c r="AR810" s="227"/>
      <c r="AS810"/>
      <c r="AT810"/>
      <c r="AU810"/>
      <c r="AV810" s="391">
        <v>41737</v>
      </c>
      <c r="AW810"/>
      <c r="AX810" s="391" t="s">
        <v>8819</v>
      </c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>
        <v>50.3</v>
      </c>
      <c r="BT810"/>
      <c r="BU810">
        <v>17.8</v>
      </c>
      <c r="BV810"/>
      <c r="BW810" s="229"/>
      <c r="BX810"/>
      <c r="BY810"/>
      <c r="BZ810"/>
      <c r="CA810"/>
      <c r="CC810"/>
      <c r="CD810"/>
      <c r="CE810">
        <v>6.7</v>
      </c>
      <c r="CF810"/>
      <c r="CG810">
        <v>0.1</v>
      </c>
      <c r="CH810"/>
      <c r="CI810"/>
      <c r="CJ810"/>
      <c r="CK810" t="s">
        <v>8820</v>
      </c>
      <c r="CL810">
        <v>1</v>
      </c>
      <c r="CM810" s="392">
        <v>41802</v>
      </c>
    </row>
    <row r="811" spans="1:91" ht="15">
      <c r="A811" s="364" t="s">
        <v>7807</v>
      </c>
      <c r="B811" t="s">
        <v>267</v>
      </c>
      <c r="C811" t="s">
        <v>8213</v>
      </c>
      <c r="D811">
        <v>202</v>
      </c>
      <c r="E811" s="113">
        <v>25</v>
      </c>
      <c r="F811" s="113">
        <v>10</v>
      </c>
      <c r="I811"/>
      <c r="K811" s="224">
        <v>6</v>
      </c>
      <c r="L811" s="390">
        <v>41625</v>
      </c>
      <c r="M811"/>
      <c r="N811" s="224"/>
      <c r="O811"/>
      <c r="P811"/>
      <c r="Q811"/>
      <c r="S811" s="224"/>
      <c r="T811" s="224"/>
      <c r="U811"/>
      <c r="V811"/>
      <c r="W811"/>
      <c r="X811"/>
      <c r="Y811" s="225"/>
      <c r="Z811" s="224"/>
      <c r="AA811" s="226"/>
      <c r="AB811" s="224"/>
      <c r="AC811" s="225"/>
      <c r="AD811" s="224"/>
      <c r="AE811" s="224"/>
      <c r="AF811" s="224"/>
      <c r="AG811"/>
      <c r="AH811"/>
      <c r="AI811">
        <v>140</v>
      </c>
      <c r="AJ811" s="194">
        <v>41785</v>
      </c>
      <c r="AK811">
        <v>26</v>
      </c>
      <c r="AL811" s="395">
        <v>41666</v>
      </c>
      <c r="AM811">
        <v>90</v>
      </c>
      <c r="AN811" s="391">
        <v>41730</v>
      </c>
      <c r="AO811"/>
      <c r="AP811" s="391" t="s">
        <v>8819</v>
      </c>
      <c r="AQ811" s="227"/>
      <c r="AR811" s="227"/>
      <c r="AS811"/>
      <c r="AT811"/>
      <c r="AU811"/>
      <c r="AV811" s="391" t="s">
        <v>8819</v>
      </c>
      <c r="AW811"/>
      <c r="AX811" s="391" t="s">
        <v>8819</v>
      </c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>
        <v>51.1</v>
      </c>
      <c r="BT811"/>
      <c r="BU811">
        <v>15.6</v>
      </c>
      <c r="BV811"/>
      <c r="BW811" s="229"/>
      <c r="BX811"/>
      <c r="BY811"/>
      <c r="BZ811"/>
      <c r="CA811"/>
      <c r="CC811"/>
      <c r="CD811"/>
      <c r="CE811">
        <v>6.6</v>
      </c>
      <c r="CF811"/>
      <c r="CG811">
        <v>1</v>
      </c>
      <c r="CH811"/>
      <c r="CI811"/>
      <c r="CJ811"/>
      <c r="CK811" t="s">
        <v>8820</v>
      </c>
      <c r="CL811">
        <v>1</v>
      </c>
      <c r="CM811" s="392">
        <v>41802</v>
      </c>
    </row>
    <row r="812" spans="1:91" ht="15">
      <c r="A812" s="364" t="s">
        <v>7808</v>
      </c>
      <c r="B812" t="s">
        <v>267</v>
      </c>
      <c r="C812" t="s">
        <v>8213</v>
      </c>
      <c r="D812">
        <v>203</v>
      </c>
      <c r="E812" s="113">
        <v>1</v>
      </c>
      <c r="F812" s="113">
        <v>11</v>
      </c>
      <c r="I812"/>
      <c r="K812" s="224">
        <v>7</v>
      </c>
      <c r="L812" s="390">
        <v>41625</v>
      </c>
      <c r="M812"/>
      <c r="N812" s="224"/>
      <c r="O812"/>
      <c r="P812"/>
      <c r="Q812"/>
      <c r="S812" s="224"/>
      <c r="T812" s="224"/>
      <c r="U812"/>
      <c r="V812"/>
      <c r="W812"/>
      <c r="X812"/>
      <c r="Y812" s="225"/>
      <c r="Z812" s="224"/>
      <c r="AA812" s="226"/>
      <c r="AB812" s="224"/>
      <c r="AC812" s="225"/>
      <c r="AD812" s="224"/>
      <c r="AE812" s="224"/>
      <c r="AF812" s="224"/>
      <c r="AG812"/>
      <c r="AH812"/>
      <c r="AI812">
        <v>135</v>
      </c>
      <c r="AJ812" s="194">
        <v>41785</v>
      </c>
      <c r="AK812">
        <v>31</v>
      </c>
      <c r="AL812" s="395">
        <v>41671</v>
      </c>
      <c r="AM812">
        <v>90</v>
      </c>
      <c r="AN812" s="391">
        <v>41730</v>
      </c>
      <c r="AO812"/>
      <c r="AP812" s="391" t="s">
        <v>8819</v>
      </c>
      <c r="AQ812" s="227"/>
      <c r="AR812" s="227"/>
      <c r="AS812"/>
      <c r="AT812"/>
      <c r="AU812"/>
      <c r="AV812" s="391" t="s">
        <v>8819</v>
      </c>
      <c r="AW812"/>
      <c r="AX812" s="391" t="s">
        <v>8819</v>
      </c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>
        <v>51.6</v>
      </c>
      <c r="BT812"/>
      <c r="BU812">
        <v>17.7</v>
      </c>
      <c r="BV812"/>
      <c r="BW812" s="229"/>
      <c r="BX812"/>
      <c r="BY812"/>
      <c r="BZ812"/>
      <c r="CA812"/>
      <c r="CC812"/>
      <c r="CD812"/>
      <c r="CE812">
        <v>5.6</v>
      </c>
      <c r="CF812"/>
      <c r="CG812">
        <v>0.1</v>
      </c>
      <c r="CH812"/>
      <c r="CI812"/>
      <c r="CJ812"/>
      <c r="CK812" t="s">
        <v>8820</v>
      </c>
      <c r="CL812">
        <v>1</v>
      </c>
      <c r="CM812" s="392">
        <v>41802</v>
      </c>
    </row>
    <row r="813" spans="1:91" ht="15">
      <c r="A813" s="364" t="s">
        <v>7809</v>
      </c>
      <c r="B813" t="s">
        <v>267</v>
      </c>
      <c r="C813" t="s">
        <v>8213</v>
      </c>
      <c r="D813">
        <v>204</v>
      </c>
      <c r="E813" s="113">
        <v>17</v>
      </c>
      <c r="F813" s="113">
        <v>12</v>
      </c>
      <c r="I813"/>
      <c r="K813" s="224">
        <v>7</v>
      </c>
      <c r="L813" s="390">
        <v>41625</v>
      </c>
      <c r="M813"/>
      <c r="N813" s="224"/>
      <c r="O813"/>
      <c r="P813"/>
      <c r="Q813"/>
      <c r="S813" s="224"/>
      <c r="T813" s="224"/>
      <c r="U813"/>
      <c r="V813"/>
      <c r="W813"/>
      <c r="X813"/>
      <c r="Y813" s="225"/>
      <c r="Z813" s="224"/>
      <c r="AA813" s="226"/>
      <c r="AB813" s="224"/>
      <c r="AC813" s="225"/>
      <c r="AD813" s="224"/>
      <c r="AE813" s="224"/>
      <c r="AF813" s="224"/>
      <c r="AG813"/>
      <c r="AH813"/>
      <c r="AI813">
        <v>155</v>
      </c>
      <c r="AJ813" s="194">
        <v>41785</v>
      </c>
      <c r="AK813">
        <v>37</v>
      </c>
      <c r="AL813" s="395">
        <v>41677</v>
      </c>
      <c r="AM813">
        <v>93</v>
      </c>
      <c r="AN813" s="391">
        <v>41733</v>
      </c>
      <c r="AO813"/>
      <c r="AP813" s="391">
        <v>41737</v>
      </c>
      <c r="AQ813" s="227"/>
      <c r="AR813" s="227"/>
      <c r="AS813"/>
      <c r="AT813"/>
      <c r="AU813"/>
      <c r="AV813" s="391" t="s">
        <v>8819</v>
      </c>
      <c r="AW813"/>
      <c r="AX813" s="391" t="s">
        <v>8819</v>
      </c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>
        <v>50.3</v>
      </c>
      <c r="BT813"/>
      <c r="BU813">
        <v>17.8</v>
      </c>
      <c r="BV813"/>
      <c r="BW813" s="229"/>
      <c r="BX813"/>
      <c r="BY813"/>
      <c r="BZ813"/>
      <c r="CA813"/>
      <c r="CC813"/>
      <c r="CD813"/>
      <c r="CE813">
        <v>8.1999999999999993</v>
      </c>
      <c r="CF813"/>
      <c r="CG813">
        <v>0</v>
      </c>
      <c r="CH813"/>
      <c r="CI813"/>
      <c r="CJ813"/>
      <c r="CK813" t="s">
        <v>8820</v>
      </c>
      <c r="CL813">
        <v>1</v>
      </c>
      <c r="CM813" s="392">
        <v>41802</v>
      </c>
    </row>
    <row r="814" spans="1:91" ht="15">
      <c r="A814" s="364" t="s">
        <v>7810</v>
      </c>
      <c r="B814" t="s">
        <v>267</v>
      </c>
      <c r="C814" t="s">
        <v>8213</v>
      </c>
      <c r="D814">
        <v>205</v>
      </c>
      <c r="E814" s="113">
        <v>2</v>
      </c>
      <c r="F814" s="113">
        <v>11</v>
      </c>
      <c r="I814"/>
      <c r="K814" s="224">
        <v>6</v>
      </c>
      <c r="L814" s="390">
        <v>41625</v>
      </c>
      <c r="M814"/>
      <c r="N814" s="224"/>
      <c r="O814"/>
      <c r="P814"/>
      <c r="Q814"/>
      <c r="S814" s="224"/>
      <c r="T814" s="224"/>
      <c r="U814"/>
      <c r="V814"/>
      <c r="W814"/>
      <c r="X814"/>
      <c r="Y814" s="225"/>
      <c r="Z814" s="224"/>
      <c r="AA814" s="226"/>
      <c r="AB814" s="224"/>
      <c r="AC814" s="225"/>
      <c r="AD814" s="224"/>
      <c r="AE814" s="224"/>
      <c r="AF814" s="224"/>
      <c r="AG814"/>
      <c r="AH814"/>
      <c r="AI814">
        <v>140</v>
      </c>
      <c r="AJ814" s="194">
        <v>41785</v>
      </c>
      <c r="AK814">
        <v>37</v>
      </c>
      <c r="AL814" s="395">
        <v>41677</v>
      </c>
      <c r="AM814">
        <v>93</v>
      </c>
      <c r="AN814" s="391">
        <v>41733</v>
      </c>
      <c r="AO814"/>
      <c r="AP814" s="391" t="s">
        <v>8819</v>
      </c>
      <c r="AQ814" s="227"/>
      <c r="AR814" s="227"/>
      <c r="AS814"/>
      <c r="AT814"/>
      <c r="AU814"/>
      <c r="AV814" s="391">
        <v>41737</v>
      </c>
      <c r="AW814"/>
      <c r="AX814" s="391" t="s">
        <v>8819</v>
      </c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>
        <v>52</v>
      </c>
      <c r="BT814"/>
      <c r="BU814">
        <v>15.8</v>
      </c>
      <c r="BV814"/>
      <c r="BW814" s="229"/>
      <c r="BX814"/>
      <c r="BY814"/>
      <c r="BZ814"/>
      <c r="CA814"/>
      <c r="CC814"/>
      <c r="CD814"/>
      <c r="CE814">
        <v>5.4</v>
      </c>
      <c r="CF814"/>
      <c r="CG814">
        <v>0.5</v>
      </c>
      <c r="CH814"/>
      <c r="CI814"/>
      <c r="CJ814"/>
      <c r="CK814" t="s">
        <v>8820</v>
      </c>
      <c r="CL814">
        <v>1</v>
      </c>
      <c r="CM814" s="392">
        <v>41802</v>
      </c>
    </row>
    <row r="815" spans="1:91" ht="15">
      <c r="A815" s="364" t="s">
        <v>7811</v>
      </c>
      <c r="B815" t="s">
        <v>267</v>
      </c>
      <c r="C815" t="s">
        <v>8213</v>
      </c>
      <c r="D815">
        <v>206</v>
      </c>
      <c r="E815" s="113">
        <v>10</v>
      </c>
      <c r="F815" s="113">
        <v>7</v>
      </c>
      <c r="I815"/>
      <c r="K815" s="224">
        <v>8</v>
      </c>
      <c r="L815" s="390">
        <v>41625</v>
      </c>
      <c r="M815"/>
      <c r="N815" s="224"/>
      <c r="O815"/>
      <c r="P815"/>
      <c r="Q815"/>
      <c r="S815" s="224"/>
      <c r="T815" s="224"/>
      <c r="U815"/>
      <c r="V815"/>
      <c r="W815"/>
      <c r="X815"/>
      <c r="Y815" s="225"/>
      <c r="Z815" s="224"/>
      <c r="AA815" s="226"/>
      <c r="AB815" s="224"/>
      <c r="AC815" s="225"/>
      <c r="AD815" s="224"/>
      <c r="AE815" s="224"/>
      <c r="AF815" s="224"/>
      <c r="AG815"/>
      <c r="AH815"/>
      <c r="AI815">
        <v>150</v>
      </c>
      <c r="AJ815" s="194">
        <v>41785</v>
      </c>
      <c r="AK815">
        <v>37</v>
      </c>
      <c r="AL815" s="395">
        <v>41677</v>
      </c>
      <c r="AM815">
        <v>93</v>
      </c>
      <c r="AN815" s="391">
        <v>41733</v>
      </c>
      <c r="AO815"/>
      <c r="AP815" s="391">
        <v>41737</v>
      </c>
      <c r="AQ815" s="227"/>
      <c r="AR815" s="227"/>
      <c r="AS815"/>
      <c r="AT815"/>
      <c r="AU815"/>
      <c r="AV815" s="391" t="s">
        <v>8819</v>
      </c>
      <c r="AW815"/>
      <c r="AX815" s="391" t="s">
        <v>8819</v>
      </c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>
        <v>50.6</v>
      </c>
      <c r="BT815"/>
      <c r="BU815">
        <v>16.5</v>
      </c>
      <c r="BV815"/>
      <c r="BW815" s="229"/>
      <c r="BX815"/>
      <c r="BY815"/>
      <c r="BZ815"/>
      <c r="CA815"/>
      <c r="CC815"/>
      <c r="CD815"/>
      <c r="CE815">
        <v>5.8</v>
      </c>
      <c r="CF815"/>
      <c r="CG815">
        <v>0.1</v>
      </c>
      <c r="CH815"/>
      <c r="CI815"/>
      <c r="CJ815"/>
      <c r="CK815" t="s">
        <v>8820</v>
      </c>
      <c r="CL815">
        <v>1</v>
      </c>
      <c r="CM815" s="392">
        <v>41802</v>
      </c>
    </row>
    <row r="816" spans="1:91" ht="15">
      <c r="A816" s="364" t="s">
        <v>7887</v>
      </c>
      <c r="B816" t="s">
        <v>267</v>
      </c>
      <c r="C816" t="s">
        <v>8213</v>
      </c>
      <c r="D816">
        <v>207</v>
      </c>
      <c r="E816" s="113">
        <v>11</v>
      </c>
      <c r="F816" s="113">
        <v>10</v>
      </c>
      <c r="G816" s="233"/>
      <c r="H816" s="233"/>
      <c r="I816" s="232"/>
      <c r="J816" s="234"/>
      <c r="K816" s="235">
        <v>6</v>
      </c>
      <c r="L816" s="390">
        <v>41625</v>
      </c>
      <c r="M816" s="232"/>
      <c r="N816" s="235"/>
      <c r="O816" s="232"/>
      <c r="P816" s="232"/>
      <c r="Q816" s="232"/>
      <c r="R816" s="236"/>
      <c r="S816" s="235"/>
      <c r="T816" s="235"/>
      <c r="U816" s="232"/>
      <c r="V816" s="232"/>
      <c r="W816" s="232"/>
      <c r="X816" s="232"/>
      <c r="Y816" s="237"/>
      <c r="Z816" s="235"/>
      <c r="AA816" s="238"/>
      <c r="AB816" s="235"/>
      <c r="AC816" s="237"/>
      <c r="AD816" s="235"/>
      <c r="AE816" s="235"/>
      <c r="AF816" s="235"/>
      <c r="AG816" s="232"/>
      <c r="AH816" s="232"/>
      <c r="AI816" s="232">
        <v>150</v>
      </c>
      <c r="AJ816" s="194">
        <v>41785</v>
      </c>
      <c r="AK816" s="232">
        <v>31</v>
      </c>
      <c r="AL816" s="395">
        <v>41671</v>
      </c>
      <c r="AM816" s="232">
        <v>90</v>
      </c>
      <c r="AN816" s="391">
        <v>41730</v>
      </c>
      <c r="AO816" s="232"/>
      <c r="AP816" s="391" t="s">
        <v>8819</v>
      </c>
      <c r="AQ816" s="239"/>
      <c r="AR816" s="239"/>
      <c r="AS816" s="232"/>
      <c r="AT816" s="232"/>
      <c r="AU816" s="232"/>
      <c r="AV816" s="391" t="s">
        <v>8819</v>
      </c>
      <c r="AW816" s="232"/>
      <c r="AX816" s="391" t="s">
        <v>8819</v>
      </c>
      <c r="AY816" s="232"/>
      <c r="AZ816" s="232"/>
      <c r="BA816" s="232"/>
      <c r="BB816" s="232"/>
      <c r="BC816" s="232"/>
      <c r="BD816" s="232"/>
      <c r="BE816" s="232"/>
      <c r="BF816" s="232"/>
      <c r="BG816" s="232"/>
      <c r="BH816" s="232"/>
      <c r="BI816" s="232"/>
      <c r="BJ816" s="232"/>
      <c r="BK816" s="232"/>
      <c r="BL816" s="232"/>
      <c r="BM816" s="232"/>
      <c r="BN816" s="232"/>
      <c r="BO816" s="232"/>
      <c r="BP816" s="232"/>
      <c r="BQ816" s="232"/>
      <c r="BR816" s="232"/>
      <c r="BS816" s="232">
        <v>51.7</v>
      </c>
      <c r="BT816" s="232"/>
      <c r="BU816" s="232">
        <v>17</v>
      </c>
      <c r="BV816" s="232"/>
      <c r="BW816" s="240"/>
      <c r="BX816" s="232"/>
      <c r="BY816" s="232"/>
      <c r="BZ816" s="232"/>
      <c r="CA816" s="232"/>
      <c r="CB816" s="241"/>
      <c r="CC816" s="232"/>
      <c r="CD816" s="232"/>
      <c r="CE816" s="232">
        <v>5.5</v>
      </c>
      <c r="CF816" s="232"/>
      <c r="CG816" s="232">
        <v>0.3</v>
      </c>
      <c r="CH816" s="232"/>
      <c r="CI816" s="232"/>
      <c r="CJ816" s="232"/>
      <c r="CK816" t="s">
        <v>8820</v>
      </c>
      <c r="CL816" s="232">
        <v>1</v>
      </c>
      <c r="CM816" s="392">
        <v>41802</v>
      </c>
    </row>
    <row r="817" spans="1:91" ht="15">
      <c r="A817" s="364" t="s">
        <v>7887</v>
      </c>
      <c r="B817" t="s">
        <v>267</v>
      </c>
      <c r="C817" t="s">
        <v>8213</v>
      </c>
      <c r="D817">
        <v>208</v>
      </c>
      <c r="E817" s="113">
        <v>32</v>
      </c>
      <c r="F817" s="113">
        <v>12</v>
      </c>
      <c r="I817"/>
      <c r="K817" s="224">
        <v>7</v>
      </c>
      <c r="L817" s="390">
        <v>41625</v>
      </c>
      <c r="M817"/>
      <c r="N817" s="224"/>
      <c r="O817"/>
      <c r="P817"/>
      <c r="Q817"/>
      <c r="S817" s="224"/>
      <c r="T817" s="224"/>
      <c r="U817"/>
      <c r="V817"/>
      <c r="W817"/>
      <c r="X817"/>
      <c r="Y817" s="225"/>
      <c r="Z817" s="224"/>
      <c r="AA817" s="226"/>
      <c r="AB817" s="224"/>
      <c r="AC817" s="225"/>
      <c r="AD817" s="224"/>
      <c r="AE817" s="224"/>
      <c r="AF817" s="224"/>
      <c r="AG817"/>
      <c r="AH817"/>
      <c r="AI817">
        <v>135</v>
      </c>
      <c r="AJ817" s="194">
        <v>41785</v>
      </c>
      <c r="AK817">
        <v>37</v>
      </c>
      <c r="AL817" s="395">
        <v>41677</v>
      </c>
      <c r="AM817">
        <v>90</v>
      </c>
      <c r="AN817" s="391">
        <v>41730</v>
      </c>
      <c r="AO817"/>
      <c r="AP817" s="391" t="s">
        <v>8819</v>
      </c>
      <c r="AQ817" s="227"/>
      <c r="AR817" s="227"/>
      <c r="AS817"/>
      <c r="AT817"/>
      <c r="AU817"/>
      <c r="AV817" s="391" t="s">
        <v>8819</v>
      </c>
      <c r="AW817"/>
      <c r="AX817" s="391" t="s">
        <v>8819</v>
      </c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>
        <v>52.1</v>
      </c>
      <c r="BT817"/>
      <c r="BU817">
        <v>17.2</v>
      </c>
      <c r="BV817"/>
      <c r="BW817" s="229"/>
      <c r="BX817"/>
      <c r="BY817"/>
      <c r="BZ817"/>
      <c r="CA817"/>
      <c r="CC817"/>
      <c r="CD817"/>
      <c r="CE817">
        <v>6.1</v>
      </c>
      <c r="CF817"/>
      <c r="CG817">
        <v>0.2</v>
      </c>
      <c r="CH817"/>
      <c r="CI817"/>
      <c r="CJ817"/>
      <c r="CK817" t="s">
        <v>8820</v>
      </c>
      <c r="CL817">
        <v>1</v>
      </c>
      <c r="CM817" s="392">
        <v>41802</v>
      </c>
    </row>
    <row r="818" spans="1:91" ht="15">
      <c r="A818" s="364" t="s">
        <v>7887</v>
      </c>
      <c r="B818" t="s">
        <v>267</v>
      </c>
      <c r="C818" t="s">
        <v>8213</v>
      </c>
      <c r="D818">
        <v>209</v>
      </c>
      <c r="E818" s="113">
        <v>9</v>
      </c>
      <c r="F818" s="113">
        <v>8</v>
      </c>
      <c r="I818"/>
      <c r="K818" s="224">
        <v>6</v>
      </c>
      <c r="L818" s="390">
        <v>41625</v>
      </c>
      <c r="M818"/>
      <c r="N818" s="224"/>
      <c r="O818"/>
      <c r="P818"/>
      <c r="Q818"/>
      <c r="S818" s="224"/>
      <c r="T818" s="224"/>
      <c r="U818"/>
      <c r="V818"/>
      <c r="W818"/>
      <c r="X818"/>
      <c r="Y818" s="225"/>
      <c r="Z818" s="224"/>
      <c r="AA818" s="226"/>
      <c r="AB818" s="224"/>
      <c r="AC818" s="225"/>
      <c r="AD818" s="224"/>
      <c r="AE818" s="224"/>
      <c r="AF818" s="224"/>
      <c r="AG818"/>
      <c r="AH818"/>
      <c r="AI818">
        <v>155</v>
      </c>
      <c r="AJ818" s="194">
        <v>41785</v>
      </c>
      <c r="AK818">
        <v>37</v>
      </c>
      <c r="AL818" s="395">
        <v>41677</v>
      </c>
      <c r="AM818">
        <v>90</v>
      </c>
      <c r="AN818" s="391">
        <v>41730</v>
      </c>
      <c r="AO818"/>
      <c r="AP818" s="391" t="s">
        <v>8819</v>
      </c>
      <c r="AQ818" s="227"/>
      <c r="AR818" s="227"/>
      <c r="AS818"/>
      <c r="AT818"/>
      <c r="AU818"/>
      <c r="AV818" s="391" t="s">
        <v>8819</v>
      </c>
      <c r="AW818">
        <v>111</v>
      </c>
      <c r="AX818" s="391">
        <v>41751</v>
      </c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>
        <v>51.4</v>
      </c>
      <c r="BT818"/>
      <c r="BU818">
        <v>17.899999999999999</v>
      </c>
      <c r="BV818"/>
      <c r="BW818" s="229"/>
      <c r="BX818"/>
      <c r="BY818"/>
      <c r="BZ818"/>
      <c r="CA818"/>
      <c r="CC818"/>
      <c r="CD818"/>
      <c r="CE818">
        <v>5.5</v>
      </c>
      <c r="CF818"/>
      <c r="CG818">
        <v>0.1</v>
      </c>
      <c r="CH818"/>
      <c r="CI818"/>
      <c r="CJ818"/>
      <c r="CK818" t="s">
        <v>8820</v>
      </c>
      <c r="CL818">
        <v>1</v>
      </c>
      <c r="CM818" s="392">
        <v>41802</v>
      </c>
    </row>
    <row r="819" spans="1:91" ht="15">
      <c r="A819" s="364" t="s">
        <v>7887</v>
      </c>
      <c r="B819" t="s">
        <v>267</v>
      </c>
      <c r="C819" t="s">
        <v>8213</v>
      </c>
      <c r="D819">
        <v>210</v>
      </c>
      <c r="E819" s="113">
        <v>16</v>
      </c>
      <c r="F819" s="113">
        <v>9</v>
      </c>
      <c r="I819"/>
      <c r="K819" s="224">
        <v>6</v>
      </c>
      <c r="L819" s="390">
        <v>41625</v>
      </c>
      <c r="M819"/>
      <c r="N819" s="224"/>
      <c r="O819"/>
      <c r="P819"/>
      <c r="Q819"/>
      <c r="S819" s="224"/>
      <c r="T819" s="224"/>
      <c r="U819"/>
      <c r="V819"/>
      <c r="W819"/>
      <c r="X819"/>
      <c r="Y819" s="225"/>
      <c r="Z819" s="224"/>
      <c r="AA819" s="226"/>
      <c r="AB819" s="224"/>
      <c r="AC819" s="225"/>
      <c r="AD819" s="224"/>
      <c r="AE819" s="224"/>
      <c r="AF819" s="224"/>
      <c r="AG819"/>
      <c r="AH819"/>
      <c r="AI819">
        <v>145</v>
      </c>
      <c r="AJ819" s="194">
        <v>41785</v>
      </c>
      <c r="AK819">
        <v>31</v>
      </c>
      <c r="AL819" s="395">
        <v>41671</v>
      </c>
      <c r="AM819">
        <v>90</v>
      </c>
      <c r="AN819" s="391">
        <v>41730</v>
      </c>
      <c r="AO819"/>
      <c r="AP819" s="391" t="s">
        <v>8819</v>
      </c>
      <c r="AQ819" s="227"/>
      <c r="AR819" s="227"/>
      <c r="AS819"/>
      <c r="AT819"/>
      <c r="AU819"/>
      <c r="AV819" s="391" t="s">
        <v>8819</v>
      </c>
      <c r="AW819"/>
      <c r="AX819" s="391" t="s">
        <v>8819</v>
      </c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>
        <v>52.4</v>
      </c>
      <c r="BT819"/>
      <c r="BU819">
        <v>16.899999999999999</v>
      </c>
      <c r="BV819"/>
      <c r="BW819" s="229"/>
      <c r="BX819"/>
      <c r="BY819"/>
      <c r="BZ819"/>
      <c r="CA819"/>
      <c r="CC819"/>
      <c r="CD819"/>
      <c r="CE819">
        <v>6.4</v>
      </c>
      <c r="CF819"/>
      <c r="CG819">
        <v>0.1</v>
      </c>
      <c r="CH819"/>
      <c r="CI819"/>
      <c r="CJ819"/>
      <c r="CK819" t="s">
        <v>8820</v>
      </c>
      <c r="CL819">
        <v>1</v>
      </c>
      <c r="CM819" s="392">
        <v>41802</v>
      </c>
    </row>
    <row r="820" spans="1:91" ht="15">
      <c r="A820" s="364" t="s">
        <v>7887</v>
      </c>
      <c r="B820" t="s">
        <v>267</v>
      </c>
      <c r="C820" t="s">
        <v>8213</v>
      </c>
      <c r="D820">
        <v>211</v>
      </c>
      <c r="E820" s="113">
        <v>18</v>
      </c>
      <c r="F820" s="113">
        <v>11</v>
      </c>
      <c r="I820"/>
      <c r="K820" s="224">
        <v>7</v>
      </c>
      <c r="L820" s="390">
        <v>41625</v>
      </c>
      <c r="M820"/>
      <c r="N820" s="224"/>
      <c r="O820"/>
      <c r="P820"/>
      <c r="Q820"/>
      <c r="S820" s="224"/>
      <c r="T820" s="224"/>
      <c r="U820"/>
      <c r="V820"/>
      <c r="W820"/>
      <c r="X820"/>
      <c r="Y820" s="225"/>
      <c r="Z820" s="224"/>
      <c r="AA820" s="226"/>
      <c r="AB820" s="224"/>
      <c r="AC820" s="225"/>
      <c r="AD820" s="224"/>
      <c r="AE820" s="224"/>
      <c r="AF820" s="224"/>
      <c r="AG820"/>
      <c r="AH820"/>
      <c r="AI820">
        <v>140</v>
      </c>
      <c r="AJ820" s="194">
        <v>41785</v>
      </c>
      <c r="AK820">
        <v>37</v>
      </c>
      <c r="AL820" s="395">
        <v>41677</v>
      </c>
      <c r="AM820">
        <v>90</v>
      </c>
      <c r="AN820" s="391">
        <v>41730</v>
      </c>
      <c r="AO820"/>
      <c r="AP820" s="391" t="s">
        <v>8819</v>
      </c>
      <c r="AQ820" s="227"/>
      <c r="AR820" s="227"/>
      <c r="AS820"/>
      <c r="AT820"/>
      <c r="AU820"/>
      <c r="AV820" s="391" t="s">
        <v>8819</v>
      </c>
      <c r="AW820"/>
      <c r="AX820" s="391" t="s">
        <v>8819</v>
      </c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>
        <v>52.2</v>
      </c>
      <c r="BT820"/>
      <c r="BU820">
        <v>17</v>
      </c>
      <c r="BV820"/>
      <c r="BW820" s="229"/>
      <c r="BX820"/>
      <c r="BY820"/>
      <c r="BZ820"/>
      <c r="CA820"/>
      <c r="CC820"/>
      <c r="CD820"/>
      <c r="CE820">
        <v>7.4</v>
      </c>
      <c r="CF820"/>
      <c r="CG820">
        <v>0.1</v>
      </c>
      <c r="CH820"/>
      <c r="CI820"/>
      <c r="CJ820"/>
      <c r="CK820" t="s">
        <v>8820</v>
      </c>
      <c r="CL820">
        <v>1</v>
      </c>
      <c r="CM820" s="392">
        <v>41802</v>
      </c>
    </row>
    <row r="821" spans="1:91">
      <c r="A821" s="123" t="s">
        <v>8646</v>
      </c>
      <c r="B821" t="s">
        <v>267</v>
      </c>
      <c r="C821" t="s">
        <v>8213</v>
      </c>
      <c r="D821">
        <v>212</v>
      </c>
      <c r="E821" s="113">
        <v>30</v>
      </c>
      <c r="F821" s="113">
        <v>12</v>
      </c>
      <c r="I821"/>
      <c r="K821" s="224">
        <v>7</v>
      </c>
      <c r="L821" s="390">
        <v>41625</v>
      </c>
      <c r="M821"/>
      <c r="N821" s="224"/>
      <c r="O821"/>
      <c r="P821"/>
      <c r="Q821"/>
      <c r="S821" s="224"/>
      <c r="T821" s="224"/>
      <c r="U821"/>
      <c r="V821"/>
      <c r="W821"/>
      <c r="X821"/>
      <c r="Y821" s="225"/>
      <c r="Z821" s="224"/>
      <c r="AA821" s="226"/>
      <c r="AB821" s="224"/>
      <c r="AC821" s="225"/>
      <c r="AD821" s="224"/>
      <c r="AE821" s="224"/>
      <c r="AF821" s="224"/>
      <c r="AG821"/>
      <c r="AH821"/>
      <c r="AI821">
        <v>150</v>
      </c>
      <c r="AJ821" s="194">
        <v>41785</v>
      </c>
      <c r="AK821">
        <v>37</v>
      </c>
      <c r="AL821" s="395">
        <v>41677</v>
      </c>
      <c r="AM821">
        <v>93</v>
      </c>
      <c r="AN821" s="391">
        <v>41733</v>
      </c>
      <c r="AO821"/>
      <c r="AP821" s="391" t="s">
        <v>8819</v>
      </c>
      <c r="AQ821" s="227"/>
      <c r="AR821" s="227"/>
      <c r="AS821"/>
      <c r="AT821"/>
      <c r="AU821"/>
      <c r="AV821" s="391">
        <v>41737</v>
      </c>
      <c r="AW821"/>
      <c r="AX821" s="391" t="s">
        <v>8819</v>
      </c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>
        <v>52.4</v>
      </c>
      <c r="BT821"/>
      <c r="BU821">
        <v>17</v>
      </c>
      <c r="BV821"/>
      <c r="BW821" s="229"/>
      <c r="BX821"/>
      <c r="BY821"/>
      <c r="BZ821"/>
      <c r="CA821"/>
      <c r="CC821"/>
      <c r="CD821"/>
      <c r="CE821">
        <v>6.9</v>
      </c>
      <c r="CF821"/>
      <c r="CG821">
        <v>0.2</v>
      </c>
      <c r="CH821"/>
      <c r="CI821"/>
      <c r="CJ821"/>
      <c r="CK821" t="s">
        <v>8820</v>
      </c>
      <c r="CL821">
        <v>1</v>
      </c>
      <c r="CM821" s="392">
        <v>41802</v>
      </c>
    </row>
    <row r="822" spans="1:91">
      <c r="A822" s="123" t="s">
        <v>8646</v>
      </c>
      <c r="B822" t="s">
        <v>267</v>
      </c>
      <c r="C822" t="s">
        <v>8213</v>
      </c>
      <c r="D822" s="232">
        <v>213</v>
      </c>
      <c r="E822" s="113">
        <v>34</v>
      </c>
      <c r="F822" s="113">
        <v>11</v>
      </c>
      <c r="I822"/>
      <c r="K822" s="224">
        <v>7</v>
      </c>
      <c r="L822" s="390">
        <v>41625</v>
      </c>
      <c r="M822"/>
      <c r="N822" s="224"/>
      <c r="O822"/>
      <c r="P822"/>
      <c r="Q822"/>
      <c r="S822" s="224"/>
      <c r="T822" s="224"/>
      <c r="U822"/>
      <c r="V822"/>
      <c r="W822"/>
      <c r="X822"/>
      <c r="Y822" s="225"/>
      <c r="Z822" s="224"/>
      <c r="AA822" s="226"/>
      <c r="AB822" s="224"/>
      <c r="AC822" s="225"/>
      <c r="AD822" s="224"/>
      <c r="AE822" s="224"/>
      <c r="AF822" s="224"/>
      <c r="AG822"/>
      <c r="AH822"/>
      <c r="AI822">
        <v>160</v>
      </c>
      <c r="AJ822" s="194">
        <v>41785</v>
      </c>
      <c r="AK822">
        <v>37</v>
      </c>
      <c r="AL822" s="395">
        <v>41677</v>
      </c>
      <c r="AM822">
        <v>93</v>
      </c>
      <c r="AN822" s="391">
        <v>41733</v>
      </c>
      <c r="AO822"/>
      <c r="AP822" s="391">
        <v>41737</v>
      </c>
      <c r="AQ822" s="227"/>
      <c r="AR822" s="227"/>
      <c r="AS822"/>
      <c r="AT822"/>
      <c r="AU822"/>
      <c r="AV822" s="391">
        <v>41740</v>
      </c>
      <c r="AW822"/>
      <c r="AX822" s="391" t="s">
        <v>8819</v>
      </c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>
        <v>51.6</v>
      </c>
      <c r="BT822"/>
      <c r="BU822">
        <v>17.7</v>
      </c>
      <c r="BV822"/>
      <c r="BW822" s="229"/>
      <c r="BX822"/>
      <c r="BY822"/>
      <c r="BZ822"/>
      <c r="CA822"/>
      <c r="CC822"/>
      <c r="CD822"/>
      <c r="CE822">
        <v>6.7</v>
      </c>
      <c r="CF822"/>
      <c r="CG822">
        <v>0.1</v>
      </c>
      <c r="CH822"/>
      <c r="CI822"/>
      <c r="CJ822"/>
      <c r="CK822" t="s">
        <v>8820</v>
      </c>
      <c r="CL822">
        <v>1</v>
      </c>
      <c r="CM822" s="392">
        <v>41802</v>
      </c>
    </row>
    <row r="823" spans="1:91">
      <c r="A823" s="123" t="s">
        <v>8646</v>
      </c>
      <c r="B823" t="s">
        <v>267</v>
      </c>
      <c r="C823" t="s">
        <v>8213</v>
      </c>
      <c r="D823">
        <v>214</v>
      </c>
      <c r="E823" s="113">
        <v>4</v>
      </c>
      <c r="F823" s="113">
        <v>9</v>
      </c>
      <c r="I823"/>
      <c r="K823" s="224">
        <v>6</v>
      </c>
      <c r="L823" s="390">
        <v>41625</v>
      </c>
      <c r="M823"/>
      <c r="N823" s="224"/>
      <c r="O823"/>
      <c r="P823"/>
      <c r="Q823"/>
      <c r="S823" s="224"/>
      <c r="T823" s="224"/>
      <c r="U823"/>
      <c r="V823"/>
      <c r="W823"/>
      <c r="X823"/>
      <c r="Y823" s="225"/>
      <c r="Z823" s="224"/>
      <c r="AA823" s="226"/>
      <c r="AB823" s="224"/>
      <c r="AC823" s="225"/>
      <c r="AD823" s="224"/>
      <c r="AE823" s="224"/>
      <c r="AF823" s="224"/>
      <c r="AG823"/>
      <c r="AH823"/>
      <c r="AI823">
        <v>165</v>
      </c>
      <c r="AJ823" s="194">
        <v>41785</v>
      </c>
      <c r="AK823">
        <v>37</v>
      </c>
      <c r="AL823" s="395">
        <v>41677</v>
      </c>
      <c r="AM823">
        <v>93</v>
      </c>
      <c r="AN823" s="391">
        <v>41733</v>
      </c>
      <c r="AO823"/>
      <c r="AP823" s="391" t="s">
        <v>8819</v>
      </c>
      <c r="AQ823" s="227"/>
      <c r="AR823" s="227"/>
      <c r="AS823"/>
      <c r="AT823"/>
      <c r="AU823"/>
      <c r="AV823" s="391">
        <v>41737</v>
      </c>
      <c r="AW823"/>
      <c r="AX823" s="391" t="s">
        <v>8819</v>
      </c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>
        <v>52.4</v>
      </c>
      <c r="BT823"/>
      <c r="BU823">
        <v>16.399999999999999</v>
      </c>
      <c r="BV823"/>
      <c r="BW823" s="229"/>
      <c r="BX823"/>
      <c r="BY823"/>
      <c r="BZ823"/>
      <c r="CA823"/>
      <c r="CC823"/>
      <c r="CD823"/>
      <c r="CE823">
        <v>5.5</v>
      </c>
      <c r="CF823"/>
      <c r="CG823">
        <v>0.4</v>
      </c>
      <c r="CH823"/>
      <c r="CI823"/>
      <c r="CJ823"/>
      <c r="CK823" t="s">
        <v>8820</v>
      </c>
      <c r="CL823">
        <v>1</v>
      </c>
      <c r="CM823" s="392">
        <v>41802</v>
      </c>
    </row>
    <row r="824" spans="1:91">
      <c r="A824" s="123" t="s">
        <v>7888</v>
      </c>
      <c r="B824" s="362" t="s">
        <v>267</v>
      </c>
      <c r="C824" s="362" t="s">
        <v>8213</v>
      </c>
      <c r="D824">
        <v>215</v>
      </c>
      <c r="E824" s="113">
        <v>36</v>
      </c>
      <c r="F824" s="113">
        <v>11</v>
      </c>
      <c r="I824"/>
      <c r="K824" s="224">
        <v>7</v>
      </c>
      <c r="L824" s="390">
        <v>41625</v>
      </c>
      <c r="M824"/>
      <c r="N824" s="224"/>
      <c r="O824"/>
      <c r="P824"/>
      <c r="Q824"/>
      <c r="S824" s="224"/>
      <c r="T824" s="224"/>
      <c r="U824"/>
      <c r="V824"/>
      <c r="W824"/>
      <c r="X824"/>
      <c r="Y824" s="225"/>
      <c r="Z824" s="224"/>
      <c r="AA824" s="226"/>
      <c r="AB824" s="224"/>
      <c r="AC824" s="225"/>
      <c r="AD824" s="224"/>
      <c r="AE824" s="224"/>
      <c r="AF824" s="224"/>
      <c r="AG824"/>
      <c r="AH824"/>
      <c r="AI824">
        <v>160</v>
      </c>
      <c r="AJ824" s="194">
        <v>41785</v>
      </c>
      <c r="AK824">
        <v>37</v>
      </c>
      <c r="AL824" s="395">
        <v>41677</v>
      </c>
      <c r="AM824">
        <v>90</v>
      </c>
      <c r="AN824" s="391">
        <v>41730</v>
      </c>
      <c r="AO824"/>
      <c r="AP824" s="391" t="s">
        <v>8819</v>
      </c>
      <c r="AQ824" s="227"/>
      <c r="AR824" s="227"/>
      <c r="AS824"/>
      <c r="AT824"/>
      <c r="AU824"/>
      <c r="AV824" s="391">
        <v>41737</v>
      </c>
      <c r="AW824"/>
      <c r="AX824" s="391" t="s">
        <v>8819</v>
      </c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>
        <v>52</v>
      </c>
      <c r="BT824"/>
      <c r="BU824">
        <v>16.8</v>
      </c>
      <c r="BV824"/>
      <c r="BW824" s="229"/>
      <c r="BX824"/>
      <c r="BY824"/>
      <c r="BZ824"/>
      <c r="CA824"/>
      <c r="CC824"/>
      <c r="CD824"/>
      <c r="CE824">
        <v>7.4</v>
      </c>
      <c r="CF824"/>
      <c r="CG824">
        <v>0.2</v>
      </c>
      <c r="CH824"/>
      <c r="CI824"/>
      <c r="CJ824"/>
      <c r="CK824" t="s">
        <v>8820</v>
      </c>
      <c r="CL824">
        <v>1</v>
      </c>
      <c r="CM824" s="392">
        <v>41802</v>
      </c>
    </row>
    <row r="825" spans="1:91" ht="13.5" thickBot="1">
      <c r="A825" s="123" t="s">
        <v>7888</v>
      </c>
      <c r="B825" s="345" t="s">
        <v>267</v>
      </c>
      <c r="C825" s="345" t="s">
        <v>8213</v>
      </c>
      <c r="D825">
        <v>216</v>
      </c>
      <c r="E825" s="113">
        <v>27</v>
      </c>
      <c r="F825" s="113">
        <v>11</v>
      </c>
      <c r="G825" s="233"/>
      <c r="H825" s="233"/>
      <c r="I825" s="232"/>
      <c r="J825" s="234"/>
      <c r="K825" s="235">
        <v>7</v>
      </c>
      <c r="L825" s="390">
        <v>41625</v>
      </c>
      <c r="M825" s="232"/>
      <c r="N825" s="235"/>
      <c r="O825" s="232"/>
      <c r="P825" s="232"/>
      <c r="Q825" s="232"/>
      <c r="R825" s="236"/>
      <c r="S825" s="235"/>
      <c r="T825" s="235"/>
      <c r="U825" s="232"/>
      <c r="V825" s="232"/>
      <c r="W825" s="232"/>
      <c r="X825" s="232"/>
      <c r="Y825" s="237"/>
      <c r="Z825" s="235"/>
      <c r="AA825" s="238"/>
      <c r="AB825" s="235"/>
      <c r="AC825" s="237"/>
      <c r="AD825" s="235"/>
      <c r="AE825" s="235"/>
      <c r="AF825" s="235"/>
      <c r="AG825" s="232"/>
      <c r="AH825" s="232"/>
      <c r="AI825" s="232">
        <v>155</v>
      </c>
      <c r="AJ825" s="194">
        <v>41785</v>
      </c>
      <c r="AK825" s="232">
        <v>37</v>
      </c>
      <c r="AL825" s="395">
        <v>41677</v>
      </c>
      <c r="AM825" s="232">
        <v>90</v>
      </c>
      <c r="AN825" s="391">
        <v>41730</v>
      </c>
      <c r="AO825" s="232"/>
      <c r="AP825" s="391" t="s">
        <v>8819</v>
      </c>
      <c r="AQ825" s="239"/>
      <c r="AR825" s="239"/>
      <c r="AS825" s="232"/>
      <c r="AT825" s="232"/>
      <c r="AU825" s="232"/>
      <c r="AV825" s="391" t="s">
        <v>8819</v>
      </c>
      <c r="AW825" s="232"/>
      <c r="AX825" s="391" t="s">
        <v>8819</v>
      </c>
      <c r="AY825" s="232"/>
      <c r="AZ825" s="232"/>
      <c r="BA825" s="232"/>
      <c r="BB825" s="232"/>
      <c r="BC825" s="232"/>
      <c r="BD825" s="232"/>
      <c r="BE825" s="232"/>
      <c r="BF825" s="232"/>
      <c r="BG825" s="232"/>
      <c r="BH825" s="232"/>
      <c r="BI825" s="232"/>
      <c r="BJ825" s="232"/>
      <c r="BK825" s="232"/>
      <c r="BL825" s="232"/>
      <c r="BM825" s="232"/>
      <c r="BN825" s="232"/>
      <c r="BO825" s="232"/>
      <c r="BP825" s="232"/>
      <c r="BQ825" s="232"/>
      <c r="BR825" s="232"/>
      <c r="BS825" s="232">
        <v>52.3</v>
      </c>
      <c r="BT825" s="232"/>
      <c r="BU825" s="232">
        <v>16.600000000000001</v>
      </c>
      <c r="BV825" s="232"/>
      <c r="BW825" s="240"/>
      <c r="BX825" s="232"/>
      <c r="BY825" s="232"/>
      <c r="BZ825" s="232"/>
      <c r="CA825" s="232"/>
      <c r="CB825" s="241"/>
      <c r="CC825" s="232"/>
      <c r="CD825" s="232"/>
      <c r="CE825" s="232">
        <v>6.1</v>
      </c>
      <c r="CF825" s="232"/>
      <c r="CG825" s="232">
        <v>0.1</v>
      </c>
      <c r="CH825" s="232"/>
      <c r="CI825" s="232"/>
      <c r="CJ825" s="232"/>
      <c r="CK825" t="s">
        <v>8820</v>
      </c>
      <c r="CL825" s="232">
        <v>1</v>
      </c>
      <c r="CM825" s="392">
        <v>41802</v>
      </c>
    </row>
    <row r="826" spans="1:91" ht="13.5" thickTop="1">
      <c r="A826" s="231"/>
      <c r="B826" s="232"/>
      <c r="C826" s="232"/>
      <c r="D826" s="232"/>
      <c r="G826" s="233"/>
      <c r="H826" s="233"/>
      <c r="I826" s="232"/>
      <c r="J826" s="234"/>
      <c r="K826" s="235"/>
      <c r="L826" s="235"/>
      <c r="M826" s="232"/>
      <c r="N826" s="235"/>
      <c r="O826" s="232"/>
      <c r="P826" s="232"/>
      <c r="Q826" s="232"/>
      <c r="R826" s="236"/>
      <c r="S826" s="235"/>
      <c r="T826" s="235"/>
      <c r="U826" s="232"/>
      <c r="V826" s="232"/>
      <c r="W826" s="232"/>
      <c r="X826" s="232"/>
      <c r="Y826" s="237"/>
      <c r="Z826" s="235"/>
      <c r="AA826" s="238"/>
      <c r="AB826" s="235"/>
      <c r="AC826" s="237"/>
      <c r="AD826" s="235"/>
      <c r="AE826" s="235"/>
      <c r="AF826" s="235"/>
      <c r="AG826" s="232"/>
      <c r="AH826" s="232"/>
      <c r="AI826" s="232"/>
      <c r="AJ826" s="232"/>
      <c r="AK826" s="232"/>
      <c r="AL826" s="232"/>
      <c r="AM826" s="232"/>
      <c r="AN826" s="232"/>
      <c r="AO826" s="232"/>
      <c r="AP826" s="232"/>
      <c r="AQ826" s="239"/>
      <c r="AR826" s="239"/>
      <c r="AS826" s="232"/>
      <c r="AT826" s="232"/>
      <c r="AU826" s="232"/>
      <c r="AV826" s="232"/>
      <c r="AW826" s="232"/>
      <c r="AX826" s="232"/>
      <c r="AY826" s="232"/>
      <c r="AZ826" s="232"/>
      <c r="BA826" s="232"/>
      <c r="BB826" s="232"/>
      <c r="BC826" s="232"/>
      <c r="BD826" s="232"/>
      <c r="BE826" s="232"/>
      <c r="BF826" s="232"/>
      <c r="BG826" s="232"/>
      <c r="BH826" s="232"/>
      <c r="BI826" s="232"/>
      <c r="BJ826" s="232"/>
      <c r="BK826" s="232"/>
      <c r="BL826" s="232"/>
      <c r="BM826" s="232"/>
      <c r="BN826" s="232"/>
      <c r="BO826" s="232"/>
      <c r="BP826" s="232"/>
      <c r="BQ826" s="232"/>
      <c r="BR826" s="232"/>
      <c r="BS826" s="232"/>
      <c r="BT826" s="232"/>
      <c r="BU826" s="232"/>
      <c r="BV826" s="232"/>
      <c r="BW826" s="240"/>
      <c r="BX826" s="232"/>
      <c r="BY826" s="232"/>
      <c r="BZ826" s="232"/>
      <c r="CA826" s="232"/>
      <c r="CB826" s="241"/>
      <c r="CC826" s="232"/>
      <c r="CD826" s="232"/>
      <c r="CE826" s="232"/>
      <c r="CF826" s="232"/>
      <c r="CG826" s="232"/>
      <c r="CH826" s="232"/>
      <c r="CI826" s="232"/>
      <c r="CJ826" s="232"/>
      <c r="CK826" s="232"/>
      <c r="CL826" s="232"/>
      <c r="CM826" s="232"/>
    </row>
    <row r="827" spans="1:91">
      <c r="A827" s="231"/>
      <c r="B827" s="232"/>
      <c r="C827" s="232"/>
      <c r="D827" s="232"/>
      <c r="G827" s="233"/>
      <c r="H827" s="233"/>
      <c r="I827" s="232"/>
      <c r="J827" s="234"/>
      <c r="K827" s="235"/>
      <c r="L827" s="235"/>
      <c r="M827" s="232"/>
      <c r="N827" s="235"/>
      <c r="O827" s="232"/>
      <c r="P827" s="232"/>
      <c r="Q827" s="232"/>
      <c r="R827" s="236"/>
      <c r="S827" s="235"/>
      <c r="T827" s="235"/>
      <c r="U827" s="232"/>
      <c r="V827" s="232"/>
      <c r="W827" s="232"/>
      <c r="X827" s="232"/>
      <c r="Y827" s="237"/>
      <c r="Z827" s="235"/>
      <c r="AA827" s="238"/>
      <c r="AB827" s="235"/>
      <c r="AC827" s="237"/>
      <c r="AD827" s="235"/>
      <c r="AE827" s="235"/>
      <c r="AF827" s="235"/>
      <c r="AG827" s="232"/>
      <c r="AH827" s="232"/>
      <c r="AI827" s="232"/>
      <c r="AJ827" s="232"/>
      <c r="AK827" s="232"/>
      <c r="AL827" s="232"/>
      <c r="AM827" s="232"/>
      <c r="AN827" s="232"/>
      <c r="AO827" s="232"/>
      <c r="AP827" s="232"/>
      <c r="AQ827" s="239"/>
      <c r="AR827" s="239"/>
      <c r="AS827" s="232"/>
      <c r="AT827" s="232"/>
      <c r="AU827" s="232"/>
      <c r="AV827" s="232"/>
      <c r="AW827" s="232"/>
      <c r="AX827" s="232"/>
      <c r="AY827" s="232"/>
      <c r="AZ827" s="232"/>
      <c r="BA827" s="232"/>
      <c r="BB827" s="232"/>
      <c r="BC827" s="232"/>
      <c r="BD827" s="232"/>
      <c r="BE827" s="232"/>
      <c r="BF827" s="232"/>
      <c r="BG827" s="232"/>
      <c r="BH827" s="232"/>
      <c r="BI827" s="232"/>
      <c r="BJ827" s="232"/>
      <c r="BK827" s="232"/>
      <c r="BL827" s="232"/>
      <c r="BM827" s="232"/>
      <c r="BN827" s="232"/>
      <c r="BO827" s="232"/>
      <c r="BP827" s="232"/>
      <c r="BQ827" s="232"/>
      <c r="BR827" s="232"/>
      <c r="BS827" s="232"/>
      <c r="BT827" s="232"/>
      <c r="BU827" s="232"/>
      <c r="BV827" s="232"/>
      <c r="BW827" s="240"/>
      <c r="BX827" s="232"/>
      <c r="BY827" s="232"/>
      <c r="BZ827" s="232"/>
      <c r="CA827" s="232"/>
      <c r="CB827" s="241"/>
      <c r="CC827" s="232"/>
      <c r="CD827" s="232"/>
      <c r="CE827" s="232"/>
      <c r="CF827" s="232"/>
      <c r="CG827" s="232"/>
      <c r="CH827" s="232"/>
      <c r="CI827" s="232"/>
      <c r="CJ827" s="232"/>
      <c r="CK827" s="232"/>
      <c r="CL827" s="232"/>
      <c r="CM827" s="232"/>
    </row>
    <row r="828" spans="1:91">
      <c r="I828"/>
      <c r="K828" s="224"/>
      <c r="L828" s="224"/>
      <c r="M828"/>
      <c r="N828" s="224"/>
      <c r="O828"/>
      <c r="P828"/>
      <c r="Q828"/>
      <c r="S828" s="224"/>
      <c r="T828" s="224"/>
      <c r="U828"/>
      <c r="V828"/>
      <c r="W828"/>
      <c r="X828"/>
      <c r="Y828" s="225"/>
      <c r="Z828" s="224"/>
      <c r="AA828" s="226"/>
      <c r="AB828" s="224"/>
      <c r="AC828" s="225"/>
      <c r="AD828" s="224"/>
      <c r="AE828" s="224"/>
      <c r="AF828" s="224"/>
      <c r="AG828"/>
      <c r="AH828"/>
      <c r="AI828"/>
      <c r="AJ828"/>
      <c r="AK828"/>
      <c r="AL828"/>
      <c r="AM828"/>
      <c r="AN828"/>
      <c r="AO828"/>
      <c r="AP828"/>
      <c r="AQ828" s="227"/>
      <c r="AR828" s="227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 s="229"/>
      <c r="BX828"/>
      <c r="BY828"/>
      <c r="BZ828"/>
      <c r="CA828"/>
      <c r="CC828"/>
      <c r="CD828"/>
      <c r="CE828"/>
      <c r="CF828"/>
      <c r="CG828"/>
      <c r="CH828"/>
      <c r="CI828"/>
      <c r="CJ828"/>
      <c r="CK828"/>
      <c r="CL828"/>
      <c r="CM828"/>
    </row>
    <row r="829" spans="1:91">
      <c r="I829"/>
      <c r="K829" s="224"/>
      <c r="L829" s="224"/>
      <c r="M829"/>
      <c r="N829" s="224"/>
      <c r="O829"/>
      <c r="P829"/>
      <c r="Q829"/>
      <c r="S829" s="224"/>
      <c r="T829" s="224"/>
      <c r="U829"/>
      <c r="V829"/>
      <c r="W829"/>
      <c r="X829"/>
      <c r="Y829" s="225"/>
      <c r="Z829" s="224"/>
      <c r="AA829" s="226"/>
      <c r="AB829" s="224"/>
      <c r="AC829" s="225"/>
      <c r="AD829" s="224"/>
      <c r="AE829" s="224"/>
      <c r="AF829" s="224"/>
      <c r="AG829"/>
      <c r="AH829"/>
      <c r="AI829"/>
      <c r="AJ829"/>
      <c r="AK829"/>
      <c r="AL829"/>
      <c r="AM829"/>
      <c r="AN829"/>
      <c r="AO829"/>
      <c r="AP829"/>
      <c r="AQ829" s="227"/>
      <c r="AR829" s="227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 s="229"/>
      <c r="BX829"/>
      <c r="BY829"/>
      <c r="BZ829"/>
      <c r="CA829"/>
      <c r="CC829"/>
      <c r="CD829"/>
      <c r="CE829"/>
      <c r="CF829"/>
      <c r="CG829"/>
      <c r="CH829"/>
      <c r="CI829"/>
      <c r="CJ829"/>
      <c r="CK829"/>
      <c r="CL829"/>
      <c r="CM829"/>
    </row>
    <row r="830" spans="1:91">
      <c r="I830"/>
      <c r="K830" s="224"/>
      <c r="L830" s="224"/>
      <c r="M830"/>
      <c r="N830" s="224"/>
      <c r="O830"/>
      <c r="P830"/>
      <c r="Q830"/>
      <c r="S830" s="224"/>
      <c r="T830" s="224"/>
      <c r="U830"/>
      <c r="V830"/>
      <c r="W830"/>
      <c r="X830"/>
      <c r="Y830" s="225"/>
      <c r="Z830" s="224"/>
      <c r="AA830" s="226"/>
      <c r="AB830" s="224"/>
      <c r="AC830" s="225"/>
      <c r="AD830" s="224"/>
      <c r="AE830" s="224"/>
      <c r="AF830" s="224"/>
      <c r="AG830"/>
      <c r="AH830"/>
      <c r="AI830"/>
      <c r="AJ830"/>
      <c r="AK830"/>
      <c r="AL830"/>
      <c r="AM830"/>
      <c r="AN830"/>
      <c r="AO830"/>
      <c r="AP830"/>
      <c r="AQ830" s="227"/>
      <c r="AR830" s="227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 s="229"/>
      <c r="BX830"/>
      <c r="BY830"/>
      <c r="BZ830"/>
      <c r="CA830"/>
      <c r="CC830"/>
      <c r="CD830"/>
      <c r="CE830"/>
      <c r="CF830"/>
      <c r="CG830"/>
      <c r="CH830"/>
      <c r="CI830"/>
      <c r="CJ830"/>
      <c r="CK830"/>
      <c r="CL830"/>
      <c r="CM830"/>
    </row>
    <row r="831" spans="1:91">
      <c r="I831"/>
      <c r="K831" s="224"/>
      <c r="L831" s="224"/>
      <c r="M831"/>
      <c r="N831" s="224"/>
      <c r="O831"/>
      <c r="P831"/>
      <c r="Q831"/>
      <c r="S831" s="224"/>
      <c r="T831" s="224"/>
      <c r="U831"/>
      <c r="V831"/>
      <c r="W831"/>
      <c r="X831"/>
      <c r="Y831" s="225"/>
      <c r="Z831" s="224"/>
      <c r="AA831" s="226"/>
      <c r="AB831" s="224"/>
      <c r="AC831" s="225"/>
      <c r="AD831" s="224"/>
      <c r="AE831" s="224"/>
      <c r="AF831" s="224"/>
      <c r="AG831"/>
      <c r="AH831"/>
      <c r="AI831"/>
      <c r="AJ831"/>
      <c r="AK831"/>
      <c r="AL831"/>
      <c r="AM831"/>
      <c r="AN831"/>
      <c r="AO831"/>
      <c r="AP831"/>
      <c r="AQ831" s="227"/>
      <c r="AR831" s="227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 s="229"/>
      <c r="BX831"/>
      <c r="BY831"/>
      <c r="BZ831"/>
      <c r="CA831"/>
      <c r="CC831"/>
      <c r="CD831"/>
      <c r="CE831"/>
      <c r="CF831"/>
      <c r="CG831"/>
      <c r="CH831"/>
      <c r="CI831"/>
      <c r="CJ831"/>
      <c r="CK831"/>
      <c r="CL831"/>
      <c r="CM831"/>
    </row>
    <row r="832" spans="1:91">
      <c r="I832"/>
      <c r="K832" s="224"/>
      <c r="L832" s="224"/>
      <c r="M832"/>
      <c r="N832" s="224"/>
      <c r="O832"/>
      <c r="P832"/>
      <c r="Q832"/>
      <c r="S832" s="224"/>
      <c r="T832" s="224"/>
      <c r="U832"/>
      <c r="V832"/>
      <c r="W832"/>
      <c r="X832"/>
      <c r="Y832" s="225"/>
      <c r="Z832" s="224"/>
      <c r="AA832" s="226"/>
      <c r="AB832" s="224"/>
      <c r="AC832" s="225"/>
      <c r="AD832" s="224"/>
      <c r="AE832" s="224"/>
      <c r="AF832" s="224"/>
      <c r="AG832"/>
      <c r="AH832"/>
      <c r="AI832"/>
      <c r="AJ832"/>
      <c r="AK832"/>
      <c r="AL832"/>
      <c r="AM832"/>
      <c r="AN832"/>
      <c r="AO832"/>
      <c r="AP832"/>
      <c r="AQ832" s="227"/>
      <c r="AR832" s="227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 s="229"/>
      <c r="BX832"/>
      <c r="BY832"/>
      <c r="BZ832"/>
      <c r="CA832"/>
      <c r="CC832"/>
      <c r="CD832"/>
      <c r="CE832"/>
      <c r="CF832"/>
      <c r="CG832"/>
      <c r="CH832"/>
      <c r="CI832"/>
      <c r="CJ832"/>
      <c r="CK832"/>
      <c r="CL832"/>
      <c r="CM832"/>
    </row>
    <row r="833" spans="9:91">
      <c r="I833"/>
      <c r="K833" s="224"/>
      <c r="L833" s="224"/>
      <c r="M833"/>
      <c r="N833" s="224"/>
      <c r="O833"/>
      <c r="P833"/>
      <c r="Q833"/>
      <c r="S833" s="224"/>
      <c r="T833" s="224"/>
      <c r="U833"/>
      <c r="V833"/>
      <c r="W833"/>
      <c r="X833"/>
      <c r="Y833" s="225"/>
      <c r="Z833" s="224"/>
      <c r="AA833" s="226"/>
      <c r="AB833" s="224"/>
      <c r="AC833" s="225"/>
      <c r="AD833" s="224"/>
      <c r="AE833" s="224"/>
      <c r="AF833" s="224"/>
      <c r="AG833"/>
      <c r="AH833"/>
      <c r="AI833"/>
      <c r="AJ833"/>
      <c r="AK833"/>
      <c r="AL833"/>
      <c r="AM833"/>
      <c r="AN833"/>
      <c r="AO833"/>
      <c r="AP833"/>
      <c r="AQ833" s="227"/>
      <c r="AR833" s="227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 s="229"/>
      <c r="BX833"/>
      <c r="BY833"/>
      <c r="BZ833"/>
      <c r="CA833"/>
      <c r="CC833"/>
      <c r="CD833"/>
      <c r="CE833"/>
      <c r="CF833"/>
      <c r="CG833"/>
      <c r="CH833"/>
      <c r="CI833"/>
      <c r="CJ833"/>
      <c r="CK833"/>
      <c r="CL833"/>
      <c r="CM833"/>
    </row>
    <row r="834" spans="9:91">
      <c r="I834"/>
      <c r="K834" s="224"/>
      <c r="L834" s="224"/>
      <c r="M834"/>
      <c r="N834" s="224"/>
      <c r="O834"/>
      <c r="P834"/>
      <c r="Q834"/>
      <c r="S834" s="224"/>
      <c r="T834" s="224"/>
      <c r="U834"/>
      <c r="V834"/>
      <c r="W834"/>
      <c r="X834"/>
      <c r="Y834" s="225"/>
      <c r="Z834" s="224"/>
      <c r="AA834" s="226"/>
      <c r="AB834" s="224"/>
      <c r="AC834" s="225"/>
      <c r="AD834" s="224"/>
      <c r="AE834" s="224"/>
      <c r="AF834" s="224"/>
      <c r="AG834"/>
      <c r="AH834"/>
      <c r="AI834"/>
      <c r="AJ834"/>
      <c r="AK834"/>
      <c r="AL834"/>
      <c r="AM834"/>
      <c r="AN834"/>
      <c r="AO834"/>
      <c r="AP834"/>
      <c r="AQ834" s="227"/>
      <c r="AR834" s="227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 s="229"/>
      <c r="BX834"/>
      <c r="BY834"/>
      <c r="BZ834"/>
      <c r="CA834"/>
      <c r="CC834"/>
      <c r="CD834"/>
      <c r="CE834"/>
      <c r="CF834"/>
      <c r="CG834"/>
      <c r="CH834"/>
      <c r="CI834"/>
      <c r="CJ834"/>
      <c r="CK834"/>
      <c r="CL834"/>
      <c r="CM834"/>
    </row>
    <row r="835" spans="9:91">
      <c r="I835"/>
      <c r="K835" s="224"/>
      <c r="L835" s="224"/>
      <c r="M835"/>
      <c r="N835" s="224"/>
      <c r="O835"/>
      <c r="P835"/>
      <c r="Q835"/>
      <c r="S835" s="224"/>
      <c r="T835" s="224"/>
      <c r="U835"/>
      <c r="V835"/>
      <c r="W835"/>
      <c r="X835"/>
      <c r="Y835" s="225"/>
      <c r="Z835" s="224"/>
      <c r="AA835" s="226"/>
      <c r="AB835" s="224"/>
      <c r="AC835" s="225"/>
      <c r="AD835" s="224"/>
      <c r="AE835" s="224"/>
      <c r="AF835" s="224"/>
      <c r="AG835"/>
      <c r="AH835"/>
      <c r="AI835"/>
      <c r="AJ835"/>
      <c r="AK835"/>
      <c r="AL835"/>
      <c r="AM835"/>
      <c r="AN835"/>
      <c r="AO835"/>
      <c r="AP835"/>
      <c r="AQ835" s="227"/>
      <c r="AR835" s="227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 s="229"/>
      <c r="BX835"/>
      <c r="BY835"/>
      <c r="BZ835"/>
      <c r="CA835"/>
      <c r="CC835"/>
      <c r="CD835"/>
      <c r="CE835"/>
      <c r="CF835"/>
      <c r="CG835"/>
      <c r="CH835"/>
      <c r="CI835"/>
      <c r="CJ835"/>
      <c r="CK835"/>
      <c r="CL835"/>
      <c r="CM835"/>
    </row>
    <row r="836" spans="9:91">
      <c r="I836"/>
      <c r="K836" s="224"/>
      <c r="L836" s="224"/>
      <c r="M836"/>
      <c r="N836" s="224"/>
      <c r="O836"/>
      <c r="P836"/>
      <c r="Q836"/>
      <c r="S836" s="224"/>
      <c r="T836" s="224"/>
      <c r="U836"/>
      <c r="V836"/>
      <c r="W836"/>
      <c r="X836"/>
      <c r="Y836" s="225"/>
      <c r="Z836" s="224"/>
      <c r="AA836" s="226"/>
      <c r="AB836" s="224"/>
      <c r="AC836" s="225"/>
      <c r="AD836" s="224"/>
      <c r="AE836" s="224"/>
      <c r="AF836" s="224"/>
      <c r="AG836"/>
      <c r="AH836"/>
      <c r="AI836"/>
      <c r="AJ836"/>
      <c r="AK836"/>
      <c r="AL836"/>
      <c r="AM836"/>
      <c r="AN836"/>
      <c r="AO836"/>
      <c r="AP836"/>
      <c r="AQ836" s="227"/>
      <c r="AR836" s="227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 s="229"/>
      <c r="BX836"/>
      <c r="BY836"/>
      <c r="BZ836"/>
      <c r="CA836"/>
      <c r="CC836"/>
      <c r="CD836"/>
      <c r="CE836"/>
      <c r="CF836"/>
      <c r="CG836"/>
      <c r="CH836"/>
      <c r="CI836"/>
      <c r="CJ836"/>
      <c r="CK836"/>
      <c r="CL836"/>
      <c r="CM836"/>
    </row>
    <row r="837" spans="9:91">
      <c r="I837"/>
      <c r="K837" s="224"/>
      <c r="L837" s="224"/>
      <c r="M837"/>
      <c r="N837" s="224"/>
      <c r="O837"/>
      <c r="P837"/>
      <c r="Q837"/>
      <c r="S837" s="224"/>
      <c r="T837" s="224"/>
      <c r="U837"/>
      <c r="V837"/>
      <c r="W837"/>
      <c r="X837"/>
      <c r="Y837" s="225"/>
      <c r="Z837" s="224"/>
      <c r="AA837" s="226"/>
      <c r="AB837" s="224"/>
      <c r="AC837" s="225"/>
      <c r="AD837" s="224"/>
      <c r="AE837" s="224"/>
      <c r="AF837" s="224"/>
      <c r="AG837"/>
      <c r="AH837"/>
      <c r="AI837"/>
      <c r="AJ837"/>
      <c r="AK837"/>
      <c r="AL837"/>
      <c r="AM837"/>
      <c r="AN837"/>
      <c r="AO837"/>
      <c r="AP837"/>
      <c r="AQ837" s="227"/>
      <c r="AR837" s="22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 s="229"/>
      <c r="BX837"/>
      <c r="BY837"/>
      <c r="BZ837"/>
      <c r="CA837"/>
      <c r="CC837"/>
      <c r="CD837"/>
      <c r="CE837"/>
      <c r="CF837"/>
      <c r="CG837"/>
      <c r="CH837"/>
      <c r="CI837"/>
      <c r="CJ837"/>
      <c r="CK837"/>
      <c r="CL837"/>
      <c r="CM837"/>
    </row>
    <row r="838" spans="9:91">
      <c r="I838"/>
      <c r="K838" s="224"/>
      <c r="L838" s="224"/>
      <c r="M838"/>
      <c r="N838" s="224"/>
      <c r="O838"/>
      <c r="P838"/>
      <c r="Q838"/>
      <c r="S838" s="224"/>
      <c r="T838" s="224"/>
      <c r="U838"/>
      <c r="V838"/>
      <c r="W838"/>
      <c r="X838"/>
      <c r="Y838" s="225"/>
      <c r="Z838" s="224"/>
      <c r="AA838" s="226"/>
      <c r="AB838" s="224"/>
      <c r="AC838" s="225"/>
      <c r="AD838" s="224"/>
      <c r="AE838" s="224"/>
      <c r="AF838" s="224"/>
      <c r="AG838"/>
      <c r="AH838"/>
      <c r="AI838"/>
      <c r="AJ838"/>
      <c r="AK838"/>
      <c r="AL838"/>
      <c r="AM838"/>
      <c r="AN838"/>
      <c r="AO838"/>
      <c r="AP838"/>
      <c r="AQ838" s="227"/>
      <c r="AR838" s="227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 s="229"/>
      <c r="BX838"/>
      <c r="BY838"/>
      <c r="BZ838"/>
      <c r="CA838"/>
      <c r="CC838"/>
      <c r="CD838"/>
      <c r="CE838"/>
      <c r="CF838"/>
      <c r="CG838"/>
      <c r="CH838"/>
      <c r="CI838"/>
      <c r="CJ838"/>
      <c r="CK838"/>
      <c r="CL838"/>
      <c r="CM838"/>
    </row>
    <row r="839" spans="9:91">
      <c r="I839"/>
      <c r="K839" s="224"/>
      <c r="L839" s="224"/>
      <c r="M839"/>
      <c r="N839" s="224"/>
      <c r="O839"/>
      <c r="P839"/>
      <c r="Q839"/>
      <c r="S839" s="224"/>
      <c r="T839" s="224"/>
      <c r="U839"/>
      <c r="V839"/>
      <c r="W839"/>
      <c r="X839"/>
      <c r="Y839" s="225"/>
      <c r="Z839" s="224"/>
      <c r="AA839" s="226"/>
      <c r="AB839" s="224"/>
      <c r="AC839" s="225"/>
      <c r="AD839" s="224"/>
      <c r="AE839" s="224"/>
      <c r="AF839" s="224"/>
      <c r="AG839"/>
      <c r="AH839"/>
      <c r="AI839"/>
      <c r="AJ839"/>
      <c r="AK839"/>
      <c r="AL839"/>
      <c r="AM839"/>
      <c r="AN839"/>
      <c r="AO839"/>
      <c r="AP839"/>
      <c r="AQ839" s="227"/>
      <c r="AR839" s="227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 s="229"/>
      <c r="BX839"/>
      <c r="BY839"/>
      <c r="BZ839"/>
      <c r="CA839"/>
      <c r="CC839"/>
      <c r="CD839"/>
      <c r="CE839"/>
      <c r="CF839"/>
      <c r="CG839"/>
      <c r="CH839"/>
      <c r="CI839"/>
      <c r="CJ839"/>
      <c r="CK839"/>
      <c r="CL839"/>
      <c r="CM839"/>
    </row>
    <row r="840" spans="9:91">
      <c r="I840"/>
      <c r="K840" s="224"/>
      <c r="L840" s="224"/>
      <c r="M840"/>
      <c r="N840" s="224"/>
      <c r="O840"/>
      <c r="P840"/>
      <c r="Q840"/>
      <c r="S840" s="224"/>
      <c r="T840" s="224"/>
      <c r="U840"/>
      <c r="V840"/>
      <c r="W840"/>
      <c r="X840"/>
      <c r="Y840" s="225"/>
      <c r="Z840" s="224"/>
      <c r="AA840" s="226"/>
      <c r="AB840" s="224"/>
      <c r="AC840" s="225"/>
      <c r="AD840" s="224"/>
      <c r="AE840" s="224"/>
      <c r="AF840" s="224"/>
      <c r="AG840"/>
      <c r="AH840"/>
      <c r="AI840"/>
      <c r="AJ840"/>
      <c r="AK840"/>
      <c r="AL840"/>
      <c r="AM840"/>
      <c r="AN840"/>
      <c r="AO840"/>
      <c r="AP840"/>
      <c r="AQ840" s="227"/>
      <c r="AR840" s="227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 s="229"/>
      <c r="BX840"/>
      <c r="BY840"/>
      <c r="BZ840"/>
      <c r="CA840"/>
      <c r="CC840"/>
      <c r="CD840"/>
      <c r="CE840"/>
      <c r="CF840"/>
      <c r="CG840"/>
      <c r="CH840"/>
      <c r="CI840"/>
      <c r="CJ840"/>
      <c r="CK840"/>
      <c r="CL840"/>
      <c r="CM840"/>
    </row>
    <row r="841" spans="9:91">
      <c r="I841"/>
      <c r="K841" s="224"/>
      <c r="L841" s="224"/>
      <c r="M841"/>
      <c r="N841" s="224"/>
      <c r="O841"/>
      <c r="P841"/>
      <c r="Q841"/>
      <c r="S841" s="224"/>
      <c r="T841" s="224"/>
      <c r="U841"/>
      <c r="V841"/>
      <c r="W841"/>
      <c r="X841"/>
      <c r="Y841" s="225"/>
      <c r="Z841" s="224"/>
      <c r="AA841" s="226"/>
      <c r="AB841" s="224"/>
      <c r="AC841" s="225"/>
      <c r="AD841" s="224"/>
      <c r="AE841" s="224"/>
      <c r="AF841" s="224"/>
      <c r="AG841"/>
      <c r="AH841"/>
      <c r="AI841"/>
      <c r="AJ841"/>
      <c r="AK841"/>
      <c r="AL841"/>
      <c r="AM841"/>
      <c r="AN841"/>
      <c r="AO841"/>
      <c r="AP841"/>
      <c r="AQ841" s="227"/>
      <c r="AR841" s="227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 s="229"/>
      <c r="BX841"/>
      <c r="BY841"/>
      <c r="BZ841"/>
      <c r="CA841"/>
      <c r="CC841"/>
      <c r="CD841"/>
      <c r="CE841"/>
      <c r="CF841"/>
      <c r="CG841"/>
      <c r="CH841"/>
      <c r="CI841"/>
      <c r="CJ841"/>
      <c r="CK841"/>
      <c r="CL841"/>
      <c r="CM841"/>
    </row>
  </sheetData>
  <autoFilter ref="A1:CM841">
    <sortState ref="A2:CM881">
      <sortCondition ref="A1:A881"/>
    </sortState>
  </autoFilter>
  <sortState ref="B2:F865">
    <sortCondition ref="C2:C865"/>
    <sortCondition ref="B2:B865"/>
    <sortCondition ref="D2:D865"/>
  </sortState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B2" sqref="B2"/>
    </sheetView>
  </sheetViews>
  <sheetFormatPr baseColWidth="10" defaultColWidth="11.5703125" defaultRowHeight="12.75"/>
  <cols>
    <col min="1" max="1" width="16.28515625" style="141" bestFit="1" customWidth="1"/>
    <col min="2" max="2" width="7.57031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" spans="1:6">
      <c r="A2" s="141" t="s">
        <v>8189</v>
      </c>
      <c r="B2" s="142" t="s">
        <v>8195</v>
      </c>
      <c r="C2" s="141" t="s">
        <v>8194</v>
      </c>
    </row>
    <row r="3" spans="1:6">
      <c r="A3" s="141" t="s">
        <v>8190</v>
      </c>
      <c r="B3" s="142" t="s">
        <v>8195</v>
      </c>
      <c r="C3" s="141" t="s">
        <v>8194</v>
      </c>
    </row>
    <row r="4" spans="1:6">
      <c r="A4" s="141" t="s">
        <v>8191</v>
      </c>
      <c r="B4" s="142" t="s">
        <v>8195</v>
      </c>
      <c r="C4" s="141" t="s">
        <v>8194</v>
      </c>
    </row>
    <row r="5" spans="1:6">
      <c r="A5" s="141" t="s">
        <v>8192</v>
      </c>
      <c r="B5" s="142" t="s">
        <v>8195</v>
      </c>
      <c r="C5" s="141" t="s">
        <v>8194</v>
      </c>
    </row>
    <row r="6" spans="1:6">
      <c r="A6" s="141" t="s">
        <v>8193</v>
      </c>
      <c r="B6" s="142" t="s">
        <v>8195</v>
      </c>
      <c r="C6" s="141" t="s">
        <v>8194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E5" sqref="E5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284</v>
      </c>
      <c r="C1" s="151" t="s">
        <v>149</v>
      </c>
      <c r="D1" s="151" t="s">
        <v>26</v>
      </c>
      <c r="E1" s="151" t="s">
        <v>65</v>
      </c>
    </row>
    <row r="2" spans="1:5">
      <c r="A2" s="151" t="s">
        <v>285</v>
      </c>
      <c r="B2" s="151" t="s">
        <v>286</v>
      </c>
      <c r="C2" s="151" t="s">
        <v>287</v>
      </c>
      <c r="D2" s="151" t="s">
        <v>288</v>
      </c>
      <c r="E2" s="151" t="s">
        <v>289</v>
      </c>
    </row>
    <row r="3" spans="1:5">
      <c r="A3" s="151" t="s">
        <v>290</v>
      </c>
      <c r="B3" s="151" t="s">
        <v>291</v>
      </c>
      <c r="C3" s="151" t="s">
        <v>292</v>
      </c>
      <c r="D3" s="151" t="s">
        <v>293</v>
      </c>
      <c r="E3" s="151" t="s">
        <v>294</v>
      </c>
    </row>
    <row r="4" spans="1:5">
      <c r="A4" s="151" t="s">
        <v>295</v>
      </c>
      <c r="B4" s="151" t="s">
        <v>296</v>
      </c>
      <c r="C4" s="151" t="s">
        <v>297</v>
      </c>
      <c r="D4" s="151" t="s">
        <v>298</v>
      </c>
      <c r="E4" s="151" t="s">
        <v>299</v>
      </c>
    </row>
    <row r="5" spans="1:5">
      <c r="A5" s="151" t="s">
        <v>300</v>
      </c>
      <c r="B5" s="151" t="s">
        <v>301</v>
      </c>
      <c r="C5" s="151" t="s">
        <v>302</v>
      </c>
      <c r="D5" s="151" t="s">
        <v>303</v>
      </c>
      <c r="E5" s="151" t="s">
        <v>304</v>
      </c>
    </row>
    <row r="6" spans="1:5">
      <c r="A6" s="151" t="s">
        <v>305</v>
      </c>
      <c r="B6" s="151" t="s">
        <v>306</v>
      </c>
      <c r="C6" s="151" t="s">
        <v>307</v>
      </c>
      <c r="D6" s="151" t="s">
        <v>308</v>
      </c>
      <c r="E6" s="151" t="s">
        <v>90</v>
      </c>
    </row>
    <row r="7" spans="1:5">
      <c r="A7" s="151" t="s">
        <v>309</v>
      </c>
      <c r="B7" s="151" t="s">
        <v>310</v>
      </c>
      <c r="C7" s="151" t="s">
        <v>311</v>
      </c>
      <c r="D7" s="151" t="s">
        <v>312</v>
      </c>
      <c r="E7" s="151" t="s">
        <v>313</v>
      </c>
    </row>
    <row r="8" spans="1:5">
      <c r="A8" s="151" t="s">
        <v>314</v>
      </c>
      <c r="B8" s="151" t="s">
        <v>315</v>
      </c>
      <c r="C8" s="151" t="s">
        <v>316</v>
      </c>
      <c r="D8" s="151" t="s">
        <v>317</v>
      </c>
      <c r="E8" s="151" t="s">
        <v>318</v>
      </c>
    </row>
    <row r="9" spans="1:5">
      <c r="A9" s="151" t="s">
        <v>319</v>
      </c>
      <c r="B9" s="151" t="s">
        <v>320</v>
      </c>
      <c r="C9" s="151" t="s">
        <v>321</v>
      </c>
      <c r="D9" s="151" t="s">
        <v>322</v>
      </c>
      <c r="E9" s="151" t="s">
        <v>323</v>
      </c>
    </row>
    <row r="10" spans="1:5">
      <c r="A10" s="151" t="s">
        <v>324</v>
      </c>
      <c r="B10" s="151" t="s">
        <v>325</v>
      </c>
      <c r="C10" s="151" t="s">
        <v>326</v>
      </c>
      <c r="D10" s="151" t="s">
        <v>327</v>
      </c>
      <c r="E10" s="151" t="s">
        <v>328</v>
      </c>
    </row>
    <row r="11" spans="1:5">
      <c r="A11" s="151" t="s">
        <v>329</v>
      </c>
      <c r="B11" s="151" t="s">
        <v>330</v>
      </c>
      <c r="C11" s="151" t="s">
        <v>331</v>
      </c>
      <c r="D11" s="151" t="s">
        <v>332</v>
      </c>
      <c r="E11" s="151" t="s">
        <v>333</v>
      </c>
    </row>
    <row r="12" spans="1:5">
      <c r="A12" s="151" t="s">
        <v>334</v>
      </c>
      <c r="B12" s="151" t="s">
        <v>335</v>
      </c>
      <c r="C12" s="151" t="s">
        <v>336</v>
      </c>
      <c r="D12" s="151" t="s">
        <v>337</v>
      </c>
      <c r="E12" s="151" t="s">
        <v>338</v>
      </c>
    </row>
    <row r="13" spans="1:5">
      <c r="A13" s="151" t="s">
        <v>339</v>
      </c>
      <c r="B13" s="151" t="s">
        <v>340</v>
      </c>
      <c r="C13" s="151" t="s">
        <v>341</v>
      </c>
      <c r="D13" s="151" t="s">
        <v>342</v>
      </c>
      <c r="E13" s="151" t="s">
        <v>343</v>
      </c>
    </row>
    <row r="14" spans="1:5">
      <c r="A14" s="151" t="s">
        <v>344</v>
      </c>
      <c r="B14" s="151" t="s">
        <v>345</v>
      </c>
      <c r="C14" s="151" t="s">
        <v>346</v>
      </c>
      <c r="D14" s="151" t="s">
        <v>347</v>
      </c>
      <c r="E14" s="151" t="s">
        <v>348</v>
      </c>
    </row>
    <row r="15" spans="1:5">
      <c r="A15" s="151" t="s">
        <v>349</v>
      </c>
      <c r="B15" s="151" t="s">
        <v>350</v>
      </c>
      <c r="C15" s="151" t="s">
        <v>351</v>
      </c>
      <c r="D15" s="151" t="s">
        <v>352</v>
      </c>
      <c r="E15" s="151" t="s">
        <v>353</v>
      </c>
    </row>
    <row r="16" spans="1:5">
      <c r="A16" s="151" t="s">
        <v>354</v>
      </c>
      <c r="B16" s="151" t="s">
        <v>355</v>
      </c>
      <c r="C16" s="151" t="s">
        <v>356</v>
      </c>
      <c r="D16" s="151" t="s">
        <v>357</v>
      </c>
      <c r="E16" s="151" t="s">
        <v>358</v>
      </c>
    </row>
    <row r="17" spans="1:5">
      <c r="A17" s="151" t="s">
        <v>359</v>
      </c>
      <c r="B17" s="151" t="s">
        <v>360</v>
      </c>
      <c r="C17" s="151" t="s">
        <v>361</v>
      </c>
      <c r="D17" s="151" t="s">
        <v>362</v>
      </c>
      <c r="E17" s="151" t="s">
        <v>363</v>
      </c>
    </row>
    <row r="18" spans="1:5">
      <c r="A18" s="151" t="s">
        <v>364</v>
      </c>
      <c r="B18" s="151" t="s">
        <v>365</v>
      </c>
      <c r="C18" s="151" t="s">
        <v>366</v>
      </c>
      <c r="D18" s="151" t="s">
        <v>367</v>
      </c>
      <c r="E18" s="151" t="s">
        <v>368</v>
      </c>
    </row>
    <row r="19" spans="1:5">
      <c r="A19" s="151" t="s">
        <v>369</v>
      </c>
      <c r="B19" s="151" t="s">
        <v>370</v>
      </c>
      <c r="C19" s="151" t="s">
        <v>371</v>
      </c>
      <c r="D19" s="151" t="s">
        <v>372</v>
      </c>
      <c r="E19" s="151" t="s">
        <v>373</v>
      </c>
    </row>
    <row r="20" spans="1:5">
      <c r="A20" s="151" t="s">
        <v>374</v>
      </c>
      <c r="B20" s="151" t="s">
        <v>375</v>
      </c>
      <c r="C20" s="151" t="s">
        <v>376</v>
      </c>
      <c r="D20" s="151" t="s">
        <v>377</v>
      </c>
      <c r="E20" s="151" t="s">
        <v>378</v>
      </c>
    </row>
    <row r="21" spans="1:5">
      <c r="A21" s="151" t="s">
        <v>379</v>
      </c>
      <c r="B21" s="151" t="s">
        <v>380</v>
      </c>
      <c r="C21" s="151" t="s">
        <v>381</v>
      </c>
      <c r="D21" s="151" t="s">
        <v>382</v>
      </c>
      <c r="E21" s="151" t="s">
        <v>383</v>
      </c>
    </row>
    <row r="22" spans="1:5">
      <c r="A22" s="151" t="s">
        <v>384</v>
      </c>
      <c r="B22" s="151" t="s">
        <v>385</v>
      </c>
      <c r="D22" s="151" t="s">
        <v>386</v>
      </c>
      <c r="E22" s="151" t="s">
        <v>387</v>
      </c>
    </row>
    <row r="23" spans="1:5">
      <c r="A23" s="151" t="s">
        <v>388</v>
      </c>
      <c r="B23" s="151" t="s">
        <v>389</v>
      </c>
      <c r="D23" s="151" t="s">
        <v>390</v>
      </c>
      <c r="E23" s="151" t="s">
        <v>391</v>
      </c>
    </row>
    <row r="24" spans="1:5">
      <c r="A24" s="151" t="s">
        <v>392</v>
      </c>
      <c r="B24" s="151" t="s">
        <v>393</v>
      </c>
      <c r="D24" s="151" t="s">
        <v>394</v>
      </c>
      <c r="E24" s="151" t="s">
        <v>395</v>
      </c>
    </row>
    <row r="25" spans="1:5">
      <c r="A25" s="151" t="s">
        <v>396</v>
      </c>
      <c r="B25" s="151" t="s">
        <v>397</v>
      </c>
      <c r="D25" s="151" t="s">
        <v>398</v>
      </c>
    </row>
    <row r="26" spans="1:5">
      <c r="A26" s="151" t="s">
        <v>399</v>
      </c>
      <c r="B26" s="151" t="s">
        <v>400</v>
      </c>
      <c r="D26" s="151" t="s">
        <v>401</v>
      </c>
    </row>
    <row r="27" spans="1:5">
      <c r="A27" s="151" t="s">
        <v>402</v>
      </c>
      <c r="B27" s="151" t="s">
        <v>403</v>
      </c>
      <c r="D27" s="151" t="s">
        <v>404</v>
      </c>
    </row>
    <row r="28" spans="1:5">
      <c r="A28" s="151" t="s">
        <v>405</v>
      </c>
      <c r="B28" s="151" t="s">
        <v>406</v>
      </c>
      <c r="D28" s="151" t="s">
        <v>407</v>
      </c>
    </row>
    <row r="29" spans="1:5">
      <c r="A29" s="151" t="s">
        <v>408</v>
      </c>
      <c r="B29" s="151" t="s">
        <v>409</v>
      </c>
      <c r="D29" s="151" t="s">
        <v>410</v>
      </c>
    </row>
    <row r="30" spans="1:5">
      <c r="A30" s="151" t="s">
        <v>411</v>
      </c>
      <c r="B30" s="151" t="s">
        <v>412</v>
      </c>
      <c r="D30" s="151" t="s">
        <v>413</v>
      </c>
    </row>
    <row r="31" spans="1:5">
      <c r="A31" s="151" t="s">
        <v>414</v>
      </c>
      <c r="B31" s="151" t="s">
        <v>415</v>
      </c>
      <c r="D31" s="151" t="s">
        <v>416</v>
      </c>
    </row>
    <row r="32" spans="1:5">
      <c r="A32" s="151" t="s">
        <v>417</v>
      </c>
      <c r="B32" s="151" t="s">
        <v>418</v>
      </c>
      <c r="D32" s="151" t="s">
        <v>419</v>
      </c>
    </row>
    <row r="33" spans="1:4">
      <c r="A33" s="151" t="s">
        <v>420</v>
      </c>
      <c r="B33" s="151" t="s">
        <v>421</v>
      </c>
      <c r="D33" s="151" t="s">
        <v>422</v>
      </c>
    </row>
    <row r="34" spans="1:4">
      <c r="A34" s="151" t="s">
        <v>423</v>
      </c>
      <c r="B34" s="151" t="s">
        <v>424</v>
      </c>
      <c r="D34" s="151" t="s">
        <v>425</v>
      </c>
    </row>
    <row r="35" spans="1:4">
      <c r="A35" s="151" t="s">
        <v>426</v>
      </c>
      <c r="B35" s="151" t="s">
        <v>427</v>
      </c>
      <c r="D35" s="151" t="s">
        <v>428</v>
      </c>
    </row>
    <row r="36" spans="1:4">
      <c r="A36" s="151" t="s">
        <v>429</v>
      </c>
      <c r="B36" s="151" t="s">
        <v>430</v>
      </c>
      <c r="D36" s="151" t="s">
        <v>431</v>
      </c>
    </row>
    <row r="37" spans="1:4">
      <c r="A37" s="151" t="s">
        <v>432</v>
      </c>
      <c r="B37" s="151" t="s">
        <v>433</v>
      </c>
      <c r="D37" s="151" t="s">
        <v>434</v>
      </c>
    </row>
    <row r="38" spans="1:4">
      <c r="A38" s="151" t="s">
        <v>435</v>
      </c>
      <c r="B38" s="151" t="s">
        <v>436</v>
      </c>
      <c r="D38" s="151" t="s">
        <v>437</v>
      </c>
    </row>
    <row r="39" spans="1:4">
      <c r="A39" s="151" t="s">
        <v>438</v>
      </c>
      <c r="B39" s="151" t="s">
        <v>439</v>
      </c>
      <c r="D39" s="151" t="s">
        <v>440</v>
      </c>
    </row>
    <row r="40" spans="1:4">
      <c r="A40" s="151" t="s">
        <v>441</v>
      </c>
      <c r="B40" s="151" t="s">
        <v>442</v>
      </c>
      <c r="D40" s="151" t="s">
        <v>443</v>
      </c>
    </row>
    <row r="41" spans="1:4">
      <c r="A41" s="151" t="s">
        <v>444</v>
      </c>
      <c r="B41" s="151" t="s">
        <v>445</v>
      </c>
      <c r="D41" s="151" t="s">
        <v>446</v>
      </c>
    </row>
    <row r="42" spans="1:4">
      <c r="A42" s="151" t="s">
        <v>447</v>
      </c>
      <c r="B42" s="151" t="s">
        <v>448</v>
      </c>
      <c r="D42" s="151" t="s">
        <v>449</v>
      </c>
    </row>
    <row r="43" spans="1:4">
      <c r="A43" s="151" t="s">
        <v>450</v>
      </c>
      <c r="B43" s="151" t="s">
        <v>451</v>
      </c>
      <c r="D43" s="151" t="s">
        <v>452</v>
      </c>
    </row>
    <row r="44" spans="1:4">
      <c r="A44" s="151" t="s">
        <v>453</v>
      </c>
      <c r="B44" s="151" t="s">
        <v>454</v>
      </c>
      <c r="D44" s="151" t="s">
        <v>455</v>
      </c>
    </row>
    <row r="45" spans="1:4">
      <c r="A45" s="151" t="s">
        <v>456</v>
      </c>
      <c r="B45" s="151" t="s">
        <v>457</v>
      </c>
      <c r="D45" s="151" t="s">
        <v>458</v>
      </c>
    </row>
    <row r="46" spans="1:4">
      <c r="A46" s="151" t="s">
        <v>459</v>
      </c>
      <c r="B46" s="151" t="s">
        <v>460</v>
      </c>
      <c r="D46" s="151" t="s">
        <v>461</v>
      </c>
    </row>
    <row r="47" spans="1:4">
      <c r="A47" s="151" t="s">
        <v>462</v>
      </c>
      <c r="B47" s="151" t="s">
        <v>463</v>
      </c>
      <c r="D47" s="151" t="s">
        <v>464</v>
      </c>
    </row>
    <row r="48" spans="1:4">
      <c r="A48" s="151" t="s">
        <v>465</v>
      </c>
      <c r="B48" s="151" t="s">
        <v>466</v>
      </c>
      <c r="D48" s="151" t="s">
        <v>467</v>
      </c>
    </row>
    <row r="49" spans="1:4">
      <c r="A49" s="151" t="s">
        <v>468</v>
      </c>
      <c r="B49" s="151" t="s">
        <v>469</v>
      </c>
      <c r="D49" s="151" t="s">
        <v>470</v>
      </c>
    </row>
    <row r="50" spans="1:4">
      <c r="A50" s="151" t="s">
        <v>471</v>
      </c>
      <c r="B50" s="151" t="s">
        <v>472</v>
      </c>
      <c r="D50" s="151" t="s">
        <v>473</v>
      </c>
    </row>
    <row r="51" spans="1:4">
      <c r="A51" s="151" t="s">
        <v>474</v>
      </c>
      <c r="B51" s="151" t="s">
        <v>475</v>
      </c>
      <c r="D51" s="151" t="s">
        <v>476</v>
      </c>
    </row>
    <row r="52" spans="1:4">
      <c r="A52" s="151" t="s">
        <v>477</v>
      </c>
      <c r="B52" s="151" t="s">
        <v>478</v>
      </c>
      <c r="D52" s="151" t="s">
        <v>479</v>
      </c>
    </row>
    <row r="53" spans="1:4">
      <c r="A53" s="151" t="s">
        <v>480</v>
      </c>
      <c r="B53" s="151" t="s">
        <v>481</v>
      </c>
      <c r="D53" s="151" t="s">
        <v>482</v>
      </c>
    </row>
    <row r="54" spans="1:4">
      <c r="A54" s="151" t="s">
        <v>483</v>
      </c>
      <c r="B54" s="151" t="s">
        <v>484</v>
      </c>
      <c r="D54" s="151" t="s">
        <v>485</v>
      </c>
    </row>
    <row r="55" spans="1:4">
      <c r="A55" s="151" t="s">
        <v>486</v>
      </c>
      <c r="B55" s="151" t="s">
        <v>487</v>
      </c>
      <c r="D55" s="151" t="s">
        <v>488</v>
      </c>
    </row>
    <row r="56" spans="1:4">
      <c r="A56" s="151" t="s">
        <v>489</v>
      </c>
      <c r="B56" s="151" t="s">
        <v>490</v>
      </c>
      <c r="D56" s="151" t="s">
        <v>491</v>
      </c>
    </row>
    <row r="57" spans="1:4">
      <c r="A57" s="151" t="s">
        <v>492</v>
      </c>
      <c r="B57" s="151" t="s">
        <v>493</v>
      </c>
      <c r="D57" s="151" t="s">
        <v>494</v>
      </c>
    </row>
    <row r="58" spans="1:4">
      <c r="A58" s="151" t="s">
        <v>495</v>
      </c>
      <c r="B58" s="151" t="s">
        <v>496</v>
      </c>
      <c r="D58" s="151" t="s">
        <v>497</v>
      </c>
    </row>
    <row r="59" spans="1:4">
      <c r="A59" s="151" t="s">
        <v>498</v>
      </c>
      <c r="B59" s="151" t="s">
        <v>499</v>
      </c>
      <c r="D59" s="151" t="s">
        <v>500</v>
      </c>
    </row>
    <row r="60" spans="1:4">
      <c r="A60" s="151" t="s">
        <v>501</v>
      </c>
      <c r="B60" s="151" t="s">
        <v>502</v>
      </c>
      <c r="D60" s="151" t="s">
        <v>503</v>
      </c>
    </row>
    <row r="61" spans="1:4">
      <c r="A61" s="151" t="s">
        <v>504</v>
      </c>
      <c r="B61" s="151" t="s">
        <v>505</v>
      </c>
      <c r="D61" s="151" t="s">
        <v>506</v>
      </c>
    </row>
    <row r="62" spans="1:4">
      <c r="A62" s="151" t="s">
        <v>507</v>
      </c>
      <c r="B62" s="151" t="s">
        <v>508</v>
      </c>
      <c r="D62" s="151" t="s">
        <v>509</v>
      </c>
    </row>
    <row r="63" spans="1:4">
      <c r="A63" s="151" t="s">
        <v>510</v>
      </c>
      <c r="B63" s="151" t="s">
        <v>511</v>
      </c>
      <c r="D63" s="151" t="s">
        <v>512</v>
      </c>
    </row>
    <row r="64" spans="1:4">
      <c r="A64" s="151" t="s">
        <v>513</v>
      </c>
      <c r="B64" s="151" t="s">
        <v>514</v>
      </c>
      <c r="D64" s="151" t="s">
        <v>515</v>
      </c>
    </row>
    <row r="65" spans="1:4">
      <c r="A65" s="151" t="s">
        <v>516</v>
      </c>
      <c r="B65" s="151" t="s">
        <v>517</v>
      </c>
      <c r="D65" s="151" t="s">
        <v>518</v>
      </c>
    </row>
    <row r="66" spans="1:4">
      <c r="A66" s="151" t="s">
        <v>519</v>
      </c>
      <c r="B66" s="151" t="s">
        <v>520</v>
      </c>
      <c r="D66" s="151" t="s">
        <v>521</v>
      </c>
    </row>
    <row r="67" spans="1:4">
      <c r="A67" s="151" t="s">
        <v>522</v>
      </c>
      <c r="B67" s="151" t="s">
        <v>523</v>
      </c>
      <c r="D67" s="151" t="s">
        <v>524</v>
      </c>
    </row>
    <row r="68" spans="1:4">
      <c r="A68" s="151" t="s">
        <v>525</v>
      </c>
      <c r="B68" s="151" t="s">
        <v>526</v>
      </c>
      <c r="D68" s="151" t="s">
        <v>527</v>
      </c>
    </row>
    <row r="69" spans="1:4">
      <c r="A69" s="151" t="s">
        <v>528</v>
      </c>
      <c r="B69" s="151" t="s">
        <v>529</v>
      </c>
      <c r="D69" s="151" t="s">
        <v>530</v>
      </c>
    </row>
    <row r="70" spans="1:4">
      <c r="A70" s="151" t="s">
        <v>531</v>
      </c>
      <c r="B70" s="151" t="s">
        <v>532</v>
      </c>
      <c r="D70" s="151" t="s">
        <v>533</v>
      </c>
    </row>
    <row r="71" spans="1:4">
      <c r="A71" s="151" t="s">
        <v>534</v>
      </c>
      <c r="B71" s="151" t="s">
        <v>535</v>
      </c>
      <c r="D71" s="151" t="s">
        <v>536</v>
      </c>
    </row>
    <row r="72" spans="1:4">
      <c r="A72" s="151" t="s">
        <v>537</v>
      </c>
      <c r="B72" s="151" t="s">
        <v>538</v>
      </c>
      <c r="D72" s="151" t="s">
        <v>539</v>
      </c>
    </row>
    <row r="73" spans="1:4">
      <c r="A73" s="151" t="s">
        <v>540</v>
      </c>
      <c r="B73" s="151" t="s">
        <v>541</v>
      </c>
      <c r="D73" s="151" t="s">
        <v>542</v>
      </c>
    </row>
    <row r="74" spans="1:4">
      <c r="A74" s="151" t="s">
        <v>543</v>
      </c>
      <c r="B74" s="151" t="s">
        <v>544</v>
      </c>
      <c r="D74" s="151" t="s">
        <v>545</v>
      </c>
    </row>
    <row r="75" spans="1:4">
      <c r="A75" s="151" t="s">
        <v>546</v>
      </c>
      <c r="B75" s="151" t="s">
        <v>547</v>
      </c>
      <c r="D75" s="151" t="s">
        <v>548</v>
      </c>
    </row>
    <row r="76" spans="1:4">
      <c r="A76" s="151" t="s">
        <v>255</v>
      </c>
      <c r="B76" s="151" t="s">
        <v>549</v>
      </c>
      <c r="D76" s="151" t="s">
        <v>550</v>
      </c>
    </row>
    <row r="77" spans="1:4">
      <c r="A77" s="151" t="s">
        <v>551</v>
      </c>
      <c r="B77" s="151" t="s">
        <v>552</v>
      </c>
      <c r="D77" s="151" t="s">
        <v>553</v>
      </c>
    </row>
    <row r="78" spans="1:4">
      <c r="A78" s="151" t="s">
        <v>554</v>
      </c>
      <c r="B78" s="151" t="s">
        <v>555</v>
      </c>
      <c r="D78" s="151" t="s">
        <v>556</v>
      </c>
    </row>
    <row r="79" spans="1:4">
      <c r="A79" s="151" t="s">
        <v>557</v>
      </c>
      <c r="B79" s="151" t="s">
        <v>558</v>
      </c>
      <c r="D79" s="151" t="s">
        <v>559</v>
      </c>
    </row>
    <row r="80" spans="1:4">
      <c r="A80" s="151" t="s">
        <v>560</v>
      </c>
      <c r="B80" s="151" t="s">
        <v>561</v>
      </c>
      <c r="D80" s="151" t="s">
        <v>562</v>
      </c>
    </row>
    <row r="81" spans="1:4">
      <c r="A81" s="151" t="s">
        <v>563</v>
      </c>
      <c r="B81" s="151" t="s">
        <v>564</v>
      </c>
      <c r="D81" s="151" t="s">
        <v>565</v>
      </c>
    </row>
    <row r="82" spans="1:4">
      <c r="A82" s="151" t="s">
        <v>566</v>
      </c>
      <c r="B82" s="151" t="s">
        <v>567</v>
      </c>
      <c r="D82" s="151" t="s">
        <v>568</v>
      </c>
    </row>
    <row r="83" spans="1:4">
      <c r="A83" s="151" t="s">
        <v>569</v>
      </c>
      <c r="B83" s="151" t="s">
        <v>570</v>
      </c>
      <c r="D83" s="151" t="s">
        <v>571</v>
      </c>
    </row>
    <row r="84" spans="1:4">
      <c r="A84" s="151" t="s">
        <v>572</v>
      </c>
      <c r="B84" s="151" t="s">
        <v>573</v>
      </c>
      <c r="D84" s="151" t="s">
        <v>574</v>
      </c>
    </row>
    <row r="85" spans="1:4">
      <c r="A85" s="151" t="s">
        <v>575</v>
      </c>
      <c r="B85" s="151" t="s">
        <v>576</v>
      </c>
      <c r="D85" s="151" t="s">
        <v>577</v>
      </c>
    </row>
    <row r="86" spans="1:4">
      <c r="A86" s="151" t="s">
        <v>578</v>
      </c>
      <c r="B86" s="151" t="s">
        <v>579</v>
      </c>
      <c r="D86" s="151" t="s">
        <v>580</v>
      </c>
    </row>
    <row r="87" spans="1:4">
      <c r="A87" s="151" t="s">
        <v>581</v>
      </c>
      <c r="B87" s="151" t="s">
        <v>582</v>
      </c>
      <c r="D87" s="151" t="s">
        <v>583</v>
      </c>
    </row>
    <row r="88" spans="1:4">
      <c r="A88" s="151" t="s">
        <v>584</v>
      </c>
      <c r="B88" s="151" t="s">
        <v>585</v>
      </c>
      <c r="D88" s="151" t="s">
        <v>586</v>
      </c>
    </row>
    <row r="89" spans="1:4">
      <c r="A89" s="151" t="s">
        <v>587</v>
      </c>
      <c r="B89" s="151" t="s">
        <v>588</v>
      </c>
      <c r="D89" s="151" t="s">
        <v>589</v>
      </c>
    </row>
    <row r="90" spans="1:4">
      <c r="A90" s="151" t="s">
        <v>590</v>
      </c>
      <c r="B90" s="151" t="s">
        <v>591</v>
      </c>
      <c r="D90" s="151" t="s">
        <v>592</v>
      </c>
    </row>
    <row r="91" spans="1:4">
      <c r="A91" s="151" t="s">
        <v>593</v>
      </c>
      <c r="B91" s="151" t="s">
        <v>594</v>
      </c>
      <c r="D91" s="151" t="s">
        <v>595</v>
      </c>
    </row>
    <row r="92" spans="1:4">
      <c r="A92" s="151" t="s">
        <v>596</v>
      </c>
      <c r="B92" s="151" t="s">
        <v>597</v>
      </c>
      <c r="D92" s="151" t="s">
        <v>598</v>
      </c>
    </row>
    <row r="93" spans="1:4">
      <c r="A93" s="151" t="s">
        <v>599</v>
      </c>
      <c r="B93" s="151" t="s">
        <v>600</v>
      </c>
      <c r="D93" s="151" t="s">
        <v>601</v>
      </c>
    </row>
    <row r="94" spans="1:4">
      <c r="A94" s="151" t="s">
        <v>602</v>
      </c>
      <c r="B94" s="151" t="s">
        <v>603</v>
      </c>
      <c r="D94" s="151" t="s">
        <v>604</v>
      </c>
    </row>
    <row r="95" spans="1:4">
      <c r="A95" s="151" t="s">
        <v>605</v>
      </c>
      <c r="B95" s="151" t="s">
        <v>606</v>
      </c>
      <c r="D95" s="151" t="s">
        <v>119</v>
      </c>
    </row>
    <row r="96" spans="1:4">
      <c r="A96" s="151" t="s">
        <v>607</v>
      </c>
      <c r="B96" s="151" t="s">
        <v>608</v>
      </c>
      <c r="D96" s="151" t="s">
        <v>609</v>
      </c>
    </row>
    <row r="97" spans="1:4">
      <c r="A97" s="151" t="s">
        <v>610</v>
      </c>
      <c r="B97" s="151" t="s">
        <v>611</v>
      </c>
      <c r="D97" s="151" t="s">
        <v>612</v>
      </c>
    </row>
    <row r="98" spans="1:4">
      <c r="A98" s="151" t="s">
        <v>613</v>
      </c>
      <c r="B98" s="151" t="s">
        <v>614</v>
      </c>
      <c r="D98" s="151" t="s">
        <v>615</v>
      </c>
    </row>
    <row r="99" spans="1:4">
      <c r="A99" s="151" t="s">
        <v>616</v>
      </c>
      <c r="B99" s="151" t="s">
        <v>617</v>
      </c>
      <c r="D99" s="151" t="s">
        <v>618</v>
      </c>
    </row>
    <row r="100" spans="1:4">
      <c r="A100" s="151" t="s">
        <v>619</v>
      </c>
      <c r="B100" s="151" t="s">
        <v>620</v>
      </c>
      <c r="D100" s="151" t="s">
        <v>621</v>
      </c>
    </row>
    <row r="101" spans="1:4">
      <c r="A101" s="151" t="s">
        <v>622</v>
      </c>
      <c r="B101" s="151" t="s">
        <v>623</v>
      </c>
      <c r="D101" s="151" t="s">
        <v>624</v>
      </c>
    </row>
    <row r="102" spans="1:4">
      <c r="A102" s="151" t="s">
        <v>625</v>
      </c>
      <c r="B102" s="151" t="s">
        <v>626</v>
      </c>
      <c r="D102" s="151" t="s">
        <v>627</v>
      </c>
    </row>
    <row r="103" spans="1:4">
      <c r="A103" s="151" t="s">
        <v>628</v>
      </c>
      <c r="B103" s="151" t="s">
        <v>629</v>
      </c>
      <c r="D103" s="151" t="s">
        <v>630</v>
      </c>
    </row>
    <row r="104" spans="1:4">
      <c r="A104" s="151" t="s">
        <v>631</v>
      </c>
      <c r="B104" s="151" t="s">
        <v>632</v>
      </c>
      <c r="D104" s="151" t="s">
        <v>633</v>
      </c>
    </row>
    <row r="105" spans="1:4">
      <c r="A105" s="151" t="s">
        <v>634</v>
      </c>
      <c r="B105" s="151" t="s">
        <v>635</v>
      </c>
      <c r="D105" s="151" t="s">
        <v>636</v>
      </c>
    </row>
    <row r="106" spans="1:4">
      <c r="A106" s="151" t="s">
        <v>637</v>
      </c>
      <c r="B106" s="151" t="s">
        <v>638</v>
      </c>
      <c r="D106" s="151" t="s">
        <v>639</v>
      </c>
    </row>
    <row r="107" spans="1:4">
      <c r="A107" s="151" t="s">
        <v>640</v>
      </c>
      <c r="B107" s="151" t="s">
        <v>641</v>
      </c>
      <c r="D107" s="151" t="s">
        <v>642</v>
      </c>
    </row>
    <row r="108" spans="1:4">
      <c r="A108" s="151" t="s">
        <v>643</v>
      </c>
      <c r="B108" s="151" t="s">
        <v>644</v>
      </c>
      <c r="D108" s="151" t="s">
        <v>645</v>
      </c>
    </row>
    <row r="109" spans="1:4">
      <c r="A109" s="151" t="s">
        <v>646</v>
      </c>
      <c r="B109" s="151" t="s">
        <v>647</v>
      </c>
      <c r="D109" s="151" t="s">
        <v>648</v>
      </c>
    </row>
    <row r="110" spans="1:4">
      <c r="A110" s="151" t="s">
        <v>649</v>
      </c>
      <c r="B110" s="151" t="s">
        <v>650</v>
      </c>
      <c r="D110" s="151" t="s">
        <v>651</v>
      </c>
    </row>
    <row r="111" spans="1:4">
      <c r="A111" s="151" t="s">
        <v>652</v>
      </c>
      <c r="B111" s="151" t="s">
        <v>653</v>
      </c>
      <c r="D111" s="151" t="s">
        <v>654</v>
      </c>
    </row>
    <row r="112" spans="1:4">
      <c r="A112" s="151" t="s">
        <v>655</v>
      </c>
      <c r="B112" s="151" t="s">
        <v>656</v>
      </c>
      <c r="D112" s="151" t="s">
        <v>657</v>
      </c>
    </row>
    <row r="113" spans="1:4">
      <c r="A113" s="151" t="s">
        <v>658</v>
      </c>
      <c r="B113" s="151" t="s">
        <v>659</v>
      </c>
      <c r="D113" s="151" t="s">
        <v>660</v>
      </c>
    </row>
    <row r="114" spans="1:4">
      <c r="A114" s="151" t="s">
        <v>661</v>
      </c>
      <c r="B114" s="151" t="s">
        <v>662</v>
      </c>
      <c r="D114" s="151" t="s">
        <v>663</v>
      </c>
    </row>
    <row r="115" spans="1:4">
      <c r="A115" s="151" t="s">
        <v>664</v>
      </c>
      <c r="B115" s="151" t="s">
        <v>665</v>
      </c>
      <c r="D115" s="151" t="s">
        <v>666</v>
      </c>
    </row>
    <row r="116" spans="1:4">
      <c r="A116" s="151" t="s">
        <v>667</v>
      </c>
      <c r="B116" s="151" t="s">
        <v>668</v>
      </c>
      <c r="D116" s="151" t="s">
        <v>669</v>
      </c>
    </row>
    <row r="117" spans="1:4">
      <c r="A117" s="151" t="s">
        <v>670</v>
      </c>
      <c r="B117" s="151" t="s">
        <v>671</v>
      </c>
      <c r="D117" s="151" t="s">
        <v>672</v>
      </c>
    </row>
    <row r="118" spans="1:4">
      <c r="A118" s="151" t="s">
        <v>673</v>
      </c>
      <c r="B118" s="151" t="s">
        <v>674</v>
      </c>
      <c r="D118" s="151" t="s">
        <v>675</v>
      </c>
    </row>
    <row r="119" spans="1:4">
      <c r="A119" s="151" t="s">
        <v>676</v>
      </c>
      <c r="B119" s="151" t="s">
        <v>677</v>
      </c>
      <c r="D119" s="151" t="s">
        <v>678</v>
      </c>
    </row>
    <row r="120" spans="1:4">
      <c r="A120" s="151" t="s">
        <v>679</v>
      </c>
      <c r="B120" s="151" t="s">
        <v>680</v>
      </c>
      <c r="D120" s="151" t="s">
        <v>681</v>
      </c>
    </row>
    <row r="121" spans="1:4">
      <c r="A121" s="151" t="s">
        <v>682</v>
      </c>
      <c r="B121" s="151" t="s">
        <v>683</v>
      </c>
      <c r="D121" s="151" t="s">
        <v>684</v>
      </c>
    </row>
    <row r="122" spans="1:4">
      <c r="A122" s="151" t="s">
        <v>685</v>
      </c>
      <c r="B122" s="151" t="s">
        <v>686</v>
      </c>
      <c r="D122" s="151" t="s">
        <v>687</v>
      </c>
    </row>
    <row r="123" spans="1:4">
      <c r="A123" s="151" t="s">
        <v>688</v>
      </c>
      <c r="B123" s="151" t="s">
        <v>689</v>
      </c>
      <c r="D123" s="151" t="s">
        <v>690</v>
      </c>
    </row>
    <row r="124" spans="1:4">
      <c r="A124" s="151" t="s">
        <v>691</v>
      </c>
      <c r="B124" s="151" t="s">
        <v>692</v>
      </c>
      <c r="D124" s="151" t="s">
        <v>693</v>
      </c>
    </row>
    <row r="125" spans="1:4">
      <c r="A125" s="151" t="s">
        <v>694</v>
      </c>
      <c r="B125" s="151" t="s">
        <v>695</v>
      </c>
      <c r="D125" s="151" t="s">
        <v>696</v>
      </c>
    </row>
    <row r="126" spans="1:4">
      <c r="A126" s="151" t="s">
        <v>697</v>
      </c>
      <c r="B126" s="151" t="s">
        <v>698</v>
      </c>
      <c r="D126" s="151" t="s">
        <v>699</v>
      </c>
    </row>
    <row r="127" spans="1:4">
      <c r="A127" s="151" t="s">
        <v>700</v>
      </c>
      <c r="B127" s="151" t="s">
        <v>701</v>
      </c>
      <c r="D127" s="151" t="s">
        <v>702</v>
      </c>
    </row>
    <row r="128" spans="1:4">
      <c r="A128" s="151" t="s">
        <v>703</v>
      </c>
      <c r="B128" s="151" t="s">
        <v>704</v>
      </c>
      <c r="D128" s="151" t="s">
        <v>705</v>
      </c>
    </row>
    <row r="129" spans="1:4">
      <c r="A129" s="151" t="s">
        <v>706</v>
      </c>
      <c r="B129" s="151" t="s">
        <v>707</v>
      </c>
      <c r="D129" s="151" t="s">
        <v>708</v>
      </c>
    </row>
    <row r="130" spans="1:4">
      <c r="A130" s="151" t="s">
        <v>709</v>
      </c>
      <c r="B130" s="151" t="s">
        <v>710</v>
      </c>
      <c r="D130" s="151" t="s">
        <v>711</v>
      </c>
    </row>
    <row r="131" spans="1:4">
      <c r="A131" s="151" t="s">
        <v>712</v>
      </c>
      <c r="B131" s="151" t="s">
        <v>713</v>
      </c>
      <c r="D131" s="151" t="s">
        <v>714</v>
      </c>
    </row>
    <row r="132" spans="1:4">
      <c r="A132" s="151" t="s">
        <v>715</v>
      </c>
      <c r="B132" s="151" t="s">
        <v>716</v>
      </c>
      <c r="D132" s="151" t="s">
        <v>717</v>
      </c>
    </row>
    <row r="133" spans="1:4">
      <c r="A133" s="151" t="s">
        <v>718</v>
      </c>
      <c r="B133" s="151" t="s">
        <v>719</v>
      </c>
      <c r="D133" s="151" t="s">
        <v>720</v>
      </c>
    </row>
    <row r="134" spans="1:4">
      <c r="A134" s="151" t="s">
        <v>721</v>
      </c>
      <c r="B134" s="151" t="s">
        <v>722</v>
      </c>
      <c r="D134" s="151" t="s">
        <v>723</v>
      </c>
    </row>
    <row r="135" spans="1:4">
      <c r="A135" s="151" t="s">
        <v>724</v>
      </c>
      <c r="B135" s="151" t="s">
        <v>725</v>
      </c>
      <c r="D135" s="151" t="s">
        <v>726</v>
      </c>
    </row>
    <row r="136" spans="1:4">
      <c r="A136" s="151" t="s">
        <v>727</v>
      </c>
      <c r="B136" s="151" t="s">
        <v>728</v>
      </c>
      <c r="D136" s="151" t="s">
        <v>729</v>
      </c>
    </row>
    <row r="137" spans="1:4">
      <c r="A137" s="151" t="s">
        <v>730</v>
      </c>
      <c r="B137" s="151" t="s">
        <v>731</v>
      </c>
      <c r="D137" s="151" t="s">
        <v>732</v>
      </c>
    </row>
    <row r="138" spans="1:4">
      <c r="A138" s="151" t="s">
        <v>733</v>
      </c>
      <c r="B138" s="151" t="s">
        <v>734</v>
      </c>
      <c r="D138" s="151" t="s">
        <v>735</v>
      </c>
    </row>
    <row r="139" spans="1:4">
      <c r="A139" s="151" t="s">
        <v>736</v>
      </c>
      <c r="B139" s="151" t="s">
        <v>737</v>
      </c>
      <c r="D139" s="151" t="s">
        <v>738</v>
      </c>
    </row>
    <row r="140" spans="1:4">
      <c r="A140" s="151" t="s">
        <v>739</v>
      </c>
      <c r="B140" s="151" t="s">
        <v>740</v>
      </c>
      <c r="D140" s="151" t="s">
        <v>741</v>
      </c>
    </row>
    <row r="141" spans="1:4">
      <c r="A141" s="151" t="s">
        <v>742</v>
      </c>
      <c r="B141" s="151" t="s">
        <v>743</v>
      </c>
      <c r="D141" s="151" t="s">
        <v>744</v>
      </c>
    </row>
    <row r="142" spans="1:4">
      <c r="A142" s="151" t="s">
        <v>745</v>
      </c>
      <c r="B142" s="151" t="s">
        <v>746</v>
      </c>
      <c r="D142" s="151" t="s">
        <v>747</v>
      </c>
    </row>
    <row r="143" spans="1:4">
      <c r="A143" s="151" t="s">
        <v>748</v>
      </c>
      <c r="B143" s="151" t="s">
        <v>749</v>
      </c>
      <c r="D143" s="151" t="s">
        <v>750</v>
      </c>
    </row>
    <row r="144" spans="1:4">
      <c r="A144" s="151" t="s">
        <v>751</v>
      </c>
      <c r="B144" s="151" t="s">
        <v>752</v>
      </c>
      <c r="D144" s="151" t="s">
        <v>753</v>
      </c>
    </row>
    <row r="145" spans="1:4">
      <c r="A145" s="151" t="s">
        <v>754</v>
      </c>
      <c r="B145" s="151" t="s">
        <v>755</v>
      </c>
      <c r="D145" s="151" t="s">
        <v>756</v>
      </c>
    </row>
    <row r="146" spans="1:4">
      <c r="A146" s="151" t="s">
        <v>757</v>
      </c>
      <c r="B146" s="151" t="s">
        <v>758</v>
      </c>
      <c r="D146" s="151" t="s">
        <v>759</v>
      </c>
    </row>
    <row r="147" spans="1:4">
      <c r="A147" s="151" t="s">
        <v>760</v>
      </c>
      <c r="B147" s="151" t="s">
        <v>761</v>
      </c>
      <c r="D147" s="151" t="s">
        <v>762</v>
      </c>
    </row>
    <row r="148" spans="1:4">
      <c r="A148" s="151" t="s">
        <v>763</v>
      </c>
      <c r="B148" s="151" t="s">
        <v>764</v>
      </c>
      <c r="D148" s="151" t="s">
        <v>765</v>
      </c>
    </row>
    <row r="149" spans="1:4">
      <c r="A149" s="151" t="s">
        <v>766</v>
      </c>
      <c r="B149" s="151" t="s">
        <v>767</v>
      </c>
      <c r="D149" s="151" t="s">
        <v>768</v>
      </c>
    </row>
    <row r="150" spans="1:4">
      <c r="A150" s="151" t="s">
        <v>769</v>
      </c>
      <c r="B150" s="151" t="s">
        <v>770</v>
      </c>
      <c r="D150" s="151" t="s">
        <v>771</v>
      </c>
    </row>
    <row r="151" spans="1:4">
      <c r="A151" s="151" t="s">
        <v>772</v>
      </c>
      <c r="B151" s="151" t="s">
        <v>773</v>
      </c>
      <c r="D151" s="151" t="s">
        <v>774</v>
      </c>
    </row>
    <row r="152" spans="1:4">
      <c r="A152" s="151" t="s">
        <v>775</v>
      </c>
      <c r="B152" s="151" t="s">
        <v>776</v>
      </c>
      <c r="D152" s="151" t="s">
        <v>777</v>
      </c>
    </row>
    <row r="153" spans="1:4">
      <c r="A153" s="151" t="s">
        <v>778</v>
      </c>
      <c r="B153" s="151" t="s">
        <v>779</v>
      </c>
      <c r="D153" s="151" t="s">
        <v>780</v>
      </c>
    </row>
    <row r="154" spans="1:4">
      <c r="A154" s="151" t="s">
        <v>781</v>
      </c>
      <c r="B154" s="151" t="s">
        <v>782</v>
      </c>
      <c r="D154" s="151" t="s">
        <v>783</v>
      </c>
    </row>
    <row r="155" spans="1:4">
      <c r="A155" s="151" t="s">
        <v>784</v>
      </c>
      <c r="B155" s="151" t="s">
        <v>785</v>
      </c>
      <c r="D155" s="151" t="s">
        <v>786</v>
      </c>
    </row>
    <row r="156" spans="1:4">
      <c r="A156" s="151" t="s">
        <v>787</v>
      </c>
      <c r="B156" s="151" t="s">
        <v>788</v>
      </c>
      <c r="D156" s="151" t="s">
        <v>789</v>
      </c>
    </row>
    <row r="157" spans="1:4">
      <c r="A157" s="151" t="s">
        <v>790</v>
      </c>
      <c r="B157" s="151" t="s">
        <v>791</v>
      </c>
      <c r="D157" s="151" t="s">
        <v>792</v>
      </c>
    </row>
    <row r="158" spans="1:4">
      <c r="A158" s="151" t="s">
        <v>793</v>
      </c>
      <c r="B158" s="151" t="s">
        <v>794</v>
      </c>
      <c r="D158" s="151" t="s">
        <v>795</v>
      </c>
    </row>
    <row r="159" spans="1:4">
      <c r="A159" s="151" t="s">
        <v>796</v>
      </c>
      <c r="B159" s="151" t="s">
        <v>797</v>
      </c>
      <c r="D159" s="151" t="s">
        <v>798</v>
      </c>
    </row>
    <row r="160" spans="1:4">
      <c r="A160" s="151" t="s">
        <v>799</v>
      </c>
      <c r="B160" s="151" t="s">
        <v>800</v>
      </c>
      <c r="D160" s="151" t="s">
        <v>801</v>
      </c>
    </row>
    <row r="161" spans="1:4">
      <c r="A161" s="151" t="s">
        <v>802</v>
      </c>
      <c r="B161" s="151" t="s">
        <v>803</v>
      </c>
      <c r="D161" s="151" t="s">
        <v>804</v>
      </c>
    </row>
    <row r="162" spans="1:4">
      <c r="A162" s="151" t="s">
        <v>805</v>
      </c>
      <c r="B162" s="151" t="s">
        <v>806</v>
      </c>
      <c r="D162" s="151" t="s">
        <v>807</v>
      </c>
    </row>
    <row r="163" spans="1:4">
      <c r="A163" s="151" t="s">
        <v>808</v>
      </c>
      <c r="B163" s="151" t="s">
        <v>809</v>
      </c>
      <c r="D163" s="151" t="s">
        <v>810</v>
      </c>
    </row>
    <row r="164" spans="1:4">
      <c r="A164" s="151" t="s">
        <v>811</v>
      </c>
      <c r="B164" s="151" t="s">
        <v>812</v>
      </c>
      <c r="D164" s="151" t="s">
        <v>813</v>
      </c>
    </row>
    <row r="165" spans="1:4">
      <c r="A165" s="151" t="s">
        <v>814</v>
      </c>
      <c r="B165" s="151" t="s">
        <v>815</v>
      </c>
      <c r="D165" s="151" t="s">
        <v>816</v>
      </c>
    </row>
    <row r="166" spans="1:4">
      <c r="A166" s="151" t="s">
        <v>817</v>
      </c>
      <c r="B166" s="151" t="s">
        <v>818</v>
      </c>
      <c r="D166" s="151" t="s">
        <v>819</v>
      </c>
    </row>
    <row r="167" spans="1:4">
      <c r="A167" s="151" t="s">
        <v>820</v>
      </c>
      <c r="B167" s="151" t="s">
        <v>821</v>
      </c>
      <c r="D167" s="151" t="s">
        <v>822</v>
      </c>
    </row>
    <row r="168" spans="1:4">
      <c r="A168" s="151" t="s">
        <v>823</v>
      </c>
      <c r="B168" s="151" t="s">
        <v>824</v>
      </c>
      <c r="D168" s="151" t="s">
        <v>825</v>
      </c>
    </row>
    <row r="169" spans="1:4">
      <c r="A169" s="151" t="s">
        <v>826</v>
      </c>
      <c r="B169" s="151" t="s">
        <v>827</v>
      </c>
      <c r="D169" s="151" t="s">
        <v>828</v>
      </c>
    </row>
    <row r="170" spans="1:4">
      <c r="A170" s="151" t="s">
        <v>829</v>
      </c>
      <c r="B170" s="151" t="s">
        <v>830</v>
      </c>
      <c r="D170" s="151" t="s">
        <v>831</v>
      </c>
    </row>
    <row r="171" spans="1:4">
      <c r="A171" s="151" t="s">
        <v>832</v>
      </c>
      <c r="B171" s="151" t="s">
        <v>833</v>
      </c>
      <c r="D171" s="151" t="s">
        <v>834</v>
      </c>
    </row>
    <row r="172" spans="1:4">
      <c r="A172" s="151" t="s">
        <v>835</v>
      </c>
      <c r="B172" s="151" t="s">
        <v>836</v>
      </c>
      <c r="D172" s="151" t="s">
        <v>837</v>
      </c>
    </row>
    <row r="173" spans="1:4">
      <c r="A173" s="151" t="s">
        <v>838</v>
      </c>
      <c r="B173" s="151" t="s">
        <v>839</v>
      </c>
      <c r="D173" s="151" t="s">
        <v>840</v>
      </c>
    </row>
    <row r="174" spans="1:4">
      <c r="A174" s="151" t="s">
        <v>841</v>
      </c>
      <c r="B174" s="151" t="s">
        <v>842</v>
      </c>
      <c r="D174" s="151" t="s">
        <v>843</v>
      </c>
    </row>
    <row r="175" spans="1:4">
      <c r="A175" s="151" t="s">
        <v>844</v>
      </c>
      <c r="B175" s="151" t="s">
        <v>845</v>
      </c>
      <c r="D175" s="151" t="s">
        <v>846</v>
      </c>
    </row>
    <row r="176" spans="1:4">
      <c r="A176" s="151" t="s">
        <v>847</v>
      </c>
      <c r="B176" s="151" t="s">
        <v>848</v>
      </c>
      <c r="D176" s="151" t="s">
        <v>849</v>
      </c>
    </row>
    <row r="177" spans="1:4">
      <c r="A177" s="151" t="s">
        <v>850</v>
      </c>
      <c r="B177" s="151" t="s">
        <v>851</v>
      </c>
      <c r="D177" s="151" t="s">
        <v>852</v>
      </c>
    </row>
    <row r="178" spans="1:4">
      <c r="A178" s="151" t="s">
        <v>853</v>
      </c>
      <c r="B178" s="151" t="s">
        <v>854</v>
      </c>
      <c r="D178" s="151" t="s">
        <v>855</v>
      </c>
    </row>
    <row r="179" spans="1:4">
      <c r="A179" s="151" t="s">
        <v>856</v>
      </c>
      <c r="B179" s="151" t="s">
        <v>857</v>
      </c>
      <c r="D179" s="151" t="s">
        <v>858</v>
      </c>
    </row>
    <row r="180" spans="1:4">
      <c r="A180" s="151" t="s">
        <v>859</v>
      </c>
      <c r="B180" s="151" t="s">
        <v>860</v>
      </c>
      <c r="D180" s="151" t="s">
        <v>861</v>
      </c>
    </row>
    <row r="181" spans="1:4">
      <c r="A181" s="151" t="s">
        <v>862</v>
      </c>
      <c r="B181" s="151" t="s">
        <v>863</v>
      </c>
      <c r="D181" s="151" t="s">
        <v>864</v>
      </c>
    </row>
    <row r="182" spans="1:4">
      <c r="A182" s="151" t="s">
        <v>865</v>
      </c>
      <c r="B182" s="151" t="s">
        <v>866</v>
      </c>
      <c r="D182" s="151" t="s">
        <v>867</v>
      </c>
    </row>
    <row r="183" spans="1:4">
      <c r="A183" s="151" t="s">
        <v>868</v>
      </c>
      <c r="B183" s="151" t="s">
        <v>869</v>
      </c>
      <c r="D183" s="151" t="s">
        <v>870</v>
      </c>
    </row>
    <row r="184" spans="1:4">
      <c r="A184" s="151" t="s">
        <v>871</v>
      </c>
      <c r="B184" s="151" t="s">
        <v>872</v>
      </c>
      <c r="D184" s="151" t="s">
        <v>873</v>
      </c>
    </row>
    <row r="185" spans="1:4">
      <c r="A185" s="151" t="s">
        <v>874</v>
      </c>
      <c r="B185" s="151" t="s">
        <v>875</v>
      </c>
      <c r="D185" s="151" t="s">
        <v>876</v>
      </c>
    </row>
    <row r="186" spans="1:4">
      <c r="A186" s="151" t="s">
        <v>877</v>
      </c>
      <c r="B186" s="151" t="s">
        <v>878</v>
      </c>
      <c r="D186" s="151" t="s">
        <v>879</v>
      </c>
    </row>
    <row r="187" spans="1:4">
      <c r="A187" s="151" t="s">
        <v>880</v>
      </c>
      <c r="B187" s="151" t="s">
        <v>881</v>
      </c>
      <c r="D187" s="151" t="s">
        <v>882</v>
      </c>
    </row>
    <row r="188" spans="1:4">
      <c r="A188" s="151" t="s">
        <v>883</v>
      </c>
      <c r="B188" s="151" t="s">
        <v>884</v>
      </c>
      <c r="D188" s="151" t="s">
        <v>885</v>
      </c>
    </row>
    <row r="189" spans="1:4">
      <c r="A189" s="151" t="s">
        <v>886</v>
      </c>
      <c r="B189" s="151" t="s">
        <v>887</v>
      </c>
      <c r="D189" s="151" t="s">
        <v>888</v>
      </c>
    </row>
    <row r="190" spans="1:4">
      <c r="A190" s="151" t="s">
        <v>889</v>
      </c>
      <c r="B190" s="151" t="s">
        <v>890</v>
      </c>
      <c r="D190" s="151" t="s">
        <v>891</v>
      </c>
    </row>
    <row r="191" spans="1:4">
      <c r="A191" s="151" t="s">
        <v>892</v>
      </c>
      <c r="B191" s="151" t="s">
        <v>893</v>
      </c>
      <c r="D191" s="151" t="s">
        <v>894</v>
      </c>
    </row>
    <row r="192" spans="1:4">
      <c r="A192" s="151" t="s">
        <v>895</v>
      </c>
      <c r="B192" s="151" t="s">
        <v>896</v>
      </c>
      <c r="D192" s="151" t="s">
        <v>897</v>
      </c>
    </row>
    <row r="193" spans="1:4">
      <c r="A193" s="151" t="s">
        <v>898</v>
      </c>
      <c r="B193" s="151" t="s">
        <v>899</v>
      </c>
      <c r="D193" s="151" t="s">
        <v>900</v>
      </c>
    </row>
    <row r="194" spans="1:4">
      <c r="A194" s="151" t="s">
        <v>901</v>
      </c>
      <c r="B194" s="151" t="s">
        <v>902</v>
      </c>
      <c r="D194" s="151" t="s">
        <v>903</v>
      </c>
    </row>
    <row r="195" spans="1:4">
      <c r="A195" s="151" t="s">
        <v>904</v>
      </c>
      <c r="B195" s="151" t="s">
        <v>905</v>
      </c>
      <c r="D195" s="151" t="s">
        <v>906</v>
      </c>
    </row>
    <row r="196" spans="1:4">
      <c r="A196" s="151" t="s">
        <v>907</v>
      </c>
      <c r="B196" s="151" t="s">
        <v>908</v>
      </c>
      <c r="D196" s="151" t="s">
        <v>909</v>
      </c>
    </row>
    <row r="197" spans="1:4">
      <c r="A197" s="151" t="s">
        <v>910</v>
      </c>
      <c r="B197" s="151" t="s">
        <v>911</v>
      </c>
      <c r="D197" s="151" t="s">
        <v>912</v>
      </c>
    </row>
    <row r="198" spans="1:4">
      <c r="A198" s="151" t="s">
        <v>913</v>
      </c>
      <c r="B198" s="151" t="s">
        <v>914</v>
      </c>
      <c r="D198" s="151" t="s">
        <v>915</v>
      </c>
    </row>
    <row r="199" spans="1:4">
      <c r="A199" s="151" t="s">
        <v>916</v>
      </c>
      <c r="B199" s="151" t="s">
        <v>917</v>
      </c>
      <c r="D199" s="151" t="s">
        <v>918</v>
      </c>
    </row>
    <row r="200" spans="1:4">
      <c r="A200" s="151" t="s">
        <v>919</v>
      </c>
      <c r="B200" s="151" t="s">
        <v>920</v>
      </c>
      <c r="D200" s="151" t="s">
        <v>921</v>
      </c>
    </row>
    <row r="201" spans="1:4">
      <c r="A201" s="151" t="s">
        <v>922</v>
      </c>
      <c r="B201" s="151" t="s">
        <v>923</v>
      </c>
      <c r="D201" s="151" t="s">
        <v>924</v>
      </c>
    </row>
    <row r="202" spans="1:4">
      <c r="A202" s="151" t="s">
        <v>925</v>
      </c>
      <c r="B202" s="151" t="s">
        <v>926</v>
      </c>
      <c r="D202" s="151" t="s">
        <v>927</v>
      </c>
    </row>
    <row r="203" spans="1:4">
      <c r="A203" s="151" t="s">
        <v>928</v>
      </c>
      <c r="B203" s="151" t="s">
        <v>929</v>
      </c>
      <c r="D203" s="151" t="s">
        <v>930</v>
      </c>
    </row>
    <row r="204" spans="1:4">
      <c r="A204" s="151" t="s">
        <v>931</v>
      </c>
      <c r="B204" s="151" t="s">
        <v>932</v>
      </c>
      <c r="D204" s="151" t="s">
        <v>933</v>
      </c>
    </row>
    <row r="205" spans="1:4">
      <c r="A205" s="151" t="s">
        <v>934</v>
      </c>
      <c r="B205" s="151" t="s">
        <v>935</v>
      </c>
      <c r="D205" s="151" t="s">
        <v>936</v>
      </c>
    </row>
    <row r="206" spans="1:4">
      <c r="A206" s="151" t="s">
        <v>937</v>
      </c>
      <c r="B206" s="151" t="s">
        <v>938</v>
      </c>
      <c r="D206" s="151" t="s">
        <v>939</v>
      </c>
    </row>
    <row r="207" spans="1:4">
      <c r="A207" s="151" t="s">
        <v>940</v>
      </c>
      <c r="B207" s="151" t="s">
        <v>941</v>
      </c>
      <c r="D207" s="151" t="s">
        <v>942</v>
      </c>
    </row>
    <row r="208" spans="1:4">
      <c r="A208" s="151" t="s">
        <v>943</v>
      </c>
      <c r="B208" s="151" t="s">
        <v>944</v>
      </c>
      <c r="D208" s="151" t="s">
        <v>945</v>
      </c>
    </row>
    <row r="209" spans="1:4">
      <c r="A209" s="151" t="s">
        <v>946</v>
      </c>
      <c r="B209" s="151" t="s">
        <v>947</v>
      </c>
      <c r="D209" s="151" t="s">
        <v>948</v>
      </c>
    </row>
    <row r="210" spans="1:4">
      <c r="A210" s="151" t="s">
        <v>949</v>
      </c>
      <c r="B210" s="151" t="s">
        <v>950</v>
      </c>
      <c r="D210" s="151" t="s">
        <v>951</v>
      </c>
    </row>
    <row r="211" spans="1:4">
      <c r="A211" s="151" t="s">
        <v>952</v>
      </c>
      <c r="B211" s="151" t="s">
        <v>953</v>
      </c>
      <c r="D211" s="151" t="s">
        <v>954</v>
      </c>
    </row>
    <row r="212" spans="1:4">
      <c r="A212" s="151" t="s">
        <v>955</v>
      </c>
      <c r="B212" s="151" t="s">
        <v>956</v>
      </c>
      <c r="D212" s="151" t="s">
        <v>957</v>
      </c>
    </row>
    <row r="213" spans="1:4">
      <c r="A213" s="151" t="s">
        <v>958</v>
      </c>
      <c r="B213" s="151" t="s">
        <v>959</v>
      </c>
      <c r="D213" s="151" t="s">
        <v>960</v>
      </c>
    </row>
    <row r="214" spans="1:4">
      <c r="A214" s="151" t="s">
        <v>961</v>
      </c>
      <c r="B214" s="151" t="s">
        <v>962</v>
      </c>
      <c r="D214" s="151" t="s">
        <v>963</v>
      </c>
    </row>
    <row r="215" spans="1:4">
      <c r="A215" s="151" t="s">
        <v>964</v>
      </c>
      <c r="B215" s="151" t="s">
        <v>965</v>
      </c>
      <c r="D215" s="151" t="s">
        <v>966</v>
      </c>
    </row>
    <row r="216" spans="1:4">
      <c r="A216" s="151" t="s">
        <v>967</v>
      </c>
      <c r="B216" s="151" t="s">
        <v>968</v>
      </c>
      <c r="D216" s="151" t="s">
        <v>969</v>
      </c>
    </row>
    <row r="217" spans="1:4">
      <c r="A217" s="151" t="s">
        <v>970</v>
      </c>
      <c r="B217" s="151" t="s">
        <v>971</v>
      </c>
      <c r="D217" s="151" t="s">
        <v>972</v>
      </c>
    </row>
    <row r="218" spans="1:4">
      <c r="A218" s="151" t="s">
        <v>973</v>
      </c>
      <c r="B218" s="151" t="s">
        <v>974</v>
      </c>
      <c r="D218" s="151" t="s">
        <v>975</v>
      </c>
    </row>
    <row r="219" spans="1:4">
      <c r="A219" s="151" t="s">
        <v>976</v>
      </c>
      <c r="B219" s="151" t="s">
        <v>977</v>
      </c>
      <c r="D219" s="151" t="s">
        <v>978</v>
      </c>
    </row>
    <row r="220" spans="1:4">
      <c r="A220" s="151" t="s">
        <v>979</v>
      </c>
      <c r="B220" s="151" t="s">
        <v>980</v>
      </c>
      <c r="D220" s="151" t="s">
        <v>981</v>
      </c>
    </row>
    <row r="221" spans="1:4">
      <c r="A221" s="151" t="s">
        <v>982</v>
      </c>
      <c r="B221" s="151" t="s">
        <v>983</v>
      </c>
      <c r="D221" s="151" t="s">
        <v>984</v>
      </c>
    </row>
    <row r="222" spans="1:4">
      <c r="A222" s="151" t="s">
        <v>985</v>
      </c>
      <c r="B222" s="151" t="s">
        <v>986</v>
      </c>
      <c r="D222" s="151" t="s">
        <v>987</v>
      </c>
    </row>
    <row r="223" spans="1:4">
      <c r="A223" s="151" t="s">
        <v>988</v>
      </c>
      <c r="B223" s="151" t="s">
        <v>989</v>
      </c>
      <c r="D223" s="151" t="s">
        <v>990</v>
      </c>
    </row>
    <row r="224" spans="1:4">
      <c r="A224" s="151" t="s">
        <v>991</v>
      </c>
      <c r="B224" s="151" t="s">
        <v>992</v>
      </c>
      <c r="D224" s="151" t="s">
        <v>993</v>
      </c>
    </row>
    <row r="225" spans="1:4">
      <c r="A225" s="151" t="s">
        <v>994</v>
      </c>
      <c r="B225" s="151" t="s">
        <v>995</v>
      </c>
      <c r="D225" s="152" t="s">
        <v>243</v>
      </c>
    </row>
    <row r="226" spans="1:4">
      <c r="A226" s="151" t="s">
        <v>996</v>
      </c>
      <c r="B226" s="151" t="s">
        <v>997</v>
      </c>
      <c r="D226" t="s">
        <v>243</v>
      </c>
    </row>
    <row r="227" spans="1:4">
      <c r="A227" s="151" t="s">
        <v>998</v>
      </c>
      <c r="B227" s="151" t="s">
        <v>999</v>
      </c>
    </row>
    <row r="228" spans="1:4">
      <c r="A228" s="151" t="s">
        <v>1000</v>
      </c>
      <c r="B228" s="151" t="s">
        <v>1001</v>
      </c>
    </row>
    <row r="229" spans="1:4">
      <c r="A229" s="151" t="s">
        <v>1002</v>
      </c>
      <c r="B229" s="151" t="s">
        <v>1003</v>
      </c>
    </row>
    <row r="230" spans="1:4">
      <c r="A230" s="151" t="s">
        <v>1004</v>
      </c>
      <c r="B230" s="151" t="s">
        <v>1005</v>
      </c>
    </row>
    <row r="231" spans="1:4">
      <c r="A231" s="151" t="s">
        <v>1006</v>
      </c>
      <c r="B231" s="151" t="s">
        <v>1007</v>
      </c>
    </row>
    <row r="232" spans="1:4">
      <c r="A232" s="151" t="s">
        <v>1008</v>
      </c>
      <c r="B232" s="151" t="s">
        <v>1009</v>
      </c>
    </row>
    <row r="233" spans="1:4">
      <c r="A233" s="151" t="s">
        <v>1010</v>
      </c>
      <c r="B233" s="151" t="s">
        <v>1011</v>
      </c>
    </row>
    <row r="234" spans="1:4">
      <c r="A234" s="151" t="s">
        <v>1012</v>
      </c>
      <c r="B234" s="151" t="s">
        <v>1013</v>
      </c>
    </row>
    <row r="235" spans="1:4">
      <c r="A235" s="151" t="s">
        <v>1014</v>
      </c>
      <c r="B235" s="151" t="s">
        <v>1015</v>
      </c>
    </row>
    <row r="236" spans="1:4">
      <c r="A236" s="151" t="s">
        <v>1016</v>
      </c>
      <c r="B236" s="151" t="s">
        <v>1017</v>
      </c>
    </row>
    <row r="237" spans="1:4">
      <c r="A237" s="151" t="s">
        <v>1018</v>
      </c>
      <c r="B237" s="151" t="s">
        <v>1019</v>
      </c>
    </row>
    <row r="238" spans="1:4">
      <c r="A238" s="151" t="s">
        <v>1020</v>
      </c>
      <c r="B238" s="151" t="s">
        <v>1021</v>
      </c>
    </row>
    <row r="239" spans="1:4">
      <c r="A239" s="151" t="s">
        <v>1022</v>
      </c>
      <c r="B239" s="151" t="s">
        <v>1023</v>
      </c>
    </row>
    <row r="240" spans="1:4">
      <c r="A240" s="151" t="s">
        <v>1024</v>
      </c>
      <c r="B240" s="151" t="s">
        <v>1025</v>
      </c>
    </row>
    <row r="241" spans="1:2">
      <c r="A241" s="151" t="s">
        <v>1026</v>
      </c>
      <c r="B241" s="151" t="s">
        <v>1027</v>
      </c>
    </row>
    <row r="242" spans="1:2">
      <c r="A242" s="151" t="s">
        <v>1028</v>
      </c>
      <c r="B242" s="151" t="s">
        <v>1029</v>
      </c>
    </row>
    <row r="243" spans="1:2">
      <c r="A243" s="151" t="s">
        <v>1030</v>
      </c>
      <c r="B243" s="151" t="s">
        <v>1031</v>
      </c>
    </row>
    <row r="244" spans="1:2">
      <c r="A244" s="151" t="s">
        <v>1032</v>
      </c>
      <c r="B244" s="151" t="s">
        <v>1033</v>
      </c>
    </row>
    <row r="245" spans="1:2">
      <c r="A245" s="151" t="s">
        <v>1034</v>
      </c>
      <c r="B245" s="151" t="s">
        <v>1035</v>
      </c>
    </row>
    <row r="246" spans="1:2">
      <c r="A246" s="151" t="s">
        <v>1036</v>
      </c>
      <c r="B246" s="151" t="s">
        <v>1037</v>
      </c>
    </row>
    <row r="247" spans="1:2">
      <c r="A247" s="151" t="s">
        <v>1038</v>
      </c>
      <c r="B247" s="151" t="s">
        <v>1039</v>
      </c>
    </row>
    <row r="248" spans="1:2">
      <c r="A248" s="151" t="s">
        <v>1040</v>
      </c>
      <c r="B248" s="151" t="s">
        <v>1041</v>
      </c>
    </row>
    <row r="249" spans="1:2">
      <c r="A249" s="151" t="s">
        <v>1042</v>
      </c>
      <c r="B249" s="151" t="s">
        <v>1043</v>
      </c>
    </row>
    <row r="250" spans="1:2">
      <c r="A250" s="151" t="s">
        <v>1044</v>
      </c>
      <c r="B250" s="151" t="s">
        <v>1045</v>
      </c>
    </row>
    <row r="251" spans="1:2">
      <c r="A251" s="151" t="s">
        <v>1046</v>
      </c>
      <c r="B251" s="151" t="s">
        <v>1047</v>
      </c>
    </row>
    <row r="252" spans="1:2">
      <c r="A252" s="151" t="s">
        <v>1048</v>
      </c>
      <c r="B252" s="151" t="s">
        <v>1049</v>
      </c>
    </row>
    <row r="253" spans="1:2">
      <c r="A253" s="151" t="s">
        <v>1050</v>
      </c>
      <c r="B253" s="151" t="s">
        <v>1051</v>
      </c>
    </row>
    <row r="254" spans="1:2">
      <c r="A254" s="151" t="s">
        <v>1052</v>
      </c>
      <c r="B254" s="151" t="s">
        <v>1053</v>
      </c>
    </row>
    <row r="255" spans="1:2">
      <c r="A255" s="151" t="s">
        <v>1054</v>
      </c>
      <c r="B255" s="151" t="s">
        <v>1055</v>
      </c>
    </row>
    <row r="256" spans="1:2">
      <c r="A256" s="151" t="s">
        <v>1056</v>
      </c>
      <c r="B256" s="151" t="s">
        <v>1057</v>
      </c>
    </row>
    <row r="257" spans="1:2">
      <c r="A257" s="151" t="s">
        <v>1058</v>
      </c>
      <c r="B257" s="151" t="s">
        <v>1059</v>
      </c>
    </row>
    <row r="258" spans="1:2">
      <c r="A258" s="151" t="s">
        <v>1060</v>
      </c>
      <c r="B258" s="151" t="s">
        <v>1061</v>
      </c>
    </row>
    <row r="259" spans="1:2">
      <c r="A259" s="151" t="s">
        <v>1062</v>
      </c>
      <c r="B259" s="151" t="s">
        <v>1063</v>
      </c>
    </row>
    <row r="260" spans="1:2">
      <c r="A260" s="151" t="s">
        <v>1064</v>
      </c>
      <c r="B260" s="151" t="s">
        <v>1065</v>
      </c>
    </row>
    <row r="261" spans="1:2">
      <c r="A261" s="151" t="s">
        <v>1066</v>
      </c>
      <c r="B261" s="151" t="s">
        <v>1067</v>
      </c>
    </row>
    <row r="262" spans="1:2">
      <c r="A262" s="151" t="s">
        <v>1068</v>
      </c>
      <c r="B262" s="151" t="s">
        <v>1069</v>
      </c>
    </row>
    <row r="263" spans="1:2">
      <c r="A263" s="151" t="s">
        <v>1070</v>
      </c>
      <c r="B263" s="151" t="s">
        <v>1071</v>
      </c>
    </row>
    <row r="264" spans="1:2">
      <c r="A264" s="151" t="s">
        <v>1072</v>
      </c>
      <c r="B264" s="151" t="s">
        <v>1073</v>
      </c>
    </row>
    <row r="265" spans="1:2">
      <c r="A265" s="151" t="s">
        <v>1074</v>
      </c>
      <c r="B265" s="151" t="s">
        <v>1075</v>
      </c>
    </row>
    <row r="266" spans="1:2">
      <c r="A266" s="151" t="s">
        <v>1076</v>
      </c>
      <c r="B266" s="151" t="s">
        <v>1077</v>
      </c>
    </row>
    <row r="267" spans="1:2">
      <c r="A267" s="151" t="s">
        <v>1078</v>
      </c>
      <c r="B267" s="151" t="s">
        <v>1079</v>
      </c>
    </row>
    <row r="268" spans="1:2">
      <c r="A268" s="151" t="s">
        <v>1080</v>
      </c>
      <c r="B268" s="151" t="s">
        <v>1081</v>
      </c>
    </row>
    <row r="269" spans="1:2">
      <c r="A269" s="151" t="s">
        <v>1082</v>
      </c>
      <c r="B269" s="151" t="s">
        <v>1083</v>
      </c>
    </row>
    <row r="270" spans="1:2">
      <c r="A270" s="151" t="s">
        <v>1084</v>
      </c>
      <c r="B270" s="151" t="s">
        <v>1085</v>
      </c>
    </row>
    <row r="271" spans="1:2">
      <c r="A271" s="151" t="s">
        <v>1086</v>
      </c>
      <c r="B271" s="151" t="s">
        <v>1087</v>
      </c>
    </row>
    <row r="272" spans="1:2">
      <c r="A272" s="151" t="s">
        <v>1088</v>
      </c>
      <c r="B272" s="151" t="s">
        <v>1089</v>
      </c>
    </row>
    <row r="273" spans="1:2">
      <c r="A273" s="151" t="s">
        <v>1090</v>
      </c>
      <c r="B273" s="151" t="s">
        <v>1091</v>
      </c>
    </row>
    <row r="274" spans="1:2">
      <c r="A274" s="151" t="s">
        <v>1092</v>
      </c>
      <c r="B274" s="151" t="s">
        <v>1093</v>
      </c>
    </row>
    <row r="275" spans="1:2">
      <c r="A275" s="151" t="s">
        <v>1094</v>
      </c>
      <c r="B275" s="151" t="s">
        <v>1095</v>
      </c>
    </row>
    <row r="276" spans="1:2">
      <c r="A276" s="151" t="s">
        <v>1096</v>
      </c>
      <c r="B276" s="151" t="s">
        <v>1097</v>
      </c>
    </row>
    <row r="277" spans="1:2">
      <c r="A277" s="151" t="s">
        <v>1098</v>
      </c>
      <c r="B277" s="151" t="s">
        <v>1099</v>
      </c>
    </row>
    <row r="278" spans="1:2">
      <c r="A278" s="151" t="s">
        <v>1100</v>
      </c>
      <c r="B278" s="151" t="s">
        <v>1101</v>
      </c>
    </row>
    <row r="279" spans="1:2">
      <c r="A279" s="151" t="s">
        <v>1102</v>
      </c>
      <c r="B279" s="151" t="s">
        <v>1103</v>
      </c>
    </row>
    <row r="280" spans="1:2">
      <c r="A280" s="151" t="s">
        <v>1104</v>
      </c>
      <c r="B280" s="151" t="s">
        <v>287</v>
      </c>
    </row>
    <row r="281" spans="1:2">
      <c r="A281" s="151" t="s">
        <v>1105</v>
      </c>
      <c r="B281" s="151" t="s">
        <v>1106</v>
      </c>
    </row>
    <row r="282" spans="1:2">
      <c r="A282" s="151" t="s">
        <v>1107</v>
      </c>
      <c r="B282" s="151" t="s">
        <v>1108</v>
      </c>
    </row>
    <row r="283" spans="1:2">
      <c r="A283" s="151" t="s">
        <v>1109</v>
      </c>
      <c r="B283" s="151" t="s">
        <v>1110</v>
      </c>
    </row>
    <row r="284" spans="1:2">
      <c r="A284" s="151" t="s">
        <v>1111</v>
      </c>
      <c r="B284" s="151" t="s">
        <v>1112</v>
      </c>
    </row>
    <row r="285" spans="1:2">
      <c r="A285" s="151" t="s">
        <v>1113</v>
      </c>
      <c r="B285" s="151" t="s">
        <v>1114</v>
      </c>
    </row>
    <row r="286" spans="1:2">
      <c r="A286" s="151" t="s">
        <v>1115</v>
      </c>
      <c r="B286" s="151" t="s">
        <v>1116</v>
      </c>
    </row>
    <row r="287" spans="1:2">
      <c r="A287" s="151" t="s">
        <v>1117</v>
      </c>
      <c r="B287" s="151" t="s">
        <v>1118</v>
      </c>
    </row>
    <row r="288" spans="1:2">
      <c r="A288" s="151" t="s">
        <v>1119</v>
      </c>
      <c r="B288" s="151" t="s">
        <v>1120</v>
      </c>
    </row>
    <row r="289" spans="1:2">
      <c r="A289" s="151" t="s">
        <v>1121</v>
      </c>
      <c r="B289" s="151" t="s">
        <v>1122</v>
      </c>
    </row>
    <row r="290" spans="1:2">
      <c r="A290" s="151" t="s">
        <v>1123</v>
      </c>
      <c r="B290" s="151" t="s">
        <v>1124</v>
      </c>
    </row>
    <row r="291" spans="1:2">
      <c r="A291" s="151" t="s">
        <v>1125</v>
      </c>
      <c r="B291" s="151" t="s">
        <v>1126</v>
      </c>
    </row>
    <row r="292" spans="1:2">
      <c r="A292" s="151" t="s">
        <v>1127</v>
      </c>
      <c r="B292" s="151" t="s">
        <v>1128</v>
      </c>
    </row>
    <row r="293" spans="1:2">
      <c r="A293" s="151" t="s">
        <v>1129</v>
      </c>
      <c r="B293" s="151" t="s">
        <v>1130</v>
      </c>
    </row>
    <row r="294" spans="1:2">
      <c r="A294" s="151" t="s">
        <v>1131</v>
      </c>
      <c r="B294" s="151" t="s">
        <v>1132</v>
      </c>
    </row>
    <row r="295" spans="1:2">
      <c r="A295" s="151" t="s">
        <v>1133</v>
      </c>
      <c r="B295" s="151" t="s">
        <v>1134</v>
      </c>
    </row>
    <row r="296" spans="1:2">
      <c r="A296" s="151" t="s">
        <v>1135</v>
      </c>
      <c r="B296" s="151" t="s">
        <v>1136</v>
      </c>
    </row>
    <row r="297" spans="1:2">
      <c r="A297" s="151" t="s">
        <v>1137</v>
      </c>
      <c r="B297" s="151" t="s">
        <v>1138</v>
      </c>
    </row>
    <row r="298" spans="1:2">
      <c r="A298" s="151" t="s">
        <v>1139</v>
      </c>
      <c r="B298" s="151" t="s">
        <v>1140</v>
      </c>
    </row>
    <row r="299" spans="1:2">
      <c r="A299" s="151" t="s">
        <v>1141</v>
      </c>
      <c r="B299" s="151" t="s">
        <v>1142</v>
      </c>
    </row>
    <row r="300" spans="1:2">
      <c r="A300" s="151" t="s">
        <v>1143</v>
      </c>
      <c r="B300" s="151" t="s">
        <v>1144</v>
      </c>
    </row>
    <row r="301" spans="1:2">
      <c r="A301" s="151" t="s">
        <v>1145</v>
      </c>
      <c r="B301" s="151" t="s">
        <v>1146</v>
      </c>
    </row>
    <row r="302" spans="1:2">
      <c r="A302" s="151" t="s">
        <v>1147</v>
      </c>
      <c r="B302" s="151" t="s">
        <v>1148</v>
      </c>
    </row>
    <row r="303" spans="1:2">
      <c r="A303" s="151" t="s">
        <v>1149</v>
      </c>
      <c r="B303" s="151" t="s">
        <v>1150</v>
      </c>
    </row>
    <row r="304" spans="1:2">
      <c r="A304" s="151" t="s">
        <v>1151</v>
      </c>
      <c r="B304" s="151" t="s">
        <v>1152</v>
      </c>
    </row>
    <row r="305" spans="1:2">
      <c r="A305" s="151" t="s">
        <v>1153</v>
      </c>
      <c r="B305" s="151" t="s">
        <v>1154</v>
      </c>
    </row>
    <row r="306" spans="1:2">
      <c r="A306" s="151" t="s">
        <v>1155</v>
      </c>
      <c r="B306" s="151" t="s">
        <v>1156</v>
      </c>
    </row>
    <row r="307" spans="1:2">
      <c r="A307" s="151" t="s">
        <v>1157</v>
      </c>
      <c r="B307" s="151" t="s">
        <v>476</v>
      </c>
    </row>
    <row r="308" spans="1:2">
      <c r="A308" s="151" t="s">
        <v>1158</v>
      </c>
      <c r="B308" s="151" t="s">
        <v>1159</v>
      </c>
    </row>
    <row r="309" spans="1:2">
      <c r="A309" s="151" t="s">
        <v>1160</v>
      </c>
      <c r="B309" s="151" t="s">
        <v>1161</v>
      </c>
    </row>
    <row r="310" spans="1:2">
      <c r="A310" s="151" t="s">
        <v>1162</v>
      </c>
      <c r="B310" s="151" t="s">
        <v>1163</v>
      </c>
    </row>
    <row r="311" spans="1:2">
      <c r="A311" s="151" t="s">
        <v>1164</v>
      </c>
      <c r="B311" s="151" t="s">
        <v>1165</v>
      </c>
    </row>
    <row r="312" spans="1:2">
      <c r="A312" s="151" t="s">
        <v>1166</v>
      </c>
      <c r="B312" s="151" t="s">
        <v>1167</v>
      </c>
    </row>
    <row r="313" spans="1:2">
      <c r="A313" s="151" t="s">
        <v>1168</v>
      </c>
      <c r="B313" s="151" t="s">
        <v>1169</v>
      </c>
    </row>
    <row r="314" spans="1:2">
      <c r="A314" s="151" t="s">
        <v>1170</v>
      </c>
      <c r="B314" s="151" t="s">
        <v>1171</v>
      </c>
    </row>
    <row r="315" spans="1:2">
      <c r="A315" s="151" t="s">
        <v>1172</v>
      </c>
      <c r="B315" s="151" t="s">
        <v>1173</v>
      </c>
    </row>
    <row r="316" spans="1:2">
      <c r="A316" s="151" t="s">
        <v>1174</v>
      </c>
      <c r="B316" s="151" t="s">
        <v>1175</v>
      </c>
    </row>
    <row r="317" spans="1:2">
      <c r="A317" s="151" t="s">
        <v>1176</v>
      </c>
      <c r="B317" s="151" t="s">
        <v>1177</v>
      </c>
    </row>
    <row r="318" spans="1:2">
      <c r="A318" s="151" t="s">
        <v>1178</v>
      </c>
      <c r="B318" s="151" t="s">
        <v>1179</v>
      </c>
    </row>
    <row r="319" spans="1:2">
      <c r="A319" s="151" t="s">
        <v>1180</v>
      </c>
      <c r="B319" s="151" t="s">
        <v>1181</v>
      </c>
    </row>
    <row r="320" spans="1:2">
      <c r="A320" s="151" t="s">
        <v>1182</v>
      </c>
      <c r="B320" s="151" t="s">
        <v>1183</v>
      </c>
    </row>
    <row r="321" spans="1:2">
      <c r="A321" s="151" t="s">
        <v>1184</v>
      </c>
      <c r="B321" s="151" t="s">
        <v>1185</v>
      </c>
    </row>
    <row r="322" spans="1:2">
      <c r="A322" s="151" t="s">
        <v>1186</v>
      </c>
      <c r="B322" s="151" t="s">
        <v>1187</v>
      </c>
    </row>
    <row r="323" spans="1:2">
      <c r="A323" s="151" t="s">
        <v>1188</v>
      </c>
      <c r="B323" s="151" t="s">
        <v>1189</v>
      </c>
    </row>
    <row r="324" spans="1:2">
      <c r="A324" s="151" t="s">
        <v>1190</v>
      </c>
      <c r="B324" s="151" t="s">
        <v>1191</v>
      </c>
    </row>
    <row r="325" spans="1:2">
      <c r="A325" s="151" t="s">
        <v>1192</v>
      </c>
      <c r="B325" s="151" t="s">
        <v>1193</v>
      </c>
    </row>
    <row r="326" spans="1:2">
      <c r="A326" s="151" t="s">
        <v>1194</v>
      </c>
      <c r="B326" s="151" t="s">
        <v>1195</v>
      </c>
    </row>
    <row r="327" spans="1:2">
      <c r="A327" s="151" t="s">
        <v>1196</v>
      </c>
      <c r="B327" s="151" t="s">
        <v>1197</v>
      </c>
    </row>
    <row r="328" spans="1:2">
      <c r="A328" s="151" t="s">
        <v>1198</v>
      </c>
      <c r="B328" s="151" t="s">
        <v>1199</v>
      </c>
    </row>
    <row r="329" spans="1:2">
      <c r="A329" s="151" t="s">
        <v>1200</v>
      </c>
      <c r="B329" s="151" t="s">
        <v>1201</v>
      </c>
    </row>
    <row r="330" spans="1:2">
      <c r="A330" s="151" t="s">
        <v>1202</v>
      </c>
      <c r="B330" s="151" t="s">
        <v>1203</v>
      </c>
    </row>
    <row r="331" spans="1:2">
      <c r="A331" s="151" t="s">
        <v>1204</v>
      </c>
      <c r="B331" s="151" t="s">
        <v>1205</v>
      </c>
    </row>
    <row r="332" spans="1:2">
      <c r="A332" s="151" t="s">
        <v>1206</v>
      </c>
      <c r="B332" s="151" t="s">
        <v>1207</v>
      </c>
    </row>
    <row r="333" spans="1:2">
      <c r="A333" s="151" t="s">
        <v>1208</v>
      </c>
      <c r="B333" s="151" t="s">
        <v>1209</v>
      </c>
    </row>
    <row r="334" spans="1:2">
      <c r="A334" s="151" t="s">
        <v>1210</v>
      </c>
      <c r="B334" s="151" t="s">
        <v>1211</v>
      </c>
    </row>
    <row r="335" spans="1:2">
      <c r="A335" s="151" t="s">
        <v>1212</v>
      </c>
      <c r="B335" s="151" t="s">
        <v>1213</v>
      </c>
    </row>
    <row r="336" spans="1:2">
      <c r="A336" s="151" t="s">
        <v>1214</v>
      </c>
      <c r="B336" s="151" t="s">
        <v>1215</v>
      </c>
    </row>
    <row r="337" spans="1:2">
      <c r="A337" s="151" t="s">
        <v>1216</v>
      </c>
      <c r="B337" s="151" t="s">
        <v>1217</v>
      </c>
    </row>
    <row r="338" spans="1:2">
      <c r="A338" s="151" t="s">
        <v>1218</v>
      </c>
      <c r="B338" s="151" t="s">
        <v>1219</v>
      </c>
    </row>
    <row r="339" spans="1:2">
      <c r="A339" s="151" t="s">
        <v>1220</v>
      </c>
      <c r="B339" s="151" t="s">
        <v>1221</v>
      </c>
    </row>
    <row r="340" spans="1:2">
      <c r="A340" s="151" t="s">
        <v>1222</v>
      </c>
      <c r="B340" s="151" t="s">
        <v>1223</v>
      </c>
    </row>
    <row r="341" spans="1:2">
      <c r="A341" s="151" t="s">
        <v>1224</v>
      </c>
      <c r="B341" s="151" t="s">
        <v>1225</v>
      </c>
    </row>
    <row r="342" spans="1:2">
      <c r="A342" s="151" t="s">
        <v>1226</v>
      </c>
      <c r="B342" s="151" t="s">
        <v>1227</v>
      </c>
    </row>
    <row r="343" spans="1:2">
      <c r="A343" s="151" t="s">
        <v>1228</v>
      </c>
      <c r="B343" s="151" t="s">
        <v>1229</v>
      </c>
    </row>
    <row r="344" spans="1:2">
      <c r="A344" s="151" t="s">
        <v>1230</v>
      </c>
      <c r="B344" s="151" t="s">
        <v>1231</v>
      </c>
    </row>
    <row r="345" spans="1:2">
      <c r="A345" s="151" t="s">
        <v>1232</v>
      </c>
      <c r="B345" s="151" t="s">
        <v>1233</v>
      </c>
    </row>
    <row r="346" spans="1:2">
      <c r="A346" s="151" t="s">
        <v>1234</v>
      </c>
      <c r="B346" s="151" t="s">
        <v>1235</v>
      </c>
    </row>
    <row r="347" spans="1:2">
      <c r="A347" s="151" t="s">
        <v>1236</v>
      </c>
      <c r="B347" s="151" t="s">
        <v>1237</v>
      </c>
    </row>
    <row r="348" spans="1:2">
      <c r="A348" s="151" t="s">
        <v>1238</v>
      </c>
      <c r="B348" s="151" t="s">
        <v>1239</v>
      </c>
    </row>
    <row r="349" spans="1:2">
      <c r="A349" s="151" t="s">
        <v>1240</v>
      </c>
      <c r="B349" s="151" t="s">
        <v>1241</v>
      </c>
    </row>
    <row r="350" spans="1:2">
      <c r="A350" s="151" t="s">
        <v>1242</v>
      </c>
      <c r="B350" s="151" t="s">
        <v>1243</v>
      </c>
    </row>
    <row r="351" spans="1:2">
      <c r="A351" s="151" t="s">
        <v>1244</v>
      </c>
      <c r="B351" s="151" t="s">
        <v>1245</v>
      </c>
    </row>
    <row r="352" spans="1:2">
      <c r="A352" s="151" t="s">
        <v>1246</v>
      </c>
      <c r="B352" s="151" t="s">
        <v>1247</v>
      </c>
    </row>
    <row r="353" spans="1:2">
      <c r="A353" s="151" t="s">
        <v>1248</v>
      </c>
      <c r="B353" s="151" t="s">
        <v>1249</v>
      </c>
    </row>
    <row r="354" spans="1:2">
      <c r="A354" s="151" t="s">
        <v>1250</v>
      </c>
      <c r="B354" s="151" t="s">
        <v>1251</v>
      </c>
    </row>
    <row r="355" spans="1:2">
      <c r="A355" s="151" t="s">
        <v>1252</v>
      </c>
      <c r="B355" s="151" t="s">
        <v>1253</v>
      </c>
    </row>
    <row r="356" spans="1:2">
      <c r="A356" s="151" t="s">
        <v>1254</v>
      </c>
      <c r="B356" s="151" t="s">
        <v>1255</v>
      </c>
    </row>
    <row r="357" spans="1:2">
      <c r="A357" s="151" t="s">
        <v>1256</v>
      </c>
      <c r="B357" s="151" t="s">
        <v>1257</v>
      </c>
    </row>
    <row r="358" spans="1:2">
      <c r="A358" s="151" t="s">
        <v>1258</v>
      </c>
      <c r="B358" s="151" t="s">
        <v>1259</v>
      </c>
    </row>
    <row r="359" spans="1:2">
      <c r="A359" s="151" t="s">
        <v>1260</v>
      </c>
      <c r="B359" s="151" t="s">
        <v>1261</v>
      </c>
    </row>
    <row r="360" spans="1:2">
      <c r="A360" s="151" t="s">
        <v>1262</v>
      </c>
      <c r="B360" s="151" t="s">
        <v>1263</v>
      </c>
    </row>
    <row r="361" spans="1:2">
      <c r="A361" s="151" t="s">
        <v>1264</v>
      </c>
      <c r="B361" s="151" t="s">
        <v>1265</v>
      </c>
    </row>
    <row r="362" spans="1:2">
      <c r="A362" s="151" t="s">
        <v>1266</v>
      </c>
      <c r="B362" s="151" t="s">
        <v>1267</v>
      </c>
    </row>
    <row r="363" spans="1:2">
      <c r="A363" s="151" t="s">
        <v>1268</v>
      </c>
      <c r="B363" s="151" t="s">
        <v>1269</v>
      </c>
    </row>
    <row r="364" spans="1:2">
      <c r="A364" s="151" t="s">
        <v>1270</v>
      </c>
      <c r="B364" s="151" t="s">
        <v>1271</v>
      </c>
    </row>
    <row r="365" spans="1:2">
      <c r="A365" s="151" t="s">
        <v>1272</v>
      </c>
      <c r="B365" s="151" t="s">
        <v>1273</v>
      </c>
    </row>
    <row r="366" spans="1:2">
      <c r="A366" s="151" t="s">
        <v>1274</v>
      </c>
      <c r="B366" s="151" t="s">
        <v>1275</v>
      </c>
    </row>
    <row r="367" spans="1:2">
      <c r="A367" s="151" t="s">
        <v>1276</v>
      </c>
      <c r="B367" s="151" t="s">
        <v>1277</v>
      </c>
    </row>
    <row r="368" spans="1:2">
      <c r="A368" s="151" t="s">
        <v>1278</v>
      </c>
      <c r="B368" s="151" t="s">
        <v>1279</v>
      </c>
    </row>
    <row r="369" spans="1:2">
      <c r="A369" s="151" t="s">
        <v>1280</v>
      </c>
      <c r="B369" s="151" t="s">
        <v>1281</v>
      </c>
    </row>
    <row r="370" spans="1:2">
      <c r="A370" s="151" t="s">
        <v>1282</v>
      </c>
      <c r="B370" s="151" t="s">
        <v>1283</v>
      </c>
    </row>
    <row r="371" spans="1:2">
      <c r="A371" s="151" t="s">
        <v>1284</v>
      </c>
      <c r="B371" s="151" t="s">
        <v>1285</v>
      </c>
    </row>
    <row r="372" spans="1:2">
      <c r="A372" s="151" t="s">
        <v>1286</v>
      </c>
      <c r="B372" s="151" t="s">
        <v>1287</v>
      </c>
    </row>
    <row r="373" spans="1:2">
      <c r="A373" s="151" t="s">
        <v>1288</v>
      </c>
      <c r="B373" s="151" t="s">
        <v>1289</v>
      </c>
    </row>
    <row r="374" spans="1:2">
      <c r="A374" s="151" t="s">
        <v>1290</v>
      </c>
      <c r="B374" s="151" t="s">
        <v>1291</v>
      </c>
    </row>
    <row r="375" spans="1:2">
      <c r="A375" s="151" t="s">
        <v>1292</v>
      </c>
      <c r="B375" s="151" t="s">
        <v>1293</v>
      </c>
    </row>
    <row r="376" spans="1:2">
      <c r="A376" s="151" t="s">
        <v>1294</v>
      </c>
      <c r="B376" s="151" t="s">
        <v>1295</v>
      </c>
    </row>
    <row r="377" spans="1:2">
      <c r="A377" s="151" t="s">
        <v>1296</v>
      </c>
      <c r="B377" s="151" t="s">
        <v>1297</v>
      </c>
    </row>
    <row r="378" spans="1:2">
      <c r="A378" s="151" t="s">
        <v>1298</v>
      </c>
      <c r="B378" s="151" t="s">
        <v>1299</v>
      </c>
    </row>
    <row r="379" spans="1:2">
      <c r="A379" s="151" t="s">
        <v>1300</v>
      </c>
      <c r="B379" s="151" t="s">
        <v>1301</v>
      </c>
    </row>
    <row r="380" spans="1:2">
      <c r="A380" s="151" t="s">
        <v>1302</v>
      </c>
      <c r="B380" s="151" t="s">
        <v>1303</v>
      </c>
    </row>
    <row r="381" spans="1:2">
      <c r="A381" s="151" t="s">
        <v>1304</v>
      </c>
      <c r="B381" s="151" t="s">
        <v>1305</v>
      </c>
    </row>
    <row r="382" spans="1:2">
      <c r="A382" s="151" t="s">
        <v>1306</v>
      </c>
      <c r="B382" s="151" t="s">
        <v>1307</v>
      </c>
    </row>
    <row r="383" spans="1:2">
      <c r="A383" s="151" t="s">
        <v>1308</v>
      </c>
      <c r="B383" s="151" t="s">
        <v>1309</v>
      </c>
    </row>
    <row r="384" spans="1:2">
      <c r="A384" s="151" t="s">
        <v>1310</v>
      </c>
      <c r="B384" s="151" t="s">
        <v>1311</v>
      </c>
    </row>
    <row r="385" spans="1:2">
      <c r="A385" s="151" t="s">
        <v>1312</v>
      </c>
      <c r="B385" s="151" t="s">
        <v>1313</v>
      </c>
    </row>
    <row r="386" spans="1:2">
      <c r="A386" s="151" t="s">
        <v>1314</v>
      </c>
      <c r="B386" s="151" t="s">
        <v>1315</v>
      </c>
    </row>
    <row r="387" spans="1:2">
      <c r="A387" s="151" t="s">
        <v>1316</v>
      </c>
      <c r="B387" s="151" t="s">
        <v>1317</v>
      </c>
    </row>
    <row r="388" spans="1:2">
      <c r="A388" s="151" t="s">
        <v>1318</v>
      </c>
      <c r="B388" s="151" t="s">
        <v>1319</v>
      </c>
    </row>
    <row r="389" spans="1:2">
      <c r="A389" s="151" t="s">
        <v>1320</v>
      </c>
      <c r="B389" s="151" t="s">
        <v>1321</v>
      </c>
    </row>
    <row r="390" spans="1:2">
      <c r="A390" s="151" t="s">
        <v>1322</v>
      </c>
      <c r="B390" s="151" t="s">
        <v>1323</v>
      </c>
    </row>
    <row r="391" spans="1:2">
      <c r="A391" s="151" t="s">
        <v>1324</v>
      </c>
      <c r="B391" s="151" t="s">
        <v>1325</v>
      </c>
    </row>
    <row r="392" spans="1:2">
      <c r="A392" s="151" t="s">
        <v>1326</v>
      </c>
      <c r="B392" s="151" t="s">
        <v>1327</v>
      </c>
    </row>
    <row r="393" spans="1:2">
      <c r="A393" s="151" t="s">
        <v>1328</v>
      </c>
      <c r="B393" s="151" t="s">
        <v>1329</v>
      </c>
    </row>
    <row r="394" spans="1:2">
      <c r="A394" s="151" t="s">
        <v>1330</v>
      </c>
      <c r="B394" s="151" t="s">
        <v>1331</v>
      </c>
    </row>
    <row r="395" spans="1:2">
      <c r="A395" s="151" t="s">
        <v>1332</v>
      </c>
      <c r="B395" s="151" t="s">
        <v>1333</v>
      </c>
    </row>
    <row r="396" spans="1:2">
      <c r="A396" s="151" t="s">
        <v>1334</v>
      </c>
      <c r="B396" s="151" t="s">
        <v>1335</v>
      </c>
    </row>
    <row r="397" spans="1:2">
      <c r="A397" s="151" t="s">
        <v>1336</v>
      </c>
      <c r="B397" s="151" t="s">
        <v>1337</v>
      </c>
    </row>
    <row r="398" spans="1:2">
      <c r="A398" s="151" t="s">
        <v>1338</v>
      </c>
      <c r="B398" s="151" t="s">
        <v>1339</v>
      </c>
    </row>
    <row r="399" spans="1:2">
      <c r="A399" s="151" t="s">
        <v>1340</v>
      </c>
      <c r="B399" s="151" t="s">
        <v>1341</v>
      </c>
    </row>
    <row r="400" spans="1:2">
      <c r="A400" s="151" t="s">
        <v>1342</v>
      </c>
      <c r="B400" s="151" t="s">
        <v>1343</v>
      </c>
    </row>
    <row r="401" spans="1:2">
      <c r="A401" s="151" t="s">
        <v>1344</v>
      </c>
      <c r="B401" s="151" t="s">
        <v>1345</v>
      </c>
    </row>
    <row r="402" spans="1:2">
      <c r="A402" s="151" t="s">
        <v>1346</v>
      </c>
      <c r="B402" s="151" t="s">
        <v>1347</v>
      </c>
    </row>
    <row r="403" spans="1:2">
      <c r="A403" s="151" t="s">
        <v>1348</v>
      </c>
      <c r="B403" s="151" t="s">
        <v>1349</v>
      </c>
    </row>
    <row r="404" spans="1:2">
      <c r="A404" s="151" t="s">
        <v>1350</v>
      </c>
      <c r="B404" s="151" t="s">
        <v>1351</v>
      </c>
    </row>
    <row r="405" spans="1:2">
      <c r="A405" s="151" t="s">
        <v>1352</v>
      </c>
      <c r="B405" s="151" t="s">
        <v>1353</v>
      </c>
    </row>
    <row r="406" spans="1:2">
      <c r="A406" s="151" t="s">
        <v>1354</v>
      </c>
      <c r="B406" s="151" t="s">
        <v>1355</v>
      </c>
    </row>
    <row r="407" spans="1:2">
      <c r="A407" s="151" t="s">
        <v>1356</v>
      </c>
      <c r="B407" s="151" t="s">
        <v>1357</v>
      </c>
    </row>
    <row r="408" spans="1:2">
      <c r="A408" s="151" t="s">
        <v>1358</v>
      </c>
      <c r="B408" s="151" t="s">
        <v>1359</v>
      </c>
    </row>
    <row r="409" spans="1:2">
      <c r="A409" s="151" t="s">
        <v>1360</v>
      </c>
      <c r="B409" s="151" t="s">
        <v>1361</v>
      </c>
    </row>
    <row r="410" spans="1:2">
      <c r="A410" s="151" t="s">
        <v>1362</v>
      </c>
      <c r="B410" s="151" t="s">
        <v>1363</v>
      </c>
    </row>
    <row r="411" spans="1:2">
      <c r="A411" s="151" t="s">
        <v>1364</v>
      </c>
      <c r="B411" s="151" t="s">
        <v>1365</v>
      </c>
    </row>
    <row r="412" spans="1:2">
      <c r="A412" s="151" t="s">
        <v>1366</v>
      </c>
      <c r="B412" s="151" t="s">
        <v>1367</v>
      </c>
    </row>
    <row r="413" spans="1:2">
      <c r="A413" s="151" t="s">
        <v>1368</v>
      </c>
      <c r="B413" s="151" t="s">
        <v>1369</v>
      </c>
    </row>
    <row r="414" spans="1:2">
      <c r="A414" s="151" t="s">
        <v>1370</v>
      </c>
      <c r="B414" s="151" t="s">
        <v>1371</v>
      </c>
    </row>
    <row r="415" spans="1:2">
      <c r="A415" s="151" t="s">
        <v>1372</v>
      </c>
      <c r="B415" s="151" t="s">
        <v>1373</v>
      </c>
    </row>
    <row r="416" spans="1:2">
      <c r="A416" s="151" t="s">
        <v>1374</v>
      </c>
      <c r="B416" s="151" t="s">
        <v>1375</v>
      </c>
    </row>
    <row r="417" spans="1:2">
      <c r="A417" s="151" t="s">
        <v>1376</v>
      </c>
      <c r="B417" s="151" t="s">
        <v>1377</v>
      </c>
    </row>
    <row r="418" spans="1:2">
      <c r="A418" s="151" t="s">
        <v>1378</v>
      </c>
      <c r="B418" s="151" t="s">
        <v>1379</v>
      </c>
    </row>
    <row r="419" spans="1:2">
      <c r="A419" s="151" t="s">
        <v>1380</v>
      </c>
      <c r="B419" s="151" t="s">
        <v>1381</v>
      </c>
    </row>
    <row r="420" spans="1:2">
      <c r="A420" s="151" t="s">
        <v>1382</v>
      </c>
      <c r="B420" s="151" t="s">
        <v>1383</v>
      </c>
    </row>
    <row r="421" spans="1:2">
      <c r="A421" s="151" t="s">
        <v>1384</v>
      </c>
      <c r="B421" s="151" t="s">
        <v>1385</v>
      </c>
    </row>
    <row r="422" spans="1:2">
      <c r="A422" s="151" t="s">
        <v>1386</v>
      </c>
      <c r="B422" s="151" t="s">
        <v>1387</v>
      </c>
    </row>
    <row r="423" spans="1:2">
      <c r="A423" s="151" t="s">
        <v>1388</v>
      </c>
      <c r="B423" s="151" t="s">
        <v>1389</v>
      </c>
    </row>
    <row r="424" spans="1:2">
      <c r="A424" s="151" t="s">
        <v>1390</v>
      </c>
      <c r="B424" s="151" t="s">
        <v>1391</v>
      </c>
    </row>
    <row r="425" spans="1:2">
      <c r="A425" s="151" t="s">
        <v>1392</v>
      </c>
      <c r="B425" s="151" t="s">
        <v>1393</v>
      </c>
    </row>
    <row r="426" spans="1:2">
      <c r="A426" s="151" t="s">
        <v>1394</v>
      </c>
      <c r="B426" s="151" t="s">
        <v>1395</v>
      </c>
    </row>
    <row r="427" spans="1:2">
      <c r="A427" s="151" t="s">
        <v>1396</v>
      </c>
      <c r="B427" s="151" t="s">
        <v>1397</v>
      </c>
    </row>
    <row r="428" spans="1:2">
      <c r="A428" s="151" t="s">
        <v>1398</v>
      </c>
      <c r="B428" s="151" t="s">
        <v>1399</v>
      </c>
    </row>
    <row r="429" spans="1:2">
      <c r="A429" s="151" t="s">
        <v>1400</v>
      </c>
      <c r="B429" s="151" t="s">
        <v>1401</v>
      </c>
    </row>
    <row r="430" spans="1:2">
      <c r="A430" s="151" t="s">
        <v>1402</v>
      </c>
      <c r="B430" s="151" t="s">
        <v>1403</v>
      </c>
    </row>
    <row r="431" spans="1:2">
      <c r="A431" s="151" t="s">
        <v>1404</v>
      </c>
      <c r="B431" s="151" t="s">
        <v>1405</v>
      </c>
    </row>
    <row r="432" spans="1:2">
      <c r="A432" s="151" t="s">
        <v>1406</v>
      </c>
      <c r="B432" s="151" t="s">
        <v>1407</v>
      </c>
    </row>
    <row r="433" spans="1:2">
      <c r="A433" s="151" t="s">
        <v>1408</v>
      </c>
      <c r="B433" s="151" t="s">
        <v>1409</v>
      </c>
    </row>
    <row r="434" spans="1:2">
      <c r="A434" s="151" t="s">
        <v>1410</v>
      </c>
      <c r="B434" s="151" t="s">
        <v>1411</v>
      </c>
    </row>
    <row r="435" spans="1:2">
      <c r="A435" s="151" t="s">
        <v>1412</v>
      </c>
      <c r="B435" s="151" t="s">
        <v>1413</v>
      </c>
    </row>
    <row r="436" spans="1:2">
      <c r="A436" s="151" t="s">
        <v>1414</v>
      </c>
      <c r="B436" s="151" t="s">
        <v>1415</v>
      </c>
    </row>
    <row r="437" spans="1:2">
      <c r="A437" s="151" t="s">
        <v>1416</v>
      </c>
      <c r="B437" s="151" t="s">
        <v>1417</v>
      </c>
    </row>
    <row r="438" spans="1:2">
      <c r="A438" s="151" t="s">
        <v>1418</v>
      </c>
      <c r="B438" s="151" t="s">
        <v>1419</v>
      </c>
    </row>
    <row r="439" spans="1:2">
      <c r="A439" s="151" t="s">
        <v>1420</v>
      </c>
      <c r="B439" s="151" t="s">
        <v>1421</v>
      </c>
    </row>
    <row r="440" spans="1:2">
      <c r="A440" s="151" t="s">
        <v>1422</v>
      </c>
      <c r="B440" s="151" t="s">
        <v>1423</v>
      </c>
    </row>
    <row r="441" spans="1:2">
      <c r="A441" s="151" t="s">
        <v>1424</v>
      </c>
      <c r="B441" s="151" t="s">
        <v>1425</v>
      </c>
    </row>
    <row r="442" spans="1:2">
      <c r="A442" s="151" t="s">
        <v>1426</v>
      </c>
      <c r="B442" s="151" t="s">
        <v>1427</v>
      </c>
    </row>
    <row r="443" spans="1:2">
      <c r="A443" s="151" t="s">
        <v>1428</v>
      </c>
      <c r="B443" s="151" t="s">
        <v>1429</v>
      </c>
    </row>
    <row r="444" spans="1:2">
      <c r="A444" s="151" t="s">
        <v>1430</v>
      </c>
      <c r="B444" s="151" t="s">
        <v>1431</v>
      </c>
    </row>
    <row r="445" spans="1:2">
      <c r="A445" s="151" t="s">
        <v>1432</v>
      </c>
      <c r="B445" s="151" t="s">
        <v>1433</v>
      </c>
    </row>
    <row r="446" spans="1:2">
      <c r="A446" s="151" t="s">
        <v>1434</v>
      </c>
      <c r="B446" s="151" t="s">
        <v>1435</v>
      </c>
    </row>
    <row r="447" spans="1:2">
      <c r="A447" s="151" t="s">
        <v>1436</v>
      </c>
      <c r="B447" s="151" t="s">
        <v>1437</v>
      </c>
    </row>
    <row r="448" spans="1:2">
      <c r="A448" s="151" t="s">
        <v>1438</v>
      </c>
      <c r="B448" s="151" t="s">
        <v>1439</v>
      </c>
    </row>
    <row r="449" spans="1:2">
      <c r="A449" s="151" t="s">
        <v>1440</v>
      </c>
      <c r="B449" s="151" t="s">
        <v>1441</v>
      </c>
    </row>
    <row r="450" spans="1:2">
      <c r="A450" s="151" t="s">
        <v>1442</v>
      </c>
      <c r="B450" s="151" t="s">
        <v>1443</v>
      </c>
    </row>
    <row r="451" spans="1:2">
      <c r="A451" s="151" t="s">
        <v>1444</v>
      </c>
      <c r="B451" s="151" t="s">
        <v>1445</v>
      </c>
    </row>
    <row r="452" spans="1:2">
      <c r="A452" s="151" t="s">
        <v>1446</v>
      </c>
      <c r="B452" s="151" t="s">
        <v>1447</v>
      </c>
    </row>
    <row r="453" spans="1:2">
      <c r="A453" s="151" t="s">
        <v>1448</v>
      </c>
      <c r="B453" s="151" t="s">
        <v>1449</v>
      </c>
    </row>
    <row r="454" spans="1:2">
      <c r="A454" s="151" t="s">
        <v>1450</v>
      </c>
      <c r="B454" s="151" t="s">
        <v>1451</v>
      </c>
    </row>
    <row r="455" spans="1:2">
      <c r="A455" s="151" t="s">
        <v>1452</v>
      </c>
      <c r="B455" s="151" t="s">
        <v>1453</v>
      </c>
    </row>
    <row r="456" spans="1:2">
      <c r="A456" s="151" t="s">
        <v>1454</v>
      </c>
      <c r="B456" s="151" t="s">
        <v>1455</v>
      </c>
    </row>
    <row r="457" spans="1:2">
      <c r="A457" s="151" t="s">
        <v>1456</v>
      </c>
      <c r="B457" s="151" t="s">
        <v>1457</v>
      </c>
    </row>
    <row r="458" spans="1:2">
      <c r="A458" s="151" t="s">
        <v>1458</v>
      </c>
      <c r="B458" s="151" t="s">
        <v>1459</v>
      </c>
    </row>
    <row r="459" spans="1:2">
      <c r="A459" s="151" t="s">
        <v>1460</v>
      </c>
      <c r="B459" s="151" t="s">
        <v>1461</v>
      </c>
    </row>
    <row r="460" spans="1:2">
      <c r="A460" s="151" t="s">
        <v>1462</v>
      </c>
      <c r="B460" s="151" t="s">
        <v>1463</v>
      </c>
    </row>
    <row r="461" spans="1:2">
      <c r="A461" s="151" t="s">
        <v>1464</v>
      </c>
      <c r="B461" s="151" t="s">
        <v>1465</v>
      </c>
    </row>
    <row r="462" spans="1:2">
      <c r="A462" s="151" t="s">
        <v>1466</v>
      </c>
      <c r="B462" s="151" t="s">
        <v>1467</v>
      </c>
    </row>
    <row r="463" spans="1:2">
      <c r="A463" s="151" t="s">
        <v>1468</v>
      </c>
      <c r="B463" s="151" t="s">
        <v>1469</v>
      </c>
    </row>
    <row r="464" spans="1:2">
      <c r="A464" s="151" t="s">
        <v>1470</v>
      </c>
      <c r="B464" s="151" t="s">
        <v>1471</v>
      </c>
    </row>
    <row r="465" spans="1:2">
      <c r="A465" s="151" t="s">
        <v>1472</v>
      </c>
      <c r="B465" s="151" t="s">
        <v>1473</v>
      </c>
    </row>
    <row r="466" spans="1:2">
      <c r="A466" s="151" t="s">
        <v>1474</v>
      </c>
      <c r="B466" s="151" t="s">
        <v>1475</v>
      </c>
    </row>
    <row r="467" spans="1:2">
      <c r="A467" s="151" t="s">
        <v>1476</v>
      </c>
      <c r="B467" s="151" t="s">
        <v>1477</v>
      </c>
    </row>
    <row r="468" spans="1:2">
      <c r="A468" s="151" t="s">
        <v>1478</v>
      </c>
      <c r="B468" s="151" t="s">
        <v>1479</v>
      </c>
    </row>
    <row r="469" spans="1:2">
      <c r="A469" s="151" t="s">
        <v>1480</v>
      </c>
      <c r="B469" s="151" t="s">
        <v>1481</v>
      </c>
    </row>
    <row r="470" spans="1:2">
      <c r="A470" s="151" t="s">
        <v>1482</v>
      </c>
      <c r="B470" s="151" t="s">
        <v>1483</v>
      </c>
    </row>
    <row r="471" spans="1:2">
      <c r="A471" s="151" t="s">
        <v>1484</v>
      </c>
      <c r="B471" s="151" t="s">
        <v>1485</v>
      </c>
    </row>
    <row r="472" spans="1:2">
      <c r="A472" s="151" t="s">
        <v>1486</v>
      </c>
      <c r="B472" s="151" t="s">
        <v>1487</v>
      </c>
    </row>
    <row r="473" spans="1:2">
      <c r="A473" s="151" t="s">
        <v>1488</v>
      </c>
      <c r="B473" s="151" t="s">
        <v>1489</v>
      </c>
    </row>
    <row r="474" spans="1:2">
      <c r="A474" s="151" t="s">
        <v>1490</v>
      </c>
      <c r="B474" s="151" t="s">
        <v>1491</v>
      </c>
    </row>
    <row r="475" spans="1:2">
      <c r="A475" s="151" t="s">
        <v>1492</v>
      </c>
      <c r="B475" s="151" t="s">
        <v>1493</v>
      </c>
    </row>
    <row r="476" spans="1:2">
      <c r="A476" s="151" t="s">
        <v>1494</v>
      </c>
      <c r="B476" s="151" t="s">
        <v>1495</v>
      </c>
    </row>
    <row r="477" spans="1:2">
      <c r="A477" s="151" t="s">
        <v>1496</v>
      </c>
      <c r="B477" s="151" t="s">
        <v>1497</v>
      </c>
    </row>
    <row r="478" spans="1:2">
      <c r="A478" s="151" t="s">
        <v>1498</v>
      </c>
      <c r="B478" s="151" t="s">
        <v>1499</v>
      </c>
    </row>
    <row r="479" spans="1:2">
      <c r="A479" s="151" t="s">
        <v>1500</v>
      </c>
      <c r="B479" s="151" t="s">
        <v>1501</v>
      </c>
    </row>
    <row r="480" spans="1:2">
      <c r="A480" s="151" t="s">
        <v>1502</v>
      </c>
      <c r="B480" s="151" t="s">
        <v>1503</v>
      </c>
    </row>
    <row r="481" spans="1:2">
      <c r="A481" s="151" t="s">
        <v>1504</v>
      </c>
      <c r="B481" s="151" t="s">
        <v>1505</v>
      </c>
    </row>
    <row r="482" spans="1:2">
      <c r="A482" s="151" t="s">
        <v>1506</v>
      </c>
      <c r="B482" s="151" t="s">
        <v>1507</v>
      </c>
    </row>
    <row r="483" spans="1:2">
      <c r="A483" s="151" t="s">
        <v>1508</v>
      </c>
      <c r="B483" s="151" t="s">
        <v>1509</v>
      </c>
    </row>
    <row r="484" spans="1:2">
      <c r="A484" s="151" t="s">
        <v>1510</v>
      </c>
      <c r="B484" s="151" t="s">
        <v>1511</v>
      </c>
    </row>
    <row r="485" spans="1:2">
      <c r="A485" s="151" t="s">
        <v>1512</v>
      </c>
      <c r="B485" s="151" t="s">
        <v>1513</v>
      </c>
    </row>
    <row r="486" spans="1:2">
      <c r="A486" s="151" t="s">
        <v>1514</v>
      </c>
      <c r="B486" s="151" t="s">
        <v>1515</v>
      </c>
    </row>
    <row r="487" spans="1:2">
      <c r="A487" s="151" t="s">
        <v>1516</v>
      </c>
      <c r="B487" s="151" t="s">
        <v>1517</v>
      </c>
    </row>
    <row r="488" spans="1:2">
      <c r="A488" s="151" t="s">
        <v>1518</v>
      </c>
      <c r="B488" s="151" t="s">
        <v>1519</v>
      </c>
    </row>
    <row r="489" spans="1:2">
      <c r="A489" s="151" t="s">
        <v>1520</v>
      </c>
      <c r="B489" s="151" t="s">
        <v>1521</v>
      </c>
    </row>
    <row r="490" spans="1:2">
      <c r="A490" s="151" t="s">
        <v>1522</v>
      </c>
      <c r="B490" s="151" t="s">
        <v>1523</v>
      </c>
    </row>
    <row r="491" spans="1:2">
      <c r="A491" s="151" t="s">
        <v>1524</v>
      </c>
      <c r="B491" s="151" t="s">
        <v>1525</v>
      </c>
    </row>
    <row r="492" spans="1:2">
      <c r="A492" s="151" t="s">
        <v>1526</v>
      </c>
      <c r="B492" s="151" t="s">
        <v>1527</v>
      </c>
    </row>
    <row r="493" spans="1:2">
      <c r="A493" s="151" t="s">
        <v>1528</v>
      </c>
      <c r="B493" s="151" t="s">
        <v>1529</v>
      </c>
    </row>
    <row r="494" spans="1:2">
      <c r="A494" s="151" t="s">
        <v>1530</v>
      </c>
      <c r="B494" s="151" t="s">
        <v>1531</v>
      </c>
    </row>
    <row r="495" spans="1:2">
      <c r="A495" s="151" t="s">
        <v>1532</v>
      </c>
      <c r="B495" s="151" t="s">
        <v>1533</v>
      </c>
    </row>
    <row r="496" spans="1:2">
      <c r="A496" s="151" t="s">
        <v>1534</v>
      </c>
      <c r="B496" s="151" t="s">
        <v>1535</v>
      </c>
    </row>
    <row r="497" spans="1:2">
      <c r="A497" s="151" t="s">
        <v>1536</v>
      </c>
      <c r="B497" s="151" t="s">
        <v>1537</v>
      </c>
    </row>
    <row r="498" spans="1:2">
      <c r="A498" s="151" t="s">
        <v>1538</v>
      </c>
      <c r="B498" s="151" t="s">
        <v>1539</v>
      </c>
    </row>
    <row r="499" spans="1:2">
      <c r="A499" s="151" t="s">
        <v>1540</v>
      </c>
      <c r="B499" s="151" t="s">
        <v>1541</v>
      </c>
    </row>
    <row r="500" spans="1:2">
      <c r="A500" s="151" t="s">
        <v>1542</v>
      </c>
      <c r="B500" s="151" t="s">
        <v>1543</v>
      </c>
    </row>
    <row r="501" spans="1:2">
      <c r="A501" s="151" t="s">
        <v>1544</v>
      </c>
      <c r="B501" s="151" t="s">
        <v>292</v>
      </c>
    </row>
    <row r="502" spans="1:2">
      <c r="A502" s="151" t="s">
        <v>1545</v>
      </c>
      <c r="B502" s="151" t="s">
        <v>1546</v>
      </c>
    </row>
    <row r="503" spans="1:2">
      <c r="A503" s="151" t="s">
        <v>1547</v>
      </c>
      <c r="B503" s="151" t="s">
        <v>1548</v>
      </c>
    </row>
    <row r="504" spans="1:2">
      <c r="A504" s="151" t="s">
        <v>1549</v>
      </c>
      <c r="B504" s="151" t="s">
        <v>1550</v>
      </c>
    </row>
    <row r="505" spans="1:2">
      <c r="A505" s="151" t="s">
        <v>1551</v>
      </c>
      <c r="B505" s="151" t="s">
        <v>1552</v>
      </c>
    </row>
    <row r="506" spans="1:2">
      <c r="A506" s="151" t="s">
        <v>1553</v>
      </c>
      <c r="B506" s="151" t="s">
        <v>1554</v>
      </c>
    </row>
    <row r="507" spans="1:2">
      <c r="A507" s="151" t="s">
        <v>1555</v>
      </c>
      <c r="B507" s="151" t="s">
        <v>1556</v>
      </c>
    </row>
    <row r="508" spans="1:2">
      <c r="A508" s="151" t="s">
        <v>1557</v>
      </c>
      <c r="B508" s="151" t="s">
        <v>1558</v>
      </c>
    </row>
    <row r="509" spans="1:2">
      <c r="A509" s="151" t="s">
        <v>1559</v>
      </c>
      <c r="B509" s="151" t="s">
        <v>1560</v>
      </c>
    </row>
    <row r="510" spans="1:2">
      <c r="A510" s="151" t="s">
        <v>1561</v>
      </c>
      <c r="B510" s="151" t="s">
        <v>1562</v>
      </c>
    </row>
    <row r="511" spans="1:2">
      <c r="A511" s="151" t="s">
        <v>1563</v>
      </c>
      <c r="B511" s="151" t="s">
        <v>1564</v>
      </c>
    </row>
    <row r="512" spans="1:2">
      <c r="A512" s="151" t="s">
        <v>1565</v>
      </c>
      <c r="B512" s="151" t="s">
        <v>1566</v>
      </c>
    </row>
    <row r="513" spans="1:2">
      <c r="A513" s="151" t="s">
        <v>1567</v>
      </c>
      <c r="B513" s="151" t="s">
        <v>1568</v>
      </c>
    </row>
    <row r="514" spans="1:2">
      <c r="A514" s="151" t="s">
        <v>1569</v>
      </c>
      <c r="B514" s="151" t="s">
        <v>1570</v>
      </c>
    </row>
    <row r="515" spans="1:2">
      <c r="A515" s="151" t="s">
        <v>1571</v>
      </c>
      <c r="B515" s="151" t="s">
        <v>1572</v>
      </c>
    </row>
    <row r="516" spans="1:2">
      <c r="A516" s="151" t="s">
        <v>1573</v>
      </c>
      <c r="B516" s="151" t="s">
        <v>1574</v>
      </c>
    </row>
    <row r="517" spans="1:2">
      <c r="A517" s="151" t="s">
        <v>1575</v>
      </c>
      <c r="B517" s="151" t="s">
        <v>1576</v>
      </c>
    </row>
    <row r="518" spans="1:2">
      <c r="A518" s="151" t="s">
        <v>1577</v>
      </c>
      <c r="B518" s="151" t="s">
        <v>1578</v>
      </c>
    </row>
    <row r="519" spans="1:2">
      <c r="A519" s="151" t="s">
        <v>1579</v>
      </c>
      <c r="B519" s="151" t="s">
        <v>1580</v>
      </c>
    </row>
    <row r="520" spans="1:2">
      <c r="A520" s="151" t="s">
        <v>1581</v>
      </c>
      <c r="B520" s="151" t="s">
        <v>1582</v>
      </c>
    </row>
    <row r="521" spans="1:2">
      <c r="A521" s="151" t="s">
        <v>1583</v>
      </c>
      <c r="B521" s="151" t="s">
        <v>1584</v>
      </c>
    </row>
    <row r="522" spans="1:2">
      <c r="A522" s="151" t="s">
        <v>1585</v>
      </c>
      <c r="B522" s="151" t="s">
        <v>1586</v>
      </c>
    </row>
    <row r="523" spans="1:2">
      <c r="A523" s="151" t="s">
        <v>1587</v>
      </c>
      <c r="B523" s="151" t="s">
        <v>1588</v>
      </c>
    </row>
    <row r="524" spans="1:2">
      <c r="A524" s="151" t="s">
        <v>1589</v>
      </c>
      <c r="B524" s="151" t="s">
        <v>1590</v>
      </c>
    </row>
    <row r="525" spans="1:2">
      <c r="A525" s="151" t="s">
        <v>1591</v>
      </c>
      <c r="B525" s="151" t="s">
        <v>1592</v>
      </c>
    </row>
    <row r="526" spans="1:2">
      <c r="A526" s="151" t="s">
        <v>1593</v>
      </c>
      <c r="B526" s="151" t="s">
        <v>1594</v>
      </c>
    </row>
    <row r="527" spans="1:2">
      <c r="A527" s="151" t="s">
        <v>1595</v>
      </c>
      <c r="B527" s="151" t="s">
        <v>1596</v>
      </c>
    </row>
    <row r="528" spans="1:2">
      <c r="A528" s="151" t="s">
        <v>1597</v>
      </c>
      <c r="B528" s="151" t="s">
        <v>1598</v>
      </c>
    </row>
    <row r="529" spans="1:2">
      <c r="A529" s="151" t="s">
        <v>1599</v>
      </c>
      <c r="B529" s="151" t="s">
        <v>1600</v>
      </c>
    </row>
    <row r="530" spans="1:2">
      <c r="A530" s="151" t="s">
        <v>1601</v>
      </c>
      <c r="B530" s="151" t="s">
        <v>1602</v>
      </c>
    </row>
    <row r="531" spans="1:2">
      <c r="A531" s="151" t="s">
        <v>1603</v>
      </c>
      <c r="B531" s="151" t="s">
        <v>1604</v>
      </c>
    </row>
    <row r="532" spans="1:2">
      <c r="A532" s="151" t="s">
        <v>1605</v>
      </c>
      <c r="B532" s="151" t="s">
        <v>1606</v>
      </c>
    </row>
    <row r="533" spans="1:2">
      <c r="A533" s="151" t="s">
        <v>1607</v>
      </c>
      <c r="B533" s="151" t="s">
        <v>1608</v>
      </c>
    </row>
    <row r="534" spans="1:2">
      <c r="A534" s="151" t="s">
        <v>1609</v>
      </c>
      <c r="B534" s="151" t="s">
        <v>1610</v>
      </c>
    </row>
    <row r="535" spans="1:2">
      <c r="A535" s="151" t="s">
        <v>1611</v>
      </c>
      <c r="B535" s="151" t="s">
        <v>1612</v>
      </c>
    </row>
    <row r="536" spans="1:2">
      <c r="A536" s="151" t="s">
        <v>1613</v>
      </c>
      <c r="B536" s="151" t="s">
        <v>1614</v>
      </c>
    </row>
    <row r="537" spans="1:2">
      <c r="A537" s="151" t="s">
        <v>1615</v>
      </c>
      <c r="B537" s="151" t="s">
        <v>1616</v>
      </c>
    </row>
    <row r="538" spans="1:2">
      <c r="A538" s="151" t="s">
        <v>1617</v>
      </c>
      <c r="B538" s="151" t="s">
        <v>1618</v>
      </c>
    </row>
    <row r="539" spans="1:2">
      <c r="A539" s="151" t="s">
        <v>1619</v>
      </c>
      <c r="B539" s="151" t="s">
        <v>1620</v>
      </c>
    </row>
    <row r="540" spans="1:2">
      <c r="A540" s="151" t="s">
        <v>1621</v>
      </c>
      <c r="B540" s="151" t="s">
        <v>1622</v>
      </c>
    </row>
    <row r="541" spans="1:2">
      <c r="A541" s="151" t="s">
        <v>1623</v>
      </c>
      <c r="B541" s="151" t="s">
        <v>1624</v>
      </c>
    </row>
    <row r="542" spans="1:2">
      <c r="A542" s="151" t="s">
        <v>1625</v>
      </c>
      <c r="B542" s="151" t="s">
        <v>1626</v>
      </c>
    </row>
    <row r="543" spans="1:2">
      <c r="A543" s="151" t="s">
        <v>1627</v>
      </c>
      <c r="B543" s="151" t="s">
        <v>1628</v>
      </c>
    </row>
    <row r="544" spans="1:2">
      <c r="A544" s="151" t="s">
        <v>1629</v>
      </c>
      <c r="B544" s="151" t="s">
        <v>1630</v>
      </c>
    </row>
    <row r="545" spans="1:2">
      <c r="A545" s="151" t="s">
        <v>1631</v>
      </c>
      <c r="B545" s="151" t="s">
        <v>1632</v>
      </c>
    </row>
    <row r="546" spans="1:2">
      <c r="A546" s="151" t="s">
        <v>1633</v>
      </c>
      <c r="B546" s="151" t="s">
        <v>1634</v>
      </c>
    </row>
    <row r="547" spans="1:2">
      <c r="A547" s="151" t="s">
        <v>1635</v>
      </c>
      <c r="B547" s="151" t="s">
        <v>1636</v>
      </c>
    </row>
    <row r="548" spans="1:2">
      <c r="A548" s="151" t="s">
        <v>1637</v>
      </c>
      <c r="B548" s="151" t="s">
        <v>1638</v>
      </c>
    </row>
    <row r="549" spans="1:2">
      <c r="A549" s="151" t="s">
        <v>1639</v>
      </c>
      <c r="B549" s="151" t="s">
        <v>1640</v>
      </c>
    </row>
    <row r="550" spans="1:2">
      <c r="A550" s="151" t="s">
        <v>1641</v>
      </c>
      <c r="B550" s="151" t="s">
        <v>1642</v>
      </c>
    </row>
    <row r="551" spans="1:2">
      <c r="A551" s="151" t="s">
        <v>1643</v>
      </c>
      <c r="B551" s="151" t="s">
        <v>1644</v>
      </c>
    </row>
    <row r="552" spans="1:2">
      <c r="A552" s="151" t="s">
        <v>1645</v>
      </c>
      <c r="B552" s="151" t="s">
        <v>1646</v>
      </c>
    </row>
    <row r="553" spans="1:2">
      <c r="A553" s="151" t="s">
        <v>1647</v>
      </c>
      <c r="B553" s="151" t="s">
        <v>1648</v>
      </c>
    </row>
    <row r="554" spans="1:2">
      <c r="A554" s="151" t="s">
        <v>1649</v>
      </c>
      <c r="B554" s="151" t="s">
        <v>1650</v>
      </c>
    </row>
    <row r="555" spans="1:2">
      <c r="A555" s="151" t="s">
        <v>1651</v>
      </c>
      <c r="B555" s="151" t="s">
        <v>1652</v>
      </c>
    </row>
    <row r="556" spans="1:2">
      <c r="A556" s="151" t="s">
        <v>1653</v>
      </c>
      <c r="B556" s="151" t="s">
        <v>1654</v>
      </c>
    </row>
    <row r="557" spans="1:2">
      <c r="A557" s="151" t="s">
        <v>1655</v>
      </c>
      <c r="B557" s="151" t="s">
        <v>1656</v>
      </c>
    </row>
    <row r="558" spans="1:2">
      <c r="A558" s="151" t="s">
        <v>1657</v>
      </c>
      <c r="B558" s="151" t="s">
        <v>1658</v>
      </c>
    </row>
    <row r="559" spans="1:2">
      <c r="A559" s="151" t="s">
        <v>1659</v>
      </c>
      <c r="B559" s="151" t="s">
        <v>1660</v>
      </c>
    </row>
    <row r="560" spans="1:2">
      <c r="A560" s="151" t="s">
        <v>1661</v>
      </c>
      <c r="B560" s="151" t="s">
        <v>1662</v>
      </c>
    </row>
    <row r="561" spans="1:2">
      <c r="A561" s="151" t="s">
        <v>1663</v>
      </c>
      <c r="B561" s="151" t="s">
        <v>1664</v>
      </c>
    </row>
    <row r="562" spans="1:2">
      <c r="A562" s="151" t="s">
        <v>1665</v>
      </c>
      <c r="B562" s="151" t="s">
        <v>1666</v>
      </c>
    </row>
    <row r="563" spans="1:2">
      <c r="A563" s="151" t="s">
        <v>1667</v>
      </c>
      <c r="B563" s="151" t="s">
        <v>1668</v>
      </c>
    </row>
    <row r="564" spans="1:2">
      <c r="A564" s="151" t="s">
        <v>1669</v>
      </c>
      <c r="B564" s="151" t="s">
        <v>1670</v>
      </c>
    </row>
    <row r="565" spans="1:2">
      <c r="A565" s="151" t="s">
        <v>1671</v>
      </c>
      <c r="B565" s="151" t="s">
        <v>1672</v>
      </c>
    </row>
    <row r="566" spans="1:2">
      <c r="A566" s="151" t="s">
        <v>1673</v>
      </c>
      <c r="B566" s="151" t="s">
        <v>1674</v>
      </c>
    </row>
    <row r="567" spans="1:2">
      <c r="A567" s="151" t="s">
        <v>1675</v>
      </c>
      <c r="B567" s="151" t="s">
        <v>1676</v>
      </c>
    </row>
    <row r="568" spans="1:2">
      <c r="A568" s="151" t="s">
        <v>1677</v>
      </c>
      <c r="B568" s="151" t="s">
        <v>1678</v>
      </c>
    </row>
    <row r="569" spans="1:2">
      <c r="A569" s="151" t="s">
        <v>1679</v>
      </c>
      <c r="B569" s="151" t="s">
        <v>1680</v>
      </c>
    </row>
    <row r="570" spans="1:2">
      <c r="A570" s="151" t="s">
        <v>1681</v>
      </c>
      <c r="B570" s="151" t="s">
        <v>1682</v>
      </c>
    </row>
    <row r="571" spans="1:2">
      <c r="A571" s="151" t="s">
        <v>1683</v>
      </c>
      <c r="B571" s="151" t="s">
        <v>1684</v>
      </c>
    </row>
    <row r="572" spans="1:2">
      <c r="A572" s="151" t="s">
        <v>1685</v>
      </c>
      <c r="B572" s="151" t="s">
        <v>1686</v>
      </c>
    </row>
    <row r="573" spans="1:2">
      <c r="A573" s="151" t="s">
        <v>1687</v>
      </c>
      <c r="B573" s="151" t="s">
        <v>1688</v>
      </c>
    </row>
    <row r="574" spans="1:2">
      <c r="A574" s="151" t="s">
        <v>1689</v>
      </c>
      <c r="B574" s="151" t="s">
        <v>1690</v>
      </c>
    </row>
    <row r="575" spans="1:2">
      <c r="A575" s="151" t="s">
        <v>1691</v>
      </c>
      <c r="B575" s="151" t="s">
        <v>1692</v>
      </c>
    </row>
    <row r="576" spans="1:2">
      <c r="A576" s="151" t="s">
        <v>1693</v>
      </c>
      <c r="B576" s="151" t="s">
        <v>1694</v>
      </c>
    </row>
    <row r="577" spans="1:2">
      <c r="A577" s="151" t="s">
        <v>1695</v>
      </c>
      <c r="B577" s="151" t="s">
        <v>1696</v>
      </c>
    </row>
    <row r="578" spans="1:2">
      <c r="A578" s="151" t="s">
        <v>1697</v>
      </c>
      <c r="B578" s="151" t="s">
        <v>1698</v>
      </c>
    </row>
    <row r="579" spans="1:2">
      <c r="A579" s="151" t="s">
        <v>1699</v>
      </c>
      <c r="B579" s="151" t="s">
        <v>1700</v>
      </c>
    </row>
    <row r="580" spans="1:2">
      <c r="A580" s="151" t="s">
        <v>1701</v>
      </c>
      <c r="B580" s="151" t="s">
        <v>1702</v>
      </c>
    </row>
    <row r="581" spans="1:2">
      <c r="A581" s="151" t="s">
        <v>1703</v>
      </c>
      <c r="B581" s="151" t="s">
        <v>1704</v>
      </c>
    </row>
    <row r="582" spans="1:2">
      <c r="A582" s="151" t="s">
        <v>1705</v>
      </c>
      <c r="B582" s="151" t="s">
        <v>1706</v>
      </c>
    </row>
    <row r="583" spans="1:2">
      <c r="A583" s="151" t="s">
        <v>1707</v>
      </c>
      <c r="B583" s="151" t="s">
        <v>1708</v>
      </c>
    </row>
    <row r="584" spans="1:2">
      <c r="A584" s="151" t="s">
        <v>1709</v>
      </c>
      <c r="B584" s="151" t="s">
        <v>1710</v>
      </c>
    </row>
    <row r="585" spans="1:2">
      <c r="A585" s="151" t="s">
        <v>1711</v>
      </c>
      <c r="B585" s="151" t="s">
        <v>1712</v>
      </c>
    </row>
    <row r="586" spans="1:2">
      <c r="A586" s="151" t="s">
        <v>1713</v>
      </c>
      <c r="B586" s="151" t="s">
        <v>1714</v>
      </c>
    </row>
    <row r="587" spans="1:2">
      <c r="A587" s="151" t="s">
        <v>1715</v>
      </c>
      <c r="B587" s="151" t="s">
        <v>1716</v>
      </c>
    </row>
    <row r="588" spans="1:2">
      <c r="A588" s="151" t="s">
        <v>1717</v>
      </c>
      <c r="B588" s="151" t="s">
        <v>119</v>
      </c>
    </row>
    <row r="589" spans="1:2">
      <c r="A589" s="151" t="s">
        <v>1718</v>
      </c>
      <c r="B589" s="151" t="s">
        <v>1719</v>
      </c>
    </row>
    <row r="590" spans="1:2">
      <c r="A590" s="151" t="s">
        <v>1720</v>
      </c>
      <c r="B590" s="151" t="s">
        <v>1721</v>
      </c>
    </row>
    <row r="591" spans="1:2">
      <c r="A591" s="151" t="s">
        <v>1722</v>
      </c>
      <c r="B591" s="151" t="s">
        <v>1723</v>
      </c>
    </row>
    <row r="592" spans="1:2">
      <c r="A592" s="151" t="s">
        <v>1724</v>
      </c>
      <c r="B592" s="151" t="s">
        <v>1725</v>
      </c>
    </row>
    <row r="593" spans="1:2">
      <c r="A593" s="151" t="s">
        <v>1726</v>
      </c>
      <c r="B593" s="151" t="s">
        <v>1727</v>
      </c>
    </row>
    <row r="594" spans="1:2">
      <c r="A594" s="151" t="s">
        <v>1728</v>
      </c>
      <c r="B594" s="151" t="s">
        <v>1729</v>
      </c>
    </row>
    <row r="595" spans="1:2">
      <c r="A595" s="151" t="s">
        <v>1730</v>
      </c>
      <c r="B595" s="151" t="s">
        <v>1731</v>
      </c>
    </row>
    <row r="596" spans="1:2">
      <c r="A596" s="151" t="s">
        <v>1732</v>
      </c>
      <c r="B596" s="151" t="s">
        <v>1733</v>
      </c>
    </row>
    <row r="597" spans="1:2">
      <c r="A597" s="151" t="s">
        <v>1734</v>
      </c>
      <c r="B597" s="151" t="s">
        <v>1735</v>
      </c>
    </row>
    <row r="598" spans="1:2">
      <c r="A598" s="151" t="s">
        <v>1736</v>
      </c>
      <c r="B598" s="151" t="s">
        <v>1737</v>
      </c>
    </row>
    <row r="599" spans="1:2">
      <c r="A599" s="151" t="s">
        <v>1738</v>
      </c>
      <c r="B599" s="151" t="s">
        <v>1739</v>
      </c>
    </row>
    <row r="600" spans="1:2">
      <c r="A600" s="151" t="s">
        <v>1740</v>
      </c>
      <c r="B600" s="151" t="s">
        <v>1741</v>
      </c>
    </row>
    <row r="601" spans="1:2">
      <c r="A601" s="151" t="s">
        <v>1742</v>
      </c>
      <c r="B601" s="151" t="s">
        <v>1743</v>
      </c>
    </row>
    <row r="602" spans="1:2">
      <c r="A602" s="151" t="s">
        <v>1744</v>
      </c>
      <c r="B602" s="151" t="s">
        <v>1745</v>
      </c>
    </row>
    <row r="603" spans="1:2">
      <c r="A603" s="151" t="s">
        <v>1746</v>
      </c>
      <c r="B603" s="151" t="s">
        <v>1747</v>
      </c>
    </row>
    <row r="604" spans="1:2">
      <c r="A604" s="151" t="s">
        <v>1748</v>
      </c>
      <c r="B604" s="151" t="s">
        <v>1749</v>
      </c>
    </row>
    <row r="605" spans="1:2">
      <c r="A605" s="151" t="s">
        <v>1750</v>
      </c>
      <c r="B605" s="151" t="s">
        <v>1751</v>
      </c>
    </row>
    <row r="606" spans="1:2">
      <c r="A606" s="151" t="s">
        <v>1752</v>
      </c>
      <c r="B606" s="151" t="s">
        <v>1753</v>
      </c>
    </row>
    <row r="607" spans="1:2">
      <c r="A607" s="151" t="s">
        <v>1754</v>
      </c>
      <c r="B607" s="151" t="s">
        <v>1755</v>
      </c>
    </row>
    <row r="608" spans="1:2">
      <c r="A608" s="151" t="s">
        <v>1756</v>
      </c>
      <c r="B608" s="151" t="s">
        <v>1757</v>
      </c>
    </row>
    <row r="609" spans="1:2">
      <c r="A609" s="151" t="s">
        <v>1758</v>
      </c>
      <c r="B609" s="151" t="s">
        <v>1759</v>
      </c>
    </row>
    <row r="610" spans="1:2">
      <c r="A610" s="151" t="s">
        <v>1760</v>
      </c>
      <c r="B610" s="151" t="s">
        <v>1761</v>
      </c>
    </row>
    <row r="611" spans="1:2">
      <c r="A611" s="151" t="s">
        <v>1762</v>
      </c>
      <c r="B611" s="151" t="s">
        <v>1763</v>
      </c>
    </row>
    <row r="612" spans="1:2">
      <c r="A612" s="151" t="s">
        <v>1764</v>
      </c>
      <c r="B612" s="151" t="s">
        <v>1765</v>
      </c>
    </row>
    <row r="613" spans="1:2">
      <c r="A613" s="151" t="s">
        <v>1766</v>
      </c>
      <c r="B613" s="151" t="s">
        <v>1767</v>
      </c>
    </row>
    <row r="614" spans="1:2">
      <c r="A614" s="151" t="s">
        <v>1768</v>
      </c>
      <c r="B614" s="151" t="s">
        <v>1769</v>
      </c>
    </row>
    <row r="615" spans="1:2">
      <c r="A615" s="151" t="s">
        <v>1770</v>
      </c>
      <c r="B615" s="151" t="s">
        <v>1771</v>
      </c>
    </row>
    <row r="616" spans="1:2">
      <c r="A616" s="151" t="s">
        <v>1772</v>
      </c>
      <c r="B616" s="151" t="s">
        <v>1773</v>
      </c>
    </row>
    <row r="617" spans="1:2">
      <c r="A617" s="151" t="s">
        <v>1774</v>
      </c>
      <c r="B617" s="151" t="s">
        <v>1775</v>
      </c>
    </row>
    <row r="618" spans="1:2">
      <c r="A618" s="151" t="s">
        <v>1776</v>
      </c>
      <c r="B618" s="151" t="s">
        <v>1777</v>
      </c>
    </row>
    <row r="619" spans="1:2">
      <c r="A619" s="151" t="s">
        <v>1778</v>
      </c>
      <c r="B619" s="151" t="s">
        <v>1779</v>
      </c>
    </row>
    <row r="620" spans="1:2">
      <c r="A620" s="151" t="s">
        <v>1780</v>
      </c>
      <c r="B620" s="151" t="s">
        <v>1781</v>
      </c>
    </row>
    <row r="621" spans="1:2">
      <c r="A621" s="151" t="s">
        <v>1782</v>
      </c>
      <c r="B621" s="151" t="s">
        <v>1783</v>
      </c>
    </row>
    <row r="622" spans="1:2">
      <c r="A622" s="151" t="s">
        <v>1784</v>
      </c>
      <c r="B622" s="151" t="s">
        <v>1785</v>
      </c>
    </row>
    <row r="623" spans="1:2">
      <c r="A623" s="151" t="s">
        <v>1786</v>
      </c>
      <c r="B623" s="151" t="s">
        <v>1787</v>
      </c>
    </row>
    <row r="624" spans="1:2">
      <c r="A624" s="151" t="s">
        <v>1788</v>
      </c>
      <c r="B624" s="151" t="s">
        <v>1789</v>
      </c>
    </row>
    <row r="625" spans="1:2">
      <c r="A625" s="151" t="s">
        <v>1790</v>
      </c>
      <c r="B625" s="151" t="s">
        <v>1791</v>
      </c>
    </row>
    <row r="626" spans="1:2">
      <c r="A626" s="151" t="s">
        <v>1792</v>
      </c>
      <c r="B626" s="151" t="s">
        <v>1793</v>
      </c>
    </row>
    <row r="627" spans="1:2">
      <c r="A627" s="151" t="s">
        <v>1794</v>
      </c>
      <c r="B627" s="151" t="s">
        <v>297</v>
      </c>
    </row>
    <row r="628" spans="1:2">
      <c r="A628" s="151" t="s">
        <v>1795</v>
      </c>
      <c r="B628" s="151" t="s">
        <v>1796</v>
      </c>
    </row>
    <row r="629" spans="1:2">
      <c r="A629" s="151" t="s">
        <v>1797</v>
      </c>
      <c r="B629" s="151" t="s">
        <v>1798</v>
      </c>
    </row>
    <row r="630" spans="1:2">
      <c r="A630" s="151" t="s">
        <v>1799</v>
      </c>
      <c r="B630" s="151" t="s">
        <v>1800</v>
      </c>
    </row>
    <row r="631" spans="1:2">
      <c r="A631" s="151" t="s">
        <v>1801</v>
      </c>
      <c r="B631" s="151" t="s">
        <v>1802</v>
      </c>
    </row>
    <row r="632" spans="1:2">
      <c r="A632" s="151" t="s">
        <v>1803</v>
      </c>
      <c r="B632" s="151" t="s">
        <v>1804</v>
      </c>
    </row>
    <row r="633" spans="1:2">
      <c r="A633" s="151" t="s">
        <v>1805</v>
      </c>
      <c r="B633" s="151" t="s">
        <v>1806</v>
      </c>
    </row>
    <row r="634" spans="1:2">
      <c r="A634" s="151" t="s">
        <v>1807</v>
      </c>
      <c r="B634" s="151" t="s">
        <v>1808</v>
      </c>
    </row>
    <row r="635" spans="1:2">
      <c r="A635" s="151" t="s">
        <v>1809</v>
      </c>
      <c r="B635" s="151" t="s">
        <v>1810</v>
      </c>
    </row>
    <row r="636" spans="1:2">
      <c r="A636" s="151" t="s">
        <v>1811</v>
      </c>
      <c r="B636" s="151" t="s">
        <v>1812</v>
      </c>
    </row>
    <row r="637" spans="1:2">
      <c r="A637" s="151" t="s">
        <v>1813</v>
      </c>
      <c r="B637" s="151" t="s">
        <v>1814</v>
      </c>
    </row>
    <row r="638" spans="1:2">
      <c r="A638" s="151" t="s">
        <v>1815</v>
      </c>
      <c r="B638" s="151" t="s">
        <v>1816</v>
      </c>
    </row>
    <row r="639" spans="1:2">
      <c r="A639" s="151" t="s">
        <v>1817</v>
      </c>
      <c r="B639" s="151" t="s">
        <v>1818</v>
      </c>
    </row>
    <row r="640" spans="1:2">
      <c r="A640" s="151" t="s">
        <v>1819</v>
      </c>
      <c r="B640" s="151" t="s">
        <v>1820</v>
      </c>
    </row>
    <row r="641" spans="1:2">
      <c r="A641" s="151" t="s">
        <v>1821</v>
      </c>
      <c r="B641" s="151" t="s">
        <v>1822</v>
      </c>
    </row>
    <row r="642" spans="1:2">
      <c r="A642" s="151" t="s">
        <v>1823</v>
      </c>
      <c r="B642" s="151" t="s">
        <v>1824</v>
      </c>
    </row>
    <row r="643" spans="1:2">
      <c r="A643" s="151" t="s">
        <v>1825</v>
      </c>
      <c r="B643" s="151" t="s">
        <v>1826</v>
      </c>
    </row>
    <row r="644" spans="1:2">
      <c r="A644" s="151" t="s">
        <v>1827</v>
      </c>
      <c r="B644" s="151" t="s">
        <v>1828</v>
      </c>
    </row>
    <row r="645" spans="1:2">
      <c r="A645" s="151" t="s">
        <v>1829</v>
      </c>
      <c r="B645" s="151" t="s">
        <v>1830</v>
      </c>
    </row>
    <row r="646" spans="1:2">
      <c r="A646" s="151" t="s">
        <v>1831</v>
      </c>
      <c r="B646" s="151" t="s">
        <v>1832</v>
      </c>
    </row>
    <row r="647" spans="1:2">
      <c r="A647" s="151" t="s">
        <v>1833</v>
      </c>
      <c r="B647" s="151" t="s">
        <v>1834</v>
      </c>
    </row>
    <row r="648" spans="1:2">
      <c r="A648" s="151" t="s">
        <v>1835</v>
      </c>
      <c r="B648" s="151" t="s">
        <v>1836</v>
      </c>
    </row>
    <row r="649" spans="1:2">
      <c r="A649" s="151" t="s">
        <v>1837</v>
      </c>
      <c r="B649" s="151" t="s">
        <v>1838</v>
      </c>
    </row>
    <row r="650" spans="1:2">
      <c r="A650" s="151" t="s">
        <v>1839</v>
      </c>
      <c r="B650" s="151" t="s">
        <v>1840</v>
      </c>
    </row>
    <row r="651" spans="1:2">
      <c r="A651" s="151" t="s">
        <v>1841</v>
      </c>
      <c r="B651" s="151" t="s">
        <v>1842</v>
      </c>
    </row>
    <row r="652" spans="1:2">
      <c r="A652" s="151" t="s">
        <v>1843</v>
      </c>
      <c r="B652" s="151" t="s">
        <v>1844</v>
      </c>
    </row>
    <row r="653" spans="1:2">
      <c r="A653" s="151" t="s">
        <v>1845</v>
      </c>
      <c r="B653" s="151" t="s">
        <v>1846</v>
      </c>
    </row>
    <row r="654" spans="1:2">
      <c r="A654" s="151" t="s">
        <v>1847</v>
      </c>
      <c r="B654" s="151" t="s">
        <v>1848</v>
      </c>
    </row>
    <row r="655" spans="1:2">
      <c r="A655" s="151" t="s">
        <v>1849</v>
      </c>
      <c r="B655" s="151" t="s">
        <v>1850</v>
      </c>
    </row>
    <row r="656" spans="1:2">
      <c r="A656" s="151" t="s">
        <v>1851</v>
      </c>
      <c r="B656" s="151" t="s">
        <v>1852</v>
      </c>
    </row>
    <row r="657" spans="1:2">
      <c r="A657" s="151" t="s">
        <v>1853</v>
      </c>
      <c r="B657" s="151" t="s">
        <v>1854</v>
      </c>
    </row>
    <row r="658" spans="1:2">
      <c r="A658" s="151" t="s">
        <v>1855</v>
      </c>
      <c r="B658" s="151" t="s">
        <v>1856</v>
      </c>
    </row>
    <row r="659" spans="1:2">
      <c r="A659" s="151" t="s">
        <v>1857</v>
      </c>
      <c r="B659" s="151" t="s">
        <v>1858</v>
      </c>
    </row>
    <row r="660" spans="1:2">
      <c r="A660" s="151" t="s">
        <v>1859</v>
      </c>
      <c r="B660" s="151" t="s">
        <v>1860</v>
      </c>
    </row>
    <row r="661" spans="1:2">
      <c r="A661" s="151" t="s">
        <v>1861</v>
      </c>
      <c r="B661" s="151" t="s">
        <v>1862</v>
      </c>
    </row>
    <row r="662" spans="1:2">
      <c r="A662" s="151" t="s">
        <v>1863</v>
      </c>
      <c r="B662" s="151" t="s">
        <v>1864</v>
      </c>
    </row>
    <row r="663" spans="1:2">
      <c r="A663" s="151" t="s">
        <v>1865</v>
      </c>
      <c r="B663" s="151" t="s">
        <v>1866</v>
      </c>
    </row>
    <row r="664" spans="1:2">
      <c r="A664" s="151" t="s">
        <v>1867</v>
      </c>
      <c r="B664" s="151" t="s">
        <v>1868</v>
      </c>
    </row>
    <row r="665" spans="1:2">
      <c r="A665" s="151" t="s">
        <v>1869</v>
      </c>
      <c r="B665" s="151" t="s">
        <v>1870</v>
      </c>
    </row>
    <row r="666" spans="1:2">
      <c r="A666" s="151" t="s">
        <v>1871</v>
      </c>
      <c r="B666" s="151" t="s">
        <v>1872</v>
      </c>
    </row>
    <row r="667" spans="1:2">
      <c r="A667" s="151" t="s">
        <v>1873</v>
      </c>
      <c r="B667" s="151" t="s">
        <v>1874</v>
      </c>
    </row>
    <row r="668" spans="1:2">
      <c r="A668" s="151" t="s">
        <v>1875</v>
      </c>
      <c r="B668" s="151" t="s">
        <v>1876</v>
      </c>
    </row>
    <row r="669" spans="1:2">
      <c r="A669" s="151" t="s">
        <v>1877</v>
      </c>
      <c r="B669" s="151" t="s">
        <v>1878</v>
      </c>
    </row>
    <row r="670" spans="1:2">
      <c r="A670" s="151" t="s">
        <v>1879</v>
      </c>
      <c r="B670" s="151" t="s">
        <v>1880</v>
      </c>
    </row>
    <row r="671" spans="1:2">
      <c r="A671" s="151" t="s">
        <v>1881</v>
      </c>
      <c r="B671" s="151" t="s">
        <v>1882</v>
      </c>
    </row>
    <row r="672" spans="1:2">
      <c r="A672" s="151" t="s">
        <v>1883</v>
      </c>
      <c r="B672" s="151" t="s">
        <v>1884</v>
      </c>
    </row>
    <row r="673" spans="1:2">
      <c r="A673" s="151" t="s">
        <v>1885</v>
      </c>
      <c r="B673" s="151" t="s">
        <v>1886</v>
      </c>
    </row>
    <row r="674" spans="1:2">
      <c r="A674" s="151" t="s">
        <v>1887</v>
      </c>
      <c r="B674" s="151" t="s">
        <v>1888</v>
      </c>
    </row>
    <row r="675" spans="1:2">
      <c r="A675" s="151" t="s">
        <v>1889</v>
      </c>
      <c r="B675" s="151" t="s">
        <v>1890</v>
      </c>
    </row>
    <row r="676" spans="1:2">
      <c r="A676" s="151" t="s">
        <v>1891</v>
      </c>
      <c r="B676" s="151" t="s">
        <v>1892</v>
      </c>
    </row>
    <row r="677" spans="1:2">
      <c r="A677" s="151" t="s">
        <v>1893</v>
      </c>
      <c r="B677" s="151" t="s">
        <v>1894</v>
      </c>
    </row>
    <row r="678" spans="1:2">
      <c r="A678" s="151" t="s">
        <v>1895</v>
      </c>
      <c r="B678" s="151" t="s">
        <v>1896</v>
      </c>
    </row>
    <row r="679" spans="1:2">
      <c r="A679" s="151" t="s">
        <v>1897</v>
      </c>
      <c r="B679" s="151" t="s">
        <v>1898</v>
      </c>
    </row>
    <row r="680" spans="1:2">
      <c r="A680" s="151" t="s">
        <v>1899</v>
      </c>
      <c r="B680" s="151" t="s">
        <v>1900</v>
      </c>
    </row>
    <row r="681" spans="1:2">
      <c r="A681" s="151" t="s">
        <v>1901</v>
      </c>
      <c r="B681" s="151" t="s">
        <v>1902</v>
      </c>
    </row>
    <row r="682" spans="1:2">
      <c r="A682" s="151" t="s">
        <v>1903</v>
      </c>
      <c r="B682" s="151" t="s">
        <v>1904</v>
      </c>
    </row>
    <row r="683" spans="1:2">
      <c r="A683" s="151" t="s">
        <v>1905</v>
      </c>
      <c r="B683" s="151" t="s">
        <v>1906</v>
      </c>
    </row>
    <row r="684" spans="1:2">
      <c r="A684" s="151" t="s">
        <v>1907</v>
      </c>
      <c r="B684" s="151" t="s">
        <v>1908</v>
      </c>
    </row>
    <row r="685" spans="1:2">
      <c r="A685" s="151" t="s">
        <v>1909</v>
      </c>
      <c r="B685" s="151" t="s">
        <v>1910</v>
      </c>
    </row>
    <row r="686" spans="1:2">
      <c r="A686" s="151" t="s">
        <v>1911</v>
      </c>
      <c r="B686" s="151" t="s">
        <v>1912</v>
      </c>
    </row>
    <row r="687" spans="1:2">
      <c r="A687" s="151" t="s">
        <v>1913</v>
      </c>
      <c r="B687" s="151" t="s">
        <v>1914</v>
      </c>
    </row>
    <row r="688" spans="1:2">
      <c r="A688" s="151" t="s">
        <v>1915</v>
      </c>
      <c r="B688" s="151" t="s">
        <v>1916</v>
      </c>
    </row>
    <row r="689" spans="1:2">
      <c r="A689" s="151" t="s">
        <v>1917</v>
      </c>
      <c r="B689" s="151" t="s">
        <v>1918</v>
      </c>
    </row>
    <row r="690" spans="1:2">
      <c r="A690" s="151" t="s">
        <v>1919</v>
      </c>
      <c r="B690" s="151" t="s">
        <v>1920</v>
      </c>
    </row>
    <row r="691" spans="1:2">
      <c r="A691" s="151" t="s">
        <v>1921</v>
      </c>
      <c r="B691" s="151" t="s">
        <v>1922</v>
      </c>
    </row>
    <row r="692" spans="1:2">
      <c r="A692" s="151" t="s">
        <v>1923</v>
      </c>
      <c r="B692" s="151" t="s">
        <v>1924</v>
      </c>
    </row>
    <row r="693" spans="1:2">
      <c r="A693" s="151" t="s">
        <v>1925</v>
      </c>
      <c r="B693" s="151" t="s">
        <v>1926</v>
      </c>
    </row>
    <row r="694" spans="1:2">
      <c r="A694" s="151" t="s">
        <v>1927</v>
      </c>
      <c r="B694" s="151" t="s">
        <v>1928</v>
      </c>
    </row>
    <row r="695" spans="1:2">
      <c r="A695" s="151" t="s">
        <v>1929</v>
      </c>
      <c r="B695" s="151" t="s">
        <v>1930</v>
      </c>
    </row>
    <row r="696" spans="1:2">
      <c r="A696" s="151" t="s">
        <v>1931</v>
      </c>
      <c r="B696" s="151" t="s">
        <v>1932</v>
      </c>
    </row>
    <row r="697" spans="1:2">
      <c r="A697" s="151" t="s">
        <v>1933</v>
      </c>
      <c r="B697" s="151" t="s">
        <v>1934</v>
      </c>
    </row>
    <row r="698" spans="1:2">
      <c r="A698" s="151" t="s">
        <v>1935</v>
      </c>
      <c r="B698" s="151" t="s">
        <v>1936</v>
      </c>
    </row>
    <row r="699" spans="1:2">
      <c r="A699" s="151" t="s">
        <v>1937</v>
      </c>
      <c r="B699" s="151" t="s">
        <v>1938</v>
      </c>
    </row>
    <row r="700" spans="1:2">
      <c r="A700" s="151" t="s">
        <v>1939</v>
      </c>
      <c r="B700" s="151" t="s">
        <v>1940</v>
      </c>
    </row>
    <row r="701" spans="1:2">
      <c r="A701" s="151" t="s">
        <v>1941</v>
      </c>
      <c r="B701" s="151" t="s">
        <v>1942</v>
      </c>
    </row>
    <row r="702" spans="1:2">
      <c r="A702" s="151" t="s">
        <v>1943</v>
      </c>
      <c r="B702" s="151" t="s">
        <v>1944</v>
      </c>
    </row>
    <row r="703" spans="1:2">
      <c r="A703" s="151" t="s">
        <v>1945</v>
      </c>
      <c r="B703" s="151" t="s">
        <v>1946</v>
      </c>
    </row>
    <row r="704" spans="1:2">
      <c r="A704" s="151" t="s">
        <v>1947</v>
      </c>
      <c r="B704" s="151" t="s">
        <v>1948</v>
      </c>
    </row>
    <row r="705" spans="1:2">
      <c r="A705" s="151" t="s">
        <v>1949</v>
      </c>
      <c r="B705" s="151" t="s">
        <v>1950</v>
      </c>
    </row>
    <row r="706" spans="1:2">
      <c r="A706" s="151" t="s">
        <v>1951</v>
      </c>
      <c r="B706" s="151" t="s">
        <v>1952</v>
      </c>
    </row>
    <row r="707" spans="1:2">
      <c r="A707" s="151" t="s">
        <v>1953</v>
      </c>
      <c r="B707" s="151" t="s">
        <v>1954</v>
      </c>
    </row>
    <row r="708" spans="1:2">
      <c r="A708" s="151" t="s">
        <v>1955</v>
      </c>
      <c r="B708" s="151" t="s">
        <v>1956</v>
      </c>
    </row>
    <row r="709" spans="1:2">
      <c r="A709" s="151" t="s">
        <v>1957</v>
      </c>
      <c r="B709" s="151" t="s">
        <v>1958</v>
      </c>
    </row>
    <row r="710" spans="1:2">
      <c r="A710" s="151" t="s">
        <v>1959</v>
      </c>
      <c r="B710" s="151" t="s">
        <v>1960</v>
      </c>
    </row>
    <row r="711" spans="1:2">
      <c r="A711" s="151" t="s">
        <v>1961</v>
      </c>
      <c r="B711" s="151" t="s">
        <v>1962</v>
      </c>
    </row>
    <row r="712" spans="1:2">
      <c r="A712" s="151" t="s">
        <v>1963</v>
      </c>
      <c r="B712" s="151" t="s">
        <v>1964</v>
      </c>
    </row>
    <row r="713" spans="1:2">
      <c r="A713" s="151" t="s">
        <v>1965</v>
      </c>
      <c r="B713" s="151" t="s">
        <v>1966</v>
      </c>
    </row>
    <row r="714" spans="1:2">
      <c r="A714" s="151" t="s">
        <v>1967</v>
      </c>
      <c r="B714" s="151" t="s">
        <v>1968</v>
      </c>
    </row>
    <row r="715" spans="1:2">
      <c r="A715" s="151" t="s">
        <v>1969</v>
      </c>
      <c r="B715" s="151" t="s">
        <v>1970</v>
      </c>
    </row>
    <row r="716" spans="1:2">
      <c r="A716" s="151" t="s">
        <v>1971</v>
      </c>
      <c r="B716" s="151" t="s">
        <v>1972</v>
      </c>
    </row>
    <row r="717" spans="1:2">
      <c r="A717" s="151" t="s">
        <v>1973</v>
      </c>
      <c r="B717" s="151" t="s">
        <v>1974</v>
      </c>
    </row>
    <row r="718" spans="1:2">
      <c r="A718" s="151" t="s">
        <v>1975</v>
      </c>
      <c r="B718" s="151" t="s">
        <v>1976</v>
      </c>
    </row>
    <row r="719" spans="1:2">
      <c r="A719" s="151" t="s">
        <v>1977</v>
      </c>
      <c r="B719" s="151" t="s">
        <v>1978</v>
      </c>
    </row>
    <row r="720" spans="1:2">
      <c r="A720" s="151" t="s">
        <v>1979</v>
      </c>
      <c r="B720" s="151" t="s">
        <v>1980</v>
      </c>
    </row>
    <row r="721" spans="1:2">
      <c r="A721" s="151" t="s">
        <v>1981</v>
      </c>
      <c r="B721" s="151" t="s">
        <v>1982</v>
      </c>
    </row>
    <row r="722" spans="1:2">
      <c r="A722" s="151" t="s">
        <v>1983</v>
      </c>
      <c r="B722" s="151" t="s">
        <v>1984</v>
      </c>
    </row>
    <row r="723" spans="1:2">
      <c r="A723" s="151" t="s">
        <v>1985</v>
      </c>
      <c r="B723" s="151" t="s">
        <v>1986</v>
      </c>
    </row>
    <row r="724" spans="1:2">
      <c r="A724" s="151" t="s">
        <v>1987</v>
      </c>
      <c r="B724" s="151" t="s">
        <v>1988</v>
      </c>
    </row>
    <row r="725" spans="1:2">
      <c r="A725" s="151" t="s">
        <v>1989</v>
      </c>
      <c r="B725" s="151" t="s">
        <v>1990</v>
      </c>
    </row>
    <row r="726" spans="1:2">
      <c r="A726" s="151" t="s">
        <v>1991</v>
      </c>
      <c r="B726" s="151" t="s">
        <v>1992</v>
      </c>
    </row>
    <row r="727" spans="1:2">
      <c r="A727" s="151" t="s">
        <v>1993</v>
      </c>
      <c r="B727" s="151" t="s">
        <v>1994</v>
      </c>
    </row>
    <row r="728" spans="1:2">
      <c r="A728" s="151" t="s">
        <v>1995</v>
      </c>
      <c r="B728" s="151" t="s">
        <v>1996</v>
      </c>
    </row>
    <row r="729" spans="1:2">
      <c r="A729" s="151" t="s">
        <v>1997</v>
      </c>
      <c r="B729" s="151" t="s">
        <v>1998</v>
      </c>
    </row>
    <row r="730" spans="1:2">
      <c r="A730" s="151" t="s">
        <v>1999</v>
      </c>
      <c r="B730" s="151" t="s">
        <v>2000</v>
      </c>
    </row>
    <row r="731" spans="1:2">
      <c r="A731" s="151" t="s">
        <v>2001</v>
      </c>
      <c r="B731" s="151" t="s">
        <v>2002</v>
      </c>
    </row>
    <row r="732" spans="1:2">
      <c r="A732" s="151" t="s">
        <v>2003</v>
      </c>
      <c r="B732" s="151" t="s">
        <v>2004</v>
      </c>
    </row>
    <row r="733" spans="1:2">
      <c r="A733" s="151" t="s">
        <v>2005</v>
      </c>
      <c r="B733" s="151" t="s">
        <v>2006</v>
      </c>
    </row>
    <row r="734" spans="1:2">
      <c r="A734" s="151" t="s">
        <v>2007</v>
      </c>
      <c r="B734" s="151" t="s">
        <v>2008</v>
      </c>
    </row>
    <row r="735" spans="1:2">
      <c r="A735" s="151" t="s">
        <v>2009</v>
      </c>
      <c r="B735" s="151" t="s">
        <v>2010</v>
      </c>
    </row>
    <row r="736" spans="1:2">
      <c r="A736" s="151" t="s">
        <v>2011</v>
      </c>
      <c r="B736" s="151" t="s">
        <v>2012</v>
      </c>
    </row>
    <row r="737" spans="1:2">
      <c r="A737" s="151" t="s">
        <v>2013</v>
      </c>
      <c r="B737" s="151" t="s">
        <v>2014</v>
      </c>
    </row>
    <row r="738" spans="1:2">
      <c r="A738" s="151" t="s">
        <v>2015</v>
      </c>
      <c r="B738" s="151" t="s">
        <v>2016</v>
      </c>
    </row>
    <row r="739" spans="1:2">
      <c r="A739" s="151" t="s">
        <v>2017</v>
      </c>
      <c r="B739" s="151" t="s">
        <v>2018</v>
      </c>
    </row>
    <row r="740" spans="1:2">
      <c r="A740" s="151" t="s">
        <v>2019</v>
      </c>
      <c r="B740" s="151" t="s">
        <v>2020</v>
      </c>
    </row>
    <row r="741" spans="1:2">
      <c r="A741" s="151" t="s">
        <v>2021</v>
      </c>
      <c r="B741" s="151" t="s">
        <v>2022</v>
      </c>
    </row>
    <row r="742" spans="1:2">
      <c r="A742" s="151" t="s">
        <v>2023</v>
      </c>
      <c r="B742" s="151" t="s">
        <v>2024</v>
      </c>
    </row>
    <row r="743" spans="1:2">
      <c r="A743" s="151" t="s">
        <v>2025</v>
      </c>
      <c r="B743" s="151" t="s">
        <v>2026</v>
      </c>
    </row>
    <row r="744" spans="1:2">
      <c r="A744" s="151" t="s">
        <v>2027</v>
      </c>
      <c r="B744" s="151" t="s">
        <v>2028</v>
      </c>
    </row>
    <row r="745" spans="1:2">
      <c r="A745" s="151" t="s">
        <v>2029</v>
      </c>
      <c r="B745" s="151" t="s">
        <v>2030</v>
      </c>
    </row>
    <row r="746" spans="1:2">
      <c r="A746" s="151" t="s">
        <v>2031</v>
      </c>
      <c r="B746" s="151" t="s">
        <v>2032</v>
      </c>
    </row>
    <row r="747" spans="1:2">
      <c r="A747" s="151" t="s">
        <v>2033</v>
      </c>
      <c r="B747" s="151" t="s">
        <v>2034</v>
      </c>
    </row>
    <row r="748" spans="1:2">
      <c r="A748" s="151" t="s">
        <v>2035</v>
      </c>
      <c r="B748" s="151" t="s">
        <v>2036</v>
      </c>
    </row>
    <row r="749" spans="1:2">
      <c r="A749" s="151" t="s">
        <v>2037</v>
      </c>
      <c r="B749" s="151" t="s">
        <v>2038</v>
      </c>
    </row>
    <row r="750" spans="1:2">
      <c r="A750" s="151" t="s">
        <v>2039</v>
      </c>
      <c r="B750" s="151" t="s">
        <v>2040</v>
      </c>
    </row>
    <row r="751" spans="1:2">
      <c r="A751" s="151" t="s">
        <v>2041</v>
      </c>
      <c r="B751" s="151" t="s">
        <v>2042</v>
      </c>
    </row>
    <row r="752" spans="1:2">
      <c r="A752" s="151" t="s">
        <v>2043</v>
      </c>
      <c r="B752" s="151" t="s">
        <v>2044</v>
      </c>
    </row>
    <row r="753" spans="1:2">
      <c r="A753" s="151" t="s">
        <v>2045</v>
      </c>
      <c r="B753" s="151" t="s">
        <v>2046</v>
      </c>
    </row>
    <row r="754" spans="1:2">
      <c r="A754" s="151" t="s">
        <v>2047</v>
      </c>
      <c r="B754" s="151" t="s">
        <v>2048</v>
      </c>
    </row>
    <row r="755" spans="1:2">
      <c r="A755" s="151" t="s">
        <v>2049</v>
      </c>
      <c r="B755" s="151" t="s">
        <v>2050</v>
      </c>
    </row>
    <row r="756" spans="1:2">
      <c r="A756" s="151" t="s">
        <v>2051</v>
      </c>
      <c r="B756" s="151" t="s">
        <v>2052</v>
      </c>
    </row>
    <row r="757" spans="1:2">
      <c r="A757" s="151" t="s">
        <v>2053</v>
      </c>
      <c r="B757" s="151" t="s">
        <v>2054</v>
      </c>
    </row>
    <row r="758" spans="1:2">
      <c r="A758" s="151" t="s">
        <v>2055</v>
      </c>
      <c r="B758" s="151" t="s">
        <v>2056</v>
      </c>
    </row>
    <row r="759" spans="1:2">
      <c r="A759" s="151" t="s">
        <v>2057</v>
      </c>
      <c r="B759" s="151" t="s">
        <v>2058</v>
      </c>
    </row>
    <row r="760" spans="1:2">
      <c r="A760" s="151" t="s">
        <v>2059</v>
      </c>
      <c r="B760" s="151" t="s">
        <v>2060</v>
      </c>
    </row>
    <row r="761" spans="1:2">
      <c r="A761" s="151" t="s">
        <v>2061</v>
      </c>
      <c r="B761" s="151" t="s">
        <v>2062</v>
      </c>
    </row>
    <row r="762" spans="1:2">
      <c r="A762" s="151" t="s">
        <v>2063</v>
      </c>
      <c r="B762" s="151" t="s">
        <v>2064</v>
      </c>
    </row>
    <row r="763" spans="1:2">
      <c r="A763" s="151" t="s">
        <v>2065</v>
      </c>
      <c r="B763" s="151" t="s">
        <v>2066</v>
      </c>
    </row>
    <row r="764" spans="1:2">
      <c r="A764" s="151" t="s">
        <v>2067</v>
      </c>
      <c r="B764" s="151" t="s">
        <v>2068</v>
      </c>
    </row>
    <row r="765" spans="1:2">
      <c r="A765" s="151" t="s">
        <v>2069</v>
      </c>
      <c r="B765" s="151" t="s">
        <v>2070</v>
      </c>
    </row>
    <row r="766" spans="1:2">
      <c r="A766" s="151" t="s">
        <v>2071</v>
      </c>
      <c r="B766" s="151" t="s">
        <v>2072</v>
      </c>
    </row>
    <row r="767" spans="1:2">
      <c r="A767" s="151" t="s">
        <v>2073</v>
      </c>
      <c r="B767" s="151" t="s">
        <v>2074</v>
      </c>
    </row>
    <row r="768" spans="1:2">
      <c r="A768" s="151" t="s">
        <v>2075</v>
      </c>
      <c r="B768" s="151" t="s">
        <v>2076</v>
      </c>
    </row>
    <row r="769" spans="1:2">
      <c r="A769" s="151" t="s">
        <v>2077</v>
      </c>
      <c r="B769" s="151" t="s">
        <v>2078</v>
      </c>
    </row>
    <row r="770" spans="1:2">
      <c r="A770" s="151" t="s">
        <v>2079</v>
      </c>
      <c r="B770" s="151" t="s">
        <v>2080</v>
      </c>
    </row>
    <row r="771" spans="1:2">
      <c r="A771" s="151" t="s">
        <v>2081</v>
      </c>
      <c r="B771" s="151" t="s">
        <v>2082</v>
      </c>
    </row>
    <row r="772" spans="1:2">
      <c r="A772" s="151" t="s">
        <v>2083</v>
      </c>
      <c r="B772" s="151" t="s">
        <v>2084</v>
      </c>
    </row>
    <row r="773" spans="1:2">
      <c r="A773" s="151" t="s">
        <v>2085</v>
      </c>
      <c r="B773" s="151" t="s">
        <v>2086</v>
      </c>
    </row>
    <row r="774" spans="1:2">
      <c r="A774" s="151" t="s">
        <v>2087</v>
      </c>
      <c r="B774" s="151" t="s">
        <v>2088</v>
      </c>
    </row>
    <row r="775" spans="1:2">
      <c r="A775" s="151" t="s">
        <v>2089</v>
      </c>
      <c r="B775" s="151" t="s">
        <v>2090</v>
      </c>
    </row>
    <row r="776" spans="1:2">
      <c r="A776" s="151" t="s">
        <v>2091</v>
      </c>
      <c r="B776" s="151" t="s">
        <v>2092</v>
      </c>
    </row>
    <row r="777" spans="1:2">
      <c r="A777" s="151" t="s">
        <v>2093</v>
      </c>
      <c r="B777" s="151" t="s">
        <v>2094</v>
      </c>
    </row>
    <row r="778" spans="1:2">
      <c r="A778" s="151" t="s">
        <v>2095</v>
      </c>
      <c r="B778" s="151" t="s">
        <v>2096</v>
      </c>
    </row>
    <row r="779" spans="1:2">
      <c r="A779" s="151" t="s">
        <v>2097</v>
      </c>
      <c r="B779" s="151" t="s">
        <v>2098</v>
      </c>
    </row>
    <row r="780" spans="1:2">
      <c r="A780" s="151" t="s">
        <v>2099</v>
      </c>
      <c r="B780" s="151" t="s">
        <v>2100</v>
      </c>
    </row>
    <row r="781" spans="1:2">
      <c r="A781" s="151" t="s">
        <v>2101</v>
      </c>
      <c r="B781" s="151" t="s">
        <v>2102</v>
      </c>
    </row>
    <row r="782" spans="1:2">
      <c r="A782" s="151" t="s">
        <v>2103</v>
      </c>
      <c r="B782" s="151" t="s">
        <v>2104</v>
      </c>
    </row>
    <row r="783" spans="1:2">
      <c r="A783" s="151" t="s">
        <v>2105</v>
      </c>
      <c r="B783" s="151" t="s">
        <v>2106</v>
      </c>
    </row>
    <row r="784" spans="1:2">
      <c r="A784" s="151" t="s">
        <v>2107</v>
      </c>
      <c r="B784" s="151" t="s">
        <v>2108</v>
      </c>
    </row>
    <row r="785" spans="1:2">
      <c r="A785" s="151" t="s">
        <v>2109</v>
      </c>
      <c r="B785" s="151" t="s">
        <v>2110</v>
      </c>
    </row>
    <row r="786" spans="1:2">
      <c r="A786" s="151" t="s">
        <v>2111</v>
      </c>
      <c r="B786" s="151" t="s">
        <v>2112</v>
      </c>
    </row>
    <row r="787" spans="1:2">
      <c r="A787" s="151" t="s">
        <v>2113</v>
      </c>
      <c r="B787" s="151" t="s">
        <v>2114</v>
      </c>
    </row>
    <row r="788" spans="1:2">
      <c r="A788" s="151" t="s">
        <v>2115</v>
      </c>
      <c r="B788" s="151" t="s">
        <v>2116</v>
      </c>
    </row>
    <row r="789" spans="1:2">
      <c r="A789" s="151" t="s">
        <v>2117</v>
      </c>
      <c r="B789" s="151" t="s">
        <v>2118</v>
      </c>
    </row>
    <row r="790" spans="1:2">
      <c r="A790" s="151" t="s">
        <v>2119</v>
      </c>
      <c r="B790" s="151" t="s">
        <v>2120</v>
      </c>
    </row>
    <row r="791" spans="1:2">
      <c r="A791" s="151" t="s">
        <v>2121</v>
      </c>
      <c r="B791" s="151" t="s">
        <v>2122</v>
      </c>
    </row>
    <row r="792" spans="1:2">
      <c r="A792" s="151" t="s">
        <v>2123</v>
      </c>
      <c r="B792" s="151" t="s">
        <v>2124</v>
      </c>
    </row>
    <row r="793" spans="1:2">
      <c r="A793" s="151" t="s">
        <v>2125</v>
      </c>
      <c r="B793" s="151" t="s">
        <v>2126</v>
      </c>
    </row>
    <row r="794" spans="1:2">
      <c r="A794" s="151" t="s">
        <v>2127</v>
      </c>
      <c r="B794" s="151" t="s">
        <v>2128</v>
      </c>
    </row>
    <row r="795" spans="1:2">
      <c r="A795" s="151" t="s">
        <v>2129</v>
      </c>
      <c r="B795" s="151" t="s">
        <v>2130</v>
      </c>
    </row>
    <row r="796" spans="1:2">
      <c r="A796" s="151" t="s">
        <v>2131</v>
      </c>
      <c r="B796" s="151" t="s">
        <v>2132</v>
      </c>
    </row>
    <row r="797" spans="1:2">
      <c r="A797" s="151" t="s">
        <v>2133</v>
      </c>
      <c r="B797" s="151" t="s">
        <v>2134</v>
      </c>
    </row>
    <row r="798" spans="1:2">
      <c r="A798" s="151" t="s">
        <v>2135</v>
      </c>
      <c r="B798" s="151" t="s">
        <v>2136</v>
      </c>
    </row>
    <row r="799" spans="1:2">
      <c r="A799" s="151" t="s">
        <v>2137</v>
      </c>
      <c r="B799" s="151" t="s">
        <v>2138</v>
      </c>
    </row>
    <row r="800" spans="1:2">
      <c r="A800" s="151" t="s">
        <v>2139</v>
      </c>
      <c r="B800" s="151" t="s">
        <v>2140</v>
      </c>
    </row>
    <row r="801" spans="1:2">
      <c r="A801" s="151" t="s">
        <v>2141</v>
      </c>
      <c r="B801" s="151" t="s">
        <v>2142</v>
      </c>
    </row>
    <row r="802" spans="1:2">
      <c r="A802" s="151" t="s">
        <v>2143</v>
      </c>
      <c r="B802" s="151" t="s">
        <v>2144</v>
      </c>
    </row>
    <row r="803" spans="1:2">
      <c r="A803" s="151" t="s">
        <v>2145</v>
      </c>
      <c r="B803" s="151" t="s">
        <v>2146</v>
      </c>
    </row>
    <row r="804" spans="1:2">
      <c r="A804" s="151" t="s">
        <v>2147</v>
      </c>
      <c r="B804" s="151" t="s">
        <v>2148</v>
      </c>
    </row>
    <row r="805" spans="1:2">
      <c r="A805" s="151" t="s">
        <v>2149</v>
      </c>
      <c r="B805" s="151" t="s">
        <v>2150</v>
      </c>
    </row>
    <row r="806" spans="1:2">
      <c r="A806" s="151" t="s">
        <v>2151</v>
      </c>
      <c r="B806" s="151" t="s">
        <v>2152</v>
      </c>
    </row>
    <row r="807" spans="1:2">
      <c r="A807" s="151" t="s">
        <v>2153</v>
      </c>
      <c r="B807" s="151" t="s">
        <v>2154</v>
      </c>
    </row>
    <row r="808" spans="1:2">
      <c r="A808" s="151" t="s">
        <v>2155</v>
      </c>
      <c r="B808" s="151" t="s">
        <v>2156</v>
      </c>
    </row>
    <row r="809" spans="1:2">
      <c r="A809" s="151" t="s">
        <v>2157</v>
      </c>
      <c r="B809" s="151" t="s">
        <v>2158</v>
      </c>
    </row>
    <row r="810" spans="1:2">
      <c r="A810" s="151" t="s">
        <v>2159</v>
      </c>
      <c r="B810" s="151" t="s">
        <v>2160</v>
      </c>
    </row>
    <row r="811" spans="1:2">
      <c r="A811" s="151" t="s">
        <v>2161</v>
      </c>
      <c r="B811" s="151" t="s">
        <v>2162</v>
      </c>
    </row>
    <row r="812" spans="1:2">
      <c r="A812" s="151" t="s">
        <v>2163</v>
      </c>
      <c r="B812" s="151" t="s">
        <v>2164</v>
      </c>
    </row>
    <row r="813" spans="1:2">
      <c r="A813" s="151" t="s">
        <v>2165</v>
      </c>
      <c r="B813" s="151" t="s">
        <v>2166</v>
      </c>
    </row>
    <row r="814" spans="1:2">
      <c r="A814" s="151" t="s">
        <v>2167</v>
      </c>
      <c r="B814" s="151" t="s">
        <v>2168</v>
      </c>
    </row>
    <row r="815" spans="1:2">
      <c r="A815" s="151" t="s">
        <v>2169</v>
      </c>
      <c r="B815" s="151" t="s">
        <v>2170</v>
      </c>
    </row>
    <row r="816" spans="1:2">
      <c r="A816" s="151" t="s">
        <v>2171</v>
      </c>
      <c r="B816" s="151" t="s">
        <v>2172</v>
      </c>
    </row>
    <row r="817" spans="1:2">
      <c r="A817" s="151" t="s">
        <v>2173</v>
      </c>
      <c r="B817" s="151" t="s">
        <v>2174</v>
      </c>
    </row>
    <row r="818" spans="1:2">
      <c r="A818" s="151" t="s">
        <v>2175</v>
      </c>
      <c r="B818" s="151" t="s">
        <v>2176</v>
      </c>
    </row>
    <row r="819" spans="1:2">
      <c r="A819" s="151" t="s">
        <v>2177</v>
      </c>
      <c r="B819" s="151" t="s">
        <v>2178</v>
      </c>
    </row>
    <row r="820" spans="1:2">
      <c r="A820" s="151" t="s">
        <v>2179</v>
      </c>
      <c r="B820" s="151" t="s">
        <v>2180</v>
      </c>
    </row>
    <row r="821" spans="1:2">
      <c r="A821" s="151" t="s">
        <v>2181</v>
      </c>
      <c r="B821" s="151" t="s">
        <v>2182</v>
      </c>
    </row>
    <row r="822" spans="1:2">
      <c r="A822" s="151" t="s">
        <v>2183</v>
      </c>
      <c r="B822" s="151" t="s">
        <v>2184</v>
      </c>
    </row>
    <row r="823" spans="1:2">
      <c r="A823" s="151" t="s">
        <v>2185</v>
      </c>
      <c r="B823" s="151" t="s">
        <v>2186</v>
      </c>
    </row>
    <row r="824" spans="1:2">
      <c r="A824" s="151" t="s">
        <v>2187</v>
      </c>
      <c r="B824" s="151" t="s">
        <v>2188</v>
      </c>
    </row>
    <row r="825" spans="1:2">
      <c r="A825" s="151" t="s">
        <v>2189</v>
      </c>
      <c r="B825" s="151" t="s">
        <v>2190</v>
      </c>
    </row>
    <row r="826" spans="1:2">
      <c r="A826" s="151" t="s">
        <v>2191</v>
      </c>
      <c r="B826" s="151" t="s">
        <v>2192</v>
      </c>
    </row>
    <row r="827" spans="1:2">
      <c r="A827" s="151" t="s">
        <v>2193</v>
      </c>
      <c r="B827" s="151" t="s">
        <v>2194</v>
      </c>
    </row>
    <row r="828" spans="1:2">
      <c r="A828" s="151" t="s">
        <v>2195</v>
      </c>
      <c r="B828" s="151" t="s">
        <v>2196</v>
      </c>
    </row>
    <row r="829" spans="1:2">
      <c r="A829" s="151" t="s">
        <v>2197</v>
      </c>
      <c r="B829" s="151" t="s">
        <v>2198</v>
      </c>
    </row>
    <row r="830" spans="1:2">
      <c r="A830" s="151" t="s">
        <v>2199</v>
      </c>
      <c r="B830" s="151" t="s">
        <v>2200</v>
      </c>
    </row>
    <row r="831" spans="1:2">
      <c r="A831" s="151" t="s">
        <v>2201</v>
      </c>
      <c r="B831" s="151" t="s">
        <v>2202</v>
      </c>
    </row>
    <row r="832" spans="1:2">
      <c r="A832" s="151" t="s">
        <v>2203</v>
      </c>
      <c r="B832" s="151" t="s">
        <v>2204</v>
      </c>
    </row>
    <row r="833" spans="1:2">
      <c r="A833" s="151" t="s">
        <v>2205</v>
      </c>
      <c r="B833" s="151" t="s">
        <v>2206</v>
      </c>
    </row>
    <row r="834" spans="1:2">
      <c r="A834" s="151" t="s">
        <v>2207</v>
      </c>
      <c r="B834" s="151" t="s">
        <v>2208</v>
      </c>
    </row>
    <row r="835" spans="1:2">
      <c r="A835" s="151" t="s">
        <v>2209</v>
      </c>
      <c r="B835" s="151" t="s">
        <v>2210</v>
      </c>
    </row>
    <row r="836" spans="1:2">
      <c r="A836" s="151" t="s">
        <v>2211</v>
      </c>
      <c r="B836" s="151" t="s">
        <v>2212</v>
      </c>
    </row>
    <row r="837" spans="1:2">
      <c r="A837" s="151" t="s">
        <v>2213</v>
      </c>
      <c r="B837" s="151" t="s">
        <v>2214</v>
      </c>
    </row>
    <row r="838" spans="1:2">
      <c r="A838" s="151" t="s">
        <v>2215</v>
      </c>
      <c r="B838" s="151" t="s">
        <v>2216</v>
      </c>
    </row>
    <row r="839" spans="1:2">
      <c r="A839" s="151" t="s">
        <v>2217</v>
      </c>
      <c r="B839" s="151" t="s">
        <v>2218</v>
      </c>
    </row>
    <row r="840" spans="1:2">
      <c r="A840" s="151" t="s">
        <v>2219</v>
      </c>
      <c r="B840" s="151" t="s">
        <v>2220</v>
      </c>
    </row>
    <row r="841" spans="1:2">
      <c r="A841" s="151" t="s">
        <v>2221</v>
      </c>
      <c r="B841" s="151" t="s">
        <v>2222</v>
      </c>
    </row>
    <row r="842" spans="1:2">
      <c r="A842" s="151" t="s">
        <v>2223</v>
      </c>
      <c r="B842" s="151" t="s">
        <v>2224</v>
      </c>
    </row>
    <row r="843" spans="1:2">
      <c r="A843" s="151" t="s">
        <v>156</v>
      </c>
      <c r="B843" s="151" t="s">
        <v>2225</v>
      </c>
    </row>
    <row r="844" spans="1:2">
      <c r="A844" s="151" t="s">
        <v>2226</v>
      </c>
      <c r="B844" s="151" t="s">
        <v>2227</v>
      </c>
    </row>
    <row r="845" spans="1:2">
      <c r="A845" s="151" t="s">
        <v>2228</v>
      </c>
      <c r="B845" s="151" t="s">
        <v>2229</v>
      </c>
    </row>
    <row r="846" spans="1:2">
      <c r="A846" s="151" t="s">
        <v>2230</v>
      </c>
      <c r="B846" s="151" t="s">
        <v>2231</v>
      </c>
    </row>
    <row r="847" spans="1:2">
      <c r="A847" s="151" t="s">
        <v>2232</v>
      </c>
      <c r="B847" s="151" t="s">
        <v>2233</v>
      </c>
    </row>
    <row r="848" spans="1:2">
      <c r="A848" s="151" t="s">
        <v>2234</v>
      </c>
      <c r="B848" s="151" t="s">
        <v>2235</v>
      </c>
    </row>
    <row r="849" spans="1:2">
      <c r="A849" s="151" t="s">
        <v>2236</v>
      </c>
      <c r="B849" s="151" t="s">
        <v>2237</v>
      </c>
    </row>
    <row r="850" spans="1:2">
      <c r="A850" s="151" t="s">
        <v>2238</v>
      </c>
      <c r="B850" s="151" t="s">
        <v>2239</v>
      </c>
    </row>
    <row r="851" spans="1:2">
      <c r="A851" s="151" t="s">
        <v>2240</v>
      </c>
      <c r="B851" s="151" t="s">
        <v>2241</v>
      </c>
    </row>
    <row r="852" spans="1:2">
      <c r="A852" s="151" t="s">
        <v>2242</v>
      </c>
      <c r="B852" s="151" t="s">
        <v>2243</v>
      </c>
    </row>
    <row r="853" spans="1:2">
      <c r="A853" s="151" t="s">
        <v>2244</v>
      </c>
      <c r="B853" s="151" t="s">
        <v>2245</v>
      </c>
    </row>
    <row r="854" spans="1:2">
      <c r="A854" s="151" t="s">
        <v>2246</v>
      </c>
      <c r="B854" s="151" t="s">
        <v>2247</v>
      </c>
    </row>
    <row r="855" spans="1:2">
      <c r="A855" s="151" t="s">
        <v>2248</v>
      </c>
      <c r="B855" s="151" t="s">
        <v>2249</v>
      </c>
    </row>
    <row r="856" spans="1:2">
      <c r="A856" s="151" t="s">
        <v>2250</v>
      </c>
      <c r="B856" s="151" t="s">
        <v>2251</v>
      </c>
    </row>
    <row r="857" spans="1:2">
      <c r="A857" s="151" t="s">
        <v>2252</v>
      </c>
      <c r="B857" s="151" t="s">
        <v>2253</v>
      </c>
    </row>
    <row r="858" spans="1:2">
      <c r="A858" s="151" t="s">
        <v>2254</v>
      </c>
      <c r="B858" s="151" t="s">
        <v>2255</v>
      </c>
    </row>
    <row r="859" spans="1:2">
      <c r="A859" s="151" t="s">
        <v>2256</v>
      </c>
      <c r="B859" s="151" t="s">
        <v>2257</v>
      </c>
    </row>
    <row r="860" spans="1:2">
      <c r="A860" s="151" t="s">
        <v>2258</v>
      </c>
      <c r="B860" s="151" t="s">
        <v>2259</v>
      </c>
    </row>
    <row r="861" spans="1:2">
      <c r="A861" s="151" t="s">
        <v>2260</v>
      </c>
      <c r="B861" s="151" t="s">
        <v>2261</v>
      </c>
    </row>
    <row r="862" spans="1:2">
      <c r="A862" s="151" t="s">
        <v>2262</v>
      </c>
      <c r="B862" s="151" t="s">
        <v>2263</v>
      </c>
    </row>
    <row r="863" spans="1:2">
      <c r="A863" s="151" t="s">
        <v>2264</v>
      </c>
      <c r="B863" s="151" t="s">
        <v>2265</v>
      </c>
    </row>
    <row r="864" spans="1:2">
      <c r="A864" s="151" t="s">
        <v>2266</v>
      </c>
      <c r="B864" s="151" t="s">
        <v>2267</v>
      </c>
    </row>
    <row r="865" spans="1:2">
      <c r="A865" s="151" t="s">
        <v>2268</v>
      </c>
      <c r="B865" s="151" t="s">
        <v>2269</v>
      </c>
    </row>
    <row r="866" spans="1:2">
      <c r="A866" s="151" t="s">
        <v>2270</v>
      </c>
      <c r="B866" s="151" t="s">
        <v>2271</v>
      </c>
    </row>
    <row r="867" spans="1:2">
      <c r="A867" s="151" t="s">
        <v>2272</v>
      </c>
      <c r="B867" s="151" t="s">
        <v>2273</v>
      </c>
    </row>
    <row r="868" spans="1:2">
      <c r="A868" s="151" t="s">
        <v>2274</v>
      </c>
      <c r="B868" s="151" t="s">
        <v>2275</v>
      </c>
    </row>
    <row r="869" spans="1:2">
      <c r="A869" s="151" t="s">
        <v>2276</v>
      </c>
      <c r="B869" s="151" t="s">
        <v>2277</v>
      </c>
    </row>
    <row r="870" spans="1:2">
      <c r="A870" s="151" t="s">
        <v>2278</v>
      </c>
      <c r="B870" s="151" t="s">
        <v>2279</v>
      </c>
    </row>
    <row r="871" spans="1:2">
      <c r="A871" s="151" t="s">
        <v>2280</v>
      </c>
      <c r="B871" s="151" t="s">
        <v>2281</v>
      </c>
    </row>
    <row r="872" spans="1:2">
      <c r="A872" s="151" t="s">
        <v>2282</v>
      </c>
      <c r="B872" s="151" t="s">
        <v>373</v>
      </c>
    </row>
    <row r="873" spans="1:2">
      <c r="A873" s="151" t="s">
        <v>2283</v>
      </c>
      <c r="B873" s="151" t="s">
        <v>2284</v>
      </c>
    </row>
    <row r="874" spans="1:2">
      <c r="A874" s="151" t="s">
        <v>2285</v>
      </c>
      <c r="B874" s="151" t="s">
        <v>2286</v>
      </c>
    </row>
    <row r="875" spans="1:2">
      <c r="A875" s="151" t="s">
        <v>2287</v>
      </c>
      <c r="B875" s="151" t="s">
        <v>2288</v>
      </c>
    </row>
    <row r="876" spans="1:2">
      <c r="A876" s="151" t="s">
        <v>2289</v>
      </c>
      <c r="B876" s="151" t="s">
        <v>2290</v>
      </c>
    </row>
    <row r="877" spans="1:2">
      <c r="A877" s="151" t="s">
        <v>2291</v>
      </c>
      <c r="B877" s="151" t="s">
        <v>2292</v>
      </c>
    </row>
    <row r="878" spans="1:2">
      <c r="A878" s="151" t="s">
        <v>2293</v>
      </c>
      <c r="B878" s="151" t="s">
        <v>2294</v>
      </c>
    </row>
    <row r="879" spans="1:2">
      <c r="A879" s="151" t="s">
        <v>2295</v>
      </c>
      <c r="B879" s="151" t="s">
        <v>2296</v>
      </c>
    </row>
    <row r="880" spans="1:2">
      <c r="A880" s="151" t="s">
        <v>2297</v>
      </c>
      <c r="B880" s="151" t="s">
        <v>2298</v>
      </c>
    </row>
    <row r="881" spans="1:2">
      <c r="A881" s="151" t="s">
        <v>2299</v>
      </c>
      <c r="B881" s="151" t="s">
        <v>2300</v>
      </c>
    </row>
    <row r="882" spans="1:2">
      <c r="A882" s="151" t="s">
        <v>2301</v>
      </c>
      <c r="B882" s="151" t="s">
        <v>2302</v>
      </c>
    </row>
    <row r="883" spans="1:2">
      <c r="A883" s="151" t="s">
        <v>2303</v>
      </c>
      <c r="B883" s="151" t="s">
        <v>2304</v>
      </c>
    </row>
    <row r="884" spans="1:2">
      <c r="A884" s="151" t="s">
        <v>2305</v>
      </c>
      <c r="B884" s="151" t="s">
        <v>2306</v>
      </c>
    </row>
    <row r="885" spans="1:2">
      <c r="A885" s="151" t="s">
        <v>2307</v>
      </c>
      <c r="B885" s="151" t="s">
        <v>2308</v>
      </c>
    </row>
    <row r="886" spans="1:2">
      <c r="A886" s="151" t="s">
        <v>2309</v>
      </c>
      <c r="B886" s="151" t="s">
        <v>2310</v>
      </c>
    </row>
    <row r="887" spans="1:2">
      <c r="A887" s="151" t="s">
        <v>2311</v>
      </c>
      <c r="B887" s="151" t="s">
        <v>2312</v>
      </c>
    </row>
    <row r="888" spans="1:2">
      <c r="A888" s="151" t="s">
        <v>2313</v>
      </c>
      <c r="B888" s="151" t="s">
        <v>2314</v>
      </c>
    </row>
    <row r="889" spans="1:2">
      <c r="A889" s="151" t="s">
        <v>2315</v>
      </c>
      <c r="B889" s="151" t="s">
        <v>2316</v>
      </c>
    </row>
    <row r="890" spans="1:2">
      <c r="A890" s="151" t="s">
        <v>2317</v>
      </c>
      <c r="B890" s="151" t="s">
        <v>2318</v>
      </c>
    </row>
    <row r="891" spans="1:2">
      <c r="A891" s="151" t="s">
        <v>2319</v>
      </c>
      <c r="B891" s="151" t="s">
        <v>2320</v>
      </c>
    </row>
    <row r="892" spans="1:2">
      <c r="A892" s="151" t="s">
        <v>2321</v>
      </c>
      <c r="B892" s="151" t="s">
        <v>2322</v>
      </c>
    </row>
    <row r="893" spans="1:2">
      <c r="A893" s="151" t="s">
        <v>2323</v>
      </c>
      <c r="B893" s="151" t="s">
        <v>2324</v>
      </c>
    </row>
    <row r="894" spans="1:2">
      <c r="A894" s="151" t="s">
        <v>2325</v>
      </c>
      <c r="B894" s="151" t="s">
        <v>2326</v>
      </c>
    </row>
    <row r="895" spans="1:2">
      <c r="A895" s="151" t="s">
        <v>2327</v>
      </c>
      <c r="B895" s="151" t="s">
        <v>2328</v>
      </c>
    </row>
    <row r="896" spans="1:2">
      <c r="A896" s="151" t="s">
        <v>2329</v>
      </c>
      <c r="B896" s="151" t="s">
        <v>2330</v>
      </c>
    </row>
    <row r="897" spans="1:2">
      <c r="A897" s="151" t="s">
        <v>2331</v>
      </c>
      <c r="B897" s="151" t="s">
        <v>2332</v>
      </c>
    </row>
    <row r="898" spans="1:2">
      <c r="A898" s="151" t="s">
        <v>2333</v>
      </c>
      <c r="B898" s="151" t="s">
        <v>2334</v>
      </c>
    </row>
    <row r="899" spans="1:2">
      <c r="A899" s="151" t="s">
        <v>2335</v>
      </c>
      <c r="B899" s="151" t="s">
        <v>2336</v>
      </c>
    </row>
    <row r="900" spans="1:2">
      <c r="A900" s="151" t="s">
        <v>2337</v>
      </c>
      <c r="B900" s="151" t="s">
        <v>2338</v>
      </c>
    </row>
    <row r="901" spans="1:2">
      <c r="A901" s="151" t="s">
        <v>2339</v>
      </c>
      <c r="B901" s="151" t="s">
        <v>2340</v>
      </c>
    </row>
    <row r="902" spans="1:2">
      <c r="A902" s="151" t="s">
        <v>2341</v>
      </c>
      <c r="B902" s="151" t="s">
        <v>2342</v>
      </c>
    </row>
    <row r="903" spans="1:2">
      <c r="A903" s="151" t="s">
        <v>2343</v>
      </c>
      <c r="B903" s="151" t="s">
        <v>2344</v>
      </c>
    </row>
    <row r="904" spans="1:2">
      <c r="A904" s="151" t="s">
        <v>2345</v>
      </c>
      <c r="B904" s="151" t="s">
        <v>2346</v>
      </c>
    </row>
    <row r="905" spans="1:2">
      <c r="A905" s="151" t="s">
        <v>2347</v>
      </c>
      <c r="B905" s="151" t="s">
        <v>2348</v>
      </c>
    </row>
    <row r="906" spans="1:2">
      <c r="A906" s="151" t="s">
        <v>2349</v>
      </c>
      <c r="B906" s="151" t="s">
        <v>2350</v>
      </c>
    </row>
    <row r="907" spans="1:2">
      <c r="A907" s="151" t="s">
        <v>2351</v>
      </c>
      <c r="B907" s="151" t="s">
        <v>2352</v>
      </c>
    </row>
    <row r="908" spans="1:2">
      <c r="A908" s="151" t="s">
        <v>2353</v>
      </c>
      <c r="B908" s="151" t="s">
        <v>2354</v>
      </c>
    </row>
    <row r="909" spans="1:2">
      <c r="A909" s="151" t="s">
        <v>2355</v>
      </c>
      <c r="B909" s="151" t="s">
        <v>2356</v>
      </c>
    </row>
    <row r="910" spans="1:2">
      <c r="A910" s="151" t="s">
        <v>2357</v>
      </c>
      <c r="B910" s="151" t="s">
        <v>2358</v>
      </c>
    </row>
    <row r="911" spans="1:2">
      <c r="A911" s="151" t="s">
        <v>2359</v>
      </c>
      <c r="B911" s="151" t="s">
        <v>2360</v>
      </c>
    </row>
    <row r="912" spans="1:2">
      <c r="A912" s="151" t="s">
        <v>2361</v>
      </c>
      <c r="B912" s="151" t="s">
        <v>2362</v>
      </c>
    </row>
    <row r="913" spans="1:2">
      <c r="A913" s="151" t="s">
        <v>2363</v>
      </c>
      <c r="B913" s="151" t="s">
        <v>2364</v>
      </c>
    </row>
    <row r="914" spans="1:2">
      <c r="A914" s="151" t="s">
        <v>2365</v>
      </c>
      <c r="B914" s="151" t="s">
        <v>2366</v>
      </c>
    </row>
    <row r="915" spans="1:2">
      <c r="A915" s="151" t="s">
        <v>2367</v>
      </c>
      <c r="B915" s="151" t="s">
        <v>2368</v>
      </c>
    </row>
    <row r="916" spans="1:2">
      <c r="A916" s="151" t="s">
        <v>2369</v>
      </c>
      <c r="B916" s="151" t="s">
        <v>2370</v>
      </c>
    </row>
    <row r="917" spans="1:2">
      <c r="A917" s="151" t="s">
        <v>2371</v>
      </c>
      <c r="B917" s="151" t="s">
        <v>2372</v>
      </c>
    </row>
    <row r="918" spans="1:2">
      <c r="A918" s="151" t="s">
        <v>2373</v>
      </c>
      <c r="B918" s="151" t="s">
        <v>2374</v>
      </c>
    </row>
    <row r="919" spans="1:2">
      <c r="A919" s="151" t="s">
        <v>2375</v>
      </c>
      <c r="B919" s="151" t="s">
        <v>2376</v>
      </c>
    </row>
    <row r="920" spans="1:2">
      <c r="A920" s="151" t="s">
        <v>2377</v>
      </c>
      <c r="B920" s="151" t="s">
        <v>2378</v>
      </c>
    </row>
    <row r="921" spans="1:2">
      <c r="A921" s="151" t="s">
        <v>2379</v>
      </c>
      <c r="B921" s="151" t="s">
        <v>2380</v>
      </c>
    </row>
    <row r="922" spans="1:2">
      <c r="A922" s="151" t="s">
        <v>2381</v>
      </c>
      <c r="B922" s="151" t="s">
        <v>2382</v>
      </c>
    </row>
    <row r="923" spans="1:2">
      <c r="A923" s="151" t="s">
        <v>2383</v>
      </c>
      <c r="B923" s="151" t="s">
        <v>2384</v>
      </c>
    </row>
    <row r="924" spans="1:2">
      <c r="A924" s="151" t="s">
        <v>2385</v>
      </c>
      <c r="B924" s="151" t="s">
        <v>2386</v>
      </c>
    </row>
    <row r="925" spans="1:2">
      <c r="A925" s="151" t="s">
        <v>2387</v>
      </c>
      <c r="B925" s="151" t="s">
        <v>2388</v>
      </c>
    </row>
    <row r="926" spans="1:2">
      <c r="A926" s="151" t="s">
        <v>2389</v>
      </c>
      <c r="B926" s="151" t="s">
        <v>2390</v>
      </c>
    </row>
    <row r="927" spans="1:2">
      <c r="A927" s="151" t="s">
        <v>2391</v>
      </c>
      <c r="B927" s="151" t="s">
        <v>2392</v>
      </c>
    </row>
    <row r="928" spans="1:2">
      <c r="A928" s="151" t="s">
        <v>2393</v>
      </c>
      <c r="B928" s="151" t="s">
        <v>2394</v>
      </c>
    </row>
    <row r="929" spans="1:2">
      <c r="A929" s="151" t="s">
        <v>2395</v>
      </c>
      <c r="B929" s="151" t="s">
        <v>2396</v>
      </c>
    </row>
    <row r="930" spans="1:2">
      <c r="A930" s="151" t="s">
        <v>2397</v>
      </c>
      <c r="B930" s="151" t="s">
        <v>2398</v>
      </c>
    </row>
    <row r="931" spans="1:2">
      <c r="A931" s="151" t="s">
        <v>2399</v>
      </c>
      <c r="B931" s="151" t="s">
        <v>2400</v>
      </c>
    </row>
    <row r="932" spans="1:2">
      <c r="A932" s="151" t="s">
        <v>2401</v>
      </c>
      <c r="B932" s="151" t="s">
        <v>2402</v>
      </c>
    </row>
    <row r="933" spans="1:2">
      <c r="A933" s="151" t="s">
        <v>2403</v>
      </c>
      <c r="B933" s="151" t="s">
        <v>2404</v>
      </c>
    </row>
    <row r="934" spans="1:2">
      <c r="A934" s="151" t="s">
        <v>2405</v>
      </c>
      <c r="B934" s="151" t="s">
        <v>2406</v>
      </c>
    </row>
    <row r="935" spans="1:2">
      <c r="A935" s="151" t="s">
        <v>2407</v>
      </c>
      <c r="B935" s="151" t="s">
        <v>2408</v>
      </c>
    </row>
    <row r="936" spans="1:2">
      <c r="A936" s="151" t="s">
        <v>2409</v>
      </c>
      <c r="B936" s="151" t="s">
        <v>2410</v>
      </c>
    </row>
    <row r="937" spans="1:2">
      <c r="A937" s="151" t="s">
        <v>2411</v>
      </c>
      <c r="B937" s="151" t="s">
        <v>2412</v>
      </c>
    </row>
    <row r="938" spans="1:2">
      <c r="A938" s="151" t="s">
        <v>2413</v>
      </c>
      <c r="B938" s="151" t="s">
        <v>2414</v>
      </c>
    </row>
    <row r="939" spans="1:2">
      <c r="A939" s="151" t="s">
        <v>2415</v>
      </c>
      <c r="B939" s="151" t="s">
        <v>2416</v>
      </c>
    </row>
    <row r="940" spans="1:2">
      <c r="A940" s="151" t="s">
        <v>2417</v>
      </c>
      <c r="B940" s="151" t="s">
        <v>2418</v>
      </c>
    </row>
    <row r="941" spans="1:2">
      <c r="A941" s="151" t="s">
        <v>2419</v>
      </c>
      <c r="B941" s="151" t="s">
        <v>2420</v>
      </c>
    </row>
    <row r="942" spans="1:2">
      <c r="A942" s="151" t="s">
        <v>2421</v>
      </c>
      <c r="B942" s="151" t="s">
        <v>2422</v>
      </c>
    </row>
    <row r="943" spans="1:2">
      <c r="A943" s="151" t="s">
        <v>2423</v>
      </c>
      <c r="B943" s="151" t="s">
        <v>2424</v>
      </c>
    </row>
    <row r="944" spans="1:2">
      <c r="A944" s="151" t="s">
        <v>2425</v>
      </c>
      <c r="B944" s="151" t="s">
        <v>2426</v>
      </c>
    </row>
    <row r="945" spans="1:2">
      <c r="A945" s="151" t="s">
        <v>2427</v>
      </c>
      <c r="B945" s="151" t="s">
        <v>2428</v>
      </c>
    </row>
    <row r="946" spans="1:2">
      <c r="A946" s="151" t="s">
        <v>2429</v>
      </c>
      <c r="B946" s="151" t="s">
        <v>2430</v>
      </c>
    </row>
    <row r="947" spans="1:2">
      <c r="A947" s="151" t="s">
        <v>2431</v>
      </c>
      <c r="B947" s="151" t="s">
        <v>2432</v>
      </c>
    </row>
    <row r="948" spans="1:2">
      <c r="A948" s="151" t="s">
        <v>2433</v>
      </c>
      <c r="B948" s="151" t="s">
        <v>2434</v>
      </c>
    </row>
    <row r="949" spans="1:2">
      <c r="A949" s="151" t="s">
        <v>2435</v>
      </c>
      <c r="B949" s="151" t="s">
        <v>2436</v>
      </c>
    </row>
    <row r="950" spans="1:2">
      <c r="A950" s="151" t="s">
        <v>2437</v>
      </c>
      <c r="B950" s="151" t="s">
        <v>2438</v>
      </c>
    </row>
    <row r="951" spans="1:2">
      <c r="A951" s="151" t="s">
        <v>2439</v>
      </c>
      <c r="B951" s="151" t="s">
        <v>2440</v>
      </c>
    </row>
    <row r="952" spans="1:2">
      <c r="A952" s="151" t="s">
        <v>2441</v>
      </c>
      <c r="B952" s="151" t="s">
        <v>2442</v>
      </c>
    </row>
    <row r="953" spans="1:2">
      <c r="A953" s="151" t="s">
        <v>2443</v>
      </c>
      <c r="B953" s="151" t="s">
        <v>2444</v>
      </c>
    </row>
    <row r="954" spans="1:2">
      <c r="A954" s="151" t="s">
        <v>2445</v>
      </c>
      <c r="B954" s="151" t="s">
        <v>2446</v>
      </c>
    </row>
    <row r="955" spans="1:2">
      <c r="A955" s="151" t="s">
        <v>2447</v>
      </c>
      <c r="B955" s="151" t="s">
        <v>2448</v>
      </c>
    </row>
    <row r="956" spans="1:2">
      <c r="A956" s="151" t="s">
        <v>2449</v>
      </c>
      <c r="B956" s="151" t="s">
        <v>2450</v>
      </c>
    </row>
    <row r="957" spans="1:2">
      <c r="A957" s="151" t="s">
        <v>2451</v>
      </c>
      <c r="B957" s="151" t="s">
        <v>2452</v>
      </c>
    </row>
    <row r="958" spans="1:2">
      <c r="A958" s="151" t="s">
        <v>2453</v>
      </c>
      <c r="B958" s="151" t="s">
        <v>2454</v>
      </c>
    </row>
    <row r="959" spans="1:2">
      <c r="A959" s="151" t="s">
        <v>2455</v>
      </c>
      <c r="B959" s="151" t="s">
        <v>2456</v>
      </c>
    </row>
    <row r="960" spans="1:2">
      <c r="A960" s="151" t="s">
        <v>2457</v>
      </c>
      <c r="B960" s="151" t="s">
        <v>2458</v>
      </c>
    </row>
    <row r="961" spans="1:2">
      <c r="A961" s="151" t="s">
        <v>2459</v>
      </c>
      <c r="B961" s="151" t="s">
        <v>2460</v>
      </c>
    </row>
    <row r="962" spans="1:2">
      <c r="A962" s="151" t="s">
        <v>2461</v>
      </c>
      <c r="B962" s="151" t="s">
        <v>2462</v>
      </c>
    </row>
    <row r="963" spans="1:2">
      <c r="A963" s="151" t="s">
        <v>2463</v>
      </c>
      <c r="B963" s="151" t="s">
        <v>2464</v>
      </c>
    </row>
    <row r="964" spans="1:2">
      <c r="A964" s="151" t="s">
        <v>2465</v>
      </c>
      <c r="B964" s="151" t="s">
        <v>2466</v>
      </c>
    </row>
    <row r="965" spans="1:2">
      <c r="A965" s="151" t="s">
        <v>2467</v>
      </c>
      <c r="B965" s="151" t="s">
        <v>2468</v>
      </c>
    </row>
    <row r="966" spans="1:2">
      <c r="A966" s="151" t="s">
        <v>2469</v>
      </c>
      <c r="B966" s="151" t="s">
        <v>302</v>
      </c>
    </row>
    <row r="967" spans="1:2">
      <c r="A967" s="151" t="s">
        <v>2470</v>
      </c>
      <c r="B967" s="151" t="s">
        <v>2471</v>
      </c>
    </row>
    <row r="968" spans="1:2">
      <c r="A968" s="151" t="s">
        <v>2472</v>
      </c>
      <c r="B968" s="151" t="s">
        <v>2473</v>
      </c>
    </row>
    <row r="969" spans="1:2">
      <c r="A969" s="151" t="s">
        <v>2474</v>
      </c>
      <c r="B969" s="151" t="s">
        <v>2475</v>
      </c>
    </row>
    <row r="970" spans="1:2">
      <c r="A970" s="151" t="s">
        <v>2476</v>
      </c>
      <c r="B970" s="151" t="s">
        <v>2477</v>
      </c>
    </row>
    <row r="971" spans="1:2">
      <c r="A971" s="151" t="s">
        <v>2478</v>
      </c>
      <c r="B971" s="151" t="s">
        <v>2479</v>
      </c>
    </row>
    <row r="972" spans="1:2">
      <c r="A972" s="151" t="s">
        <v>2480</v>
      </c>
      <c r="B972" s="151" t="s">
        <v>2481</v>
      </c>
    </row>
    <row r="973" spans="1:2">
      <c r="A973" s="151" t="s">
        <v>2482</v>
      </c>
      <c r="B973" s="151" t="s">
        <v>2483</v>
      </c>
    </row>
    <row r="974" spans="1:2">
      <c r="A974" s="151" t="s">
        <v>2484</v>
      </c>
      <c r="B974" s="151" t="s">
        <v>2485</v>
      </c>
    </row>
    <row r="975" spans="1:2">
      <c r="A975" s="151" t="s">
        <v>2486</v>
      </c>
      <c r="B975" s="151" t="s">
        <v>2487</v>
      </c>
    </row>
    <row r="976" spans="1:2">
      <c r="A976" s="151" t="s">
        <v>2488</v>
      </c>
      <c r="B976" s="151" t="s">
        <v>2489</v>
      </c>
    </row>
    <row r="977" spans="1:2">
      <c r="A977" s="151" t="s">
        <v>2490</v>
      </c>
      <c r="B977" s="151" t="s">
        <v>2491</v>
      </c>
    </row>
    <row r="978" spans="1:2">
      <c r="A978" s="151" t="s">
        <v>2492</v>
      </c>
      <c r="B978" s="151" t="s">
        <v>2493</v>
      </c>
    </row>
    <row r="979" spans="1:2">
      <c r="A979" s="151" t="s">
        <v>2494</v>
      </c>
      <c r="B979" s="151" t="s">
        <v>2495</v>
      </c>
    </row>
    <row r="980" spans="1:2">
      <c r="A980" s="151" t="s">
        <v>2496</v>
      </c>
      <c r="B980" s="151" t="s">
        <v>2497</v>
      </c>
    </row>
    <row r="981" spans="1:2">
      <c r="A981" s="151" t="s">
        <v>2498</v>
      </c>
      <c r="B981" s="151" t="s">
        <v>2499</v>
      </c>
    </row>
    <row r="982" spans="1:2">
      <c r="A982" s="151" t="s">
        <v>2500</v>
      </c>
      <c r="B982" s="151" t="s">
        <v>2501</v>
      </c>
    </row>
    <row r="983" spans="1:2">
      <c r="A983" s="151" t="s">
        <v>2502</v>
      </c>
      <c r="B983" s="151" t="s">
        <v>2503</v>
      </c>
    </row>
    <row r="984" spans="1:2">
      <c r="A984" s="151" t="s">
        <v>2504</v>
      </c>
      <c r="B984" s="151" t="s">
        <v>2505</v>
      </c>
    </row>
    <row r="985" spans="1:2">
      <c r="A985" s="151" t="s">
        <v>2506</v>
      </c>
      <c r="B985" s="151" t="s">
        <v>2507</v>
      </c>
    </row>
    <row r="986" spans="1:2">
      <c r="A986" s="151" t="s">
        <v>2508</v>
      </c>
      <c r="B986" s="151" t="s">
        <v>2509</v>
      </c>
    </row>
    <row r="987" spans="1:2">
      <c r="A987" s="151" t="s">
        <v>2510</v>
      </c>
      <c r="B987" s="151" t="s">
        <v>2511</v>
      </c>
    </row>
    <row r="988" spans="1:2">
      <c r="A988" s="151" t="s">
        <v>2512</v>
      </c>
      <c r="B988" s="151" t="s">
        <v>2513</v>
      </c>
    </row>
    <row r="989" spans="1:2">
      <c r="A989" s="151" t="s">
        <v>2514</v>
      </c>
      <c r="B989" s="151" t="s">
        <v>2515</v>
      </c>
    </row>
    <row r="990" spans="1:2">
      <c r="A990" s="151" t="s">
        <v>2516</v>
      </c>
      <c r="B990" s="151" t="s">
        <v>2517</v>
      </c>
    </row>
    <row r="991" spans="1:2">
      <c r="A991" s="151" t="s">
        <v>2518</v>
      </c>
      <c r="B991" s="151" t="s">
        <v>307</v>
      </c>
    </row>
    <row r="992" spans="1:2">
      <c r="A992" s="151" t="s">
        <v>2519</v>
      </c>
      <c r="B992" s="151" t="s">
        <v>2520</v>
      </c>
    </row>
    <row r="993" spans="1:2">
      <c r="A993" s="151" t="s">
        <v>2521</v>
      </c>
      <c r="B993" s="151" t="s">
        <v>2522</v>
      </c>
    </row>
    <row r="994" spans="1:2">
      <c r="A994" s="151" t="s">
        <v>2523</v>
      </c>
      <c r="B994" s="151" t="s">
        <v>2524</v>
      </c>
    </row>
    <row r="995" spans="1:2">
      <c r="A995" s="151" t="s">
        <v>2525</v>
      </c>
      <c r="B995" s="151" t="s">
        <v>2526</v>
      </c>
    </row>
    <row r="996" spans="1:2">
      <c r="A996" s="151" t="s">
        <v>2527</v>
      </c>
      <c r="B996" s="151" t="s">
        <v>2528</v>
      </c>
    </row>
    <row r="997" spans="1:2">
      <c r="A997" s="151" t="s">
        <v>2529</v>
      </c>
      <c r="B997" s="151" t="s">
        <v>2530</v>
      </c>
    </row>
    <row r="998" spans="1:2">
      <c r="A998" s="151" t="s">
        <v>2531</v>
      </c>
      <c r="B998" s="151" t="s">
        <v>2532</v>
      </c>
    </row>
    <row r="999" spans="1:2">
      <c r="A999" s="151" t="s">
        <v>2533</v>
      </c>
      <c r="B999" s="151" t="s">
        <v>2534</v>
      </c>
    </row>
    <row r="1000" spans="1:2">
      <c r="A1000" s="151" t="s">
        <v>2535</v>
      </c>
      <c r="B1000" s="151" t="s">
        <v>2536</v>
      </c>
    </row>
    <row r="1001" spans="1:2">
      <c r="A1001" s="151" t="s">
        <v>2537</v>
      </c>
      <c r="B1001" s="151" t="s">
        <v>2538</v>
      </c>
    </row>
    <row r="1002" spans="1:2">
      <c r="A1002" s="151" t="s">
        <v>2539</v>
      </c>
      <c r="B1002" s="151" t="s">
        <v>2540</v>
      </c>
    </row>
    <row r="1003" spans="1:2">
      <c r="A1003" s="151" t="s">
        <v>2541</v>
      </c>
      <c r="B1003" s="151" t="s">
        <v>2542</v>
      </c>
    </row>
    <row r="1004" spans="1:2">
      <c r="A1004" s="151" t="s">
        <v>2543</v>
      </c>
      <c r="B1004" s="151" t="s">
        <v>2544</v>
      </c>
    </row>
    <row r="1005" spans="1:2">
      <c r="A1005" s="151" t="s">
        <v>2545</v>
      </c>
      <c r="B1005" s="151" t="s">
        <v>2546</v>
      </c>
    </row>
    <row r="1006" spans="1:2">
      <c r="A1006" s="151" t="s">
        <v>2547</v>
      </c>
      <c r="B1006" s="151" t="s">
        <v>2548</v>
      </c>
    </row>
    <row r="1007" spans="1:2">
      <c r="A1007" s="151" t="s">
        <v>2549</v>
      </c>
      <c r="B1007" s="151" t="s">
        <v>2550</v>
      </c>
    </row>
    <row r="1008" spans="1:2">
      <c r="A1008" s="151" t="s">
        <v>2551</v>
      </c>
      <c r="B1008" s="151" t="s">
        <v>2552</v>
      </c>
    </row>
    <row r="1009" spans="1:2">
      <c r="A1009" s="151" t="s">
        <v>2553</v>
      </c>
      <c r="B1009" s="151" t="s">
        <v>2554</v>
      </c>
    </row>
    <row r="1010" spans="1:2">
      <c r="A1010" s="151" t="s">
        <v>2555</v>
      </c>
      <c r="B1010" s="151" t="s">
        <v>2556</v>
      </c>
    </row>
    <row r="1011" spans="1:2">
      <c r="A1011" s="151" t="s">
        <v>2557</v>
      </c>
      <c r="B1011" s="151" t="s">
        <v>2558</v>
      </c>
    </row>
    <row r="1012" spans="1:2">
      <c r="A1012" s="151" t="s">
        <v>2559</v>
      </c>
      <c r="B1012" s="151" t="s">
        <v>2560</v>
      </c>
    </row>
    <row r="1013" spans="1:2">
      <c r="A1013" s="151" t="s">
        <v>2561</v>
      </c>
      <c r="B1013" s="151" t="s">
        <v>2562</v>
      </c>
    </row>
    <row r="1014" spans="1:2">
      <c r="A1014" s="151" t="s">
        <v>2563</v>
      </c>
      <c r="B1014" s="151" t="s">
        <v>2564</v>
      </c>
    </row>
    <row r="1015" spans="1:2">
      <c r="A1015" s="151" t="s">
        <v>2565</v>
      </c>
      <c r="B1015" s="151" t="s">
        <v>2566</v>
      </c>
    </row>
    <row r="1016" spans="1:2">
      <c r="A1016" s="151" t="s">
        <v>2567</v>
      </c>
      <c r="B1016" s="151" t="s">
        <v>2568</v>
      </c>
    </row>
    <row r="1017" spans="1:2">
      <c r="A1017" s="151" t="s">
        <v>2569</v>
      </c>
      <c r="B1017" s="151" t="s">
        <v>2570</v>
      </c>
    </row>
    <row r="1018" spans="1:2">
      <c r="A1018" s="151" t="s">
        <v>2571</v>
      </c>
      <c r="B1018" s="151" t="s">
        <v>2572</v>
      </c>
    </row>
    <row r="1019" spans="1:2">
      <c r="A1019" s="151" t="s">
        <v>2573</v>
      </c>
      <c r="B1019" s="151" t="s">
        <v>2574</v>
      </c>
    </row>
    <row r="1020" spans="1:2">
      <c r="A1020" s="151" t="s">
        <v>2575</v>
      </c>
      <c r="B1020" s="151" t="s">
        <v>2576</v>
      </c>
    </row>
    <row r="1021" spans="1:2">
      <c r="A1021" s="151" t="s">
        <v>2577</v>
      </c>
      <c r="B1021" s="151" t="s">
        <v>2578</v>
      </c>
    </row>
    <row r="1022" spans="1:2">
      <c r="A1022" s="151" t="s">
        <v>2579</v>
      </c>
      <c r="B1022" s="151" t="s">
        <v>2580</v>
      </c>
    </row>
    <row r="1023" spans="1:2">
      <c r="A1023" s="151" t="s">
        <v>2581</v>
      </c>
      <c r="B1023" s="151" t="s">
        <v>2582</v>
      </c>
    </row>
    <row r="1024" spans="1:2">
      <c r="A1024" s="151" t="s">
        <v>2583</v>
      </c>
      <c r="B1024" s="151" t="s">
        <v>2584</v>
      </c>
    </row>
    <row r="1025" spans="1:2">
      <c r="A1025" s="151" t="s">
        <v>2585</v>
      </c>
      <c r="B1025" s="151" t="s">
        <v>2586</v>
      </c>
    </row>
    <row r="1026" spans="1:2">
      <c r="A1026" s="151" t="s">
        <v>2587</v>
      </c>
      <c r="B1026" s="151" t="s">
        <v>2588</v>
      </c>
    </row>
    <row r="1027" spans="1:2">
      <c r="A1027" s="151" t="s">
        <v>2589</v>
      </c>
      <c r="B1027" s="151" t="s">
        <v>2590</v>
      </c>
    </row>
    <row r="1028" spans="1:2">
      <c r="A1028" s="151" t="s">
        <v>2591</v>
      </c>
      <c r="B1028" s="151" t="s">
        <v>2592</v>
      </c>
    </row>
    <row r="1029" spans="1:2">
      <c r="A1029" s="151" t="s">
        <v>2593</v>
      </c>
      <c r="B1029" s="151" t="s">
        <v>2594</v>
      </c>
    </row>
    <row r="1030" spans="1:2">
      <c r="A1030" s="151" t="s">
        <v>2595</v>
      </c>
      <c r="B1030" s="151" t="s">
        <v>2596</v>
      </c>
    </row>
    <row r="1031" spans="1:2">
      <c r="A1031" s="151" t="s">
        <v>2597</v>
      </c>
      <c r="B1031" s="151" t="s">
        <v>2598</v>
      </c>
    </row>
    <row r="1032" spans="1:2">
      <c r="A1032" s="151" t="s">
        <v>2599</v>
      </c>
      <c r="B1032" s="151" t="s">
        <v>2600</v>
      </c>
    </row>
    <row r="1033" spans="1:2">
      <c r="A1033" s="151" t="s">
        <v>2601</v>
      </c>
      <c r="B1033" s="151" t="s">
        <v>2602</v>
      </c>
    </row>
    <row r="1034" spans="1:2">
      <c r="A1034" s="151" t="s">
        <v>2603</v>
      </c>
      <c r="B1034" s="151" t="s">
        <v>2604</v>
      </c>
    </row>
    <row r="1035" spans="1:2">
      <c r="A1035" s="151" t="s">
        <v>2605</v>
      </c>
      <c r="B1035" s="151" t="s">
        <v>2606</v>
      </c>
    </row>
    <row r="1036" spans="1:2">
      <c r="A1036" s="151" t="s">
        <v>2607</v>
      </c>
      <c r="B1036" s="151" t="s">
        <v>2608</v>
      </c>
    </row>
    <row r="1037" spans="1:2">
      <c r="A1037" s="151" t="s">
        <v>2609</v>
      </c>
      <c r="B1037" s="151" t="s">
        <v>2610</v>
      </c>
    </row>
    <row r="1038" spans="1:2">
      <c r="A1038" s="151" t="s">
        <v>2611</v>
      </c>
      <c r="B1038" s="151" t="s">
        <v>2612</v>
      </c>
    </row>
    <row r="1039" spans="1:2">
      <c r="A1039" s="151" t="s">
        <v>2613</v>
      </c>
      <c r="B1039" s="151" t="s">
        <v>2614</v>
      </c>
    </row>
    <row r="1040" spans="1:2">
      <c r="A1040" s="151" t="s">
        <v>2615</v>
      </c>
      <c r="B1040" s="151" t="s">
        <v>2616</v>
      </c>
    </row>
    <row r="1041" spans="1:2">
      <c r="A1041" s="151" t="s">
        <v>2617</v>
      </c>
      <c r="B1041" s="151" t="s">
        <v>2618</v>
      </c>
    </row>
    <row r="1042" spans="1:2">
      <c r="A1042" s="151" t="s">
        <v>2619</v>
      </c>
      <c r="B1042" s="151" t="s">
        <v>2620</v>
      </c>
    </row>
    <row r="1043" spans="1:2">
      <c r="A1043" s="151" t="s">
        <v>2621</v>
      </c>
      <c r="B1043" s="151" t="s">
        <v>2622</v>
      </c>
    </row>
    <row r="1044" spans="1:2">
      <c r="A1044" s="151" t="s">
        <v>2623</v>
      </c>
      <c r="B1044" s="151" t="s">
        <v>2624</v>
      </c>
    </row>
    <row r="1045" spans="1:2">
      <c r="A1045" s="151" t="s">
        <v>2625</v>
      </c>
      <c r="B1045" s="151" t="s">
        <v>2626</v>
      </c>
    </row>
    <row r="1046" spans="1:2">
      <c r="A1046" s="151" t="s">
        <v>2627</v>
      </c>
      <c r="B1046" s="151" t="s">
        <v>2628</v>
      </c>
    </row>
    <row r="1047" spans="1:2">
      <c r="A1047" s="151" t="s">
        <v>2629</v>
      </c>
      <c r="B1047" s="151" t="s">
        <v>2630</v>
      </c>
    </row>
    <row r="1048" spans="1:2">
      <c r="A1048" s="151" t="s">
        <v>2631</v>
      </c>
      <c r="B1048" s="151" t="s">
        <v>2632</v>
      </c>
    </row>
    <row r="1049" spans="1:2">
      <c r="A1049" s="151" t="s">
        <v>2633</v>
      </c>
      <c r="B1049" s="151" t="s">
        <v>2634</v>
      </c>
    </row>
    <row r="1050" spans="1:2">
      <c r="A1050" s="151" t="s">
        <v>2635</v>
      </c>
      <c r="B1050" s="151" t="s">
        <v>2636</v>
      </c>
    </row>
    <row r="1051" spans="1:2">
      <c r="A1051" s="151" t="s">
        <v>2637</v>
      </c>
      <c r="B1051" s="151" t="s">
        <v>2638</v>
      </c>
    </row>
    <row r="1052" spans="1:2">
      <c r="A1052" s="151" t="s">
        <v>2639</v>
      </c>
      <c r="B1052" s="151" t="s">
        <v>2640</v>
      </c>
    </row>
    <row r="1053" spans="1:2">
      <c r="A1053" s="151" t="s">
        <v>2641</v>
      </c>
      <c r="B1053" s="151" t="s">
        <v>2642</v>
      </c>
    </row>
    <row r="1054" spans="1:2">
      <c r="A1054" s="151" t="s">
        <v>2643</v>
      </c>
      <c r="B1054" s="151" t="s">
        <v>2644</v>
      </c>
    </row>
    <row r="1055" spans="1:2">
      <c r="A1055" s="151" t="s">
        <v>2645</v>
      </c>
      <c r="B1055" s="151" t="s">
        <v>2646</v>
      </c>
    </row>
    <row r="1056" spans="1:2">
      <c r="A1056" s="151" t="s">
        <v>2647</v>
      </c>
      <c r="B1056" s="151" t="s">
        <v>2648</v>
      </c>
    </row>
    <row r="1057" spans="1:2">
      <c r="A1057" s="151" t="s">
        <v>2649</v>
      </c>
      <c r="B1057" s="151" t="s">
        <v>2650</v>
      </c>
    </row>
    <row r="1058" spans="1:2">
      <c r="A1058" s="151" t="s">
        <v>2651</v>
      </c>
      <c r="B1058" s="151" t="s">
        <v>2652</v>
      </c>
    </row>
    <row r="1059" spans="1:2">
      <c r="A1059" s="151" t="s">
        <v>2653</v>
      </c>
      <c r="B1059" s="151" t="s">
        <v>2654</v>
      </c>
    </row>
    <row r="1060" spans="1:2">
      <c r="A1060" s="151" t="s">
        <v>2655</v>
      </c>
      <c r="B1060" s="151" t="s">
        <v>2656</v>
      </c>
    </row>
    <row r="1061" spans="1:2">
      <c r="A1061" s="151" t="s">
        <v>2657</v>
      </c>
      <c r="B1061" s="151" t="s">
        <v>2658</v>
      </c>
    </row>
    <row r="1062" spans="1:2">
      <c r="A1062" s="151" t="s">
        <v>2659</v>
      </c>
      <c r="B1062" s="151" t="s">
        <v>2660</v>
      </c>
    </row>
    <row r="1063" spans="1:2">
      <c r="A1063" s="151" t="s">
        <v>2661</v>
      </c>
      <c r="B1063" s="151" t="s">
        <v>2662</v>
      </c>
    </row>
    <row r="1064" spans="1:2">
      <c r="A1064" s="151" t="s">
        <v>2663</v>
      </c>
      <c r="B1064" s="151" t="s">
        <v>2664</v>
      </c>
    </row>
    <row r="1065" spans="1:2">
      <c r="A1065" s="151" t="s">
        <v>2665</v>
      </c>
      <c r="B1065" s="151" t="s">
        <v>2666</v>
      </c>
    </row>
    <row r="1066" spans="1:2">
      <c r="A1066" s="151" t="s">
        <v>2667</v>
      </c>
      <c r="B1066" s="151" t="s">
        <v>2668</v>
      </c>
    </row>
    <row r="1067" spans="1:2">
      <c r="A1067" s="151" t="s">
        <v>2669</v>
      </c>
      <c r="B1067" s="151" t="s">
        <v>2670</v>
      </c>
    </row>
    <row r="1068" spans="1:2">
      <c r="A1068" s="151" t="s">
        <v>2671</v>
      </c>
      <c r="B1068" s="151" t="s">
        <v>2672</v>
      </c>
    </row>
    <row r="1069" spans="1:2">
      <c r="A1069" s="151" t="s">
        <v>2673</v>
      </c>
      <c r="B1069" s="151" t="s">
        <v>2674</v>
      </c>
    </row>
    <row r="1070" spans="1:2">
      <c r="A1070" s="151" t="s">
        <v>2675</v>
      </c>
      <c r="B1070" s="151" t="s">
        <v>2676</v>
      </c>
    </row>
    <row r="1071" spans="1:2">
      <c r="A1071" s="151" t="s">
        <v>2677</v>
      </c>
      <c r="B1071" s="151" t="s">
        <v>2678</v>
      </c>
    </row>
    <row r="1072" spans="1:2">
      <c r="A1072" s="151" t="s">
        <v>2679</v>
      </c>
      <c r="B1072" s="151" t="s">
        <v>2680</v>
      </c>
    </row>
    <row r="1073" spans="1:2">
      <c r="A1073" s="151" t="s">
        <v>2681</v>
      </c>
      <c r="B1073" s="151" t="s">
        <v>2682</v>
      </c>
    </row>
    <row r="1074" spans="1:2">
      <c r="A1074" s="151" t="s">
        <v>2683</v>
      </c>
      <c r="B1074" s="151" t="s">
        <v>2684</v>
      </c>
    </row>
    <row r="1075" spans="1:2">
      <c r="A1075" s="151" t="s">
        <v>2685</v>
      </c>
      <c r="B1075" s="151" t="s">
        <v>2686</v>
      </c>
    </row>
    <row r="1076" spans="1:2">
      <c r="A1076" s="151" t="s">
        <v>2687</v>
      </c>
      <c r="B1076" s="151" t="s">
        <v>2688</v>
      </c>
    </row>
    <row r="1077" spans="1:2">
      <c r="A1077" s="151" t="s">
        <v>2689</v>
      </c>
      <c r="B1077" s="151" t="s">
        <v>2690</v>
      </c>
    </row>
    <row r="1078" spans="1:2">
      <c r="A1078" s="151" t="s">
        <v>2691</v>
      </c>
      <c r="B1078" s="151" t="s">
        <v>2692</v>
      </c>
    </row>
    <row r="1079" spans="1:2">
      <c r="A1079" s="151" t="s">
        <v>2693</v>
      </c>
      <c r="B1079" s="151" t="s">
        <v>2694</v>
      </c>
    </row>
    <row r="1080" spans="1:2">
      <c r="A1080" s="151" t="s">
        <v>2695</v>
      </c>
      <c r="B1080" s="151" t="s">
        <v>2696</v>
      </c>
    </row>
    <row r="1081" spans="1:2">
      <c r="A1081" s="151" t="s">
        <v>2697</v>
      </c>
      <c r="B1081" s="151" t="s">
        <v>2698</v>
      </c>
    </row>
    <row r="1082" spans="1:2">
      <c r="A1082" s="151" t="s">
        <v>2699</v>
      </c>
      <c r="B1082" s="151" t="s">
        <v>2700</v>
      </c>
    </row>
    <row r="1083" spans="1:2">
      <c r="A1083" s="151" t="s">
        <v>2701</v>
      </c>
      <c r="B1083" s="151" t="s">
        <v>2702</v>
      </c>
    </row>
    <row r="1084" spans="1:2">
      <c r="A1084" s="151" t="s">
        <v>2703</v>
      </c>
      <c r="B1084" s="151" t="s">
        <v>2704</v>
      </c>
    </row>
    <row r="1085" spans="1:2">
      <c r="A1085" s="151" t="s">
        <v>2705</v>
      </c>
      <c r="B1085" s="151" t="s">
        <v>2706</v>
      </c>
    </row>
    <row r="1086" spans="1:2">
      <c r="A1086" s="151" t="s">
        <v>2707</v>
      </c>
      <c r="B1086" s="151" t="s">
        <v>2708</v>
      </c>
    </row>
    <row r="1087" spans="1:2">
      <c r="A1087" s="151" t="s">
        <v>2709</v>
      </c>
      <c r="B1087" s="151" t="s">
        <v>2710</v>
      </c>
    </row>
    <row r="1088" spans="1:2">
      <c r="A1088" s="151" t="s">
        <v>2711</v>
      </c>
      <c r="B1088" s="151" t="s">
        <v>2712</v>
      </c>
    </row>
    <row r="1089" spans="1:2">
      <c r="A1089" s="151" t="s">
        <v>2713</v>
      </c>
      <c r="B1089" s="151" t="s">
        <v>2714</v>
      </c>
    </row>
    <row r="1090" spans="1:2">
      <c r="A1090" s="151" t="s">
        <v>2715</v>
      </c>
      <c r="B1090" s="151" t="s">
        <v>2716</v>
      </c>
    </row>
    <row r="1091" spans="1:2">
      <c r="A1091" s="151" t="s">
        <v>2717</v>
      </c>
      <c r="B1091" s="151" t="s">
        <v>2718</v>
      </c>
    </row>
    <row r="1092" spans="1:2">
      <c r="A1092" s="151" t="s">
        <v>2719</v>
      </c>
      <c r="B1092" s="151" t="s">
        <v>2720</v>
      </c>
    </row>
    <row r="1093" spans="1:2">
      <c r="A1093" s="151" t="s">
        <v>2721</v>
      </c>
      <c r="B1093" s="151" t="s">
        <v>2722</v>
      </c>
    </row>
    <row r="1094" spans="1:2">
      <c r="A1094" s="151" t="s">
        <v>2723</v>
      </c>
      <c r="B1094" s="151" t="s">
        <v>2724</v>
      </c>
    </row>
    <row r="1095" spans="1:2">
      <c r="A1095" s="151" t="s">
        <v>2725</v>
      </c>
      <c r="B1095" s="151" t="s">
        <v>2726</v>
      </c>
    </row>
    <row r="1096" spans="1:2">
      <c r="A1096" s="151" t="s">
        <v>2727</v>
      </c>
      <c r="B1096" s="151" t="s">
        <v>2728</v>
      </c>
    </row>
    <row r="1097" spans="1:2">
      <c r="A1097" s="151" t="s">
        <v>2729</v>
      </c>
      <c r="B1097" s="151" t="s">
        <v>2730</v>
      </c>
    </row>
    <row r="1098" spans="1:2">
      <c r="A1098" s="151" t="s">
        <v>2731</v>
      </c>
      <c r="B1098" s="151" t="s">
        <v>2732</v>
      </c>
    </row>
    <row r="1099" spans="1:2">
      <c r="A1099" s="151" t="s">
        <v>2733</v>
      </c>
      <c r="B1099" s="151" t="s">
        <v>2734</v>
      </c>
    </row>
    <row r="1100" spans="1:2">
      <c r="A1100" s="151" t="s">
        <v>2735</v>
      </c>
      <c r="B1100" s="151" t="s">
        <v>2736</v>
      </c>
    </row>
    <row r="1101" spans="1:2">
      <c r="A1101" s="151" t="s">
        <v>2737</v>
      </c>
      <c r="B1101" s="151" t="s">
        <v>2738</v>
      </c>
    </row>
    <row r="1102" spans="1:2">
      <c r="A1102" s="151" t="s">
        <v>2739</v>
      </c>
      <c r="B1102" s="151" t="s">
        <v>2740</v>
      </c>
    </row>
    <row r="1103" spans="1:2">
      <c r="A1103" s="151" t="s">
        <v>2741</v>
      </c>
      <c r="B1103" s="151" t="s">
        <v>2742</v>
      </c>
    </row>
    <row r="1104" spans="1:2">
      <c r="A1104" s="151" t="s">
        <v>2743</v>
      </c>
      <c r="B1104" s="151" t="s">
        <v>2744</v>
      </c>
    </row>
    <row r="1105" spans="1:2">
      <c r="A1105" s="151" t="s">
        <v>2745</v>
      </c>
      <c r="B1105" s="151" t="s">
        <v>2746</v>
      </c>
    </row>
    <row r="1106" spans="1:2">
      <c r="A1106" s="151" t="s">
        <v>2747</v>
      </c>
      <c r="B1106" s="151" t="s">
        <v>2748</v>
      </c>
    </row>
    <row r="1107" spans="1:2">
      <c r="A1107" s="151" t="s">
        <v>2749</v>
      </c>
      <c r="B1107" s="151" t="s">
        <v>2750</v>
      </c>
    </row>
    <row r="1108" spans="1:2">
      <c r="A1108" s="151" t="s">
        <v>2751</v>
      </c>
      <c r="B1108" s="151" t="s">
        <v>2752</v>
      </c>
    </row>
    <row r="1109" spans="1:2">
      <c r="A1109" s="151" t="s">
        <v>2753</v>
      </c>
      <c r="B1109" s="151" t="s">
        <v>2754</v>
      </c>
    </row>
    <row r="1110" spans="1:2">
      <c r="A1110" s="151" t="s">
        <v>2755</v>
      </c>
      <c r="B1110" s="151" t="s">
        <v>2756</v>
      </c>
    </row>
    <row r="1111" spans="1:2">
      <c r="A1111" s="151" t="s">
        <v>2757</v>
      </c>
      <c r="B1111" s="151" t="s">
        <v>2758</v>
      </c>
    </row>
    <row r="1112" spans="1:2">
      <c r="A1112" s="151" t="s">
        <v>2759</v>
      </c>
      <c r="B1112" s="151" t="s">
        <v>2760</v>
      </c>
    </row>
    <row r="1113" spans="1:2">
      <c r="A1113" s="151" t="s">
        <v>2761</v>
      </c>
      <c r="B1113" s="151" t="s">
        <v>2762</v>
      </c>
    </row>
    <row r="1114" spans="1:2">
      <c r="A1114" s="151" t="s">
        <v>2763</v>
      </c>
      <c r="B1114" s="151" t="s">
        <v>2764</v>
      </c>
    </row>
    <row r="1115" spans="1:2">
      <c r="A1115" s="151" t="s">
        <v>2765</v>
      </c>
      <c r="B1115" s="151" t="s">
        <v>2766</v>
      </c>
    </row>
    <row r="1116" spans="1:2">
      <c r="A1116" s="151" t="s">
        <v>2767</v>
      </c>
      <c r="B1116" s="151" t="s">
        <v>2768</v>
      </c>
    </row>
    <row r="1117" spans="1:2">
      <c r="A1117" s="151" t="s">
        <v>2769</v>
      </c>
      <c r="B1117" s="151" t="s">
        <v>2770</v>
      </c>
    </row>
    <row r="1118" spans="1:2">
      <c r="A1118" s="151" t="s">
        <v>2771</v>
      </c>
      <c r="B1118" s="151" t="s">
        <v>2772</v>
      </c>
    </row>
    <row r="1119" spans="1:2">
      <c r="A1119" s="151" t="s">
        <v>2773</v>
      </c>
      <c r="B1119" s="151" t="s">
        <v>2774</v>
      </c>
    </row>
    <row r="1120" spans="1:2">
      <c r="A1120" s="151" t="s">
        <v>2775</v>
      </c>
      <c r="B1120" s="151" t="s">
        <v>2776</v>
      </c>
    </row>
    <row r="1121" spans="1:2">
      <c r="A1121" s="151" t="s">
        <v>2777</v>
      </c>
      <c r="B1121" s="151" t="s">
        <v>2778</v>
      </c>
    </row>
    <row r="1122" spans="1:2">
      <c r="A1122" s="151" t="s">
        <v>2779</v>
      </c>
      <c r="B1122" s="151" t="s">
        <v>2780</v>
      </c>
    </row>
    <row r="1123" spans="1:2">
      <c r="A1123" s="151" t="s">
        <v>2781</v>
      </c>
      <c r="B1123" s="151" t="s">
        <v>2782</v>
      </c>
    </row>
    <row r="1124" spans="1:2">
      <c r="A1124" s="151" t="s">
        <v>2783</v>
      </c>
      <c r="B1124" s="151" t="s">
        <v>2784</v>
      </c>
    </row>
    <row r="1125" spans="1:2">
      <c r="A1125" s="151" t="s">
        <v>2785</v>
      </c>
      <c r="B1125" s="151" t="s">
        <v>2786</v>
      </c>
    </row>
    <row r="1126" spans="1:2">
      <c r="A1126" s="151" t="s">
        <v>2787</v>
      </c>
      <c r="B1126" s="151" t="s">
        <v>2788</v>
      </c>
    </row>
    <row r="1127" spans="1:2">
      <c r="A1127" s="151" t="s">
        <v>2789</v>
      </c>
      <c r="B1127" s="151" t="s">
        <v>2790</v>
      </c>
    </row>
    <row r="1128" spans="1:2">
      <c r="A1128" s="151" t="s">
        <v>2791</v>
      </c>
      <c r="B1128" s="151" t="s">
        <v>2792</v>
      </c>
    </row>
    <row r="1129" spans="1:2">
      <c r="A1129" s="151" t="s">
        <v>2793</v>
      </c>
      <c r="B1129" s="151" t="s">
        <v>2794</v>
      </c>
    </row>
    <row r="1130" spans="1:2">
      <c r="A1130" s="151" t="s">
        <v>2795</v>
      </c>
      <c r="B1130" s="151" t="s">
        <v>2796</v>
      </c>
    </row>
    <row r="1131" spans="1:2">
      <c r="A1131" s="151" t="s">
        <v>2797</v>
      </c>
      <c r="B1131" s="151" t="s">
        <v>2798</v>
      </c>
    </row>
    <row r="1132" spans="1:2">
      <c r="A1132" s="151" t="s">
        <v>2799</v>
      </c>
      <c r="B1132" s="151" t="s">
        <v>2800</v>
      </c>
    </row>
    <row r="1133" spans="1:2">
      <c r="A1133" s="151" t="s">
        <v>2801</v>
      </c>
      <c r="B1133" s="151" t="s">
        <v>2802</v>
      </c>
    </row>
    <row r="1134" spans="1:2">
      <c r="A1134" s="151" t="s">
        <v>2803</v>
      </c>
      <c r="B1134" s="151" t="s">
        <v>2804</v>
      </c>
    </row>
    <row r="1135" spans="1:2">
      <c r="A1135" s="151" t="s">
        <v>2805</v>
      </c>
      <c r="B1135" s="151" t="s">
        <v>2806</v>
      </c>
    </row>
    <row r="1136" spans="1:2">
      <c r="A1136" s="151" t="s">
        <v>2807</v>
      </c>
      <c r="B1136" s="151" t="s">
        <v>2808</v>
      </c>
    </row>
    <row r="1137" spans="1:2">
      <c r="A1137" s="151" t="s">
        <v>2809</v>
      </c>
      <c r="B1137" s="151" t="s">
        <v>2810</v>
      </c>
    </row>
    <row r="1138" spans="1:2">
      <c r="A1138" s="151" t="s">
        <v>2811</v>
      </c>
      <c r="B1138" s="151" t="s">
        <v>2812</v>
      </c>
    </row>
    <row r="1139" spans="1:2">
      <c r="A1139" s="151" t="s">
        <v>2813</v>
      </c>
      <c r="B1139" s="151" t="s">
        <v>2814</v>
      </c>
    </row>
    <row r="1140" spans="1:2">
      <c r="A1140" s="151" t="s">
        <v>2815</v>
      </c>
      <c r="B1140" s="151" t="s">
        <v>2816</v>
      </c>
    </row>
    <row r="1141" spans="1:2">
      <c r="A1141" s="151" t="s">
        <v>2817</v>
      </c>
      <c r="B1141" s="151" t="s">
        <v>2818</v>
      </c>
    </row>
    <row r="1142" spans="1:2">
      <c r="A1142" s="151" t="s">
        <v>2819</v>
      </c>
      <c r="B1142" s="151" t="s">
        <v>2820</v>
      </c>
    </row>
    <row r="1143" spans="1:2">
      <c r="A1143" s="151" t="s">
        <v>2821</v>
      </c>
      <c r="B1143" s="151" t="s">
        <v>2822</v>
      </c>
    </row>
    <row r="1144" spans="1:2">
      <c r="A1144" s="151" t="s">
        <v>2823</v>
      </c>
      <c r="B1144" s="151" t="s">
        <v>2824</v>
      </c>
    </row>
    <row r="1145" spans="1:2">
      <c r="A1145" s="151" t="s">
        <v>2825</v>
      </c>
      <c r="B1145" s="151" t="s">
        <v>2826</v>
      </c>
    </row>
    <row r="1146" spans="1:2">
      <c r="A1146" s="151" t="s">
        <v>2827</v>
      </c>
      <c r="B1146" s="151" t="s">
        <v>2828</v>
      </c>
    </row>
    <row r="1147" spans="1:2">
      <c r="A1147" s="151" t="s">
        <v>2829</v>
      </c>
      <c r="B1147" s="151" t="s">
        <v>2830</v>
      </c>
    </row>
    <row r="1148" spans="1:2">
      <c r="A1148" s="151" t="s">
        <v>2831</v>
      </c>
      <c r="B1148" s="151" t="s">
        <v>2832</v>
      </c>
    </row>
    <row r="1149" spans="1:2">
      <c r="A1149" s="151" t="s">
        <v>2833</v>
      </c>
      <c r="B1149" s="151" t="s">
        <v>2834</v>
      </c>
    </row>
    <row r="1150" spans="1:2">
      <c r="A1150" s="151" t="s">
        <v>2835</v>
      </c>
      <c r="B1150" s="151" t="s">
        <v>2836</v>
      </c>
    </row>
    <row r="1151" spans="1:2">
      <c r="A1151" s="151" t="s">
        <v>2837</v>
      </c>
      <c r="B1151" s="151" t="s">
        <v>2838</v>
      </c>
    </row>
    <row r="1152" spans="1:2">
      <c r="A1152" s="151" t="s">
        <v>2839</v>
      </c>
      <c r="B1152" s="151" t="s">
        <v>2840</v>
      </c>
    </row>
    <row r="1153" spans="1:2">
      <c r="A1153" s="151" t="s">
        <v>2841</v>
      </c>
      <c r="B1153" s="151" t="s">
        <v>2842</v>
      </c>
    </row>
    <row r="1154" spans="1:2">
      <c r="A1154" s="151" t="s">
        <v>2843</v>
      </c>
      <c r="B1154" s="151" t="s">
        <v>2844</v>
      </c>
    </row>
    <row r="1155" spans="1:2">
      <c r="A1155" s="151" t="s">
        <v>2845</v>
      </c>
      <c r="B1155" s="151" t="s">
        <v>2846</v>
      </c>
    </row>
    <row r="1156" spans="1:2">
      <c r="A1156" s="151" t="s">
        <v>2847</v>
      </c>
      <c r="B1156" s="151" t="s">
        <v>2848</v>
      </c>
    </row>
    <row r="1157" spans="1:2">
      <c r="A1157" s="151" t="s">
        <v>2849</v>
      </c>
      <c r="B1157" s="151" t="s">
        <v>2850</v>
      </c>
    </row>
    <row r="1158" spans="1:2">
      <c r="A1158" s="151" t="s">
        <v>2851</v>
      </c>
      <c r="B1158" s="151" t="s">
        <v>2852</v>
      </c>
    </row>
    <row r="1159" spans="1:2">
      <c r="A1159" s="151" t="s">
        <v>2853</v>
      </c>
      <c r="B1159" s="151" t="s">
        <v>2854</v>
      </c>
    </row>
    <row r="1160" spans="1:2">
      <c r="A1160" s="151" t="s">
        <v>2855</v>
      </c>
      <c r="B1160" s="151" t="s">
        <v>2856</v>
      </c>
    </row>
    <row r="1161" spans="1:2">
      <c r="A1161" s="151" t="s">
        <v>2857</v>
      </c>
      <c r="B1161" s="151" t="s">
        <v>2858</v>
      </c>
    </row>
    <row r="1162" spans="1:2">
      <c r="A1162" s="151" t="s">
        <v>2859</v>
      </c>
      <c r="B1162" s="151" t="s">
        <v>2860</v>
      </c>
    </row>
    <row r="1163" spans="1:2">
      <c r="A1163" s="151" t="s">
        <v>2861</v>
      </c>
      <c r="B1163" s="151" t="s">
        <v>2862</v>
      </c>
    </row>
    <row r="1164" spans="1:2">
      <c r="A1164" s="151" t="s">
        <v>2863</v>
      </c>
      <c r="B1164" s="151" t="s">
        <v>2864</v>
      </c>
    </row>
    <row r="1165" spans="1:2">
      <c r="A1165" s="151" t="s">
        <v>2865</v>
      </c>
      <c r="B1165" s="151" t="s">
        <v>2866</v>
      </c>
    </row>
    <row r="1166" spans="1:2">
      <c r="A1166" s="151" t="s">
        <v>2867</v>
      </c>
      <c r="B1166" s="151" t="s">
        <v>2868</v>
      </c>
    </row>
    <row r="1167" spans="1:2">
      <c r="A1167" s="151" t="s">
        <v>2869</v>
      </c>
      <c r="B1167" s="151" t="s">
        <v>2870</v>
      </c>
    </row>
    <row r="1168" spans="1:2">
      <c r="A1168" s="151" t="s">
        <v>2871</v>
      </c>
      <c r="B1168" s="151" t="s">
        <v>2872</v>
      </c>
    </row>
    <row r="1169" spans="1:2">
      <c r="A1169" s="151" t="s">
        <v>2873</v>
      </c>
      <c r="B1169" s="151" t="s">
        <v>2874</v>
      </c>
    </row>
    <row r="1170" spans="1:2">
      <c r="A1170" s="151" t="s">
        <v>2875</v>
      </c>
      <c r="B1170" s="151" t="s">
        <v>2876</v>
      </c>
    </row>
    <row r="1171" spans="1:2">
      <c r="A1171" s="151" t="s">
        <v>2877</v>
      </c>
      <c r="B1171" s="151" t="s">
        <v>2878</v>
      </c>
    </row>
    <row r="1172" spans="1:2">
      <c r="A1172" s="151" t="s">
        <v>2879</v>
      </c>
      <c r="B1172" s="151" t="s">
        <v>2880</v>
      </c>
    </row>
    <row r="1173" spans="1:2">
      <c r="A1173" s="151" t="s">
        <v>2881</v>
      </c>
      <c r="B1173" s="151" t="s">
        <v>2882</v>
      </c>
    </row>
    <row r="1174" spans="1:2">
      <c r="A1174" s="151" t="s">
        <v>2883</v>
      </c>
      <c r="B1174" s="151" t="s">
        <v>2884</v>
      </c>
    </row>
    <row r="1175" spans="1:2">
      <c r="A1175" s="151" t="s">
        <v>2885</v>
      </c>
      <c r="B1175" s="151" t="s">
        <v>2886</v>
      </c>
    </row>
    <row r="1176" spans="1:2">
      <c r="A1176" s="151" t="s">
        <v>2887</v>
      </c>
      <c r="B1176" s="151" t="s">
        <v>2888</v>
      </c>
    </row>
    <row r="1177" spans="1:2">
      <c r="A1177" s="151" t="s">
        <v>2889</v>
      </c>
      <c r="B1177" s="151" t="s">
        <v>2890</v>
      </c>
    </row>
    <row r="1178" spans="1:2">
      <c r="A1178" s="151" t="s">
        <v>2891</v>
      </c>
      <c r="B1178" s="151" t="s">
        <v>2892</v>
      </c>
    </row>
    <row r="1179" spans="1:2">
      <c r="A1179" s="151" t="s">
        <v>2893</v>
      </c>
      <c r="B1179" s="151" t="s">
        <v>2894</v>
      </c>
    </row>
    <row r="1180" spans="1:2">
      <c r="A1180" s="151" t="s">
        <v>2895</v>
      </c>
      <c r="B1180" s="151" t="s">
        <v>2896</v>
      </c>
    </row>
    <row r="1181" spans="1:2">
      <c r="A1181" s="151" t="s">
        <v>2897</v>
      </c>
      <c r="B1181" s="151" t="s">
        <v>2898</v>
      </c>
    </row>
    <row r="1182" spans="1:2">
      <c r="A1182" s="151" t="s">
        <v>2899</v>
      </c>
      <c r="B1182" s="151" t="s">
        <v>2900</v>
      </c>
    </row>
    <row r="1183" spans="1:2">
      <c r="A1183" s="151" t="s">
        <v>2901</v>
      </c>
      <c r="B1183" s="151" t="s">
        <v>2902</v>
      </c>
    </row>
    <row r="1184" spans="1:2">
      <c r="A1184" s="151" t="s">
        <v>2903</v>
      </c>
      <c r="B1184" s="151" t="s">
        <v>2904</v>
      </c>
    </row>
    <row r="1185" spans="1:2">
      <c r="A1185" s="151" t="s">
        <v>2905</v>
      </c>
      <c r="B1185" s="151" t="s">
        <v>2906</v>
      </c>
    </row>
    <row r="1186" spans="1:2">
      <c r="A1186" s="151" t="s">
        <v>2907</v>
      </c>
      <c r="B1186" s="151" t="s">
        <v>2908</v>
      </c>
    </row>
    <row r="1187" spans="1:2">
      <c r="A1187" s="151" t="s">
        <v>2909</v>
      </c>
      <c r="B1187" s="151" t="s">
        <v>2910</v>
      </c>
    </row>
    <row r="1188" spans="1:2">
      <c r="A1188" s="151" t="s">
        <v>2911</v>
      </c>
      <c r="B1188" s="151" t="s">
        <v>2912</v>
      </c>
    </row>
    <row r="1189" spans="1:2">
      <c r="A1189" s="151" t="s">
        <v>2913</v>
      </c>
      <c r="B1189" s="151" t="s">
        <v>2914</v>
      </c>
    </row>
    <row r="1190" spans="1:2">
      <c r="A1190" s="151" t="s">
        <v>2915</v>
      </c>
      <c r="B1190" s="151" t="s">
        <v>2916</v>
      </c>
    </row>
    <row r="1191" spans="1:2">
      <c r="A1191" s="151" t="s">
        <v>2917</v>
      </c>
      <c r="B1191" s="151" t="s">
        <v>2918</v>
      </c>
    </row>
    <row r="1192" spans="1:2">
      <c r="A1192" s="151" t="s">
        <v>2919</v>
      </c>
      <c r="B1192" s="151" t="s">
        <v>2920</v>
      </c>
    </row>
    <row r="1193" spans="1:2">
      <c r="A1193" s="151" t="s">
        <v>2921</v>
      </c>
      <c r="B1193" s="151" t="s">
        <v>2922</v>
      </c>
    </row>
    <row r="1194" spans="1:2">
      <c r="A1194" s="151" t="s">
        <v>2923</v>
      </c>
      <c r="B1194" s="151" t="s">
        <v>2924</v>
      </c>
    </row>
    <row r="1195" spans="1:2">
      <c r="A1195" s="151" t="s">
        <v>2925</v>
      </c>
      <c r="B1195" s="151" t="s">
        <v>2926</v>
      </c>
    </row>
    <row r="1196" spans="1:2">
      <c r="A1196" s="151" t="s">
        <v>2927</v>
      </c>
      <c r="B1196" s="151" t="s">
        <v>2928</v>
      </c>
    </row>
    <row r="1197" spans="1:2">
      <c r="A1197" s="151" t="s">
        <v>2929</v>
      </c>
      <c r="B1197" s="151" t="s">
        <v>2930</v>
      </c>
    </row>
    <row r="1198" spans="1:2">
      <c r="A1198" s="151" t="s">
        <v>2931</v>
      </c>
      <c r="B1198" s="151" t="s">
        <v>2932</v>
      </c>
    </row>
    <row r="1199" spans="1:2">
      <c r="A1199" s="151" t="s">
        <v>2933</v>
      </c>
      <c r="B1199" s="151" t="s">
        <v>2934</v>
      </c>
    </row>
    <row r="1200" spans="1:2">
      <c r="A1200" s="151" t="s">
        <v>2935</v>
      </c>
      <c r="B1200" s="151" t="s">
        <v>2936</v>
      </c>
    </row>
    <row r="1201" spans="1:2">
      <c r="A1201" s="151" t="s">
        <v>2937</v>
      </c>
      <c r="B1201" s="151" t="s">
        <v>2938</v>
      </c>
    </row>
    <row r="1202" spans="1:2">
      <c r="A1202" s="151" t="s">
        <v>2939</v>
      </c>
      <c r="B1202" s="151" t="s">
        <v>2940</v>
      </c>
    </row>
    <row r="1203" spans="1:2">
      <c r="A1203" s="151" t="s">
        <v>2941</v>
      </c>
      <c r="B1203" s="151" t="s">
        <v>2942</v>
      </c>
    </row>
    <row r="1204" spans="1:2">
      <c r="A1204" s="151" t="s">
        <v>2943</v>
      </c>
      <c r="B1204" s="151" t="s">
        <v>2944</v>
      </c>
    </row>
    <row r="1205" spans="1:2">
      <c r="A1205" s="151" t="s">
        <v>2945</v>
      </c>
      <c r="B1205" s="151" t="s">
        <v>2946</v>
      </c>
    </row>
    <row r="1206" spans="1:2">
      <c r="A1206" s="151" t="s">
        <v>2947</v>
      </c>
      <c r="B1206" s="151" t="s">
        <v>2948</v>
      </c>
    </row>
    <row r="1207" spans="1:2">
      <c r="A1207" s="151" t="s">
        <v>2949</v>
      </c>
      <c r="B1207" s="151" t="s">
        <v>2950</v>
      </c>
    </row>
    <row r="1208" spans="1:2">
      <c r="A1208" s="151" t="s">
        <v>2951</v>
      </c>
      <c r="B1208" s="151" t="s">
        <v>2952</v>
      </c>
    </row>
    <row r="1209" spans="1:2">
      <c r="A1209" s="151" t="s">
        <v>2953</v>
      </c>
      <c r="B1209" s="151" t="s">
        <v>2954</v>
      </c>
    </row>
    <row r="1210" spans="1:2">
      <c r="A1210" s="151" t="s">
        <v>2955</v>
      </c>
      <c r="B1210" s="151" t="s">
        <v>2956</v>
      </c>
    </row>
    <row r="1211" spans="1:2">
      <c r="A1211" s="151" t="s">
        <v>2957</v>
      </c>
      <c r="B1211" s="151" t="s">
        <v>2958</v>
      </c>
    </row>
    <row r="1212" spans="1:2">
      <c r="A1212" s="151" t="s">
        <v>2959</v>
      </c>
      <c r="B1212" s="151" t="s">
        <v>2960</v>
      </c>
    </row>
    <row r="1213" spans="1:2">
      <c r="A1213" s="151" t="s">
        <v>2961</v>
      </c>
      <c r="B1213" s="151" t="s">
        <v>2962</v>
      </c>
    </row>
    <row r="1214" spans="1:2">
      <c r="A1214" s="151" t="s">
        <v>2963</v>
      </c>
      <c r="B1214" s="151" t="s">
        <v>2964</v>
      </c>
    </row>
    <row r="1215" spans="1:2">
      <c r="A1215" s="151" t="s">
        <v>2965</v>
      </c>
      <c r="B1215" s="151" t="s">
        <v>2966</v>
      </c>
    </row>
    <row r="1216" spans="1:2">
      <c r="A1216" s="151" t="s">
        <v>2967</v>
      </c>
      <c r="B1216" s="151" t="s">
        <v>2968</v>
      </c>
    </row>
    <row r="1217" spans="1:2">
      <c r="A1217" s="151" t="s">
        <v>2969</v>
      </c>
      <c r="B1217" s="151" t="s">
        <v>2970</v>
      </c>
    </row>
    <row r="1218" spans="1:2">
      <c r="A1218" s="151" t="s">
        <v>2971</v>
      </c>
      <c r="B1218" s="151" t="s">
        <v>2972</v>
      </c>
    </row>
    <row r="1219" spans="1:2">
      <c r="A1219" s="151" t="s">
        <v>2973</v>
      </c>
      <c r="B1219" s="151" t="s">
        <v>2974</v>
      </c>
    </row>
    <row r="1220" spans="1:2">
      <c r="A1220" s="151" t="s">
        <v>2975</v>
      </c>
      <c r="B1220" s="151" t="s">
        <v>2976</v>
      </c>
    </row>
    <row r="1221" spans="1:2">
      <c r="A1221" s="151" t="s">
        <v>2977</v>
      </c>
      <c r="B1221" s="151" t="s">
        <v>2978</v>
      </c>
    </row>
    <row r="1222" spans="1:2">
      <c r="A1222" s="151" t="s">
        <v>2979</v>
      </c>
      <c r="B1222" s="151" t="s">
        <v>2980</v>
      </c>
    </row>
    <row r="1223" spans="1:2">
      <c r="A1223" s="151" t="s">
        <v>2981</v>
      </c>
      <c r="B1223" s="151" t="s">
        <v>2982</v>
      </c>
    </row>
    <row r="1224" spans="1:2">
      <c r="A1224" s="151" t="s">
        <v>2983</v>
      </c>
      <c r="B1224" s="151" t="s">
        <v>2984</v>
      </c>
    </row>
    <row r="1225" spans="1:2">
      <c r="A1225" s="151" t="s">
        <v>2985</v>
      </c>
      <c r="B1225" s="151" t="s">
        <v>2986</v>
      </c>
    </row>
    <row r="1226" spans="1:2">
      <c r="A1226" s="151" t="s">
        <v>2987</v>
      </c>
      <c r="B1226" s="151" t="s">
        <v>2988</v>
      </c>
    </row>
    <row r="1227" spans="1:2">
      <c r="A1227" s="151" t="s">
        <v>2989</v>
      </c>
      <c r="B1227" s="151" t="s">
        <v>2990</v>
      </c>
    </row>
    <row r="1228" spans="1:2">
      <c r="A1228" s="151" t="s">
        <v>2991</v>
      </c>
      <c r="B1228" s="151" t="s">
        <v>2992</v>
      </c>
    </row>
    <row r="1229" spans="1:2">
      <c r="A1229" s="151" t="s">
        <v>2993</v>
      </c>
      <c r="B1229" s="151" t="s">
        <v>2994</v>
      </c>
    </row>
    <row r="1230" spans="1:2">
      <c r="A1230" s="151" t="s">
        <v>2995</v>
      </c>
      <c r="B1230" s="151" t="s">
        <v>2996</v>
      </c>
    </row>
    <row r="1231" spans="1:2">
      <c r="A1231" s="151" t="s">
        <v>2997</v>
      </c>
      <c r="B1231" s="151" t="s">
        <v>2998</v>
      </c>
    </row>
    <row r="1232" spans="1:2">
      <c r="A1232" s="151" t="s">
        <v>2999</v>
      </c>
      <c r="B1232" s="151" t="s">
        <v>3000</v>
      </c>
    </row>
    <row r="1233" spans="1:2">
      <c r="A1233" s="151" t="s">
        <v>3001</v>
      </c>
      <c r="B1233" s="151" t="s">
        <v>3002</v>
      </c>
    </row>
    <row r="1234" spans="1:2">
      <c r="A1234" s="151" t="s">
        <v>3003</v>
      </c>
      <c r="B1234" s="151" t="s">
        <v>3004</v>
      </c>
    </row>
    <row r="1235" spans="1:2">
      <c r="A1235" s="151" t="s">
        <v>3005</v>
      </c>
      <c r="B1235" s="151" t="s">
        <v>3006</v>
      </c>
    </row>
    <row r="1236" spans="1:2">
      <c r="A1236" s="151" t="s">
        <v>3007</v>
      </c>
      <c r="B1236" s="151" t="s">
        <v>3008</v>
      </c>
    </row>
    <row r="1237" spans="1:2">
      <c r="A1237" s="151" t="s">
        <v>3009</v>
      </c>
      <c r="B1237" s="151" t="s">
        <v>3010</v>
      </c>
    </row>
    <row r="1238" spans="1:2">
      <c r="A1238" s="151" t="s">
        <v>3011</v>
      </c>
      <c r="B1238" s="151" t="s">
        <v>3012</v>
      </c>
    </row>
    <row r="1239" spans="1:2">
      <c r="A1239" s="151" t="s">
        <v>3013</v>
      </c>
      <c r="B1239" s="151" t="s">
        <v>3014</v>
      </c>
    </row>
    <row r="1240" spans="1:2">
      <c r="A1240" s="151" t="s">
        <v>3015</v>
      </c>
      <c r="B1240" s="151" t="s">
        <v>3016</v>
      </c>
    </row>
    <row r="1241" spans="1:2">
      <c r="A1241" s="151" t="s">
        <v>3017</v>
      </c>
      <c r="B1241" s="151" t="s">
        <v>3018</v>
      </c>
    </row>
    <row r="1242" spans="1:2">
      <c r="A1242" s="151" t="s">
        <v>3019</v>
      </c>
      <c r="B1242" s="151" t="s">
        <v>3020</v>
      </c>
    </row>
    <row r="1243" spans="1:2">
      <c r="A1243" s="151" t="s">
        <v>3021</v>
      </c>
      <c r="B1243" s="151" t="s">
        <v>3022</v>
      </c>
    </row>
    <row r="1244" spans="1:2">
      <c r="A1244" s="151" t="s">
        <v>3023</v>
      </c>
      <c r="B1244" s="151" t="s">
        <v>3024</v>
      </c>
    </row>
    <row r="1245" spans="1:2">
      <c r="A1245" s="151" t="s">
        <v>3025</v>
      </c>
      <c r="B1245" s="151" t="s">
        <v>3026</v>
      </c>
    </row>
    <row r="1246" spans="1:2">
      <c r="A1246" s="151" t="s">
        <v>3027</v>
      </c>
      <c r="B1246" s="151" t="s">
        <v>3028</v>
      </c>
    </row>
    <row r="1247" spans="1:2">
      <c r="A1247" s="151" t="s">
        <v>3029</v>
      </c>
      <c r="B1247" s="151" t="s">
        <v>3030</v>
      </c>
    </row>
    <row r="1248" spans="1:2">
      <c r="A1248" s="151" t="s">
        <v>3031</v>
      </c>
      <c r="B1248" s="151" t="s">
        <v>3032</v>
      </c>
    </row>
    <row r="1249" spans="1:2">
      <c r="A1249" s="151" t="s">
        <v>3033</v>
      </c>
      <c r="B1249" s="151" t="s">
        <v>3034</v>
      </c>
    </row>
    <row r="1250" spans="1:2">
      <c r="A1250" s="151" t="s">
        <v>3035</v>
      </c>
      <c r="B1250" s="151" t="s">
        <v>3036</v>
      </c>
    </row>
    <row r="1251" spans="1:2">
      <c r="A1251" s="151" t="s">
        <v>3037</v>
      </c>
      <c r="B1251" s="151" t="s">
        <v>3038</v>
      </c>
    </row>
    <row r="1252" spans="1:2">
      <c r="A1252" s="151" t="s">
        <v>3039</v>
      </c>
      <c r="B1252" s="151" t="s">
        <v>3040</v>
      </c>
    </row>
    <row r="1253" spans="1:2">
      <c r="A1253" s="151" t="s">
        <v>3041</v>
      </c>
      <c r="B1253" s="151" t="s">
        <v>3042</v>
      </c>
    </row>
    <row r="1254" spans="1:2">
      <c r="A1254" s="151" t="s">
        <v>3043</v>
      </c>
      <c r="B1254" s="151" t="s">
        <v>3044</v>
      </c>
    </row>
    <row r="1255" spans="1:2">
      <c r="A1255" s="151" t="s">
        <v>3045</v>
      </c>
      <c r="B1255" s="151" t="s">
        <v>3046</v>
      </c>
    </row>
    <row r="1256" spans="1:2">
      <c r="A1256" s="151" t="s">
        <v>3047</v>
      </c>
      <c r="B1256" s="151" t="s">
        <v>3048</v>
      </c>
    </row>
    <row r="1257" spans="1:2">
      <c r="A1257" s="151" t="s">
        <v>3049</v>
      </c>
      <c r="B1257" s="151" t="s">
        <v>3050</v>
      </c>
    </row>
    <row r="1258" spans="1:2">
      <c r="A1258" s="151" t="s">
        <v>3051</v>
      </c>
      <c r="B1258" s="151" t="s">
        <v>3052</v>
      </c>
    </row>
    <row r="1259" spans="1:2">
      <c r="A1259" s="151" t="s">
        <v>3053</v>
      </c>
      <c r="B1259" s="151" t="s">
        <v>3054</v>
      </c>
    </row>
    <row r="1260" spans="1:2">
      <c r="A1260" s="151" t="s">
        <v>3055</v>
      </c>
      <c r="B1260" s="151" t="s">
        <v>3056</v>
      </c>
    </row>
    <row r="1261" spans="1:2">
      <c r="A1261" s="151" t="s">
        <v>3057</v>
      </c>
      <c r="B1261" s="151" t="s">
        <v>3058</v>
      </c>
    </row>
    <row r="1262" spans="1:2">
      <c r="A1262" s="151" t="s">
        <v>3059</v>
      </c>
      <c r="B1262" s="151" t="s">
        <v>311</v>
      </c>
    </row>
    <row r="1263" spans="1:2">
      <c r="A1263" s="151" t="s">
        <v>3060</v>
      </c>
      <c r="B1263" s="151" t="s">
        <v>3061</v>
      </c>
    </row>
    <row r="1264" spans="1:2">
      <c r="A1264" s="151" t="s">
        <v>3062</v>
      </c>
      <c r="B1264" s="151" t="s">
        <v>3063</v>
      </c>
    </row>
    <row r="1265" spans="1:2">
      <c r="A1265" s="151" t="s">
        <v>3064</v>
      </c>
      <c r="B1265" s="151" t="s">
        <v>3065</v>
      </c>
    </row>
    <row r="1266" spans="1:2">
      <c r="A1266" s="151" t="s">
        <v>3066</v>
      </c>
      <c r="B1266" s="151" t="s">
        <v>3067</v>
      </c>
    </row>
    <row r="1267" spans="1:2">
      <c r="A1267" s="151" t="s">
        <v>3068</v>
      </c>
      <c r="B1267" s="151" t="s">
        <v>3069</v>
      </c>
    </row>
    <row r="1268" spans="1:2">
      <c r="A1268" s="151" t="s">
        <v>3070</v>
      </c>
      <c r="B1268" s="151" t="s">
        <v>3071</v>
      </c>
    </row>
    <row r="1269" spans="1:2">
      <c r="A1269" s="151" t="s">
        <v>3072</v>
      </c>
      <c r="B1269" s="151" t="s">
        <v>316</v>
      </c>
    </row>
    <row r="1270" spans="1:2">
      <c r="A1270" s="151" t="s">
        <v>3073</v>
      </c>
      <c r="B1270" s="151" t="s">
        <v>3074</v>
      </c>
    </row>
    <row r="1271" spans="1:2">
      <c r="A1271" s="151" t="s">
        <v>3075</v>
      </c>
      <c r="B1271" s="151" t="s">
        <v>3076</v>
      </c>
    </row>
    <row r="1272" spans="1:2">
      <c r="A1272" s="151" t="s">
        <v>3077</v>
      </c>
      <c r="B1272" s="151" t="s">
        <v>3078</v>
      </c>
    </row>
    <row r="1273" spans="1:2">
      <c r="A1273" s="151" t="s">
        <v>3079</v>
      </c>
      <c r="B1273" s="151" t="s">
        <v>3080</v>
      </c>
    </row>
    <row r="1274" spans="1:2">
      <c r="A1274" s="151" t="s">
        <v>3081</v>
      </c>
      <c r="B1274" s="151" t="s">
        <v>3082</v>
      </c>
    </row>
    <row r="1275" spans="1:2">
      <c r="A1275" s="151" t="s">
        <v>3083</v>
      </c>
      <c r="B1275" s="151" t="s">
        <v>3084</v>
      </c>
    </row>
    <row r="1276" spans="1:2">
      <c r="A1276" s="151" t="s">
        <v>3085</v>
      </c>
      <c r="B1276" s="151" t="s">
        <v>3086</v>
      </c>
    </row>
    <row r="1277" spans="1:2">
      <c r="A1277" s="151" t="s">
        <v>3087</v>
      </c>
      <c r="B1277" s="151" t="s">
        <v>3088</v>
      </c>
    </row>
    <row r="1278" spans="1:2">
      <c r="A1278" s="151" t="s">
        <v>3089</v>
      </c>
      <c r="B1278" s="151" t="s">
        <v>3090</v>
      </c>
    </row>
    <row r="1279" spans="1:2">
      <c r="A1279" s="151" t="s">
        <v>3091</v>
      </c>
      <c r="B1279" s="151" t="s">
        <v>321</v>
      </c>
    </row>
    <row r="1280" spans="1:2">
      <c r="A1280" s="151" t="s">
        <v>3092</v>
      </c>
      <c r="B1280" s="151" t="s">
        <v>3093</v>
      </c>
    </row>
    <row r="1281" spans="1:2">
      <c r="A1281" s="151" t="s">
        <v>3094</v>
      </c>
      <c r="B1281" s="151" t="s">
        <v>3095</v>
      </c>
    </row>
    <row r="1282" spans="1:2">
      <c r="A1282" s="151" t="s">
        <v>3096</v>
      </c>
      <c r="B1282" s="151" t="s">
        <v>3097</v>
      </c>
    </row>
    <row r="1283" spans="1:2">
      <c r="A1283" s="151" t="s">
        <v>3098</v>
      </c>
      <c r="B1283" s="151" t="s">
        <v>326</v>
      </c>
    </row>
    <row r="1284" spans="1:2">
      <c r="A1284" s="151" t="s">
        <v>3099</v>
      </c>
      <c r="B1284" s="151" t="s">
        <v>331</v>
      </c>
    </row>
    <row r="1285" spans="1:2">
      <c r="A1285" s="151" t="s">
        <v>3100</v>
      </c>
      <c r="B1285" s="151" t="s">
        <v>336</v>
      </c>
    </row>
    <row r="1286" spans="1:2">
      <c r="A1286" s="151" t="s">
        <v>3101</v>
      </c>
      <c r="B1286" s="151" t="s">
        <v>3102</v>
      </c>
    </row>
    <row r="1287" spans="1:2">
      <c r="A1287" s="151" t="s">
        <v>3103</v>
      </c>
      <c r="B1287" s="151" t="s">
        <v>3104</v>
      </c>
    </row>
    <row r="1288" spans="1:2">
      <c r="A1288" s="151" t="s">
        <v>3105</v>
      </c>
      <c r="B1288" s="151" t="s">
        <v>3106</v>
      </c>
    </row>
    <row r="1289" spans="1:2">
      <c r="A1289" s="151" t="s">
        <v>3107</v>
      </c>
      <c r="B1289" s="151" t="s">
        <v>3108</v>
      </c>
    </row>
    <row r="1290" spans="1:2">
      <c r="A1290" s="151" t="s">
        <v>3109</v>
      </c>
      <c r="B1290" s="151" t="s">
        <v>3110</v>
      </c>
    </row>
    <row r="1291" spans="1:2">
      <c r="A1291" s="151" t="s">
        <v>3111</v>
      </c>
      <c r="B1291" s="151" t="s">
        <v>3112</v>
      </c>
    </row>
    <row r="1292" spans="1:2">
      <c r="A1292" s="151" t="s">
        <v>3113</v>
      </c>
      <c r="B1292" s="151" t="s">
        <v>3114</v>
      </c>
    </row>
    <row r="1293" spans="1:2">
      <c r="A1293" s="151" t="s">
        <v>3115</v>
      </c>
      <c r="B1293" s="151" t="s">
        <v>3116</v>
      </c>
    </row>
    <row r="1294" spans="1:2">
      <c r="A1294" s="151" t="s">
        <v>3117</v>
      </c>
      <c r="B1294" s="151" t="s">
        <v>3118</v>
      </c>
    </row>
    <row r="1295" spans="1:2">
      <c r="A1295" s="151" t="s">
        <v>3119</v>
      </c>
      <c r="B1295" s="151" t="s">
        <v>3120</v>
      </c>
    </row>
    <row r="1296" spans="1:2">
      <c r="A1296" s="151" t="s">
        <v>3121</v>
      </c>
      <c r="B1296" s="151" t="s">
        <v>3122</v>
      </c>
    </row>
    <row r="1297" spans="1:2">
      <c r="A1297" s="151" t="s">
        <v>3123</v>
      </c>
      <c r="B1297" s="151" t="s">
        <v>3124</v>
      </c>
    </row>
    <row r="1298" spans="1:2">
      <c r="A1298" s="151" t="s">
        <v>3125</v>
      </c>
      <c r="B1298" s="151" t="s">
        <v>3126</v>
      </c>
    </row>
    <row r="1299" spans="1:2">
      <c r="A1299" s="151" t="s">
        <v>3127</v>
      </c>
      <c r="B1299" s="151" t="s">
        <v>3128</v>
      </c>
    </row>
    <row r="1300" spans="1:2">
      <c r="A1300" s="151" t="s">
        <v>3129</v>
      </c>
      <c r="B1300" s="151" t="s">
        <v>341</v>
      </c>
    </row>
    <row r="1301" spans="1:2">
      <c r="A1301" s="151" t="s">
        <v>3130</v>
      </c>
      <c r="B1301" s="151" t="s">
        <v>3131</v>
      </c>
    </row>
    <row r="1302" spans="1:2">
      <c r="A1302" s="151" t="s">
        <v>3132</v>
      </c>
      <c r="B1302" s="151" t="s">
        <v>3133</v>
      </c>
    </row>
    <row r="1303" spans="1:2">
      <c r="A1303" s="151" t="s">
        <v>3134</v>
      </c>
      <c r="B1303" s="151" t="s">
        <v>346</v>
      </c>
    </row>
    <row r="1304" spans="1:2">
      <c r="A1304" s="151" t="s">
        <v>3135</v>
      </c>
      <c r="B1304" s="151" t="s">
        <v>3136</v>
      </c>
    </row>
    <row r="1305" spans="1:2">
      <c r="A1305" s="151" t="s">
        <v>3137</v>
      </c>
      <c r="B1305" s="151" t="s">
        <v>3138</v>
      </c>
    </row>
    <row r="1306" spans="1:2">
      <c r="A1306" s="151" t="s">
        <v>3139</v>
      </c>
      <c r="B1306" s="151" t="s">
        <v>3140</v>
      </c>
    </row>
    <row r="1307" spans="1:2">
      <c r="A1307" s="151" t="s">
        <v>3141</v>
      </c>
      <c r="B1307" s="151" t="s">
        <v>3142</v>
      </c>
    </row>
    <row r="1308" spans="1:2">
      <c r="A1308" s="151" t="s">
        <v>3143</v>
      </c>
      <c r="B1308" s="151" t="s">
        <v>3144</v>
      </c>
    </row>
    <row r="1309" spans="1:2">
      <c r="A1309" s="151" t="s">
        <v>3145</v>
      </c>
      <c r="B1309" s="151" t="s">
        <v>3146</v>
      </c>
    </row>
    <row r="1310" spans="1:2">
      <c r="A1310" s="151" t="s">
        <v>3147</v>
      </c>
      <c r="B1310" s="151" t="s">
        <v>3148</v>
      </c>
    </row>
    <row r="1311" spans="1:2">
      <c r="A1311" s="151" t="s">
        <v>3149</v>
      </c>
      <c r="B1311" s="151" t="s">
        <v>3150</v>
      </c>
    </row>
    <row r="1312" spans="1:2">
      <c r="A1312" s="151" t="s">
        <v>3151</v>
      </c>
      <c r="B1312" s="151" t="s">
        <v>3152</v>
      </c>
    </row>
    <row r="1313" spans="1:2">
      <c r="A1313" s="151" t="s">
        <v>3153</v>
      </c>
      <c r="B1313" s="151" t="s">
        <v>3154</v>
      </c>
    </row>
    <row r="1314" spans="1:2">
      <c r="A1314" s="151" t="s">
        <v>3155</v>
      </c>
      <c r="B1314" s="151" t="s">
        <v>3156</v>
      </c>
    </row>
    <row r="1315" spans="1:2">
      <c r="A1315" s="151" t="s">
        <v>3157</v>
      </c>
      <c r="B1315" s="151" t="s">
        <v>3158</v>
      </c>
    </row>
    <row r="1316" spans="1:2">
      <c r="A1316" s="151" t="s">
        <v>3159</v>
      </c>
      <c r="B1316" s="151" t="s">
        <v>3160</v>
      </c>
    </row>
    <row r="1317" spans="1:2">
      <c r="A1317" s="151" t="s">
        <v>3161</v>
      </c>
      <c r="B1317" s="151" t="s">
        <v>3162</v>
      </c>
    </row>
    <row r="1318" spans="1:2">
      <c r="A1318" s="151" t="s">
        <v>3163</v>
      </c>
      <c r="B1318" s="151" t="s">
        <v>3164</v>
      </c>
    </row>
    <row r="1319" spans="1:2">
      <c r="A1319" s="151" t="s">
        <v>3165</v>
      </c>
      <c r="B1319" s="151" t="s">
        <v>3166</v>
      </c>
    </row>
    <row r="1320" spans="1:2">
      <c r="A1320" s="151" t="s">
        <v>3167</v>
      </c>
      <c r="B1320" s="151" t="s">
        <v>3168</v>
      </c>
    </row>
    <row r="1321" spans="1:2">
      <c r="A1321" s="151" t="s">
        <v>3169</v>
      </c>
      <c r="B1321" s="151" t="s">
        <v>3170</v>
      </c>
    </row>
    <row r="1322" spans="1:2">
      <c r="A1322" s="151" t="s">
        <v>3171</v>
      </c>
      <c r="B1322" s="151" t="s">
        <v>3172</v>
      </c>
    </row>
    <row r="1323" spans="1:2">
      <c r="A1323" s="151" t="s">
        <v>3173</v>
      </c>
      <c r="B1323" s="151" t="s">
        <v>3174</v>
      </c>
    </row>
    <row r="1324" spans="1:2">
      <c r="A1324" s="151" t="s">
        <v>3175</v>
      </c>
      <c r="B1324" s="151" t="s">
        <v>3176</v>
      </c>
    </row>
    <row r="1325" spans="1:2">
      <c r="A1325" s="151" t="s">
        <v>3177</v>
      </c>
      <c r="B1325" s="151" t="s">
        <v>3178</v>
      </c>
    </row>
    <row r="1326" spans="1:2">
      <c r="A1326" s="151" t="s">
        <v>3179</v>
      </c>
      <c r="B1326" s="151" t="s">
        <v>3180</v>
      </c>
    </row>
    <row r="1327" spans="1:2">
      <c r="A1327" s="151" t="s">
        <v>3181</v>
      </c>
      <c r="B1327" s="151" t="s">
        <v>3182</v>
      </c>
    </row>
    <row r="1328" spans="1:2">
      <c r="A1328" s="151" t="s">
        <v>3183</v>
      </c>
      <c r="B1328" s="151" t="s">
        <v>3184</v>
      </c>
    </row>
    <row r="1329" spans="1:2">
      <c r="A1329" s="151" t="s">
        <v>3185</v>
      </c>
      <c r="B1329" s="151" t="s">
        <v>3186</v>
      </c>
    </row>
    <row r="1330" spans="1:2">
      <c r="A1330" s="151" t="s">
        <v>3187</v>
      </c>
      <c r="B1330" s="151" t="s">
        <v>3188</v>
      </c>
    </row>
    <row r="1331" spans="1:2">
      <c r="A1331" s="151" t="s">
        <v>3189</v>
      </c>
      <c r="B1331" s="151" t="s">
        <v>3190</v>
      </c>
    </row>
    <row r="1332" spans="1:2">
      <c r="A1332" s="151" t="s">
        <v>3191</v>
      </c>
      <c r="B1332" s="151" t="s">
        <v>3192</v>
      </c>
    </row>
    <row r="1333" spans="1:2">
      <c r="A1333" s="151" t="s">
        <v>3193</v>
      </c>
      <c r="B1333" s="151" t="s">
        <v>3194</v>
      </c>
    </row>
    <row r="1334" spans="1:2">
      <c r="A1334" s="151" t="s">
        <v>3195</v>
      </c>
      <c r="B1334" s="151" t="s">
        <v>3196</v>
      </c>
    </row>
    <row r="1335" spans="1:2">
      <c r="A1335" s="151" t="s">
        <v>3197</v>
      </c>
      <c r="B1335" s="151" t="s">
        <v>3198</v>
      </c>
    </row>
    <row r="1336" spans="1:2">
      <c r="A1336" s="151" t="s">
        <v>3199</v>
      </c>
      <c r="B1336" s="151" t="s">
        <v>3200</v>
      </c>
    </row>
    <row r="1337" spans="1:2">
      <c r="A1337" s="151" t="s">
        <v>3201</v>
      </c>
      <c r="B1337" s="151" t="s">
        <v>3202</v>
      </c>
    </row>
    <row r="1338" spans="1:2">
      <c r="A1338" s="151" t="s">
        <v>3203</v>
      </c>
      <c r="B1338" s="151" t="s">
        <v>3204</v>
      </c>
    </row>
    <row r="1339" spans="1:2">
      <c r="A1339" s="151" t="s">
        <v>3205</v>
      </c>
      <c r="B1339" s="151" t="s">
        <v>3206</v>
      </c>
    </row>
    <row r="1340" spans="1:2">
      <c r="A1340" s="151" t="s">
        <v>3207</v>
      </c>
      <c r="B1340" s="151" t="s">
        <v>3208</v>
      </c>
    </row>
    <row r="1341" spans="1:2">
      <c r="A1341" s="151" t="s">
        <v>3209</v>
      </c>
      <c r="B1341" s="151" t="s">
        <v>3210</v>
      </c>
    </row>
    <row r="1342" spans="1:2">
      <c r="A1342" s="151" t="s">
        <v>3211</v>
      </c>
      <c r="B1342" s="151" t="s">
        <v>3212</v>
      </c>
    </row>
    <row r="1343" spans="1:2">
      <c r="A1343" s="151" t="s">
        <v>3213</v>
      </c>
      <c r="B1343" s="151" t="s">
        <v>3214</v>
      </c>
    </row>
    <row r="1344" spans="1:2">
      <c r="A1344" s="151" t="s">
        <v>3215</v>
      </c>
      <c r="B1344" s="151" t="s">
        <v>3216</v>
      </c>
    </row>
    <row r="1345" spans="1:2">
      <c r="A1345" s="151" t="s">
        <v>3217</v>
      </c>
      <c r="B1345" s="151" t="s">
        <v>3218</v>
      </c>
    </row>
    <row r="1346" spans="1:2">
      <c r="A1346" s="151" t="s">
        <v>3219</v>
      </c>
      <c r="B1346" s="151" t="s">
        <v>3220</v>
      </c>
    </row>
    <row r="1347" spans="1:2">
      <c r="A1347" s="151" t="s">
        <v>3221</v>
      </c>
      <c r="B1347" s="151" t="s">
        <v>3222</v>
      </c>
    </row>
    <row r="1348" spans="1:2">
      <c r="A1348" s="151" t="s">
        <v>3223</v>
      </c>
      <c r="B1348" s="151" t="s">
        <v>3224</v>
      </c>
    </row>
    <row r="1349" spans="1:2">
      <c r="A1349" s="151" t="s">
        <v>3225</v>
      </c>
      <c r="B1349" s="151" t="s">
        <v>3226</v>
      </c>
    </row>
    <row r="1350" spans="1:2">
      <c r="A1350" s="151" t="s">
        <v>3227</v>
      </c>
      <c r="B1350" s="151" t="s">
        <v>3228</v>
      </c>
    </row>
    <row r="1351" spans="1:2">
      <c r="A1351" s="151" t="s">
        <v>3229</v>
      </c>
      <c r="B1351" s="151" t="s">
        <v>3230</v>
      </c>
    </row>
    <row r="1352" spans="1:2">
      <c r="A1352" s="151" t="s">
        <v>3231</v>
      </c>
      <c r="B1352" s="151" t="s">
        <v>3232</v>
      </c>
    </row>
    <row r="1353" spans="1:2">
      <c r="A1353" s="151" t="s">
        <v>3233</v>
      </c>
      <c r="B1353" s="151" t="s">
        <v>3234</v>
      </c>
    </row>
    <row r="1354" spans="1:2">
      <c r="A1354" s="151" t="s">
        <v>3235</v>
      </c>
      <c r="B1354" s="151" t="s">
        <v>3236</v>
      </c>
    </row>
    <row r="1355" spans="1:2">
      <c r="A1355" s="151" t="s">
        <v>3237</v>
      </c>
      <c r="B1355" s="151" t="s">
        <v>351</v>
      </c>
    </row>
    <row r="1356" spans="1:2">
      <c r="A1356" s="151" t="s">
        <v>3238</v>
      </c>
      <c r="B1356" s="151" t="s">
        <v>3239</v>
      </c>
    </row>
    <row r="1357" spans="1:2">
      <c r="A1357" s="151" t="s">
        <v>3240</v>
      </c>
      <c r="B1357" s="151" t="s">
        <v>356</v>
      </c>
    </row>
    <row r="1358" spans="1:2">
      <c r="A1358" s="151" t="s">
        <v>3241</v>
      </c>
      <c r="B1358" s="151" t="s">
        <v>3242</v>
      </c>
    </row>
    <row r="1359" spans="1:2">
      <c r="A1359" s="151" t="s">
        <v>3243</v>
      </c>
      <c r="B1359" s="151" t="s">
        <v>3244</v>
      </c>
    </row>
    <row r="1360" spans="1:2">
      <c r="A1360" s="151" t="s">
        <v>3245</v>
      </c>
      <c r="B1360" s="151" t="s">
        <v>3246</v>
      </c>
    </row>
    <row r="1361" spans="1:2">
      <c r="A1361" s="151" t="s">
        <v>3247</v>
      </c>
      <c r="B1361" s="151" t="s">
        <v>3248</v>
      </c>
    </row>
    <row r="1362" spans="1:2">
      <c r="A1362" s="151" t="s">
        <v>3249</v>
      </c>
      <c r="B1362" s="151" t="s">
        <v>3250</v>
      </c>
    </row>
    <row r="1363" spans="1:2">
      <c r="A1363" s="151" t="s">
        <v>3251</v>
      </c>
      <c r="B1363" s="151" t="s">
        <v>3252</v>
      </c>
    </row>
    <row r="1364" spans="1:2">
      <c r="A1364" s="151" t="s">
        <v>3253</v>
      </c>
      <c r="B1364" s="151" t="s">
        <v>3254</v>
      </c>
    </row>
    <row r="1365" spans="1:2">
      <c r="A1365" s="151" t="s">
        <v>3255</v>
      </c>
      <c r="B1365" s="151" t="s">
        <v>3256</v>
      </c>
    </row>
    <row r="1366" spans="1:2">
      <c r="A1366" s="151" t="s">
        <v>3257</v>
      </c>
      <c r="B1366" s="151" t="s">
        <v>3258</v>
      </c>
    </row>
    <row r="1367" spans="1:2">
      <c r="A1367" s="151" t="s">
        <v>3259</v>
      </c>
      <c r="B1367" s="151" t="s">
        <v>3260</v>
      </c>
    </row>
    <row r="1368" spans="1:2">
      <c r="A1368" s="151" t="s">
        <v>3261</v>
      </c>
      <c r="B1368" s="151" t="s">
        <v>3262</v>
      </c>
    </row>
    <row r="1369" spans="1:2">
      <c r="A1369" s="151" t="s">
        <v>3263</v>
      </c>
      <c r="B1369" s="151" t="s">
        <v>3264</v>
      </c>
    </row>
    <row r="1370" spans="1:2">
      <c r="A1370" s="151" t="s">
        <v>3265</v>
      </c>
      <c r="B1370" s="151" t="s">
        <v>3266</v>
      </c>
    </row>
    <row r="1371" spans="1:2">
      <c r="A1371" s="151" t="s">
        <v>3267</v>
      </c>
      <c r="B1371" s="151" t="s">
        <v>3268</v>
      </c>
    </row>
    <row r="1372" spans="1:2">
      <c r="A1372" s="151" t="s">
        <v>3269</v>
      </c>
      <c r="B1372" s="151" t="s">
        <v>3270</v>
      </c>
    </row>
    <row r="1373" spans="1:2">
      <c r="A1373" s="151" t="s">
        <v>3271</v>
      </c>
      <c r="B1373" s="151" t="s">
        <v>3272</v>
      </c>
    </row>
    <row r="1374" spans="1:2">
      <c r="A1374" s="151" t="s">
        <v>3273</v>
      </c>
      <c r="B1374" s="151" t="s">
        <v>3274</v>
      </c>
    </row>
    <row r="1375" spans="1:2">
      <c r="A1375" s="151" t="s">
        <v>3275</v>
      </c>
      <c r="B1375" s="151" t="s">
        <v>3276</v>
      </c>
    </row>
    <row r="1376" spans="1:2">
      <c r="A1376" s="151" t="s">
        <v>3277</v>
      </c>
      <c r="B1376" s="151" t="s">
        <v>3278</v>
      </c>
    </row>
    <row r="1377" spans="1:2">
      <c r="A1377" s="151" t="s">
        <v>3279</v>
      </c>
      <c r="B1377" s="151" t="s">
        <v>3280</v>
      </c>
    </row>
    <row r="1378" spans="1:2">
      <c r="A1378" s="151" t="s">
        <v>3281</v>
      </c>
      <c r="B1378" s="151" t="s">
        <v>3282</v>
      </c>
    </row>
    <row r="1379" spans="1:2">
      <c r="A1379" s="151" t="s">
        <v>3283</v>
      </c>
      <c r="B1379" s="151" t="s">
        <v>3284</v>
      </c>
    </row>
    <row r="1380" spans="1:2">
      <c r="A1380" s="151" t="s">
        <v>3285</v>
      </c>
      <c r="B1380" s="151" t="s">
        <v>3286</v>
      </c>
    </row>
    <row r="1381" spans="1:2">
      <c r="A1381" s="151" t="s">
        <v>3287</v>
      </c>
      <c r="B1381" s="151" t="s">
        <v>3288</v>
      </c>
    </row>
    <row r="1382" spans="1:2">
      <c r="A1382" s="151" t="s">
        <v>3289</v>
      </c>
      <c r="B1382" s="151" t="s">
        <v>3290</v>
      </c>
    </row>
    <row r="1383" spans="1:2">
      <c r="A1383" s="151" t="s">
        <v>3291</v>
      </c>
      <c r="B1383" s="151" t="s">
        <v>3292</v>
      </c>
    </row>
    <row r="1384" spans="1:2">
      <c r="A1384" s="151" t="s">
        <v>3293</v>
      </c>
      <c r="B1384" s="151" t="s">
        <v>3294</v>
      </c>
    </row>
    <row r="1385" spans="1:2">
      <c r="A1385" s="151" t="s">
        <v>3295</v>
      </c>
      <c r="B1385" s="151" t="s">
        <v>918</v>
      </c>
    </row>
    <row r="1386" spans="1:2">
      <c r="A1386" s="151" t="s">
        <v>3296</v>
      </c>
      <c r="B1386" s="151" t="s">
        <v>3297</v>
      </c>
    </row>
    <row r="1387" spans="1:2">
      <c r="A1387" s="151" t="s">
        <v>3298</v>
      </c>
      <c r="B1387" s="151" t="s">
        <v>361</v>
      </c>
    </row>
    <row r="1388" spans="1:2">
      <c r="A1388" s="151" t="s">
        <v>3299</v>
      </c>
      <c r="B1388" s="151" t="s">
        <v>3300</v>
      </c>
    </row>
    <row r="1389" spans="1:2">
      <c r="A1389" s="151" t="s">
        <v>3301</v>
      </c>
      <c r="B1389" s="151" t="s">
        <v>366</v>
      </c>
    </row>
    <row r="1390" spans="1:2">
      <c r="A1390" s="151" t="s">
        <v>3302</v>
      </c>
      <c r="B1390" s="151" t="s">
        <v>3303</v>
      </c>
    </row>
    <row r="1391" spans="1:2">
      <c r="A1391" s="151" t="s">
        <v>3304</v>
      </c>
      <c r="B1391" s="151" t="s">
        <v>371</v>
      </c>
    </row>
    <row r="1392" spans="1:2">
      <c r="A1392" s="151" t="s">
        <v>3305</v>
      </c>
      <c r="B1392" s="151" t="s">
        <v>376</v>
      </c>
    </row>
    <row r="1393" spans="1:2">
      <c r="A1393" s="151" t="s">
        <v>3306</v>
      </c>
      <c r="B1393" s="151" t="s">
        <v>120</v>
      </c>
    </row>
    <row r="1394" spans="1:2">
      <c r="A1394" s="151" t="s">
        <v>3307</v>
      </c>
      <c r="B1394" s="151" t="s">
        <v>3308</v>
      </c>
    </row>
    <row r="1395" spans="1:2">
      <c r="A1395" s="151" t="s">
        <v>3309</v>
      </c>
      <c r="B1395" s="151" t="s">
        <v>3310</v>
      </c>
    </row>
    <row r="1396" spans="1:2">
      <c r="A1396" s="151" t="s">
        <v>3311</v>
      </c>
      <c r="B1396" s="151" t="s">
        <v>3312</v>
      </c>
    </row>
    <row r="1397" spans="1:2">
      <c r="A1397" s="151" t="s">
        <v>3313</v>
      </c>
      <c r="B1397" s="151" t="s">
        <v>381</v>
      </c>
    </row>
    <row r="1398" spans="1:2">
      <c r="A1398" s="151" t="s">
        <v>3314</v>
      </c>
      <c r="B1398" s="151" t="s">
        <v>3315</v>
      </c>
    </row>
    <row r="1399" spans="1:2">
      <c r="A1399" s="151" t="s">
        <v>3316</v>
      </c>
      <c r="B1399" s="151" t="s">
        <v>3317</v>
      </c>
    </row>
    <row r="1400" spans="1:2">
      <c r="A1400" s="151" t="s">
        <v>3318</v>
      </c>
      <c r="B1400" s="151" t="s">
        <v>3319</v>
      </c>
    </row>
    <row r="1401" spans="1:2">
      <c r="A1401" s="151" t="s">
        <v>3320</v>
      </c>
      <c r="B1401" s="151" t="s">
        <v>3321</v>
      </c>
    </row>
    <row r="1402" spans="1:2">
      <c r="A1402" s="151" t="s">
        <v>3322</v>
      </c>
      <c r="B1402" s="151" t="s">
        <v>3323</v>
      </c>
    </row>
    <row r="1403" spans="1:2">
      <c r="A1403" s="151" t="s">
        <v>3324</v>
      </c>
      <c r="B1403" s="151" t="s">
        <v>3325</v>
      </c>
    </row>
    <row r="1404" spans="1:2">
      <c r="A1404" s="151" t="s">
        <v>3326</v>
      </c>
      <c r="B1404" s="151" t="s">
        <v>3327</v>
      </c>
    </row>
    <row r="1405" spans="1:2">
      <c r="A1405" s="151" t="s">
        <v>3328</v>
      </c>
      <c r="B1405" s="151" t="s">
        <v>3329</v>
      </c>
    </row>
    <row r="1406" spans="1:2">
      <c r="A1406" s="151" t="s">
        <v>3330</v>
      </c>
      <c r="B1406" s="151" t="s">
        <v>3331</v>
      </c>
    </row>
    <row r="1407" spans="1:2">
      <c r="A1407" s="151" t="s">
        <v>3332</v>
      </c>
      <c r="B1407" s="151" t="s">
        <v>3333</v>
      </c>
    </row>
    <row r="1408" spans="1:2">
      <c r="A1408" s="151" t="s">
        <v>3334</v>
      </c>
      <c r="B1408" s="151" t="s">
        <v>3335</v>
      </c>
    </row>
    <row r="1409" spans="1:2">
      <c r="A1409" s="151" t="s">
        <v>3336</v>
      </c>
      <c r="B1409" s="151" t="s">
        <v>3337</v>
      </c>
    </row>
    <row r="1410" spans="1:2">
      <c r="A1410" s="151" t="s">
        <v>3338</v>
      </c>
      <c r="B1410" s="151" t="s">
        <v>3339</v>
      </c>
    </row>
    <row r="1411" spans="1:2">
      <c r="A1411" s="151" t="s">
        <v>3340</v>
      </c>
      <c r="B1411" s="151" t="s">
        <v>3341</v>
      </c>
    </row>
    <row r="1412" spans="1:2">
      <c r="A1412" s="151" t="s">
        <v>3342</v>
      </c>
      <c r="B1412" s="151" t="s">
        <v>3343</v>
      </c>
    </row>
    <row r="1413" spans="1:2">
      <c r="A1413" s="151" t="s">
        <v>3344</v>
      </c>
      <c r="B1413" s="151" t="s">
        <v>3345</v>
      </c>
    </row>
    <row r="1414" spans="1:2">
      <c r="A1414" s="151" t="s">
        <v>3346</v>
      </c>
      <c r="B1414" s="151" t="s">
        <v>3347</v>
      </c>
    </row>
    <row r="1415" spans="1:2">
      <c r="A1415" s="151" t="s">
        <v>3348</v>
      </c>
      <c r="B1415" s="151" t="s">
        <v>3349</v>
      </c>
    </row>
    <row r="1416" spans="1:2">
      <c r="A1416" s="151" t="s">
        <v>3350</v>
      </c>
      <c r="B1416" s="151" t="s">
        <v>3351</v>
      </c>
    </row>
    <row r="1417" spans="1:2">
      <c r="A1417" s="151" t="s">
        <v>3352</v>
      </c>
      <c r="B1417" s="151" t="s">
        <v>3353</v>
      </c>
    </row>
    <row r="1418" spans="1:2">
      <c r="A1418" s="151" t="s">
        <v>3354</v>
      </c>
      <c r="B1418" s="151" t="s">
        <v>3355</v>
      </c>
    </row>
    <row r="1419" spans="1:2">
      <c r="A1419" s="151" t="s">
        <v>3356</v>
      </c>
      <c r="B1419" s="151" t="s">
        <v>3357</v>
      </c>
    </row>
    <row r="1420" spans="1:2">
      <c r="A1420" s="151" t="s">
        <v>3358</v>
      </c>
      <c r="B1420" s="151" t="s">
        <v>3359</v>
      </c>
    </row>
    <row r="1421" spans="1:2">
      <c r="A1421" s="151" t="s">
        <v>3360</v>
      </c>
      <c r="B1421" s="151" t="s">
        <v>3361</v>
      </c>
    </row>
    <row r="1422" spans="1:2">
      <c r="A1422" s="151" t="s">
        <v>3362</v>
      </c>
      <c r="B1422" s="151" t="s">
        <v>3363</v>
      </c>
    </row>
    <row r="1423" spans="1:2">
      <c r="A1423" s="151" t="s">
        <v>3364</v>
      </c>
      <c r="B1423" s="151" t="s">
        <v>3365</v>
      </c>
    </row>
    <row r="1424" spans="1:2">
      <c r="A1424" s="151" t="s">
        <v>3366</v>
      </c>
      <c r="B1424" s="151" t="s">
        <v>3367</v>
      </c>
    </row>
    <row r="1425" spans="1:2">
      <c r="A1425" s="151" t="s">
        <v>3368</v>
      </c>
      <c r="B1425" s="151" t="s">
        <v>3369</v>
      </c>
    </row>
    <row r="1426" spans="1:2">
      <c r="A1426" s="151" t="s">
        <v>3370</v>
      </c>
      <c r="B1426" s="151" t="s">
        <v>3371</v>
      </c>
    </row>
    <row r="1427" spans="1:2">
      <c r="A1427" s="151" t="s">
        <v>3372</v>
      </c>
      <c r="B1427" s="151" t="s">
        <v>3373</v>
      </c>
    </row>
    <row r="1428" spans="1:2">
      <c r="A1428" s="151" t="s">
        <v>3374</v>
      </c>
      <c r="B1428" s="151" t="s">
        <v>3375</v>
      </c>
    </row>
    <row r="1429" spans="1:2">
      <c r="A1429" s="151" t="s">
        <v>3376</v>
      </c>
      <c r="B1429" s="151" t="s">
        <v>3377</v>
      </c>
    </row>
    <row r="1430" spans="1:2">
      <c r="A1430" s="151" t="s">
        <v>3378</v>
      </c>
      <c r="B1430" s="151" t="s">
        <v>3379</v>
      </c>
    </row>
    <row r="1431" spans="1:2">
      <c r="A1431" s="151" t="s">
        <v>3380</v>
      </c>
      <c r="B1431" s="151" t="s">
        <v>3381</v>
      </c>
    </row>
    <row r="1432" spans="1:2">
      <c r="A1432" s="151" t="s">
        <v>3382</v>
      </c>
      <c r="B1432" s="151" t="s">
        <v>3383</v>
      </c>
    </row>
    <row r="1433" spans="1:2">
      <c r="A1433" s="151" t="s">
        <v>3384</v>
      </c>
      <c r="B1433" s="151" t="s">
        <v>3385</v>
      </c>
    </row>
    <row r="1434" spans="1:2">
      <c r="A1434" s="151" t="s">
        <v>3386</v>
      </c>
      <c r="B1434" s="151" t="s">
        <v>3387</v>
      </c>
    </row>
    <row r="1435" spans="1:2">
      <c r="A1435" s="151" t="s">
        <v>3388</v>
      </c>
      <c r="B1435" s="151" t="s">
        <v>3389</v>
      </c>
    </row>
    <row r="1436" spans="1:2">
      <c r="A1436" s="151" t="s">
        <v>3390</v>
      </c>
      <c r="B1436" s="151" t="s">
        <v>3391</v>
      </c>
    </row>
    <row r="1437" spans="1:2">
      <c r="A1437" s="151" t="s">
        <v>3392</v>
      </c>
      <c r="B1437" s="151" t="s">
        <v>3393</v>
      </c>
    </row>
    <row r="1438" spans="1:2">
      <c r="A1438" s="151" t="s">
        <v>3394</v>
      </c>
      <c r="B1438" s="151" t="s">
        <v>3395</v>
      </c>
    </row>
    <row r="1439" spans="1:2">
      <c r="A1439" s="151" t="s">
        <v>3396</v>
      </c>
      <c r="B1439" s="151" t="s">
        <v>3397</v>
      </c>
    </row>
    <row r="1440" spans="1:2">
      <c r="A1440" s="151" t="s">
        <v>3398</v>
      </c>
      <c r="B1440" s="151" t="s">
        <v>3399</v>
      </c>
    </row>
    <row r="1441" spans="1:2">
      <c r="A1441" s="151" t="s">
        <v>3400</v>
      </c>
      <c r="B1441" s="151" t="s">
        <v>3401</v>
      </c>
    </row>
    <row r="1442" spans="1:2">
      <c r="A1442" s="151" t="s">
        <v>3402</v>
      </c>
      <c r="B1442" s="151" t="s">
        <v>3403</v>
      </c>
    </row>
    <row r="1443" spans="1:2">
      <c r="A1443" s="151" t="s">
        <v>3404</v>
      </c>
      <c r="B1443" s="151" t="s">
        <v>3405</v>
      </c>
    </row>
    <row r="1444" spans="1:2">
      <c r="A1444" s="151" t="s">
        <v>3406</v>
      </c>
      <c r="B1444" s="151" t="s">
        <v>3407</v>
      </c>
    </row>
    <row r="1445" spans="1:2">
      <c r="A1445" s="151" t="s">
        <v>3408</v>
      </c>
      <c r="B1445" s="151" t="s">
        <v>3409</v>
      </c>
    </row>
    <row r="1446" spans="1:2">
      <c r="A1446" s="151" t="s">
        <v>3410</v>
      </c>
      <c r="B1446" s="151" t="s">
        <v>3411</v>
      </c>
    </row>
    <row r="1447" spans="1:2">
      <c r="A1447" s="151" t="s">
        <v>3412</v>
      </c>
      <c r="B1447" s="151" t="s">
        <v>3413</v>
      </c>
    </row>
    <row r="1448" spans="1:2">
      <c r="A1448" s="151" t="s">
        <v>3414</v>
      </c>
      <c r="B1448" s="151" t="s">
        <v>3415</v>
      </c>
    </row>
    <row r="1449" spans="1:2">
      <c r="A1449" s="151" t="s">
        <v>3416</v>
      </c>
      <c r="B1449" s="151" t="s">
        <v>3417</v>
      </c>
    </row>
    <row r="1450" spans="1:2">
      <c r="A1450" s="151" t="s">
        <v>3418</v>
      </c>
      <c r="B1450" s="151" t="s">
        <v>3419</v>
      </c>
    </row>
    <row r="1451" spans="1:2">
      <c r="A1451" s="151" t="s">
        <v>3420</v>
      </c>
      <c r="B1451" s="151" t="s">
        <v>3421</v>
      </c>
    </row>
    <row r="1452" spans="1:2">
      <c r="A1452" s="151" t="s">
        <v>3422</v>
      </c>
      <c r="B1452" s="151" t="s">
        <v>3423</v>
      </c>
    </row>
    <row r="1453" spans="1:2">
      <c r="A1453" s="151" t="s">
        <v>3424</v>
      </c>
      <c r="B1453" s="151" t="s">
        <v>3425</v>
      </c>
    </row>
    <row r="1454" spans="1:2">
      <c r="A1454" s="151" t="s">
        <v>3426</v>
      </c>
      <c r="B1454" s="151" t="s">
        <v>3427</v>
      </c>
    </row>
    <row r="1455" spans="1:2">
      <c r="A1455" s="151" t="s">
        <v>3428</v>
      </c>
      <c r="B1455" s="151" t="s">
        <v>3429</v>
      </c>
    </row>
    <row r="1456" spans="1:2">
      <c r="A1456" s="151" t="s">
        <v>3430</v>
      </c>
      <c r="B1456" s="151" t="s">
        <v>3431</v>
      </c>
    </row>
    <row r="1457" spans="1:2">
      <c r="A1457" s="151" t="s">
        <v>3432</v>
      </c>
      <c r="B1457" s="151" t="s">
        <v>3433</v>
      </c>
    </row>
    <row r="1458" spans="1:2">
      <c r="A1458" s="151" t="s">
        <v>3434</v>
      </c>
    </row>
    <row r="1459" spans="1:2">
      <c r="A1459" s="151" t="s">
        <v>3435</v>
      </c>
    </row>
    <row r="1460" spans="1:2">
      <c r="A1460" s="151" t="s">
        <v>3436</v>
      </c>
    </row>
    <row r="1461" spans="1:2">
      <c r="A1461" s="151" t="s">
        <v>3437</v>
      </c>
    </row>
    <row r="1462" spans="1:2">
      <c r="A1462" s="151" t="s">
        <v>3438</v>
      </c>
    </row>
    <row r="1463" spans="1:2">
      <c r="A1463" s="151" t="s">
        <v>3439</v>
      </c>
    </row>
    <row r="1464" spans="1:2">
      <c r="A1464" s="151" t="s">
        <v>3440</v>
      </c>
    </row>
    <row r="1465" spans="1:2">
      <c r="A1465" s="151" t="s">
        <v>3441</v>
      </c>
    </row>
    <row r="1466" spans="1:2">
      <c r="A1466" s="151" t="s">
        <v>3442</v>
      </c>
    </row>
    <row r="1467" spans="1:2">
      <c r="A1467" s="151" t="s">
        <v>3443</v>
      </c>
    </row>
    <row r="1468" spans="1:2">
      <c r="A1468" s="151" t="s">
        <v>3444</v>
      </c>
    </row>
    <row r="1469" spans="1:2">
      <c r="A1469" s="151" t="s">
        <v>3445</v>
      </c>
    </row>
    <row r="1470" spans="1:2">
      <c r="A1470" s="151" t="s">
        <v>3446</v>
      </c>
    </row>
    <row r="1471" spans="1:2">
      <c r="A1471" s="151" t="s">
        <v>3447</v>
      </c>
    </row>
    <row r="1472" spans="1:2">
      <c r="A1472" s="151" t="s">
        <v>3448</v>
      </c>
    </row>
    <row r="1473" spans="1:1">
      <c r="A1473" s="151" t="s">
        <v>3449</v>
      </c>
    </row>
    <row r="1474" spans="1:1">
      <c r="A1474" s="151" t="s">
        <v>3450</v>
      </c>
    </row>
    <row r="1475" spans="1:1">
      <c r="A1475" s="151" t="s">
        <v>3451</v>
      </c>
    </row>
    <row r="1476" spans="1:1">
      <c r="A1476" s="151" t="s">
        <v>3452</v>
      </c>
    </row>
    <row r="1477" spans="1:1">
      <c r="A1477" s="151" t="s">
        <v>3453</v>
      </c>
    </row>
    <row r="1478" spans="1:1">
      <c r="A1478" s="151" t="s">
        <v>3454</v>
      </c>
    </row>
    <row r="1479" spans="1:1">
      <c r="A1479" s="151" t="s">
        <v>3455</v>
      </c>
    </row>
    <row r="1480" spans="1:1">
      <c r="A1480" s="151" t="s">
        <v>3456</v>
      </c>
    </row>
    <row r="1481" spans="1:1">
      <c r="A1481" s="151" t="s">
        <v>3457</v>
      </c>
    </row>
    <row r="1482" spans="1:1">
      <c r="A1482" s="151" t="s">
        <v>3458</v>
      </c>
    </row>
    <row r="1483" spans="1:1">
      <c r="A1483" s="151" t="s">
        <v>3459</v>
      </c>
    </row>
    <row r="1484" spans="1:1">
      <c r="A1484" s="151" t="s">
        <v>3460</v>
      </c>
    </row>
    <row r="1485" spans="1:1">
      <c r="A1485" s="151" t="s">
        <v>3461</v>
      </c>
    </row>
    <row r="1486" spans="1:1">
      <c r="A1486" s="151" t="s">
        <v>3462</v>
      </c>
    </row>
    <row r="1487" spans="1:1">
      <c r="A1487" s="151" t="s">
        <v>3463</v>
      </c>
    </row>
    <row r="1488" spans="1:1">
      <c r="A1488" s="151" t="s">
        <v>3464</v>
      </c>
    </row>
    <row r="1489" spans="1:1">
      <c r="A1489" s="151" t="s">
        <v>3465</v>
      </c>
    </row>
    <row r="1490" spans="1:1">
      <c r="A1490" s="151" t="s">
        <v>3466</v>
      </c>
    </row>
    <row r="1491" spans="1:1">
      <c r="A1491" s="151" t="s">
        <v>3467</v>
      </c>
    </row>
    <row r="1492" spans="1:1">
      <c r="A1492" s="151" t="s">
        <v>3468</v>
      </c>
    </row>
    <row r="1493" spans="1:1">
      <c r="A1493" s="151" t="s">
        <v>3469</v>
      </c>
    </row>
    <row r="1494" spans="1:1">
      <c r="A1494" s="151" t="s">
        <v>3470</v>
      </c>
    </row>
    <row r="1495" spans="1:1">
      <c r="A1495" s="151" t="s">
        <v>3471</v>
      </c>
    </row>
    <row r="1496" spans="1:1">
      <c r="A1496" s="151" t="s">
        <v>3472</v>
      </c>
    </row>
    <row r="1497" spans="1:1">
      <c r="A1497" s="151" t="s">
        <v>3473</v>
      </c>
    </row>
    <row r="1498" spans="1:1">
      <c r="A1498" s="151" t="s">
        <v>3474</v>
      </c>
    </row>
    <row r="1499" spans="1:1">
      <c r="A1499" s="151" t="s">
        <v>3475</v>
      </c>
    </row>
    <row r="1500" spans="1:1">
      <c r="A1500" s="151" t="s">
        <v>3476</v>
      </c>
    </row>
    <row r="1501" spans="1:1">
      <c r="A1501" s="151" t="s">
        <v>3477</v>
      </c>
    </row>
    <row r="1502" spans="1:1">
      <c r="A1502" s="151" t="s">
        <v>3478</v>
      </c>
    </row>
    <row r="1503" spans="1:1">
      <c r="A1503" s="151" t="s">
        <v>3479</v>
      </c>
    </row>
    <row r="1504" spans="1:1">
      <c r="A1504" s="151" t="s">
        <v>3480</v>
      </c>
    </row>
    <row r="1505" spans="1:1">
      <c r="A1505" s="151" t="s">
        <v>3481</v>
      </c>
    </row>
    <row r="1506" spans="1:1">
      <c r="A1506" s="151" t="s">
        <v>3482</v>
      </c>
    </row>
    <row r="1507" spans="1:1">
      <c r="A1507" s="151" t="s">
        <v>3483</v>
      </c>
    </row>
    <row r="1508" spans="1:1">
      <c r="A1508" s="151" t="s">
        <v>3484</v>
      </c>
    </row>
    <row r="1509" spans="1:1">
      <c r="A1509" s="151" t="s">
        <v>3485</v>
      </c>
    </row>
    <row r="1510" spans="1:1">
      <c r="A1510" s="151" t="s">
        <v>3486</v>
      </c>
    </row>
    <row r="1511" spans="1:1">
      <c r="A1511" s="151" t="s">
        <v>3487</v>
      </c>
    </row>
    <row r="1512" spans="1:1">
      <c r="A1512" s="151" t="s">
        <v>3488</v>
      </c>
    </row>
    <row r="1513" spans="1:1">
      <c r="A1513" s="151" t="s">
        <v>3489</v>
      </c>
    </row>
    <row r="1514" spans="1:1">
      <c r="A1514" s="151" t="s">
        <v>3490</v>
      </c>
    </row>
    <row r="1515" spans="1:1">
      <c r="A1515" s="151" t="s">
        <v>3491</v>
      </c>
    </row>
    <row r="1516" spans="1:1">
      <c r="A1516" s="151" t="s">
        <v>3492</v>
      </c>
    </row>
    <row r="1517" spans="1:1">
      <c r="A1517" s="151" t="s">
        <v>3493</v>
      </c>
    </row>
    <row r="1518" spans="1:1">
      <c r="A1518" s="151" t="s">
        <v>3494</v>
      </c>
    </row>
    <row r="1519" spans="1:1">
      <c r="A1519" s="151" t="s">
        <v>3495</v>
      </c>
    </row>
    <row r="1520" spans="1:1">
      <c r="A1520" s="151" t="s">
        <v>3496</v>
      </c>
    </row>
    <row r="1521" spans="1:1">
      <c r="A1521" s="151" t="s">
        <v>3497</v>
      </c>
    </row>
    <row r="1522" spans="1:1">
      <c r="A1522" s="151" t="s">
        <v>3498</v>
      </c>
    </row>
    <row r="1523" spans="1:1">
      <c r="A1523" s="151" t="s">
        <v>3499</v>
      </c>
    </row>
    <row r="1524" spans="1:1">
      <c r="A1524" s="151" t="s">
        <v>3500</v>
      </c>
    </row>
    <row r="1525" spans="1:1">
      <c r="A1525" s="151" t="s">
        <v>3501</v>
      </c>
    </row>
    <row r="1526" spans="1:1">
      <c r="A1526" s="151" t="s">
        <v>3502</v>
      </c>
    </row>
    <row r="1527" spans="1:1">
      <c r="A1527" s="151" t="s">
        <v>3503</v>
      </c>
    </row>
    <row r="1528" spans="1:1">
      <c r="A1528" s="151" t="s">
        <v>3504</v>
      </c>
    </row>
    <row r="1529" spans="1:1">
      <c r="A1529" s="151" t="s">
        <v>3505</v>
      </c>
    </row>
    <row r="1530" spans="1:1">
      <c r="A1530" s="151" t="s">
        <v>3506</v>
      </c>
    </row>
    <row r="1531" spans="1:1">
      <c r="A1531" s="151" t="s">
        <v>3507</v>
      </c>
    </row>
    <row r="1532" spans="1:1">
      <c r="A1532" s="151" t="s">
        <v>3508</v>
      </c>
    </row>
    <row r="1533" spans="1:1">
      <c r="A1533" s="151" t="s">
        <v>3509</v>
      </c>
    </row>
    <row r="1534" spans="1:1">
      <c r="A1534" s="151" t="s">
        <v>3510</v>
      </c>
    </row>
    <row r="1535" spans="1:1">
      <c r="A1535" s="151" t="s">
        <v>3511</v>
      </c>
    </row>
    <row r="1536" spans="1:1">
      <c r="A1536" s="151" t="s">
        <v>3512</v>
      </c>
    </row>
    <row r="1537" spans="1:1">
      <c r="A1537" s="151" t="s">
        <v>3513</v>
      </c>
    </row>
    <row r="1538" spans="1:1">
      <c r="A1538" s="151" t="s">
        <v>3514</v>
      </c>
    </row>
    <row r="1539" spans="1:1">
      <c r="A1539" s="151" t="s">
        <v>3515</v>
      </c>
    </row>
    <row r="1540" spans="1:1">
      <c r="A1540" s="151" t="s">
        <v>3516</v>
      </c>
    </row>
    <row r="1541" spans="1:1">
      <c r="A1541" s="151" t="s">
        <v>3517</v>
      </c>
    </row>
    <row r="1542" spans="1:1">
      <c r="A1542" s="151" t="s">
        <v>3518</v>
      </c>
    </row>
    <row r="1543" spans="1:1">
      <c r="A1543" s="151" t="s">
        <v>3519</v>
      </c>
    </row>
    <row r="1544" spans="1:1">
      <c r="A1544" s="151" t="s">
        <v>3520</v>
      </c>
    </row>
    <row r="1545" spans="1:1">
      <c r="A1545" s="151" t="s">
        <v>3521</v>
      </c>
    </row>
    <row r="1546" spans="1:1">
      <c r="A1546" s="151" t="s">
        <v>3522</v>
      </c>
    </row>
    <row r="1547" spans="1:1">
      <c r="A1547" s="151" t="s">
        <v>3523</v>
      </c>
    </row>
    <row r="1548" spans="1:1">
      <c r="A1548" s="151" t="s">
        <v>3524</v>
      </c>
    </row>
    <row r="1549" spans="1:1">
      <c r="A1549" s="151" t="s">
        <v>3525</v>
      </c>
    </row>
    <row r="1550" spans="1:1">
      <c r="A1550" s="151" t="s">
        <v>3526</v>
      </c>
    </row>
    <row r="1551" spans="1:1">
      <c r="A1551" s="151" t="s">
        <v>3527</v>
      </c>
    </row>
    <row r="1552" spans="1:1">
      <c r="A1552" s="151" t="s">
        <v>3528</v>
      </c>
    </row>
    <row r="1553" spans="1:1">
      <c r="A1553" s="151" t="s">
        <v>3529</v>
      </c>
    </row>
    <row r="1554" spans="1:1">
      <c r="A1554" s="151" t="s">
        <v>3530</v>
      </c>
    </row>
    <row r="1555" spans="1:1">
      <c r="A1555" s="151" t="s">
        <v>3531</v>
      </c>
    </row>
    <row r="1556" spans="1:1">
      <c r="A1556" s="151" t="s">
        <v>3532</v>
      </c>
    </row>
    <row r="1557" spans="1:1">
      <c r="A1557" s="151" t="s">
        <v>3533</v>
      </c>
    </row>
    <row r="1558" spans="1:1">
      <c r="A1558" s="151" t="s">
        <v>3534</v>
      </c>
    </row>
    <row r="1559" spans="1:1">
      <c r="A1559" s="151" t="s">
        <v>3535</v>
      </c>
    </row>
    <row r="1560" spans="1:1">
      <c r="A1560" s="151" t="s">
        <v>3536</v>
      </c>
    </row>
    <row r="1561" spans="1:1">
      <c r="A1561" s="151" t="s">
        <v>3537</v>
      </c>
    </row>
    <row r="1562" spans="1:1">
      <c r="A1562" s="151" t="s">
        <v>3538</v>
      </c>
    </row>
    <row r="1563" spans="1:1">
      <c r="A1563" s="151" t="s">
        <v>3539</v>
      </c>
    </row>
    <row r="1564" spans="1:1">
      <c r="A1564" s="151" t="s">
        <v>3540</v>
      </c>
    </row>
    <row r="1565" spans="1:1">
      <c r="A1565" s="151" t="s">
        <v>3541</v>
      </c>
    </row>
    <row r="1566" spans="1:1">
      <c r="A1566" s="151" t="s">
        <v>3542</v>
      </c>
    </row>
    <row r="1567" spans="1:1">
      <c r="A1567" s="151" t="s">
        <v>3543</v>
      </c>
    </row>
    <row r="1568" spans="1:1">
      <c r="A1568" s="151" t="s">
        <v>3544</v>
      </c>
    </row>
    <row r="1569" spans="1:1">
      <c r="A1569" s="151" t="s">
        <v>3545</v>
      </c>
    </row>
    <row r="1570" spans="1:1">
      <c r="A1570" s="151" t="s">
        <v>3546</v>
      </c>
    </row>
    <row r="1571" spans="1:1">
      <c r="A1571" s="151" t="s">
        <v>3547</v>
      </c>
    </row>
    <row r="1572" spans="1:1">
      <c r="A1572" s="151" t="s">
        <v>3548</v>
      </c>
    </row>
    <row r="1573" spans="1:1">
      <c r="A1573" s="151" t="s">
        <v>3549</v>
      </c>
    </row>
    <row r="1574" spans="1:1">
      <c r="A1574" s="151" t="s">
        <v>3550</v>
      </c>
    </row>
    <row r="1575" spans="1:1">
      <c r="A1575" s="151" t="s">
        <v>3551</v>
      </c>
    </row>
    <row r="1576" spans="1:1">
      <c r="A1576" s="151" t="s">
        <v>3552</v>
      </c>
    </row>
    <row r="1577" spans="1:1">
      <c r="A1577" s="151" t="s">
        <v>3553</v>
      </c>
    </row>
    <row r="1578" spans="1:1">
      <c r="A1578" s="151" t="s">
        <v>3554</v>
      </c>
    </row>
    <row r="1579" spans="1:1">
      <c r="A1579" s="151" t="s">
        <v>3555</v>
      </c>
    </row>
    <row r="1580" spans="1:1">
      <c r="A1580" s="151" t="s">
        <v>3556</v>
      </c>
    </row>
    <row r="1581" spans="1:1">
      <c r="A1581" s="151" t="s">
        <v>3557</v>
      </c>
    </row>
    <row r="1582" spans="1:1">
      <c r="A1582" s="151" t="s">
        <v>3558</v>
      </c>
    </row>
    <row r="1583" spans="1:1">
      <c r="A1583" s="151" t="s">
        <v>3559</v>
      </c>
    </row>
    <row r="1584" spans="1:1">
      <c r="A1584" s="151" t="s">
        <v>3560</v>
      </c>
    </row>
    <row r="1585" spans="1:1">
      <c r="A1585" s="151" t="s">
        <v>3561</v>
      </c>
    </row>
    <row r="1586" spans="1:1">
      <c r="A1586" s="151" t="s">
        <v>3562</v>
      </c>
    </row>
    <row r="1587" spans="1:1">
      <c r="A1587" s="151" t="s">
        <v>3563</v>
      </c>
    </row>
    <row r="1588" spans="1:1">
      <c r="A1588" s="151" t="s">
        <v>3564</v>
      </c>
    </row>
    <row r="1589" spans="1:1">
      <c r="A1589" s="151" t="s">
        <v>3565</v>
      </c>
    </row>
    <row r="1590" spans="1:1">
      <c r="A1590" s="151" t="s">
        <v>3566</v>
      </c>
    </row>
    <row r="1591" spans="1:1">
      <c r="A1591" s="151" t="s">
        <v>3567</v>
      </c>
    </row>
    <row r="1592" spans="1:1">
      <c r="A1592" s="151" t="s">
        <v>3568</v>
      </c>
    </row>
    <row r="1593" spans="1:1">
      <c r="A1593" s="151" t="s">
        <v>3569</v>
      </c>
    </row>
    <row r="1594" spans="1:1">
      <c r="A1594" s="151" t="s">
        <v>3570</v>
      </c>
    </row>
    <row r="1595" spans="1:1">
      <c r="A1595" s="151" t="s">
        <v>3571</v>
      </c>
    </row>
    <row r="1596" spans="1:1">
      <c r="A1596" s="151" t="s">
        <v>3572</v>
      </c>
    </row>
    <row r="1597" spans="1:1">
      <c r="A1597" s="151" t="s">
        <v>3573</v>
      </c>
    </row>
    <row r="1598" spans="1:1">
      <c r="A1598" s="151" t="s">
        <v>3574</v>
      </c>
    </row>
    <row r="1599" spans="1:1">
      <c r="A1599" s="151" t="s">
        <v>3575</v>
      </c>
    </row>
    <row r="1600" spans="1:1">
      <c r="A1600" s="151" t="s">
        <v>3576</v>
      </c>
    </row>
    <row r="1601" spans="1:1">
      <c r="A1601" s="151" t="s">
        <v>3577</v>
      </c>
    </row>
    <row r="1602" spans="1:1">
      <c r="A1602" s="151" t="s">
        <v>3578</v>
      </c>
    </row>
    <row r="1603" spans="1:1">
      <c r="A1603" s="151" t="s">
        <v>3579</v>
      </c>
    </row>
    <row r="1604" spans="1:1">
      <c r="A1604" s="151" t="s">
        <v>3580</v>
      </c>
    </row>
    <row r="1605" spans="1:1">
      <c r="A1605" s="151" t="s">
        <v>3581</v>
      </c>
    </row>
    <row r="1606" spans="1:1">
      <c r="A1606" s="151" t="s">
        <v>3582</v>
      </c>
    </row>
    <row r="1607" spans="1:1">
      <c r="A1607" s="151" t="s">
        <v>3583</v>
      </c>
    </row>
    <row r="1608" spans="1:1">
      <c r="A1608" s="151" t="s">
        <v>3584</v>
      </c>
    </row>
    <row r="1609" spans="1:1">
      <c r="A1609" s="151" t="s">
        <v>3585</v>
      </c>
    </row>
    <row r="1610" spans="1:1">
      <c r="A1610" s="151" t="s">
        <v>3586</v>
      </c>
    </row>
    <row r="1611" spans="1:1">
      <c r="A1611" s="151" t="s">
        <v>3587</v>
      </c>
    </row>
    <row r="1612" spans="1:1">
      <c r="A1612" s="151" t="s">
        <v>3588</v>
      </c>
    </row>
    <row r="1613" spans="1:1">
      <c r="A1613" s="151" t="s">
        <v>3589</v>
      </c>
    </row>
    <row r="1614" spans="1:1">
      <c r="A1614" s="151" t="s">
        <v>3590</v>
      </c>
    </row>
    <row r="1615" spans="1:1">
      <c r="A1615" s="151" t="s">
        <v>3591</v>
      </c>
    </row>
    <row r="1616" spans="1:1">
      <c r="A1616" s="151" t="s">
        <v>3592</v>
      </c>
    </row>
    <row r="1617" spans="1:1">
      <c r="A1617" s="151" t="s">
        <v>3593</v>
      </c>
    </row>
    <row r="1618" spans="1:1">
      <c r="A1618" s="151" t="s">
        <v>3594</v>
      </c>
    </row>
    <row r="1619" spans="1:1">
      <c r="A1619" s="151" t="s">
        <v>3595</v>
      </c>
    </row>
    <row r="1620" spans="1:1">
      <c r="A1620" s="151" t="s">
        <v>3596</v>
      </c>
    </row>
    <row r="1621" spans="1:1">
      <c r="A1621" s="151" t="s">
        <v>3597</v>
      </c>
    </row>
    <row r="1622" spans="1:1">
      <c r="A1622" s="151" t="s">
        <v>3598</v>
      </c>
    </row>
    <row r="1623" spans="1:1">
      <c r="A1623" s="151" t="s">
        <v>3599</v>
      </c>
    </row>
    <row r="1624" spans="1:1">
      <c r="A1624" s="151" t="s">
        <v>3600</v>
      </c>
    </row>
    <row r="1625" spans="1:1">
      <c r="A1625" s="151" t="s">
        <v>3601</v>
      </c>
    </row>
    <row r="1626" spans="1:1">
      <c r="A1626" s="151" t="s">
        <v>3602</v>
      </c>
    </row>
    <row r="1627" spans="1:1">
      <c r="A1627" s="151" t="s">
        <v>3603</v>
      </c>
    </row>
    <row r="1628" spans="1:1">
      <c r="A1628" s="151" t="s">
        <v>3604</v>
      </c>
    </row>
    <row r="1629" spans="1:1">
      <c r="A1629" s="151" t="s">
        <v>3605</v>
      </c>
    </row>
    <row r="1630" spans="1:1">
      <c r="A1630" s="151" t="s">
        <v>3606</v>
      </c>
    </row>
    <row r="1631" spans="1:1">
      <c r="A1631" s="151" t="s">
        <v>3607</v>
      </c>
    </row>
    <row r="1632" spans="1:1">
      <c r="A1632" s="151" t="s">
        <v>3608</v>
      </c>
    </row>
    <row r="1633" spans="1:1">
      <c r="A1633" s="151" t="s">
        <v>3609</v>
      </c>
    </row>
    <row r="1634" spans="1:1">
      <c r="A1634" s="151" t="s">
        <v>3610</v>
      </c>
    </row>
    <row r="1635" spans="1:1">
      <c r="A1635" s="151" t="s">
        <v>3611</v>
      </c>
    </row>
    <row r="1636" spans="1:1">
      <c r="A1636" s="151" t="s">
        <v>3612</v>
      </c>
    </row>
    <row r="1637" spans="1:1">
      <c r="A1637" s="151" t="s">
        <v>3613</v>
      </c>
    </row>
    <row r="1638" spans="1:1">
      <c r="A1638" s="151" t="s">
        <v>3614</v>
      </c>
    </row>
    <row r="1639" spans="1:1">
      <c r="A1639" s="151" t="s">
        <v>3615</v>
      </c>
    </row>
    <row r="1640" spans="1:1">
      <c r="A1640" s="151" t="s">
        <v>3616</v>
      </c>
    </row>
    <row r="1641" spans="1:1">
      <c r="A1641" s="151" t="s">
        <v>3617</v>
      </c>
    </row>
    <row r="1642" spans="1:1">
      <c r="A1642" s="151" t="s">
        <v>3618</v>
      </c>
    </row>
    <row r="1643" spans="1:1">
      <c r="A1643" s="151" t="s">
        <v>3619</v>
      </c>
    </row>
    <row r="1644" spans="1:1">
      <c r="A1644" s="151" t="s">
        <v>3620</v>
      </c>
    </row>
    <row r="1645" spans="1:1">
      <c r="A1645" s="151" t="s">
        <v>3621</v>
      </c>
    </row>
    <row r="1646" spans="1:1">
      <c r="A1646" s="151" t="s">
        <v>3622</v>
      </c>
    </row>
    <row r="1647" spans="1:1">
      <c r="A1647" s="151" t="s">
        <v>3623</v>
      </c>
    </row>
    <row r="1648" spans="1:1">
      <c r="A1648" s="151" t="s">
        <v>3624</v>
      </c>
    </row>
    <row r="1649" spans="1:1">
      <c r="A1649" s="151" t="s">
        <v>3625</v>
      </c>
    </row>
    <row r="1650" spans="1:1">
      <c r="A1650" s="151" t="s">
        <v>3626</v>
      </c>
    </row>
    <row r="1651" spans="1:1">
      <c r="A1651" s="151" t="s">
        <v>3627</v>
      </c>
    </row>
    <row r="1652" spans="1:1">
      <c r="A1652" s="151" t="s">
        <v>3628</v>
      </c>
    </row>
    <row r="1653" spans="1:1">
      <c r="A1653" s="151" t="s">
        <v>3629</v>
      </c>
    </row>
    <row r="1654" spans="1:1">
      <c r="A1654" s="151" t="s">
        <v>3630</v>
      </c>
    </row>
    <row r="1655" spans="1:1">
      <c r="A1655" s="151" t="s">
        <v>3631</v>
      </c>
    </row>
    <row r="1656" spans="1:1">
      <c r="A1656" s="151" t="s">
        <v>3632</v>
      </c>
    </row>
    <row r="1657" spans="1:1">
      <c r="A1657" s="151" t="s">
        <v>3633</v>
      </c>
    </row>
    <row r="1658" spans="1:1">
      <c r="A1658" s="151" t="s">
        <v>3634</v>
      </c>
    </row>
    <row r="1659" spans="1:1">
      <c r="A1659" s="151" t="s">
        <v>3635</v>
      </c>
    </row>
    <row r="1660" spans="1:1">
      <c r="A1660" s="151" t="s">
        <v>3636</v>
      </c>
    </row>
    <row r="1661" spans="1:1">
      <c r="A1661" s="151" t="s">
        <v>3637</v>
      </c>
    </row>
    <row r="1662" spans="1:1">
      <c r="A1662" s="151" t="s">
        <v>3638</v>
      </c>
    </row>
    <row r="1663" spans="1:1">
      <c r="A1663" s="151" t="s">
        <v>3639</v>
      </c>
    </row>
    <row r="1664" spans="1:1">
      <c r="A1664" s="151" t="s">
        <v>3640</v>
      </c>
    </row>
    <row r="1665" spans="1:1">
      <c r="A1665" s="151" t="s">
        <v>3641</v>
      </c>
    </row>
    <row r="1666" spans="1:1">
      <c r="A1666" s="151" t="s">
        <v>3642</v>
      </c>
    </row>
    <row r="1667" spans="1:1">
      <c r="A1667" s="151" t="s">
        <v>3643</v>
      </c>
    </row>
    <row r="1668" spans="1:1">
      <c r="A1668" s="151" t="s">
        <v>3644</v>
      </c>
    </row>
    <row r="1669" spans="1:1">
      <c r="A1669" s="151" t="s">
        <v>3645</v>
      </c>
    </row>
    <row r="1670" spans="1:1">
      <c r="A1670" s="151" t="s">
        <v>3646</v>
      </c>
    </row>
    <row r="1671" spans="1:1">
      <c r="A1671" s="151" t="s">
        <v>3647</v>
      </c>
    </row>
    <row r="1672" spans="1:1">
      <c r="A1672" s="151" t="s">
        <v>3648</v>
      </c>
    </row>
    <row r="1673" spans="1:1">
      <c r="A1673" s="151" t="s">
        <v>3649</v>
      </c>
    </row>
    <row r="1674" spans="1:1">
      <c r="A1674" s="151" t="s">
        <v>3650</v>
      </c>
    </row>
    <row r="1675" spans="1:1">
      <c r="A1675" s="151" t="s">
        <v>3651</v>
      </c>
    </row>
    <row r="1676" spans="1:1">
      <c r="A1676" s="151" t="s">
        <v>3652</v>
      </c>
    </row>
    <row r="1677" spans="1:1">
      <c r="A1677" s="151" t="s">
        <v>3653</v>
      </c>
    </row>
    <row r="1678" spans="1:1">
      <c r="A1678" s="151" t="s">
        <v>3654</v>
      </c>
    </row>
    <row r="1679" spans="1:1">
      <c r="A1679" s="151" t="s">
        <v>3655</v>
      </c>
    </row>
    <row r="1680" spans="1:1">
      <c r="A1680" s="151" t="s">
        <v>3656</v>
      </c>
    </row>
    <row r="1681" spans="1:1">
      <c r="A1681" s="151" t="s">
        <v>3657</v>
      </c>
    </row>
    <row r="1682" spans="1:1">
      <c r="A1682" s="151" t="s">
        <v>3658</v>
      </c>
    </row>
    <row r="1683" spans="1:1">
      <c r="A1683" s="151" t="s">
        <v>3659</v>
      </c>
    </row>
    <row r="1684" spans="1:1">
      <c r="A1684" s="151" t="s">
        <v>3660</v>
      </c>
    </row>
    <row r="1685" spans="1:1">
      <c r="A1685" s="151" t="s">
        <v>3661</v>
      </c>
    </row>
    <row r="1686" spans="1:1">
      <c r="A1686" s="151" t="s">
        <v>3662</v>
      </c>
    </row>
    <row r="1687" spans="1:1">
      <c r="A1687" s="151" t="s">
        <v>3663</v>
      </c>
    </row>
    <row r="1688" spans="1:1">
      <c r="A1688" s="151" t="s">
        <v>3664</v>
      </c>
    </row>
    <row r="1689" spans="1:1">
      <c r="A1689" s="151" t="s">
        <v>3665</v>
      </c>
    </row>
    <row r="1690" spans="1:1">
      <c r="A1690" s="151" t="s">
        <v>3666</v>
      </c>
    </row>
    <row r="1691" spans="1:1">
      <c r="A1691" s="151" t="s">
        <v>3667</v>
      </c>
    </row>
    <row r="1692" spans="1:1">
      <c r="A1692" s="151" t="s">
        <v>3668</v>
      </c>
    </row>
    <row r="1693" spans="1:1">
      <c r="A1693" s="151" t="s">
        <v>3669</v>
      </c>
    </row>
    <row r="1694" spans="1:1">
      <c r="A1694" s="151" t="s">
        <v>3670</v>
      </c>
    </row>
    <row r="1695" spans="1:1">
      <c r="A1695" s="151" t="s">
        <v>3671</v>
      </c>
    </row>
    <row r="1696" spans="1:1">
      <c r="A1696" s="151" t="s">
        <v>3672</v>
      </c>
    </row>
    <row r="1697" spans="1:1">
      <c r="A1697" s="151" t="s">
        <v>3673</v>
      </c>
    </row>
    <row r="1698" spans="1:1">
      <c r="A1698" s="151" t="s">
        <v>3674</v>
      </c>
    </row>
    <row r="1699" spans="1:1">
      <c r="A1699" s="151" t="s">
        <v>3675</v>
      </c>
    </row>
    <row r="1700" spans="1:1">
      <c r="A1700" s="151" t="s">
        <v>3676</v>
      </c>
    </row>
    <row r="1701" spans="1:1">
      <c r="A1701" s="151" t="s">
        <v>3677</v>
      </c>
    </row>
    <row r="1702" spans="1:1">
      <c r="A1702" s="151" t="s">
        <v>3678</v>
      </c>
    </row>
    <row r="1703" spans="1:1">
      <c r="A1703" s="151" t="s">
        <v>3679</v>
      </c>
    </row>
    <row r="1704" spans="1:1">
      <c r="A1704" s="151" t="s">
        <v>3680</v>
      </c>
    </row>
    <row r="1705" spans="1:1">
      <c r="A1705" s="151" t="s">
        <v>3681</v>
      </c>
    </row>
    <row r="1706" spans="1:1">
      <c r="A1706" s="151" t="s">
        <v>3682</v>
      </c>
    </row>
    <row r="1707" spans="1:1">
      <c r="A1707" s="151" t="s">
        <v>3683</v>
      </c>
    </row>
    <row r="1708" spans="1:1">
      <c r="A1708" s="151" t="s">
        <v>3684</v>
      </c>
    </row>
    <row r="1709" spans="1:1">
      <c r="A1709" s="151" t="s">
        <v>3685</v>
      </c>
    </row>
    <row r="1710" spans="1:1">
      <c r="A1710" s="151" t="s">
        <v>3686</v>
      </c>
    </row>
    <row r="1711" spans="1:1">
      <c r="A1711" s="151" t="s">
        <v>3687</v>
      </c>
    </row>
    <row r="1712" spans="1:1">
      <c r="A1712" s="151" t="s">
        <v>3688</v>
      </c>
    </row>
    <row r="1713" spans="1:1">
      <c r="A1713" s="151" t="s">
        <v>3689</v>
      </c>
    </row>
    <row r="1714" spans="1:1">
      <c r="A1714" s="151" t="s">
        <v>3690</v>
      </c>
    </row>
    <row r="1715" spans="1:1">
      <c r="A1715" s="151" t="s">
        <v>3691</v>
      </c>
    </row>
    <row r="1716" spans="1:1">
      <c r="A1716" s="151" t="s">
        <v>3692</v>
      </c>
    </row>
    <row r="1717" spans="1:1">
      <c r="A1717" s="151" t="s">
        <v>3693</v>
      </c>
    </row>
    <row r="1718" spans="1:1">
      <c r="A1718" s="151" t="s">
        <v>3694</v>
      </c>
    </row>
    <row r="1719" spans="1:1">
      <c r="A1719" s="151" t="s">
        <v>3695</v>
      </c>
    </row>
    <row r="1720" spans="1:1">
      <c r="A1720" s="151" t="s">
        <v>3696</v>
      </c>
    </row>
    <row r="1721" spans="1:1">
      <c r="A1721" s="151" t="s">
        <v>3697</v>
      </c>
    </row>
    <row r="1722" spans="1:1">
      <c r="A1722" s="151" t="s">
        <v>3698</v>
      </c>
    </row>
    <row r="1723" spans="1:1">
      <c r="A1723" s="151" t="s">
        <v>3699</v>
      </c>
    </row>
    <row r="1724" spans="1:1">
      <c r="A1724" s="151" t="s">
        <v>3700</v>
      </c>
    </row>
    <row r="1725" spans="1:1">
      <c r="A1725" s="151" t="s">
        <v>3701</v>
      </c>
    </row>
    <row r="1726" spans="1:1">
      <c r="A1726" s="151" t="s">
        <v>3702</v>
      </c>
    </row>
    <row r="1727" spans="1:1">
      <c r="A1727" s="151" t="s">
        <v>3703</v>
      </c>
    </row>
    <row r="1728" spans="1:1">
      <c r="A1728" s="151" t="s">
        <v>3704</v>
      </c>
    </row>
    <row r="1729" spans="1:1">
      <c r="A1729" s="151" t="s">
        <v>3705</v>
      </c>
    </row>
    <row r="1730" spans="1:1">
      <c r="A1730" s="151" t="s">
        <v>3706</v>
      </c>
    </row>
    <row r="1731" spans="1:1">
      <c r="A1731" s="151" t="s">
        <v>3707</v>
      </c>
    </row>
    <row r="1732" spans="1:1">
      <c r="A1732" s="151" t="s">
        <v>3708</v>
      </c>
    </row>
    <row r="1733" spans="1:1">
      <c r="A1733" s="151" t="s">
        <v>3709</v>
      </c>
    </row>
    <row r="1734" spans="1:1">
      <c r="A1734" s="151" t="s">
        <v>3710</v>
      </c>
    </row>
    <row r="1735" spans="1:1">
      <c r="A1735" s="151" t="s">
        <v>3711</v>
      </c>
    </row>
    <row r="1736" spans="1:1">
      <c r="A1736" s="151" t="s">
        <v>3712</v>
      </c>
    </row>
    <row r="1737" spans="1:1">
      <c r="A1737" s="151" t="s">
        <v>3713</v>
      </c>
    </row>
    <row r="1738" spans="1:1">
      <c r="A1738" s="151" t="s">
        <v>3714</v>
      </c>
    </row>
    <row r="1739" spans="1:1">
      <c r="A1739" s="151" t="s">
        <v>3715</v>
      </c>
    </row>
    <row r="1740" spans="1:1">
      <c r="A1740" s="151" t="s">
        <v>3716</v>
      </c>
    </row>
    <row r="1741" spans="1:1">
      <c r="A1741" s="151" t="s">
        <v>3717</v>
      </c>
    </row>
    <row r="1742" spans="1:1">
      <c r="A1742" s="151" t="s">
        <v>3718</v>
      </c>
    </row>
    <row r="1743" spans="1:1">
      <c r="A1743" s="151" t="s">
        <v>3719</v>
      </c>
    </row>
    <row r="1744" spans="1:1">
      <c r="A1744" s="151" t="s">
        <v>3720</v>
      </c>
    </row>
    <row r="1745" spans="1:1">
      <c r="A1745" s="151" t="s">
        <v>3721</v>
      </c>
    </row>
    <row r="1746" spans="1:1">
      <c r="A1746" s="151" t="s">
        <v>3722</v>
      </c>
    </row>
    <row r="1747" spans="1:1">
      <c r="A1747" s="151" t="s">
        <v>3723</v>
      </c>
    </row>
    <row r="1748" spans="1:1">
      <c r="A1748" s="151" t="s">
        <v>3724</v>
      </c>
    </row>
    <row r="1749" spans="1:1">
      <c r="A1749" s="151" t="s">
        <v>3725</v>
      </c>
    </row>
    <row r="1750" spans="1:1">
      <c r="A1750" s="151" t="s">
        <v>3726</v>
      </c>
    </row>
    <row r="1751" spans="1:1">
      <c r="A1751" s="151" t="s">
        <v>3727</v>
      </c>
    </row>
    <row r="1752" spans="1:1">
      <c r="A1752" s="151" t="s">
        <v>3728</v>
      </c>
    </row>
    <row r="1753" spans="1:1">
      <c r="A1753" s="151" t="s">
        <v>3729</v>
      </c>
    </row>
    <row r="1754" spans="1:1">
      <c r="A1754" s="151" t="s">
        <v>3730</v>
      </c>
    </row>
    <row r="1755" spans="1:1">
      <c r="A1755" s="151" t="s">
        <v>3731</v>
      </c>
    </row>
    <row r="1756" spans="1:1">
      <c r="A1756" s="151" t="s">
        <v>3732</v>
      </c>
    </row>
    <row r="1757" spans="1:1">
      <c r="A1757" s="151" t="s">
        <v>3733</v>
      </c>
    </row>
    <row r="1758" spans="1:1">
      <c r="A1758" s="151" t="s">
        <v>3734</v>
      </c>
    </row>
    <row r="1759" spans="1:1">
      <c r="A1759" s="151" t="s">
        <v>3735</v>
      </c>
    </row>
    <row r="1760" spans="1:1">
      <c r="A1760" s="151" t="s">
        <v>3736</v>
      </c>
    </row>
    <row r="1761" spans="1:1">
      <c r="A1761" s="151" t="s">
        <v>3737</v>
      </c>
    </row>
    <row r="1762" spans="1:1">
      <c r="A1762" s="151" t="s">
        <v>3738</v>
      </c>
    </row>
    <row r="1763" spans="1:1">
      <c r="A1763" s="151" t="s">
        <v>3739</v>
      </c>
    </row>
    <row r="1764" spans="1:1">
      <c r="A1764" s="151" t="s">
        <v>3740</v>
      </c>
    </row>
    <row r="1765" spans="1:1">
      <c r="A1765" s="151" t="s">
        <v>3741</v>
      </c>
    </row>
    <row r="1766" spans="1:1">
      <c r="A1766" s="151" t="s">
        <v>3742</v>
      </c>
    </row>
    <row r="1767" spans="1:1">
      <c r="A1767" s="151" t="s">
        <v>3743</v>
      </c>
    </row>
    <row r="1768" spans="1:1">
      <c r="A1768" s="151" t="s">
        <v>3744</v>
      </c>
    </row>
    <row r="1769" spans="1:1">
      <c r="A1769" s="151" t="s">
        <v>3745</v>
      </c>
    </row>
    <row r="1770" spans="1:1">
      <c r="A1770" s="151" t="s">
        <v>3746</v>
      </c>
    </row>
    <row r="1771" spans="1:1">
      <c r="A1771" s="151" t="s">
        <v>3747</v>
      </c>
    </row>
    <row r="1772" spans="1:1">
      <c r="A1772" s="151" t="s">
        <v>3748</v>
      </c>
    </row>
    <row r="1773" spans="1:1">
      <c r="A1773" s="151" t="s">
        <v>3749</v>
      </c>
    </row>
    <row r="1774" spans="1:1">
      <c r="A1774" s="151" t="s">
        <v>3750</v>
      </c>
    </row>
    <row r="1775" spans="1:1">
      <c r="A1775" s="151" t="s">
        <v>3751</v>
      </c>
    </row>
    <row r="1776" spans="1:1">
      <c r="A1776" s="151" t="s">
        <v>3752</v>
      </c>
    </row>
    <row r="1777" spans="1:1">
      <c r="A1777" s="151" t="s">
        <v>3753</v>
      </c>
    </row>
    <row r="1778" spans="1:1">
      <c r="A1778" s="151" t="s">
        <v>3754</v>
      </c>
    </row>
    <row r="1779" spans="1:1">
      <c r="A1779" s="151" t="s">
        <v>3755</v>
      </c>
    </row>
    <row r="1780" spans="1:1">
      <c r="A1780" s="151" t="s">
        <v>3756</v>
      </c>
    </row>
    <row r="1781" spans="1:1">
      <c r="A1781" s="151" t="s">
        <v>3757</v>
      </c>
    </row>
    <row r="1782" spans="1:1">
      <c r="A1782" s="151" t="s">
        <v>3758</v>
      </c>
    </row>
    <row r="1783" spans="1:1">
      <c r="A1783" s="151" t="s">
        <v>3759</v>
      </c>
    </row>
    <row r="1784" spans="1:1">
      <c r="A1784" s="151" t="s">
        <v>3760</v>
      </c>
    </row>
    <row r="1785" spans="1:1">
      <c r="A1785" s="151" t="s">
        <v>3761</v>
      </c>
    </row>
    <row r="1786" spans="1:1">
      <c r="A1786" s="151" t="s">
        <v>3762</v>
      </c>
    </row>
    <row r="1787" spans="1:1">
      <c r="A1787" s="151" t="s">
        <v>3763</v>
      </c>
    </row>
    <row r="1788" spans="1:1">
      <c r="A1788" s="151" t="s">
        <v>3764</v>
      </c>
    </row>
    <row r="1789" spans="1:1">
      <c r="A1789" s="151" t="s">
        <v>3765</v>
      </c>
    </row>
    <row r="1790" spans="1:1">
      <c r="A1790" s="151" t="s">
        <v>3766</v>
      </c>
    </row>
    <row r="1791" spans="1:1">
      <c r="A1791" s="151" t="s">
        <v>3767</v>
      </c>
    </row>
    <row r="1792" spans="1:1">
      <c r="A1792" s="151" t="s">
        <v>3768</v>
      </c>
    </row>
    <row r="1793" spans="1:1">
      <c r="A1793" s="151" t="s">
        <v>3769</v>
      </c>
    </row>
    <row r="1794" spans="1:1">
      <c r="A1794" s="151" t="s">
        <v>3770</v>
      </c>
    </row>
    <row r="1795" spans="1:1">
      <c r="A1795" s="151" t="s">
        <v>3771</v>
      </c>
    </row>
    <row r="1796" spans="1:1">
      <c r="A1796" s="151" t="s">
        <v>3772</v>
      </c>
    </row>
    <row r="1797" spans="1:1">
      <c r="A1797" s="151" t="s">
        <v>3773</v>
      </c>
    </row>
    <row r="1798" spans="1:1">
      <c r="A1798" s="151" t="s">
        <v>3774</v>
      </c>
    </row>
    <row r="1799" spans="1:1">
      <c r="A1799" s="151" t="s">
        <v>3775</v>
      </c>
    </row>
    <row r="1800" spans="1:1">
      <c r="A1800" s="151" t="s">
        <v>3776</v>
      </c>
    </row>
    <row r="1801" spans="1:1">
      <c r="A1801" s="151" t="s">
        <v>3777</v>
      </c>
    </row>
    <row r="1802" spans="1:1">
      <c r="A1802" s="151" t="s">
        <v>3778</v>
      </c>
    </row>
    <row r="1803" spans="1:1">
      <c r="A1803" s="151" t="s">
        <v>3779</v>
      </c>
    </row>
    <row r="1804" spans="1:1">
      <c r="A1804" s="151" t="s">
        <v>3780</v>
      </c>
    </row>
    <row r="1805" spans="1:1">
      <c r="A1805" s="151" t="s">
        <v>3781</v>
      </c>
    </row>
    <row r="1806" spans="1:1">
      <c r="A1806" s="151" t="s">
        <v>3782</v>
      </c>
    </row>
    <row r="1807" spans="1:1">
      <c r="A1807" s="151" t="s">
        <v>3783</v>
      </c>
    </row>
    <row r="1808" spans="1:1">
      <c r="A1808" s="151" t="s">
        <v>3784</v>
      </c>
    </row>
    <row r="1809" spans="1:1">
      <c r="A1809" s="151" t="s">
        <v>3785</v>
      </c>
    </row>
    <row r="1810" spans="1:1">
      <c r="A1810" s="151" t="s">
        <v>3786</v>
      </c>
    </row>
    <row r="1811" spans="1:1">
      <c r="A1811" s="151" t="s">
        <v>3787</v>
      </c>
    </row>
    <row r="1812" spans="1:1">
      <c r="A1812" s="151" t="s">
        <v>3788</v>
      </c>
    </row>
    <row r="1813" spans="1:1">
      <c r="A1813" s="151" t="s">
        <v>3789</v>
      </c>
    </row>
    <row r="1814" spans="1:1">
      <c r="A1814" s="151" t="s">
        <v>3790</v>
      </c>
    </row>
    <row r="1815" spans="1:1">
      <c r="A1815" s="151" t="s">
        <v>3791</v>
      </c>
    </row>
    <row r="1816" spans="1:1">
      <c r="A1816" s="151" t="s">
        <v>3792</v>
      </c>
    </row>
    <row r="1817" spans="1:1">
      <c r="A1817" s="151" t="s">
        <v>3793</v>
      </c>
    </row>
    <row r="1818" spans="1:1">
      <c r="A1818" s="151" t="s">
        <v>3794</v>
      </c>
    </row>
    <row r="1819" spans="1:1">
      <c r="A1819" s="151" t="s">
        <v>3795</v>
      </c>
    </row>
    <row r="1820" spans="1:1">
      <c r="A1820" s="151" t="s">
        <v>3796</v>
      </c>
    </row>
    <row r="1821" spans="1:1">
      <c r="A1821" s="151" t="s">
        <v>3797</v>
      </c>
    </row>
    <row r="1822" spans="1:1">
      <c r="A1822" s="151" t="s">
        <v>3798</v>
      </c>
    </row>
    <row r="1823" spans="1:1">
      <c r="A1823" s="151" t="s">
        <v>3799</v>
      </c>
    </row>
    <row r="1824" spans="1:1">
      <c r="A1824" s="151" t="s">
        <v>3800</v>
      </c>
    </row>
    <row r="1825" spans="1:1">
      <c r="A1825" s="151" t="s">
        <v>3801</v>
      </c>
    </row>
    <row r="1826" spans="1:1">
      <c r="A1826" s="151" t="s">
        <v>3802</v>
      </c>
    </row>
    <row r="1827" spans="1:1">
      <c r="A1827" s="151" t="s">
        <v>3803</v>
      </c>
    </row>
    <row r="1828" spans="1:1">
      <c r="A1828" s="151" t="s">
        <v>3804</v>
      </c>
    </row>
    <row r="1829" spans="1:1">
      <c r="A1829" s="151" t="s">
        <v>3805</v>
      </c>
    </row>
    <row r="1830" spans="1:1">
      <c r="A1830" s="151" t="s">
        <v>3806</v>
      </c>
    </row>
    <row r="1831" spans="1:1">
      <c r="A1831" s="151" t="s">
        <v>3807</v>
      </c>
    </row>
    <row r="1832" spans="1:1">
      <c r="A1832" s="151" t="s">
        <v>3808</v>
      </c>
    </row>
    <row r="1833" spans="1:1">
      <c r="A1833" s="151" t="s">
        <v>3809</v>
      </c>
    </row>
    <row r="1834" spans="1:1">
      <c r="A1834" s="151" t="s">
        <v>3810</v>
      </c>
    </row>
    <row r="1835" spans="1:1">
      <c r="A1835" s="151" t="s">
        <v>3811</v>
      </c>
    </row>
    <row r="1836" spans="1:1">
      <c r="A1836" s="151" t="s">
        <v>3812</v>
      </c>
    </row>
    <row r="1837" spans="1:1">
      <c r="A1837" s="151" t="s">
        <v>3813</v>
      </c>
    </row>
    <row r="1838" spans="1:1">
      <c r="A1838" s="151" t="s">
        <v>3814</v>
      </c>
    </row>
    <row r="1839" spans="1:1">
      <c r="A1839" s="151" t="s">
        <v>3815</v>
      </c>
    </row>
    <row r="1840" spans="1:1">
      <c r="A1840" s="151" t="s">
        <v>3816</v>
      </c>
    </row>
    <row r="1841" spans="1:1">
      <c r="A1841" s="151" t="s">
        <v>3817</v>
      </c>
    </row>
    <row r="1842" spans="1:1">
      <c r="A1842" s="151" t="s">
        <v>3818</v>
      </c>
    </row>
    <row r="1843" spans="1:1">
      <c r="A1843" s="151" t="s">
        <v>3819</v>
      </c>
    </row>
    <row r="1844" spans="1:1">
      <c r="A1844" s="151" t="s">
        <v>3820</v>
      </c>
    </row>
    <row r="1845" spans="1:1">
      <c r="A1845" s="151" t="s">
        <v>3821</v>
      </c>
    </row>
    <row r="1846" spans="1:1">
      <c r="A1846" s="151" t="s">
        <v>3822</v>
      </c>
    </row>
    <row r="1847" spans="1:1">
      <c r="A1847" s="151" t="s">
        <v>3823</v>
      </c>
    </row>
    <row r="1848" spans="1:1">
      <c r="A1848" s="151" t="s">
        <v>3824</v>
      </c>
    </row>
    <row r="1849" spans="1:1">
      <c r="A1849" s="151" t="s">
        <v>3825</v>
      </c>
    </row>
    <row r="1850" spans="1:1">
      <c r="A1850" s="151" t="s">
        <v>3826</v>
      </c>
    </row>
    <row r="1851" spans="1:1">
      <c r="A1851" s="151" t="s">
        <v>3827</v>
      </c>
    </row>
    <row r="1852" spans="1:1">
      <c r="A1852" s="151" t="s">
        <v>3828</v>
      </c>
    </row>
    <row r="1853" spans="1:1">
      <c r="A1853" s="151" t="s">
        <v>3829</v>
      </c>
    </row>
    <row r="1854" spans="1:1">
      <c r="A1854" s="151" t="s">
        <v>3830</v>
      </c>
    </row>
    <row r="1855" spans="1:1">
      <c r="A1855" s="151" t="s">
        <v>3831</v>
      </c>
    </row>
    <row r="1856" spans="1:1">
      <c r="A1856" s="151" t="s">
        <v>3832</v>
      </c>
    </row>
    <row r="1857" spans="1:1">
      <c r="A1857" s="151" t="s">
        <v>3833</v>
      </c>
    </row>
    <row r="1858" spans="1:1">
      <c r="A1858" s="151" t="s">
        <v>3834</v>
      </c>
    </row>
    <row r="1859" spans="1:1">
      <c r="A1859" s="151" t="s">
        <v>3835</v>
      </c>
    </row>
    <row r="1860" spans="1:1">
      <c r="A1860" s="151" t="s">
        <v>3836</v>
      </c>
    </row>
    <row r="1861" spans="1:1">
      <c r="A1861" s="151" t="s">
        <v>3837</v>
      </c>
    </row>
    <row r="1862" spans="1:1">
      <c r="A1862" s="151" t="s">
        <v>3838</v>
      </c>
    </row>
    <row r="1863" spans="1:1">
      <c r="A1863" s="151" t="s">
        <v>3839</v>
      </c>
    </row>
    <row r="1864" spans="1:1">
      <c r="A1864" s="151" t="s">
        <v>3840</v>
      </c>
    </row>
    <row r="1865" spans="1:1">
      <c r="A1865" s="151" t="s">
        <v>3841</v>
      </c>
    </row>
    <row r="1866" spans="1:1">
      <c r="A1866" s="151" t="s">
        <v>3842</v>
      </c>
    </row>
    <row r="1867" spans="1:1">
      <c r="A1867" s="151" t="s">
        <v>3843</v>
      </c>
    </row>
    <row r="1868" spans="1:1">
      <c r="A1868" s="151" t="s">
        <v>3844</v>
      </c>
    </row>
    <row r="1869" spans="1:1">
      <c r="A1869" s="151" t="s">
        <v>3845</v>
      </c>
    </row>
    <row r="1870" spans="1:1">
      <c r="A1870" s="151" t="s">
        <v>3846</v>
      </c>
    </row>
    <row r="1871" spans="1:1">
      <c r="A1871" s="151" t="s">
        <v>3847</v>
      </c>
    </row>
    <row r="1872" spans="1:1">
      <c r="A1872" s="151" t="s">
        <v>3848</v>
      </c>
    </row>
    <row r="1873" spans="1:1">
      <c r="A1873" s="151" t="s">
        <v>3849</v>
      </c>
    </row>
    <row r="1874" spans="1:1">
      <c r="A1874" s="151" t="s">
        <v>3850</v>
      </c>
    </row>
    <row r="1875" spans="1:1">
      <c r="A1875" s="151" t="s">
        <v>3851</v>
      </c>
    </row>
    <row r="1876" spans="1:1">
      <c r="A1876" s="151" t="s">
        <v>3852</v>
      </c>
    </row>
    <row r="1877" spans="1:1">
      <c r="A1877" s="151" t="s">
        <v>3853</v>
      </c>
    </row>
    <row r="1878" spans="1:1">
      <c r="A1878" s="151" t="s">
        <v>3854</v>
      </c>
    </row>
    <row r="1879" spans="1:1">
      <c r="A1879" s="151" t="s">
        <v>3855</v>
      </c>
    </row>
    <row r="1880" spans="1:1">
      <c r="A1880" s="151" t="s">
        <v>3856</v>
      </c>
    </row>
    <row r="1881" spans="1:1">
      <c r="A1881" s="151" t="s">
        <v>3857</v>
      </c>
    </row>
    <row r="1882" spans="1:1">
      <c r="A1882" s="151" t="s">
        <v>3858</v>
      </c>
    </row>
    <row r="1883" spans="1:1">
      <c r="A1883" s="151" t="s">
        <v>3859</v>
      </c>
    </row>
    <row r="1884" spans="1:1">
      <c r="A1884" s="151" t="s">
        <v>3860</v>
      </c>
    </row>
    <row r="1885" spans="1:1">
      <c r="A1885" s="151" t="s">
        <v>3861</v>
      </c>
    </row>
    <row r="1886" spans="1:1">
      <c r="A1886" s="151" t="s">
        <v>3862</v>
      </c>
    </row>
    <row r="1887" spans="1:1">
      <c r="A1887" s="151" t="s">
        <v>3863</v>
      </c>
    </row>
    <row r="1888" spans="1:1">
      <c r="A1888" s="151" t="s">
        <v>3864</v>
      </c>
    </row>
    <row r="1889" spans="1:1">
      <c r="A1889" s="151" t="s">
        <v>3865</v>
      </c>
    </row>
    <row r="1890" spans="1:1">
      <c r="A1890" s="151" t="s">
        <v>3866</v>
      </c>
    </row>
    <row r="1891" spans="1:1">
      <c r="A1891" s="151" t="s">
        <v>3867</v>
      </c>
    </row>
    <row r="1892" spans="1:1">
      <c r="A1892" s="151" t="s">
        <v>3868</v>
      </c>
    </row>
    <row r="1893" spans="1:1">
      <c r="A1893" s="151" t="s">
        <v>3869</v>
      </c>
    </row>
    <row r="1894" spans="1:1">
      <c r="A1894" s="151" t="s">
        <v>3870</v>
      </c>
    </row>
    <row r="1895" spans="1:1">
      <c r="A1895" s="151" t="s">
        <v>3871</v>
      </c>
    </row>
    <row r="1896" spans="1:1">
      <c r="A1896" s="151" t="s">
        <v>3872</v>
      </c>
    </row>
    <row r="1897" spans="1:1">
      <c r="A1897" s="151" t="s">
        <v>3873</v>
      </c>
    </row>
    <row r="1898" spans="1:1">
      <c r="A1898" s="151" t="s">
        <v>3874</v>
      </c>
    </row>
    <row r="1899" spans="1:1">
      <c r="A1899" s="151" t="s">
        <v>3875</v>
      </c>
    </row>
    <row r="1900" spans="1:1">
      <c r="A1900" s="151" t="s">
        <v>3876</v>
      </c>
    </row>
    <row r="1901" spans="1:1">
      <c r="A1901" s="151" t="s">
        <v>3877</v>
      </c>
    </row>
    <row r="1902" spans="1:1">
      <c r="A1902" s="151" t="s">
        <v>3878</v>
      </c>
    </row>
    <row r="1903" spans="1:1">
      <c r="A1903" s="151" t="s">
        <v>3879</v>
      </c>
    </row>
    <row r="1904" spans="1:1">
      <c r="A1904" s="151" t="s">
        <v>3880</v>
      </c>
    </row>
    <row r="1905" spans="1:1">
      <c r="A1905" s="151" t="s">
        <v>3881</v>
      </c>
    </row>
    <row r="1906" spans="1:1">
      <c r="A1906" s="151" t="s">
        <v>3882</v>
      </c>
    </row>
    <row r="1907" spans="1:1">
      <c r="A1907" s="151" t="s">
        <v>3883</v>
      </c>
    </row>
    <row r="1908" spans="1:1">
      <c r="A1908" s="151" t="s">
        <v>3884</v>
      </c>
    </row>
    <row r="1909" spans="1:1">
      <c r="A1909" s="151" t="s">
        <v>3885</v>
      </c>
    </row>
    <row r="1910" spans="1:1">
      <c r="A1910" s="151" t="s">
        <v>3886</v>
      </c>
    </row>
    <row r="1911" spans="1:1">
      <c r="A1911" s="151" t="s">
        <v>3887</v>
      </c>
    </row>
    <row r="1912" spans="1:1">
      <c r="A1912" s="151" t="s">
        <v>3888</v>
      </c>
    </row>
    <row r="1913" spans="1:1">
      <c r="A1913" s="151" t="s">
        <v>3889</v>
      </c>
    </row>
    <row r="1914" spans="1:1">
      <c r="A1914" s="151" t="s">
        <v>3890</v>
      </c>
    </row>
    <row r="1915" spans="1:1">
      <c r="A1915" s="151" t="s">
        <v>3891</v>
      </c>
    </row>
    <row r="1916" spans="1:1">
      <c r="A1916" s="151" t="s">
        <v>3892</v>
      </c>
    </row>
    <row r="1917" spans="1:1">
      <c r="A1917" s="151" t="s">
        <v>3893</v>
      </c>
    </row>
    <row r="1918" spans="1:1">
      <c r="A1918" s="151" t="s">
        <v>3894</v>
      </c>
    </row>
    <row r="1919" spans="1:1">
      <c r="A1919" s="151" t="s">
        <v>3895</v>
      </c>
    </row>
    <row r="1920" spans="1:1">
      <c r="A1920" s="151" t="s">
        <v>3896</v>
      </c>
    </row>
    <row r="1921" spans="1:1">
      <c r="A1921" s="151" t="s">
        <v>3897</v>
      </c>
    </row>
    <row r="1922" spans="1:1">
      <c r="A1922" s="151" t="s">
        <v>3898</v>
      </c>
    </row>
    <row r="1923" spans="1:1">
      <c r="A1923" s="151" t="s">
        <v>3899</v>
      </c>
    </row>
    <row r="1924" spans="1:1">
      <c r="A1924" s="151" t="s">
        <v>3900</v>
      </c>
    </row>
    <row r="1925" spans="1:1">
      <c r="A1925" s="151" t="s">
        <v>3901</v>
      </c>
    </row>
    <row r="1926" spans="1:1">
      <c r="A1926" s="151" t="s">
        <v>3902</v>
      </c>
    </row>
    <row r="1927" spans="1:1">
      <c r="A1927" s="151" t="s">
        <v>3903</v>
      </c>
    </row>
    <row r="1928" spans="1:1">
      <c r="A1928" s="151" t="s">
        <v>3904</v>
      </c>
    </row>
    <row r="1929" spans="1:1">
      <c r="A1929" s="151" t="s">
        <v>3905</v>
      </c>
    </row>
    <row r="1930" spans="1:1">
      <c r="A1930" s="151" t="s">
        <v>3906</v>
      </c>
    </row>
    <row r="1931" spans="1:1">
      <c r="A1931" s="151" t="s">
        <v>3907</v>
      </c>
    </row>
    <row r="1932" spans="1:1">
      <c r="A1932" s="151" t="s">
        <v>3908</v>
      </c>
    </row>
    <row r="1933" spans="1:1">
      <c r="A1933" s="151" t="s">
        <v>3909</v>
      </c>
    </row>
    <row r="1934" spans="1:1">
      <c r="A1934" s="151" t="s">
        <v>3910</v>
      </c>
    </row>
    <row r="1935" spans="1:1">
      <c r="A1935" s="151" t="s">
        <v>3911</v>
      </c>
    </row>
    <row r="1936" spans="1:1">
      <c r="A1936" s="151" t="s">
        <v>3912</v>
      </c>
    </row>
    <row r="1937" spans="1:1">
      <c r="A1937" s="151" t="s">
        <v>3913</v>
      </c>
    </row>
    <row r="1938" spans="1:1">
      <c r="A1938" s="151" t="s">
        <v>3914</v>
      </c>
    </row>
    <row r="1939" spans="1:1">
      <c r="A1939" s="151" t="s">
        <v>3915</v>
      </c>
    </row>
    <row r="1940" spans="1:1">
      <c r="A1940" s="151" t="s">
        <v>3916</v>
      </c>
    </row>
    <row r="1941" spans="1:1">
      <c r="A1941" s="151" t="s">
        <v>3917</v>
      </c>
    </row>
    <row r="1942" spans="1:1">
      <c r="A1942" s="151" t="s">
        <v>3918</v>
      </c>
    </row>
    <row r="1943" spans="1:1">
      <c r="A1943" s="151" t="s">
        <v>3919</v>
      </c>
    </row>
    <row r="1944" spans="1:1">
      <c r="A1944" s="151" t="s">
        <v>3920</v>
      </c>
    </row>
    <row r="1945" spans="1:1">
      <c r="A1945" s="151" t="s">
        <v>3921</v>
      </c>
    </row>
    <row r="1946" spans="1:1">
      <c r="A1946" s="151" t="s">
        <v>3922</v>
      </c>
    </row>
    <row r="1947" spans="1:1">
      <c r="A1947" s="151" t="s">
        <v>3923</v>
      </c>
    </row>
    <row r="1948" spans="1:1">
      <c r="A1948" s="151" t="s">
        <v>3924</v>
      </c>
    </row>
    <row r="1949" spans="1:1">
      <c r="A1949" s="151" t="s">
        <v>3925</v>
      </c>
    </row>
    <row r="1950" spans="1:1">
      <c r="A1950" s="151" t="s">
        <v>3926</v>
      </c>
    </row>
    <row r="1951" spans="1:1">
      <c r="A1951" s="151" t="s">
        <v>3927</v>
      </c>
    </row>
    <row r="1952" spans="1:1">
      <c r="A1952" s="151" t="s">
        <v>3928</v>
      </c>
    </row>
    <row r="1953" spans="1:1">
      <c r="A1953" s="151" t="s">
        <v>3929</v>
      </c>
    </row>
    <row r="1954" spans="1:1">
      <c r="A1954" s="151" t="s">
        <v>3930</v>
      </c>
    </row>
    <row r="1955" spans="1:1">
      <c r="A1955" s="151" t="s">
        <v>3931</v>
      </c>
    </row>
    <row r="1956" spans="1:1">
      <c r="A1956" s="151" t="s">
        <v>3932</v>
      </c>
    </row>
    <row r="1957" spans="1:1">
      <c r="A1957" s="151" t="s">
        <v>3933</v>
      </c>
    </row>
    <row r="1958" spans="1:1">
      <c r="A1958" s="151" t="s">
        <v>3934</v>
      </c>
    </row>
    <row r="1959" spans="1:1">
      <c r="A1959" s="151" t="s">
        <v>3935</v>
      </c>
    </row>
    <row r="1960" spans="1:1">
      <c r="A1960" s="151" t="s">
        <v>3936</v>
      </c>
    </row>
    <row r="1961" spans="1:1">
      <c r="A1961" s="151" t="s">
        <v>3937</v>
      </c>
    </row>
    <row r="1962" spans="1:1">
      <c r="A1962" s="151" t="s">
        <v>3938</v>
      </c>
    </row>
    <row r="1963" spans="1:1">
      <c r="A1963" s="151" t="s">
        <v>3939</v>
      </c>
    </row>
    <row r="1964" spans="1:1">
      <c r="A1964" s="151" t="s">
        <v>3940</v>
      </c>
    </row>
    <row r="1965" spans="1:1">
      <c r="A1965" s="151" t="s">
        <v>3941</v>
      </c>
    </row>
    <row r="1966" spans="1:1">
      <c r="A1966" s="151" t="s">
        <v>3942</v>
      </c>
    </row>
    <row r="1967" spans="1:1">
      <c r="A1967" s="151" t="s">
        <v>3943</v>
      </c>
    </row>
    <row r="1968" spans="1:1">
      <c r="A1968" s="151" t="s">
        <v>3944</v>
      </c>
    </row>
    <row r="1969" spans="1:1">
      <c r="A1969" s="151" t="s">
        <v>3945</v>
      </c>
    </row>
    <row r="1970" spans="1:1">
      <c r="A1970" s="151" t="s">
        <v>3946</v>
      </c>
    </row>
    <row r="1971" spans="1:1">
      <c r="A1971" s="151" t="s">
        <v>3947</v>
      </c>
    </row>
    <row r="1972" spans="1:1">
      <c r="A1972" s="151" t="s">
        <v>3948</v>
      </c>
    </row>
    <row r="1973" spans="1:1">
      <c r="A1973" s="151" t="s">
        <v>3949</v>
      </c>
    </row>
    <row r="1974" spans="1:1">
      <c r="A1974" s="151" t="s">
        <v>3950</v>
      </c>
    </row>
    <row r="1975" spans="1:1">
      <c r="A1975" s="151" t="s">
        <v>3951</v>
      </c>
    </row>
    <row r="1976" spans="1:1">
      <c r="A1976" s="151" t="s">
        <v>3952</v>
      </c>
    </row>
    <row r="1977" spans="1:1">
      <c r="A1977" s="151" t="s">
        <v>3953</v>
      </c>
    </row>
    <row r="1978" spans="1:1">
      <c r="A1978" s="151" t="s">
        <v>3954</v>
      </c>
    </row>
    <row r="1979" spans="1:1">
      <c r="A1979" s="151" t="s">
        <v>3955</v>
      </c>
    </row>
    <row r="1980" spans="1:1">
      <c r="A1980" s="151" t="s">
        <v>3956</v>
      </c>
    </row>
    <row r="1981" spans="1:1">
      <c r="A1981" s="151" t="s">
        <v>3957</v>
      </c>
    </row>
    <row r="1982" spans="1:1">
      <c r="A1982" s="151" t="s">
        <v>3958</v>
      </c>
    </row>
    <row r="1983" spans="1:1">
      <c r="A1983" s="151" t="s">
        <v>3959</v>
      </c>
    </row>
    <row r="1984" spans="1:1">
      <c r="A1984" s="151" t="s">
        <v>3960</v>
      </c>
    </row>
    <row r="1985" spans="1:1">
      <c r="A1985" s="151" t="s">
        <v>3961</v>
      </c>
    </row>
    <row r="1986" spans="1:1">
      <c r="A1986" s="151" t="s">
        <v>3962</v>
      </c>
    </row>
    <row r="1987" spans="1:1">
      <c r="A1987" s="151" t="s">
        <v>3963</v>
      </c>
    </row>
    <row r="1988" spans="1:1">
      <c r="A1988" s="151" t="s">
        <v>3964</v>
      </c>
    </row>
    <row r="1989" spans="1:1">
      <c r="A1989" s="151" t="s">
        <v>3965</v>
      </c>
    </row>
    <row r="1990" spans="1:1">
      <c r="A1990" s="151" t="s">
        <v>3966</v>
      </c>
    </row>
    <row r="1991" spans="1:1">
      <c r="A1991" s="151" t="s">
        <v>3967</v>
      </c>
    </row>
    <row r="1992" spans="1:1">
      <c r="A1992" s="151" t="s">
        <v>3968</v>
      </c>
    </row>
    <row r="1993" spans="1:1">
      <c r="A1993" s="151" t="s">
        <v>3969</v>
      </c>
    </row>
    <row r="1994" spans="1:1">
      <c r="A1994" s="151" t="s">
        <v>3970</v>
      </c>
    </row>
    <row r="1995" spans="1:1">
      <c r="A1995" s="151" t="s">
        <v>3971</v>
      </c>
    </row>
    <row r="1996" spans="1:1">
      <c r="A1996" s="151" t="s">
        <v>3972</v>
      </c>
    </row>
    <row r="1997" spans="1:1">
      <c r="A1997" s="151" t="s">
        <v>3973</v>
      </c>
    </row>
    <row r="1998" spans="1:1">
      <c r="A1998" s="151" t="s">
        <v>3974</v>
      </c>
    </row>
    <row r="1999" spans="1:1">
      <c r="A1999" s="151" t="s">
        <v>3975</v>
      </c>
    </row>
    <row r="2000" spans="1:1">
      <c r="A2000" s="151" t="s">
        <v>3976</v>
      </c>
    </row>
    <row r="2001" spans="1:1">
      <c r="A2001" s="151" t="s">
        <v>3977</v>
      </c>
    </row>
    <row r="2002" spans="1:1">
      <c r="A2002" s="151" t="s">
        <v>3978</v>
      </c>
    </row>
    <row r="2003" spans="1:1">
      <c r="A2003" s="151" t="s">
        <v>3979</v>
      </c>
    </row>
    <row r="2004" spans="1:1">
      <c r="A2004" s="151" t="s">
        <v>3980</v>
      </c>
    </row>
    <row r="2005" spans="1:1">
      <c r="A2005" s="151" t="s">
        <v>3981</v>
      </c>
    </row>
    <row r="2006" spans="1:1">
      <c r="A2006" s="151" t="s">
        <v>3982</v>
      </c>
    </row>
    <row r="2007" spans="1:1">
      <c r="A2007" s="151" t="s">
        <v>3983</v>
      </c>
    </row>
    <row r="2008" spans="1:1">
      <c r="A2008" s="151" t="s">
        <v>3984</v>
      </c>
    </row>
    <row r="2009" spans="1:1">
      <c r="A2009" s="151" t="s">
        <v>3985</v>
      </c>
    </row>
    <row r="2010" spans="1:1">
      <c r="A2010" s="151" t="s">
        <v>3986</v>
      </c>
    </row>
    <row r="2011" spans="1:1">
      <c r="A2011" s="151" t="s">
        <v>3987</v>
      </c>
    </row>
    <row r="2012" spans="1:1">
      <c r="A2012" s="151" t="s">
        <v>3988</v>
      </c>
    </row>
    <row r="2013" spans="1:1">
      <c r="A2013" s="151" t="s">
        <v>3989</v>
      </c>
    </row>
    <row r="2014" spans="1:1">
      <c r="A2014" s="151" t="s">
        <v>3990</v>
      </c>
    </row>
    <row r="2015" spans="1:1">
      <c r="A2015" s="151" t="s">
        <v>3991</v>
      </c>
    </row>
    <row r="2016" spans="1:1">
      <c r="A2016" s="151" t="s">
        <v>3992</v>
      </c>
    </row>
    <row r="2017" spans="1:1">
      <c r="A2017" s="151" t="s">
        <v>3993</v>
      </c>
    </row>
    <row r="2018" spans="1:1">
      <c r="A2018" s="151" t="s">
        <v>3994</v>
      </c>
    </row>
    <row r="2019" spans="1:1">
      <c r="A2019" s="151" t="s">
        <v>3995</v>
      </c>
    </row>
    <row r="2020" spans="1:1">
      <c r="A2020" s="151" t="s">
        <v>3996</v>
      </c>
    </row>
    <row r="2021" spans="1:1">
      <c r="A2021" s="151" t="s">
        <v>3997</v>
      </c>
    </row>
    <row r="2022" spans="1:1">
      <c r="A2022" s="151" t="s">
        <v>3998</v>
      </c>
    </row>
    <row r="2023" spans="1:1">
      <c r="A2023" s="151" t="s">
        <v>3999</v>
      </c>
    </row>
    <row r="2024" spans="1:1">
      <c r="A2024" s="151" t="s">
        <v>4000</v>
      </c>
    </row>
    <row r="2025" spans="1:1">
      <c r="A2025" s="151" t="s">
        <v>4001</v>
      </c>
    </row>
    <row r="2026" spans="1:1">
      <c r="A2026" s="151" t="s">
        <v>4002</v>
      </c>
    </row>
    <row r="2027" spans="1:1">
      <c r="A2027" s="151" t="s">
        <v>4003</v>
      </c>
    </row>
    <row r="2028" spans="1:1">
      <c r="A2028" s="151" t="s">
        <v>4004</v>
      </c>
    </row>
    <row r="2029" spans="1:1">
      <c r="A2029" s="151" t="s">
        <v>4005</v>
      </c>
    </row>
    <row r="2030" spans="1:1">
      <c r="A2030" s="151" t="s">
        <v>4006</v>
      </c>
    </row>
    <row r="2031" spans="1:1">
      <c r="A2031" s="151" t="s">
        <v>4007</v>
      </c>
    </row>
    <row r="2032" spans="1:1">
      <c r="A2032" s="151" t="s">
        <v>4008</v>
      </c>
    </row>
    <row r="2033" spans="1:1">
      <c r="A2033" s="151" t="s">
        <v>4009</v>
      </c>
    </row>
    <row r="2034" spans="1:1">
      <c r="A2034" s="151" t="s">
        <v>4010</v>
      </c>
    </row>
    <row r="2035" spans="1:1">
      <c r="A2035" s="151" t="s">
        <v>4011</v>
      </c>
    </row>
    <row r="2036" spans="1:1">
      <c r="A2036" s="151" t="s">
        <v>4012</v>
      </c>
    </row>
    <row r="2037" spans="1:1">
      <c r="A2037" s="151" t="s">
        <v>4013</v>
      </c>
    </row>
    <row r="2038" spans="1:1">
      <c r="A2038" s="151" t="s">
        <v>4014</v>
      </c>
    </row>
    <row r="2039" spans="1:1">
      <c r="A2039" s="151" t="s">
        <v>4015</v>
      </c>
    </row>
    <row r="2040" spans="1:1">
      <c r="A2040" s="151" t="s">
        <v>4016</v>
      </c>
    </row>
    <row r="2041" spans="1:1">
      <c r="A2041" s="151" t="s">
        <v>4017</v>
      </c>
    </row>
    <row r="2042" spans="1:1">
      <c r="A2042" s="151" t="s">
        <v>4018</v>
      </c>
    </row>
    <row r="2043" spans="1:1">
      <c r="A2043" s="151" t="s">
        <v>4019</v>
      </c>
    </row>
    <row r="2044" spans="1:1">
      <c r="A2044" s="151" t="s">
        <v>4020</v>
      </c>
    </row>
    <row r="2045" spans="1:1">
      <c r="A2045" s="151" t="s">
        <v>4021</v>
      </c>
    </row>
    <row r="2046" spans="1:1">
      <c r="A2046" s="151" t="s">
        <v>4022</v>
      </c>
    </row>
    <row r="2047" spans="1:1">
      <c r="A2047" s="151" t="s">
        <v>4023</v>
      </c>
    </row>
    <row r="2048" spans="1:1">
      <c r="A2048" s="151" t="s">
        <v>4024</v>
      </c>
    </row>
    <row r="2049" spans="1:1">
      <c r="A2049" s="151" t="s">
        <v>4025</v>
      </c>
    </row>
    <row r="2050" spans="1:1">
      <c r="A2050" s="151" t="s">
        <v>4026</v>
      </c>
    </row>
    <row r="2051" spans="1:1">
      <c r="A2051" s="151" t="s">
        <v>4027</v>
      </c>
    </row>
    <row r="2052" spans="1:1">
      <c r="A2052" s="151" t="s">
        <v>4028</v>
      </c>
    </row>
    <row r="2053" spans="1:1">
      <c r="A2053" s="151" t="s">
        <v>4029</v>
      </c>
    </row>
    <row r="2054" spans="1:1">
      <c r="A2054" s="151" t="s">
        <v>4030</v>
      </c>
    </row>
    <row r="2055" spans="1:1">
      <c r="A2055" s="151" t="s">
        <v>4031</v>
      </c>
    </row>
    <row r="2056" spans="1:1">
      <c r="A2056" s="151" t="s">
        <v>4032</v>
      </c>
    </row>
    <row r="2057" spans="1:1">
      <c r="A2057" s="151" t="s">
        <v>4033</v>
      </c>
    </row>
    <row r="2058" spans="1:1">
      <c r="A2058" s="151" t="s">
        <v>4034</v>
      </c>
    </row>
    <row r="2059" spans="1:1">
      <c r="A2059" s="151" t="s">
        <v>4035</v>
      </c>
    </row>
    <row r="2060" spans="1:1">
      <c r="A2060" s="151" t="s">
        <v>4036</v>
      </c>
    </row>
    <row r="2061" spans="1:1">
      <c r="A2061" s="151" t="s">
        <v>4037</v>
      </c>
    </row>
    <row r="2062" spans="1:1">
      <c r="A2062" s="151" t="s">
        <v>4038</v>
      </c>
    </row>
    <row r="2063" spans="1:1">
      <c r="A2063" s="151" t="s">
        <v>4039</v>
      </c>
    </row>
    <row r="2064" spans="1:1">
      <c r="A2064" s="151" t="s">
        <v>4040</v>
      </c>
    </row>
    <row r="2065" spans="1:1">
      <c r="A2065" s="151" t="s">
        <v>4041</v>
      </c>
    </row>
    <row r="2066" spans="1:1">
      <c r="A2066" s="151" t="s">
        <v>4042</v>
      </c>
    </row>
    <row r="2067" spans="1:1">
      <c r="A2067" s="151" t="s">
        <v>4043</v>
      </c>
    </row>
    <row r="2068" spans="1:1">
      <c r="A2068" s="151" t="s">
        <v>4044</v>
      </c>
    </row>
    <row r="2069" spans="1:1">
      <c r="A2069" s="151" t="s">
        <v>4045</v>
      </c>
    </row>
    <row r="2070" spans="1:1">
      <c r="A2070" s="151" t="s">
        <v>4046</v>
      </c>
    </row>
    <row r="2071" spans="1:1">
      <c r="A2071" s="151" t="s">
        <v>4047</v>
      </c>
    </row>
    <row r="2072" spans="1:1">
      <c r="A2072" s="151" t="s">
        <v>4048</v>
      </c>
    </row>
    <row r="2073" spans="1:1">
      <c r="A2073" s="151" t="s">
        <v>4049</v>
      </c>
    </row>
    <row r="2074" spans="1:1">
      <c r="A2074" s="151" t="s">
        <v>4050</v>
      </c>
    </row>
    <row r="2075" spans="1:1">
      <c r="A2075" s="151" t="s">
        <v>4051</v>
      </c>
    </row>
    <row r="2076" spans="1:1">
      <c r="A2076" s="151" t="s">
        <v>4052</v>
      </c>
    </row>
    <row r="2077" spans="1:1">
      <c r="A2077" s="151" t="s">
        <v>4053</v>
      </c>
    </row>
    <row r="2078" spans="1:1">
      <c r="A2078" s="151" t="s">
        <v>4054</v>
      </c>
    </row>
    <row r="2079" spans="1:1">
      <c r="A2079" s="151" t="s">
        <v>4055</v>
      </c>
    </row>
    <row r="2080" spans="1:1">
      <c r="A2080" s="151" t="s">
        <v>4056</v>
      </c>
    </row>
    <row r="2081" spans="1:1">
      <c r="A2081" s="151" t="s">
        <v>4057</v>
      </c>
    </row>
    <row r="2082" spans="1:1">
      <c r="A2082" s="151" t="s">
        <v>4058</v>
      </c>
    </row>
    <row r="2083" spans="1:1">
      <c r="A2083" s="151" t="s">
        <v>4059</v>
      </c>
    </row>
    <row r="2084" spans="1:1">
      <c r="A2084" s="151" t="s">
        <v>4060</v>
      </c>
    </row>
    <row r="2085" spans="1:1">
      <c r="A2085" s="151" t="s">
        <v>4061</v>
      </c>
    </row>
    <row r="2086" spans="1:1">
      <c r="A2086" s="151" t="s">
        <v>4062</v>
      </c>
    </row>
    <row r="2087" spans="1:1">
      <c r="A2087" s="151" t="s">
        <v>4063</v>
      </c>
    </row>
    <row r="2088" spans="1:1">
      <c r="A2088" s="151" t="s">
        <v>4064</v>
      </c>
    </row>
    <row r="2089" spans="1:1">
      <c r="A2089" s="151" t="s">
        <v>4065</v>
      </c>
    </row>
    <row r="2090" spans="1:1">
      <c r="A2090" s="151" t="s">
        <v>4066</v>
      </c>
    </row>
    <row r="2091" spans="1:1">
      <c r="A2091" s="151" t="s">
        <v>4067</v>
      </c>
    </row>
    <row r="2092" spans="1:1">
      <c r="A2092" s="151" t="s">
        <v>4068</v>
      </c>
    </row>
    <row r="2093" spans="1:1">
      <c r="A2093" s="151" t="s">
        <v>4069</v>
      </c>
    </row>
    <row r="2094" spans="1:1">
      <c r="A2094" s="151" t="s">
        <v>4070</v>
      </c>
    </row>
    <row r="2095" spans="1:1">
      <c r="A2095" s="151" t="s">
        <v>4071</v>
      </c>
    </row>
    <row r="2096" spans="1:1">
      <c r="A2096" s="151" t="s">
        <v>4072</v>
      </c>
    </row>
    <row r="2097" spans="1:1">
      <c r="A2097" s="151" t="s">
        <v>4073</v>
      </c>
    </row>
    <row r="2098" spans="1:1">
      <c r="A2098" s="151" t="s">
        <v>4074</v>
      </c>
    </row>
    <row r="2099" spans="1:1">
      <c r="A2099" s="151" t="s">
        <v>4075</v>
      </c>
    </row>
    <row r="2100" spans="1:1">
      <c r="A2100" s="151" t="s">
        <v>4076</v>
      </c>
    </row>
    <row r="2101" spans="1:1">
      <c r="A2101" s="151" t="s">
        <v>4077</v>
      </c>
    </row>
    <row r="2102" spans="1:1">
      <c r="A2102" s="151" t="s">
        <v>4078</v>
      </c>
    </row>
    <row r="2103" spans="1:1">
      <c r="A2103" s="151" t="s">
        <v>4079</v>
      </c>
    </row>
    <row r="2104" spans="1:1">
      <c r="A2104" s="151" t="s">
        <v>4080</v>
      </c>
    </row>
    <row r="2105" spans="1:1">
      <c r="A2105" s="151" t="s">
        <v>4081</v>
      </c>
    </row>
    <row r="2106" spans="1:1">
      <c r="A2106" s="151" t="s">
        <v>4082</v>
      </c>
    </row>
    <row r="2107" spans="1:1">
      <c r="A2107" s="151" t="s">
        <v>4083</v>
      </c>
    </row>
    <row r="2108" spans="1:1">
      <c r="A2108" s="151" t="s">
        <v>4084</v>
      </c>
    </row>
    <row r="2109" spans="1:1">
      <c r="A2109" s="151" t="s">
        <v>4085</v>
      </c>
    </row>
    <row r="2110" spans="1:1">
      <c r="A2110" s="151" t="s">
        <v>4086</v>
      </c>
    </row>
    <row r="2111" spans="1:1">
      <c r="A2111" s="151" t="s">
        <v>4087</v>
      </c>
    </row>
    <row r="2112" spans="1:1">
      <c r="A2112" s="151" t="s">
        <v>4088</v>
      </c>
    </row>
    <row r="2113" spans="1:1">
      <c r="A2113" s="151" t="s">
        <v>4089</v>
      </c>
    </row>
    <row r="2114" spans="1:1">
      <c r="A2114" s="151" t="s">
        <v>4090</v>
      </c>
    </row>
    <row r="2115" spans="1:1">
      <c r="A2115" s="151" t="s">
        <v>4091</v>
      </c>
    </row>
    <row r="2116" spans="1:1">
      <c r="A2116" s="151" t="s">
        <v>4092</v>
      </c>
    </row>
    <row r="2117" spans="1:1">
      <c r="A2117" s="151" t="s">
        <v>4093</v>
      </c>
    </row>
    <row r="2118" spans="1:1">
      <c r="A2118" s="151" t="s">
        <v>4094</v>
      </c>
    </row>
    <row r="2119" spans="1:1">
      <c r="A2119" s="151" t="s">
        <v>4095</v>
      </c>
    </row>
    <row r="2120" spans="1:1">
      <c r="A2120" s="151" t="s">
        <v>4096</v>
      </c>
    </row>
    <row r="2121" spans="1:1">
      <c r="A2121" s="151" t="s">
        <v>4097</v>
      </c>
    </row>
    <row r="2122" spans="1:1">
      <c r="A2122" s="151" t="s">
        <v>4098</v>
      </c>
    </row>
    <row r="2123" spans="1:1">
      <c r="A2123" s="151" t="s">
        <v>4099</v>
      </c>
    </row>
    <row r="2124" spans="1:1">
      <c r="A2124" s="151" t="s">
        <v>4100</v>
      </c>
    </row>
    <row r="2125" spans="1:1">
      <c r="A2125" s="151" t="s">
        <v>4101</v>
      </c>
    </row>
    <row r="2126" spans="1:1">
      <c r="A2126" s="151" t="s">
        <v>4102</v>
      </c>
    </row>
    <row r="2127" spans="1:1">
      <c r="A2127" s="151" t="s">
        <v>4103</v>
      </c>
    </row>
    <row r="2128" spans="1:1">
      <c r="A2128" s="151" t="s">
        <v>4104</v>
      </c>
    </row>
    <row r="2129" spans="1:1">
      <c r="A2129" s="151" t="s">
        <v>4105</v>
      </c>
    </row>
    <row r="2130" spans="1:1">
      <c r="A2130" s="151" t="s">
        <v>4106</v>
      </c>
    </row>
    <row r="2131" spans="1:1">
      <c r="A2131" s="151" t="s">
        <v>4107</v>
      </c>
    </row>
    <row r="2132" spans="1:1">
      <c r="A2132" s="151" t="s">
        <v>4108</v>
      </c>
    </row>
    <row r="2133" spans="1:1">
      <c r="A2133" s="151" t="s">
        <v>4109</v>
      </c>
    </row>
    <row r="2134" spans="1:1">
      <c r="A2134" s="151" t="s">
        <v>4110</v>
      </c>
    </row>
    <row r="2135" spans="1:1">
      <c r="A2135" s="151" t="s">
        <v>4111</v>
      </c>
    </row>
    <row r="2136" spans="1:1">
      <c r="A2136" s="151" t="s">
        <v>4112</v>
      </c>
    </row>
    <row r="2137" spans="1:1">
      <c r="A2137" s="151" t="s">
        <v>4113</v>
      </c>
    </row>
    <row r="2138" spans="1:1">
      <c r="A2138" s="151" t="s">
        <v>4114</v>
      </c>
    </row>
    <row r="2139" spans="1:1">
      <c r="A2139" s="151" t="s">
        <v>4115</v>
      </c>
    </row>
    <row r="2140" spans="1:1">
      <c r="A2140" s="151" t="s">
        <v>4116</v>
      </c>
    </row>
    <row r="2141" spans="1:1">
      <c r="A2141" s="151" t="s">
        <v>4117</v>
      </c>
    </row>
    <row r="2142" spans="1:1">
      <c r="A2142" s="151" t="s">
        <v>4118</v>
      </c>
    </row>
    <row r="2143" spans="1:1">
      <c r="A2143" s="151" t="s">
        <v>4119</v>
      </c>
    </row>
    <row r="2144" spans="1:1">
      <c r="A2144" s="151" t="s">
        <v>4120</v>
      </c>
    </row>
    <row r="2145" spans="1:1">
      <c r="A2145" s="151" t="s">
        <v>4121</v>
      </c>
    </row>
    <row r="2146" spans="1:1">
      <c r="A2146" s="151" t="s">
        <v>4122</v>
      </c>
    </row>
    <row r="2147" spans="1:1">
      <c r="A2147" s="151" t="s">
        <v>4123</v>
      </c>
    </row>
    <row r="2148" spans="1:1">
      <c r="A2148" s="151" t="s">
        <v>4124</v>
      </c>
    </row>
    <row r="2149" spans="1:1">
      <c r="A2149" s="151" t="s">
        <v>4125</v>
      </c>
    </row>
    <row r="2150" spans="1:1">
      <c r="A2150" s="151" t="s">
        <v>4126</v>
      </c>
    </row>
    <row r="2151" spans="1:1">
      <c r="A2151" s="151" t="s">
        <v>4127</v>
      </c>
    </row>
    <row r="2152" spans="1:1">
      <c r="A2152" s="151" t="s">
        <v>4128</v>
      </c>
    </row>
    <row r="2153" spans="1:1">
      <c r="A2153" s="151" t="s">
        <v>4129</v>
      </c>
    </row>
    <row r="2154" spans="1:1">
      <c r="A2154" s="151" t="s">
        <v>4130</v>
      </c>
    </row>
    <row r="2155" spans="1:1">
      <c r="A2155" s="151" t="s">
        <v>4131</v>
      </c>
    </row>
    <row r="2156" spans="1:1">
      <c r="A2156" s="151" t="s">
        <v>4132</v>
      </c>
    </row>
    <row r="2157" spans="1:1">
      <c r="A2157" s="151" t="s">
        <v>4133</v>
      </c>
    </row>
    <row r="2158" spans="1:1">
      <c r="A2158" s="151" t="s">
        <v>4134</v>
      </c>
    </row>
    <row r="2159" spans="1:1">
      <c r="A2159" s="151" t="s">
        <v>4135</v>
      </c>
    </row>
    <row r="2160" spans="1:1">
      <c r="A2160" s="151" t="s">
        <v>4136</v>
      </c>
    </row>
    <row r="2161" spans="1:1">
      <c r="A2161" s="151" t="s">
        <v>4137</v>
      </c>
    </row>
    <row r="2162" spans="1:1">
      <c r="A2162" s="151" t="s">
        <v>4138</v>
      </c>
    </row>
    <row r="2163" spans="1:1">
      <c r="A2163" s="151" t="s">
        <v>4139</v>
      </c>
    </row>
    <row r="2164" spans="1:1">
      <c r="A2164" s="151" t="s">
        <v>4140</v>
      </c>
    </row>
    <row r="2165" spans="1:1">
      <c r="A2165" s="151" t="s">
        <v>4141</v>
      </c>
    </row>
    <row r="2166" spans="1:1">
      <c r="A2166" s="151" t="s">
        <v>4142</v>
      </c>
    </row>
    <row r="2167" spans="1:1">
      <c r="A2167" s="151" t="s">
        <v>4143</v>
      </c>
    </row>
    <row r="2168" spans="1:1">
      <c r="A2168" s="151" t="s">
        <v>4144</v>
      </c>
    </row>
    <row r="2169" spans="1:1">
      <c r="A2169" s="151" t="s">
        <v>4145</v>
      </c>
    </row>
    <row r="2170" spans="1:1">
      <c r="A2170" s="151" t="s">
        <v>4146</v>
      </c>
    </row>
    <row r="2171" spans="1:1">
      <c r="A2171" s="151" t="s">
        <v>4147</v>
      </c>
    </row>
    <row r="2172" spans="1:1">
      <c r="A2172" s="151" t="s">
        <v>4148</v>
      </c>
    </row>
    <row r="2173" spans="1:1">
      <c r="A2173" s="151" t="s">
        <v>4149</v>
      </c>
    </row>
    <row r="2174" spans="1:1">
      <c r="A2174" s="151" t="s">
        <v>4150</v>
      </c>
    </row>
    <row r="2175" spans="1:1">
      <c r="A2175" s="151" t="s">
        <v>4151</v>
      </c>
    </row>
    <row r="2176" spans="1:1">
      <c r="A2176" s="151" t="s">
        <v>4152</v>
      </c>
    </row>
    <row r="2177" spans="1:1">
      <c r="A2177" s="151" t="s">
        <v>4153</v>
      </c>
    </row>
    <row r="2178" spans="1:1">
      <c r="A2178" s="151" t="s">
        <v>4154</v>
      </c>
    </row>
    <row r="2179" spans="1:1">
      <c r="A2179" s="151" t="s">
        <v>4155</v>
      </c>
    </row>
    <row r="2180" spans="1:1">
      <c r="A2180" s="151" t="s">
        <v>4156</v>
      </c>
    </row>
    <row r="2181" spans="1:1">
      <c r="A2181" s="151" t="s">
        <v>4157</v>
      </c>
    </row>
    <row r="2182" spans="1:1">
      <c r="A2182" s="151" t="s">
        <v>4158</v>
      </c>
    </row>
    <row r="2183" spans="1:1">
      <c r="A2183" s="151" t="s">
        <v>4159</v>
      </c>
    </row>
    <row r="2184" spans="1:1">
      <c r="A2184" s="151" t="s">
        <v>4160</v>
      </c>
    </row>
    <row r="2185" spans="1:1">
      <c r="A2185" s="151" t="s">
        <v>4161</v>
      </c>
    </row>
    <row r="2186" spans="1:1">
      <c r="A2186" s="151" t="s">
        <v>4162</v>
      </c>
    </row>
    <row r="2187" spans="1:1">
      <c r="A2187" s="151" t="s">
        <v>4163</v>
      </c>
    </row>
    <row r="2188" spans="1:1">
      <c r="A2188" s="151" t="s">
        <v>4164</v>
      </c>
    </row>
    <row r="2189" spans="1:1">
      <c r="A2189" s="151" t="s">
        <v>4165</v>
      </c>
    </row>
    <row r="2190" spans="1:1">
      <c r="A2190" s="151" t="s">
        <v>4166</v>
      </c>
    </row>
    <row r="2191" spans="1:1">
      <c r="A2191" s="151" t="s">
        <v>4167</v>
      </c>
    </row>
    <row r="2192" spans="1:1">
      <c r="A2192" s="151" t="s">
        <v>4168</v>
      </c>
    </row>
    <row r="2193" spans="1:1">
      <c r="A2193" s="151" t="s">
        <v>4169</v>
      </c>
    </row>
    <row r="2194" spans="1:1">
      <c r="A2194" s="151" t="s">
        <v>4170</v>
      </c>
    </row>
    <row r="2195" spans="1:1">
      <c r="A2195" s="151" t="s">
        <v>4171</v>
      </c>
    </row>
    <row r="2196" spans="1:1">
      <c r="A2196" s="151" t="s">
        <v>4172</v>
      </c>
    </row>
    <row r="2197" spans="1:1">
      <c r="A2197" s="151" t="s">
        <v>4173</v>
      </c>
    </row>
    <row r="2198" spans="1:1">
      <c r="A2198" s="151" t="s">
        <v>4174</v>
      </c>
    </row>
    <row r="2199" spans="1:1">
      <c r="A2199" s="151" t="s">
        <v>4175</v>
      </c>
    </row>
    <row r="2200" spans="1:1">
      <c r="A2200" s="151" t="s">
        <v>4176</v>
      </c>
    </row>
    <row r="2201" spans="1:1">
      <c r="A2201" s="151" t="s">
        <v>4177</v>
      </c>
    </row>
    <row r="2202" spans="1:1">
      <c r="A2202" s="151" t="s">
        <v>4178</v>
      </c>
    </row>
    <row r="2203" spans="1:1">
      <c r="A2203" s="151" t="s">
        <v>4179</v>
      </c>
    </row>
    <row r="2204" spans="1:1">
      <c r="A2204" s="151" t="s">
        <v>4180</v>
      </c>
    </row>
    <row r="2205" spans="1:1">
      <c r="A2205" s="151" t="s">
        <v>4181</v>
      </c>
    </row>
    <row r="2206" spans="1:1">
      <c r="A2206" s="151" t="s">
        <v>4182</v>
      </c>
    </row>
    <row r="2207" spans="1:1">
      <c r="A2207" s="151" t="s">
        <v>4183</v>
      </c>
    </row>
    <row r="2208" spans="1:1">
      <c r="A2208" s="151" t="s">
        <v>4184</v>
      </c>
    </row>
    <row r="2209" spans="1:1">
      <c r="A2209" s="151" t="s">
        <v>4185</v>
      </c>
    </row>
    <row r="2210" spans="1:1">
      <c r="A2210" s="151" t="s">
        <v>4186</v>
      </c>
    </row>
    <row r="2211" spans="1:1">
      <c r="A2211" s="151" t="s">
        <v>4187</v>
      </c>
    </row>
    <row r="2212" spans="1:1">
      <c r="A2212" s="151" t="s">
        <v>4188</v>
      </c>
    </row>
    <row r="2213" spans="1:1">
      <c r="A2213" s="151" t="s">
        <v>4189</v>
      </c>
    </row>
    <row r="2214" spans="1:1">
      <c r="A2214" s="151" t="s">
        <v>4190</v>
      </c>
    </row>
    <row r="2215" spans="1:1">
      <c r="A2215" s="151" t="s">
        <v>4191</v>
      </c>
    </row>
    <row r="2216" spans="1:1">
      <c r="A2216" s="151" t="s">
        <v>4192</v>
      </c>
    </row>
    <row r="2217" spans="1:1">
      <c r="A2217" s="151" t="s">
        <v>4193</v>
      </c>
    </row>
    <row r="2218" spans="1:1">
      <c r="A2218" s="151" t="s">
        <v>4194</v>
      </c>
    </row>
    <row r="2219" spans="1:1">
      <c r="A2219" s="151" t="s">
        <v>4195</v>
      </c>
    </row>
    <row r="2220" spans="1:1">
      <c r="A2220" s="151" t="s">
        <v>4196</v>
      </c>
    </row>
    <row r="2221" spans="1:1">
      <c r="A2221" s="151" t="s">
        <v>4197</v>
      </c>
    </row>
    <row r="2222" spans="1:1">
      <c r="A2222" s="151" t="s">
        <v>4198</v>
      </c>
    </row>
    <row r="2223" spans="1:1">
      <c r="A2223" s="151" t="s">
        <v>4199</v>
      </c>
    </row>
    <row r="2224" spans="1:1">
      <c r="A2224" s="151" t="s">
        <v>4200</v>
      </c>
    </row>
    <row r="2225" spans="1:1">
      <c r="A2225" s="151" t="s">
        <v>4201</v>
      </c>
    </row>
    <row r="2226" spans="1:1">
      <c r="A2226" s="151" t="s">
        <v>4202</v>
      </c>
    </row>
    <row r="2227" spans="1:1">
      <c r="A2227" s="151" t="s">
        <v>4203</v>
      </c>
    </row>
    <row r="2228" spans="1:1">
      <c r="A2228" s="151" t="s">
        <v>4204</v>
      </c>
    </row>
    <row r="2229" spans="1:1">
      <c r="A2229" s="151" t="s">
        <v>4205</v>
      </c>
    </row>
    <row r="2230" spans="1:1">
      <c r="A2230" s="151" t="s">
        <v>4206</v>
      </c>
    </row>
    <row r="2231" spans="1:1">
      <c r="A2231" s="151" t="s">
        <v>4207</v>
      </c>
    </row>
    <row r="2232" spans="1:1">
      <c r="A2232" s="151" t="s">
        <v>4208</v>
      </c>
    </row>
    <row r="2233" spans="1:1">
      <c r="A2233" s="151" t="s">
        <v>4209</v>
      </c>
    </row>
    <row r="2234" spans="1:1">
      <c r="A2234" s="151" t="s">
        <v>4210</v>
      </c>
    </row>
    <row r="2235" spans="1:1">
      <c r="A2235" s="151" t="s">
        <v>4211</v>
      </c>
    </row>
    <row r="2236" spans="1:1">
      <c r="A2236" s="151" t="s">
        <v>4212</v>
      </c>
    </row>
    <row r="2237" spans="1:1">
      <c r="A2237" s="151" t="s">
        <v>4213</v>
      </c>
    </row>
    <row r="2238" spans="1:1">
      <c r="A2238" s="151" t="s">
        <v>4214</v>
      </c>
    </row>
    <row r="2239" spans="1:1">
      <c r="A2239" s="151" t="s">
        <v>4215</v>
      </c>
    </row>
    <row r="2240" spans="1:1">
      <c r="A2240" s="151" t="s">
        <v>4216</v>
      </c>
    </row>
    <row r="2241" spans="1:1">
      <c r="A2241" s="151" t="s">
        <v>4217</v>
      </c>
    </row>
    <row r="2242" spans="1:1">
      <c r="A2242" s="151" t="s">
        <v>4218</v>
      </c>
    </row>
    <row r="2243" spans="1:1">
      <c r="A2243" s="151" t="s">
        <v>4219</v>
      </c>
    </row>
    <row r="2244" spans="1:1">
      <c r="A2244" s="151" t="s">
        <v>4220</v>
      </c>
    </row>
    <row r="2245" spans="1:1">
      <c r="A2245" s="151" t="s">
        <v>4221</v>
      </c>
    </row>
    <row r="2246" spans="1:1">
      <c r="A2246" s="151" t="s">
        <v>4222</v>
      </c>
    </row>
    <row r="2247" spans="1:1">
      <c r="A2247" s="151" t="s">
        <v>4223</v>
      </c>
    </row>
    <row r="2248" spans="1:1">
      <c r="A2248" s="151" t="s">
        <v>4224</v>
      </c>
    </row>
    <row r="2249" spans="1:1">
      <c r="A2249" s="151" t="s">
        <v>4225</v>
      </c>
    </row>
    <row r="2250" spans="1:1">
      <c r="A2250" s="151" t="s">
        <v>4226</v>
      </c>
    </row>
    <row r="2251" spans="1:1">
      <c r="A2251" s="151" t="s">
        <v>4227</v>
      </c>
    </row>
    <row r="2252" spans="1:1">
      <c r="A2252" s="151" t="s">
        <v>4228</v>
      </c>
    </row>
    <row r="2253" spans="1:1">
      <c r="A2253" s="151" t="s">
        <v>4229</v>
      </c>
    </row>
    <row r="2254" spans="1:1">
      <c r="A2254" s="151" t="s">
        <v>4230</v>
      </c>
    </row>
    <row r="2255" spans="1:1">
      <c r="A2255" s="151" t="s">
        <v>4231</v>
      </c>
    </row>
    <row r="2256" spans="1:1">
      <c r="A2256" s="151" t="s">
        <v>4232</v>
      </c>
    </row>
    <row r="2257" spans="1:1">
      <c r="A2257" s="151" t="s">
        <v>4233</v>
      </c>
    </row>
    <row r="2258" spans="1:1">
      <c r="A2258" s="151" t="s">
        <v>4234</v>
      </c>
    </row>
    <row r="2259" spans="1:1">
      <c r="A2259" s="151" t="s">
        <v>4235</v>
      </c>
    </row>
    <row r="2260" spans="1:1">
      <c r="A2260" s="151" t="s">
        <v>4236</v>
      </c>
    </row>
    <row r="2261" spans="1:1">
      <c r="A2261" s="151" t="s">
        <v>4237</v>
      </c>
    </row>
    <row r="2262" spans="1:1">
      <c r="A2262" s="151" t="s">
        <v>4238</v>
      </c>
    </row>
    <row r="2263" spans="1:1">
      <c r="A2263" s="151" t="s">
        <v>4239</v>
      </c>
    </row>
    <row r="2264" spans="1:1">
      <c r="A2264" s="151" t="s">
        <v>4240</v>
      </c>
    </row>
    <row r="2265" spans="1:1">
      <c r="A2265" s="151" t="s">
        <v>4241</v>
      </c>
    </row>
    <row r="2266" spans="1:1">
      <c r="A2266" s="151" t="s">
        <v>4242</v>
      </c>
    </row>
    <row r="2267" spans="1:1">
      <c r="A2267" s="151" t="s">
        <v>4243</v>
      </c>
    </row>
    <row r="2268" spans="1:1">
      <c r="A2268" s="151" t="s">
        <v>4244</v>
      </c>
    </row>
    <row r="2269" spans="1:1">
      <c r="A2269" s="151" t="s">
        <v>4245</v>
      </c>
    </row>
    <row r="2270" spans="1:1">
      <c r="A2270" s="151" t="s">
        <v>4246</v>
      </c>
    </row>
    <row r="2271" spans="1:1">
      <c r="A2271" s="151" t="s">
        <v>4247</v>
      </c>
    </row>
    <row r="2272" spans="1:1">
      <c r="A2272" s="151" t="s">
        <v>4248</v>
      </c>
    </row>
    <row r="2273" spans="1:1">
      <c r="A2273" s="151" t="s">
        <v>4249</v>
      </c>
    </row>
    <row r="2274" spans="1:1">
      <c r="A2274" s="151" t="s">
        <v>4250</v>
      </c>
    </row>
    <row r="2275" spans="1:1">
      <c r="A2275" s="151" t="s">
        <v>4251</v>
      </c>
    </row>
    <row r="2276" spans="1:1">
      <c r="A2276" s="151" t="s">
        <v>4252</v>
      </c>
    </row>
    <row r="2277" spans="1:1">
      <c r="A2277" s="151" t="s">
        <v>4253</v>
      </c>
    </row>
    <row r="2278" spans="1:1">
      <c r="A2278" s="151" t="s">
        <v>4254</v>
      </c>
    </row>
    <row r="2279" spans="1:1">
      <c r="A2279" s="151" t="s">
        <v>4255</v>
      </c>
    </row>
    <row r="2280" spans="1:1">
      <c r="A2280" s="151" t="s">
        <v>4256</v>
      </c>
    </row>
    <row r="2281" spans="1:1">
      <c r="A2281" s="151" t="s">
        <v>4257</v>
      </c>
    </row>
    <row r="2282" spans="1:1">
      <c r="A2282" s="151" t="s">
        <v>4258</v>
      </c>
    </row>
    <row r="2283" spans="1:1">
      <c r="A2283" s="151" t="s">
        <v>4259</v>
      </c>
    </row>
    <row r="2284" spans="1:1">
      <c r="A2284" s="151" t="s">
        <v>4260</v>
      </c>
    </row>
    <row r="2285" spans="1:1">
      <c r="A2285" s="151" t="s">
        <v>4261</v>
      </c>
    </row>
    <row r="2286" spans="1:1">
      <c r="A2286" s="151" t="s">
        <v>4262</v>
      </c>
    </row>
    <row r="2287" spans="1:1">
      <c r="A2287" s="151" t="s">
        <v>4263</v>
      </c>
    </row>
    <row r="2288" spans="1:1">
      <c r="A2288" s="151" t="s">
        <v>4264</v>
      </c>
    </row>
    <row r="2289" spans="1:1">
      <c r="A2289" s="151" t="s">
        <v>4265</v>
      </c>
    </row>
    <row r="2290" spans="1:1">
      <c r="A2290" s="151" t="s">
        <v>4266</v>
      </c>
    </row>
    <row r="2291" spans="1:1">
      <c r="A2291" s="151" t="s">
        <v>4267</v>
      </c>
    </row>
    <row r="2292" spans="1:1">
      <c r="A2292" s="151" t="s">
        <v>4268</v>
      </c>
    </row>
    <row r="2293" spans="1:1">
      <c r="A2293" s="151" t="s">
        <v>4269</v>
      </c>
    </row>
    <row r="2294" spans="1:1">
      <c r="A2294" s="151" t="s">
        <v>4270</v>
      </c>
    </row>
    <row r="2295" spans="1:1">
      <c r="A2295" s="151" t="s">
        <v>4271</v>
      </c>
    </row>
    <row r="2296" spans="1:1">
      <c r="A2296" s="151" t="s">
        <v>4272</v>
      </c>
    </row>
    <row r="2297" spans="1:1">
      <c r="A2297" s="151" t="s">
        <v>4273</v>
      </c>
    </row>
    <row r="2298" spans="1:1">
      <c r="A2298" s="151" t="s">
        <v>4274</v>
      </c>
    </row>
    <row r="2299" spans="1:1">
      <c r="A2299" s="151" t="s">
        <v>4275</v>
      </c>
    </row>
    <row r="2300" spans="1:1">
      <c r="A2300" s="151" t="s">
        <v>4276</v>
      </c>
    </row>
    <row r="2301" spans="1:1">
      <c r="A2301" s="151" t="s">
        <v>4277</v>
      </c>
    </row>
    <row r="2302" spans="1:1">
      <c r="A2302" s="151" t="s">
        <v>4278</v>
      </c>
    </row>
    <row r="2303" spans="1:1">
      <c r="A2303" s="151" t="s">
        <v>4279</v>
      </c>
    </row>
    <row r="2304" spans="1:1">
      <c r="A2304" s="151" t="s">
        <v>4280</v>
      </c>
    </row>
    <row r="2305" spans="1:1">
      <c r="A2305" s="151" t="s">
        <v>4281</v>
      </c>
    </row>
    <row r="2306" spans="1:1">
      <c r="A2306" s="151" t="s">
        <v>4282</v>
      </c>
    </row>
    <row r="2307" spans="1:1">
      <c r="A2307" s="151" t="s">
        <v>4283</v>
      </c>
    </row>
    <row r="2308" spans="1:1">
      <c r="A2308" s="151" t="s">
        <v>4284</v>
      </c>
    </row>
    <row r="2309" spans="1:1">
      <c r="A2309" s="151" t="s">
        <v>4285</v>
      </c>
    </row>
    <row r="2310" spans="1:1">
      <c r="A2310" s="151" t="s">
        <v>4286</v>
      </c>
    </row>
    <row r="2311" spans="1:1">
      <c r="A2311" s="151" t="s">
        <v>4287</v>
      </c>
    </row>
    <row r="2312" spans="1:1">
      <c r="A2312" s="151" t="s">
        <v>4288</v>
      </c>
    </row>
    <row r="2313" spans="1:1">
      <c r="A2313" s="151" t="s">
        <v>4289</v>
      </c>
    </row>
    <row r="2314" spans="1:1">
      <c r="A2314" s="151" t="s">
        <v>4290</v>
      </c>
    </row>
    <row r="2315" spans="1:1">
      <c r="A2315" s="151" t="s">
        <v>4291</v>
      </c>
    </row>
    <row r="2316" spans="1:1">
      <c r="A2316" s="151" t="s">
        <v>4292</v>
      </c>
    </row>
    <row r="2317" spans="1:1">
      <c r="A2317" s="151" t="s">
        <v>4293</v>
      </c>
    </row>
    <row r="2318" spans="1:1">
      <c r="A2318" s="151" t="s">
        <v>4294</v>
      </c>
    </row>
    <row r="2319" spans="1:1">
      <c r="A2319" s="151" t="s">
        <v>4295</v>
      </c>
    </row>
    <row r="2320" spans="1:1">
      <c r="A2320" s="151" t="s">
        <v>4296</v>
      </c>
    </row>
    <row r="2321" spans="1:1">
      <c r="A2321" s="151" t="s">
        <v>4297</v>
      </c>
    </row>
    <row r="2322" spans="1:1">
      <c r="A2322" s="151" t="s">
        <v>4298</v>
      </c>
    </row>
    <row r="2323" spans="1:1">
      <c r="A2323" s="151" t="s">
        <v>4299</v>
      </c>
    </row>
    <row r="2324" spans="1:1">
      <c r="A2324" s="151" t="s">
        <v>4300</v>
      </c>
    </row>
    <row r="2325" spans="1:1">
      <c r="A2325" s="151" t="s">
        <v>4301</v>
      </c>
    </row>
    <row r="2326" spans="1:1">
      <c r="A2326" s="151" t="s">
        <v>4302</v>
      </c>
    </row>
    <row r="2327" spans="1:1">
      <c r="A2327" s="151" t="s">
        <v>4303</v>
      </c>
    </row>
    <row r="2328" spans="1:1">
      <c r="A2328" s="151" t="s">
        <v>4304</v>
      </c>
    </row>
    <row r="2329" spans="1:1">
      <c r="A2329" s="151" t="s">
        <v>4305</v>
      </c>
    </row>
    <row r="2330" spans="1:1">
      <c r="A2330" s="151" t="s">
        <v>4306</v>
      </c>
    </row>
    <row r="2331" spans="1:1">
      <c r="A2331" s="151" t="s">
        <v>4307</v>
      </c>
    </row>
    <row r="2332" spans="1:1">
      <c r="A2332" s="151" t="s">
        <v>4308</v>
      </c>
    </row>
    <row r="2333" spans="1:1">
      <c r="A2333" s="151" t="s">
        <v>4309</v>
      </c>
    </row>
    <row r="2334" spans="1:1">
      <c r="A2334" s="151" t="s">
        <v>4310</v>
      </c>
    </row>
    <row r="2335" spans="1:1">
      <c r="A2335" s="151" t="s">
        <v>4311</v>
      </c>
    </row>
    <row r="2336" spans="1:1">
      <c r="A2336" s="151" t="s">
        <v>4312</v>
      </c>
    </row>
    <row r="2337" spans="1:1">
      <c r="A2337" s="151" t="s">
        <v>4313</v>
      </c>
    </row>
    <row r="2338" spans="1:1">
      <c r="A2338" s="151" t="s">
        <v>4314</v>
      </c>
    </row>
    <row r="2339" spans="1:1">
      <c r="A2339" s="151" t="s">
        <v>4315</v>
      </c>
    </row>
    <row r="2340" spans="1:1">
      <c r="A2340" s="151" t="s">
        <v>4316</v>
      </c>
    </row>
    <row r="2341" spans="1:1">
      <c r="A2341" s="151" t="s">
        <v>4317</v>
      </c>
    </row>
    <row r="2342" spans="1:1">
      <c r="A2342" s="151" t="s">
        <v>4318</v>
      </c>
    </row>
    <row r="2343" spans="1:1">
      <c r="A2343" s="151" t="s">
        <v>4319</v>
      </c>
    </row>
    <row r="2344" spans="1:1">
      <c r="A2344" s="151" t="s">
        <v>4320</v>
      </c>
    </row>
    <row r="2345" spans="1:1">
      <c r="A2345" s="151" t="s">
        <v>4321</v>
      </c>
    </row>
    <row r="2346" spans="1:1">
      <c r="A2346" s="151" t="s">
        <v>4322</v>
      </c>
    </row>
    <row r="2347" spans="1:1">
      <c r="A2347" s="151" t="s">
        <v>4323</v>
      </c>
    </row>
    <row r="2348" spans="1:1">
      <c r="A2348" s="151" t="s">
        <v>4324</v>
      </c>
    </row>
    <row r="2349" spans="1:1">
      <c r="A2349" s="151" t="s">
        <v>4325</v>
      </c>
    </row>
    <row r="2350" spans="1:1">
      <c r="A2350" s="151" t="s">
        <v>4326</v>
      </c>
    </row>
    <row r="2351" spans="1:1">
      <c r="A2351" s="151" t="s">
        <v>4327</v>
      </c>
    </row>
    <row r="2352" spans="1:1">
      <c r="A2352" s="151" t="s">
        <v>4328</v>
      </c>
    </row>
    <row r="2353" spans="1:1">
      <c r="A2353" s="151" t="s">
        <v>4329</v>
      </c>
    </row>
    <row r="2354" spans="1:1">
      <c r="A2354" s="151" t="s">
        <v>4330</v>
      </c>
    </row>
    <row r="2355" spans="1:1">
      <c r="A2355" s="151" t="s">
        <v>4331</v>
      </c>
    </row>
    <row r="2356" spans="1:1">
      <c r="A2356" s="151" t="s">
        <v>4332</v>
      </c>
    </row>
    <row r="2357" spans="1:1">
      <c r="A2357" s="151" t="s">
        <v>4333</v>
      </c>
    </row>
    <row r="2358" spans="1:1">
      <c r="A2358" s="151" t="s">
        <v>4334</v>
      </c>
    </row>
    <row r="2359" spans="1:1">
      <c r="A2359" s="151" t="s">
        <v>4335</v>
      </c>
    </row>
    <row r="2360" spans="1:1">
      <c r="A2360" s="151" t="s">
        <v>4336</v>
      </c>
    </row>
    <row r="2361" spans="1:1">
      <c r="A2361" s="151" t="s">
        <v>4337</v>
      </c>
    </row>
    <row r="2362" spans="1:1">
      <c r="A2362" s="151" t="s">
        <v>4338</v>
      </c>
    </row>
    <row r="2363" spans="1:1">
      <c r="A2363" s="151" t="s">
        <v>4339</v>
      </c>
    </row>
    <row r="2364" spans="1:1">
      <c r="A2364" s="151" t="s">
        <v>4340</v>
      </c>
    </row>
    <row r="2365" spans="1:1">
      <c r="A2365" s="151" t="s">
        <v>4341</v>
      </c>
    </row>
    <row r="2366" spans="1:1">
      <c r="A2366" s="151" t="s">
        <v>4342</v>
      </c>
    </row>
    <row r="2367" spans="1:1">
      <c r="A2367" s="151" t="s">
        <v>4343</v>
      </c>
    </row>
    <row r="2368" spans="1:1">
      <c r="A2368" s="151" t="s">
        <v>4344</v>
      </c>
    </row>
    <row r="2369" spans="1:1">
      <c r="A2369" s="151" t="s">
        <v>4345</v>
      </c>
    </row>
    <row r="2370" spans="1:1">
      <c r="A2370" s="151" t="s">
        <v>4346</v>
      </c>
    </row>
    <row r="2371" spans="1:1">
      <c r="A2371" s="151" t="s">
        <v>4347</v>
      </c>
    </row>
    <row r="2372" spans="1:1">
      <c r="A2372" s="151" t="s">
        <v>4348</v>
      </c>
    </row>
    <row r="2373" spans="1:1">
      <c r="A2373" s="151" t="s">
        <v>4349</v>
      </c>
    </row>
    <row r="2374" spans="1:1">
      <c r="A2374" s="151" t="s">
        <v>4350</v>
      </c>
    </row>
    <row r="2375" spans="1:1">
      <c r="A2375" s="151" t="s">
        <v>4351</v>
      </c>
    </row>
    <row r="2376" spans="1:1">
      <c r="A2376" s="151" t="s">
        <v>4352</v>
      </c>
    </row>
    <row r="2377" spans="1:1">
      <c r="A2377" s="151" t="s">
        <v>4353</v>
      </c>
    </row>
    <row r="2378" spans="1:1">
      <c r="A2378" s="151" t="s">
        <v>4354</v>
      </c>
    </row>
    <row r="2379" spans="1:1">
      <c r="A2379" s="151" t="s">
        <v>4355</v>
      </c>
    </row>
    <row r="2380" spans="1:1">
      <c r="A2380" s="151" t="s">
        <v>4356</v>
      </c>
    </row>
    <row r="2381" spans="1:1">
      <c r="A2381" s="151" t="s">
        <v>4357</v>
      </c>
    </row>
    <row r="2382" spans="1:1">
      <c r="A2382" s="151" t="s">
        <v>4358</v>
      </c>
    </row>
    <row r="2383" spans="1:1">
      <c r="A2383" s="151" t="s">
        <v>4359</v>
      </c>
    </row>
    <row r="2384" spans="1:1">
      <c r="A2384" s="151" t="s">
        <v>4360</v>
      </c>
    </row>
    <row r="2385" spans="1:1">
      <c r="A2385" s="151" t="s">
        <v>4361</v>
      </c>
    </row>
    <row r="2386" spans="1:1">
      <c r="A2386" s="151" t="s">
        <v>4362</v>
      </c>
    </row>
    <row r="2387" spans="1:1">
      <c r="A2387" s="151" t="s">
        <v>4363</v>
      </c>
    </row>
    <row r="2388" spans="1:1">
      <c r="A2388" s="151" t="s">
        <v>4364</v>
      </c>
    </row>
    <row r="2389" spans="1:1">
      <c r="A2389" s="151" t="s">
        <v>4365</v>
      </c>
    </row>
    <row r="2390" spans="1:1">
      <c r="A2390" s="151" t="s">
        <v>4366</v>
      </c>
    </row>
    <row r="2391" spans="1:1">
      <c r="A2391" s="151" t="s">
        <v>4367</v>
      </c>
    </row>
    <row r="2392" spans="1:1">
      <c r="A2392" s="151" t="s">
        <v>4368</v>
      </c>
    </row>
    <row r="2393" spans="1:1">
      <c r="A2393" s="151" t="s">
        <v>4369</v>
      </c>
    </row>
    <row r="2394" spans="1:1">
      <c r="A2394" s="151" t="s">
        <v>4370</v>
      </c>
    </row>
    <row r="2395" spans="1:1">
      <c r="A2395" s="151" t="s">
        <v>4371</v>
      </c>
    </row>
    <row r="2396" spans="1:1">
      <c r="A2396" s="151" t="s">
        <v>4372</v>
      </c>
    </row>
    <row r="2397" spans="1:1">
      <c r="A2397" s="151" t="s">
        <v>4373</v>
      </c>
    </row>
    <row r="2398" spans="1:1">
      <c r="A2398" s="151" t="s">
        <v>4374</v>
      </c>
    </row>
    <row r="2399" spans="1:1">
      <c r="A2399" s="151" t="s">
        <v>4375</v>
      </c>
    </row>
    <row r="2400" spans="1:1">
      <c r="A2400" s="151" t="s">
        <v>4376</v>
      </c>
    </row>
    <row r="2401" spans="1:1">
      <c r="A2401" s="151" t="s">
        <v>4377</v>
      </c>
    </row>
    <row r="2402" spans="1:1">
      <c r="A2402" s="151" t="s">
        <v>4378</v>
      </c>
    </row>
    <row r="2403" spans="1:1">
      <c r="A2403" s="151" t="s">
        <v>4379</v>
      </c>
    </row>
    <row r="2404" spans="1:1">
      <c r="A2404" s="151" t="s">
        <v>4380</v>
      </c>
    </row>
    <row r="2405" spans="1:1">
      <c r="A2405" s="151" t="s">
        <v>4381</v>
      </c>
    </row>
    <row r="2406" spans="1:1">
      <c r="A2406" s="151" t="s">
        <v>4382</v>
      </c>
    </row>
    <row r="2407" spans="1:1">
      <c r="A2407" s="151" t="s">
        <v>4383</v>
      </c>
    </row>
    <row r="2408" spans="1:1">
      <c r="A2408" s="151" t="s">
        <v>4384</v>
      </c>
    </row>
    <row r="2409" spans="1:1">
      <c r="A2409" s="151" t="s">
        <v>4385</v>
      </c>
    </row>
    <row r="2410" spans="1:1">
      <c r="A2410" s="151" t="s">
        <v>4386</v>
      </c>
    </row>
    <row r="2411" spans="1:1">
      <c r="A2411" s="151" t="s">
        <v>4387</v>
      </c>
    </row>
    <row r="2412" spans="1:1">
      <c r="A2412" s="151" t="s">
        <v>4388</v>
      </c>
    </row>
    <row r="2413" spans="1:1">
      <c r="A2413" s="151" t="s">
        <v>4389</v>
      </c>
    </row>
    <row r="2414" spans="1:1">
      <c r="A2414" s="151" t="s">
        <v>4390</v>
      </c>
    </row>
    <row r="2415" spans="1:1">
      <c r="A2415" s="151" t="s">
        <v>4391</v>
      </c>
    </row>
    <row r="2416" spans="1:1">
      <c r="A2416" s="151" t="s">
        <v>4392</v>
      </c>
    </row>
    <row r="2417" spans="1:1">
      <c r="A2417" s="151" t="s">
        <v>4393</v>
      </c>
    </row>
    <row r="2418" spans="1:1">
      <c r="A2418" s="151" t="s">
        <v>4394</v>
      </c>
    </row>
    <row r="2419" spans="1:1">
      <c r="A2419" s="151" t="s">
        <v>4395</v>
      </c>
    </row>
    <row r="2420" spans="1:1">
      <c r="A2420" s="151" t="s">
        <v>4396</v>
      </c>
    </row>
    <row r="2421" spans="1:1">
      <c r="A2421" s="151" t="s">
        <v>4397</v>
      </c>
    </row>
    <row r="2422" spans="1:1">
      <c r="A2422" s="151" t="s">
        <v>4398</v>
      </c>
    </row>
    <row r="2423" spans="1:1">
      <c r="A2423" s="151" t="s">
        <v>4399</v>
      </c>
    </row>
    <row r="2424" spans="1:1">
      <c r="A2424" s="151" t="s">
        <v>4400</v>
      </c>
    </row>
    <row r="2425" spans="1:1">
      <c r="A2425" s="151" t="s">
        <v>4401</v>
      </c>
    </row>
    <row r="2426" spans="1:1">
      <c r="A2426" s="151" t="s">
        <v>4402</v>
      </c>
    </row>
    <row r="2427" spans="1:1">
      <c r="A2427" s="151" t="s">
        <v>4403</v>
      </c>
    </row>
    <row r="2428" spans="1:1">
      <c r="A2428" s="151" t="s">
        <v>4404</v>
      </c>
    </row>
    <row r="2429" spans="1:1">
      <c r="A2429" s="151" t="s">
        <v>4405</v>
      </c>
    </row>
    <row r="2430" spans="1:1">
      <c r="A2430" s="151" t="s">
        <v>4406</v>
      </c>
    </row>
    <row r="2431" spans="1:1">
      <c r="A2431" s="151" t="s">
        <v>4407</v>
      </c>
    </row>
    <row r="2432" spans="1:1">
      <c r="A2432" s="151" t="s">
        <v>4408</v>
      </c>
    </row>
    <row r="2433" spans="1:1">
      <c r="A2433" s="151" t="s">
        <v>4409</v>
      </c>
    </row>
    <row r="2434" spans="1:1">
      <c r="A2434" s="151" t="s">
        <v>4410</v>
      </c>
    </row>
    <row r="2435" spans="1:1">
      <c r="A2435" s="151" t="s">
        <v>4411</v>
      </c>
    </row>
    <row r="2436" spans="1:1">
      <c r="A2436" s="151" t="s">
        <v>4412</v>
      </c>
    </row>
    <row r="2437" spans="1:1">
      <c r="A2437" s="151" t="s">
        <v>4413</v>
      </c>
    </row>
    <row r="2438" spans="1:1">
      <c r="A2438" s="151" t="s">
        <v>4414</v>
      </c>
    </row>
    <row r="2439" spans="1:1">
      <c r="A2439" s="151" t="s">
        <v>4415</v>
      </c>
    </row>
    <row r="2440" spans="1:1">
      <c r="A2440" s="151" t="s">
        <v>4416</v>
      </c>
    </row>
    <row r="2441" spans="1:1">
      <c r="A2441" s="151" t="s">
        <v>4417</v>
      </c>
    </row>
    <row r="2442" spans="1:1">
      <c r="A2442" s="151" t="s">
        <v>4418</v>
      </c>
    </row>
    <row r="2443" spans="1:1">
      <c r="A2443" s="151" t="s">
        <v>4419</v>
      </c>
    </row>
    <row r="2444" spans="1:1">
      <c r="A2444" s="151" t="s">
        <v>4420</v>
      </c>
    </row>
    <row r="2445" spans="1:1">
      <c r="A2445" s="151" t="s">
        <v>4421</v>
      </c>
    </row>
    <row r="2446" spans="1:1">
      <c r="A2446" s="151" t="s">
        <v>4422</v>
      </c>
    </row>
    <row r="2447" spans="1:1">
      <c r="A2447" s="151" t="s">
        <v>4423</v>
      </c>
    </row>
    <row r="2448" spans="1:1">
      <c r="A2448" s="151" t="s">
        <v>4424</v>
      </c>
    </row>
    <row r="2449" spans="1:1">
      <c r="A2449" s="151" t="s">
        <v>4425</v>
      </c>
    </row>
    <row r="2450" spans="1:1">
      <c r="A2450" s="151" t="s">
        <v>4426</v>
      </c>
    </row>
    <row r="2451" spans="1:1">
      <c r="A2451" s="151" t="s">
        <v>4427</v>
      </c>
    </row>
    <row r="2452" spans="1:1">
      <c r="A2452" s="151" t="s">
        <v>4428</v>
      </c>
    </row>
    <row r="2453" spans="1:1">
      <c r="A2453" s="151" t="s">
        <v>4429</v>
      </c>
    </row>
    <row r="2454" spans="1:1">
      <c r="A2454" s="151" t="s">
        <v>4430</v>
      </c>
    </row>
    <row r="2455" spans="1:1">
      <c r="A2455" s="151" t="s">
        <v>4431</v>
      </c>
    </row>
    <row r="2456" spans="1:1">
      <c r="A2456" s="151" t="s">
        <v>4432</v>
      </c>
    </row>
    <row r="2457" spans="1:1">
      <c r="A2457" s="151" t="s">
        <v>4433</v>
      </c>
    </row>
    <row r="2458" spans="1:1">
      <c r="A2458" s="151" t="s">
        <v>4434</v>
      </c>
    </row>
    <row r="2459" spans="1:1">
      <c r="A2459" s="151" t="s">
        <v>4435</v>
      </c>
    </row>
    <row r="2460" spans="1:1">
      <c r="A2460" s="151" t="s">
        <v>4436</v>
      </c>
    </row>
    <row r="2461" spans="1:1">
      <c r="A2461" s="151" t="s">
        <v>4437</v>
      </c>
    </row>
    <row r="2462" spans="1:1">
      <c r="A2462" s="151" t="s">
        <v>4438</v>
      </c>
    </row>
    <row r="2463" spans="1:1">
      <c r="A2463" s="151" t="s">
        <v>4439</v>
      </c>
    </row>
    <row r="2464" spans="1:1">
      <c r="A2464" s="151" t="s">
        <v>4440</v>
      </c>
    </row>
    <row r="2465" spans="1:1">
      <c r="A2465" s="151" t="s">
        <v>4441</v>
      </c>
    </row>
    <row r="2466" spans="1:1">
      <c r="A2466" s="151" t="s">
        <v>4442</v>
      </c>
    </row>
    <row r="2467" spans="1:1">
      <c r="A2467" s="151" t="s">
        <v>4443</v>
      </c>
    </row>
    <row r="2468" spans="1:1">
      <c r="A2468" s="151" t="s">
        <v>4444</v>
      </c>
    </row>
    <row r="2469" spans="1:1">
      <c r="A2469" s="151" t="s">
        <v>4445</v>
      </c>
    </row>
    <row r="2470" spans="1:1">
      <c r="A2470" s="151" t="s">
        <v>4446</v>
      </c>
    </row>
    <row r="2471" spans="1:1">
      <c r="A2471" s="151" t="s">
        <v>4447</v>
      </c>
    </row>
    <row r="2472" spans="1:1">
      <c r="A2472" s="151" t="s">
        <v>4448</v>
      </c>
    </row>
    <row r="2473" spans="1:1">
      <c r="A2473" s="151" t="s">
        <v>4449</v>
      </c>
    </row>
    <row r="2474" spans="1:1">
      <c r="A2474" s="151" t="s">
        <v>4450</v>
      </c>
    </row>
    <row r="2475" spans="1:1">
      <c r="A2475" s="151" t="s">
        <v>4451</v>
      </c>
    </row>
    <row r="2476" spans="1:1">
      <c r="A2476" s="151" t="s">
        <v>4452</v>
      </c>
    </row>
    <row r="2477" spans="1:1">
      <c r="A2477" s="151" t="s">
        <v>4453</v>
      </c>
    </row>
    <row r="2478" spans="1:1">
      <c r="A2478" s="151" t="s">
        <v>4454</v>
      </c>
    </row>
    <row r="2479" spans="1:1">
      <c r="A2479" s="151" t="s">
        <v>4455</v>
      </c>
    </row>
    <row r="2480" spans="1:1">
      <c r="A2480" s="151" t="s">
        <v>4456</v>
      </c>
    </row>
    <row r="2481" spans="1:1">
      <c r="A2481" s="151" t="s">
        <v>4457</v>
      </c>
    </row>
    <row r="2482" spans="1:1">
      <c r="A2482" s="151" t="s">
        <v>4458</v>
      </c>
    </row>
    <row r="2483" spans="1:1">
      <c r="A2483" s="151" t="s">
        <v>4459</v>
      </c>
    </row>
    <row r="2484" spans="1:1">
      <c r="A2484" s="151" t="s">
        <v>4460</v>
      </c>
    </row>
    <row r="2485" spans="1:1">
      <c r="A2485" s="151" t="s">
        <v>4461</v>
      </c>
    </row>
    <row r="2486" spans="1:1">
      <c r="A2486" s="151" t="s">
        <v>4462</v>
      </c>
    </row>
    <row r="2487" spans="1:1">
      <c r="A2487" s="151" t="s">
        <v>4463</v>
      </c>
    </row>
    <row r="2488" spans="1:1">
      <c r="A2488" s="151" t="s">
        <v>4464</v>
      </c>
    </row>
    <row r="2489" spans="1:1">
      <c r="A2489" s="151" t="s">
        <v>4465</v>
      </c>
    </row>
    <row r="2490" spans="1:1">
      <c r="A2490" s="151" t="s">
        <v>4466</v>
      </c>
    </row>
    <row r="2491" spans="1:1">
      <c r="A2491" s="151" t="s">
        <v>4467</v>
      </c>
    </row>
    <row r="2492" spans="1:1">
      <c r="A2492" s="151" t="s">
        <v>4468</v>
      </c>
    </row>
    <row r="2493" spans="1:1">
      <c r="A2493" s="151" t="s">
        <v>4469</v>
      </c>
    </row>
    <row r="2494" spans="1:1">
      <c r="A2494" s="151" t="s">
        <v>4470</v>
      </c>
    </row>
    <row r="2495" spans="1:1">
      <c r="A2495" s="151" t="s">
        <v>4471</v>
      </c>
    </row>
    <row r="2496" spans="1:1">
      <c r="A2496" s="151" t="s">
        <v>4472</v>
      </c>
    </row>
    <row r="2497" spans="1:1">
      <c r="A2497" s="151" t="s">
        <v>4473</v>
      </c>
    </row>
    <row r="2498" spans="1:1">
      <c r="A2498" s="151" t="s">
        <v>4474</v>
      </c>
    </row>
    <row r="2499" spans="1:1">
      <c r="A2499" s="151" t="s">
        <v>4475</v>
      </c>
    </row>
    <row r="2500" spans="1:1">
      <c r="A2500" s="151" t="s">
        <v>4476</v>
      </c>
    </row>
    <row r="2501" spans="1:1">
      <c r="A2501" s="151" t="s">
        <v>4477</v>
      </c>
    </row>
    <row r="2502" spans="1:1">
      <c r="A2502" s="151" t="s">
        <v>4478</v>
      </c>
    </row>
    <row r="2503" spans="1:1">
      <c r="A2503" s="151" t="s">
        <v>4479</v>
      </c>
    </row>
    <row r="2504" spans="1:1">
      <c r="A2504" s="151" t="s">
        <v>4480</v>
      </c>
    </row>
    <row r="2505" spans="1:1">
      <c r="A2505" s="151" t="s">
        <v>4481</v>
      </c>
    </row>
    <row r="2506" spans="1:1">
      <c r="A2506" s="151" t="s">
        <v>4482</v>
      </c>
    </row>
    <row r="2507" spans="1:1">
      <c r="A2507" s="151" t="s">
        <v>4483</v>
      </c>
    </row>
    <row r="2508" spans="1:1">
      <c r="A2508" s="151" t="s">
        <v>4484</v>
      </c>
    </row>
    <row r="2509" spans="1:1">
      <c r="A2509" s="151" t="s">
        <v>4485</v>
      </c>
    </row>
    <row r="2510" spans="1:1">
      <c r="A2510" s="151" t="s">
        <v>4486</v>
      </c>
    </row>
    <row r="2511" spans="1:1">
      <c r="A2511" s="151" t="s">
        <v>4487</v>
      </c>
    </row>
    <row r="2512" spans="1:1">
      <c r="A2512" s="151" t="s">
        <v>4488</v>
      </c>
    </row>
    <row r="2513" spans="1:1">
      <c r="A2513" s="151" t="s">
        <v>4489</v>
      </c>
    </row>
    <row r="2514" spans="1:1">
      <c r="A2514" s="151" t="s">
        <v>4490</v>
      </c>
    </row>
    <row r="2515" spans="1:1">
      <c r="A2515" s="151" t="s">
        <v>4491</v>
      </c>
    </row>
    <row r="2516" spans="1:1">
      <c r="A2516" s="151" t="s">
        <v>4492</v>
      </c>
    </row>
    <row r="2517" spans="1:1">
      <c r="A2517" s="151" t="s">
        <v>4493</v>
      </c>
    </row>
    <row r="2518" spans="1:1">
      <c r="A2518" s="151" t="s">
        <v>4494</v>
      </c>
    </row>
    <row r="2519" spans="1:1">
      <c r="A2519" s="151" t="s">
        <v>4495</v>
      </c>
    </row>
    <row r="2520" spans="1:1">
      <c r="A2520" s="151" t="s">
        <v>4496</v>
      </c>
    </row>
    <row r="2521" spans="1:1">
      <c r="A2521" s="151" t="s">
        <v>4497</v>
      </c>
    </row>
    <row r="2522" spans="1:1">
      <c r="A2522" s="151" t="s">
        <v>4498</v>
      </c>
    </row>
    <row r="2523" spans="1:1">
      <c r="A2523" s="151" t="s">
        <v>4499</v>
      </c>
    </row>
    <row r="2524" spans="1:1">
      <c r="A2524" s="151" t="s">
        <v>4500</v>
      </c>
    </row>
    <row r="2525" spans="1:1">
      <c r="A2525" s="151" t="s">
        <v>4501</v>
      </c>
    </row>
    <row r="2526" spans="1:1">
      <c r="A2526" s="151" t="s">
        <v>4502</v>
      </c>
    </row>
    <row r="2527" spans="1:1">
      <c r="A2527" s="151" t="s">
        <v>4503</v>
      </c>
    </row>
    <row r="2528" spans="1:1">
      <c r="A2528" s="151" t="s">
        <v>4504</v>
      </c>
    </row>
    <row r="2529" spans="1:1">
      <c r="A2529" s="151" t="s">
        <v>4505</v>
      </c>
    </row>
    <row r="2530" spans="1:1">
      <c r="A2530" s="151" t="s">
        <v>4506</v>
      </c>
    </row>
    <row r="2531" spans="1:1">
      <c r="A2531" s="151" t="s">
        <v>4507</v>
      </c>
    </row>
    <row r="2532" spans="1:1">
      <c r="A2532" s="151" t="s">
        <v>4508</v>
      </c>
    </row>
    <row r="2533" spans="1:1">
      <c r="A2533" s="151" t="s">
        <v>4509</v>
      </c>
    </row>
    <row r="2534" spans="1:1">
      <c r="A2534" s="151" t="s">
        <v>4510</v>
      </c>
    </row>
    <row r="2535" spans="1:1">
      <c r="A2535" s="151" t="s">
        <v>4511</v>
      </c>
    </row>
    <row r="2536" spans="1:1">
      <c r="A2536" s="151" t="s">
        <v>4512</v>
      </c>
    </row>
    <row r="2537" spans="1:1">
      <c r="A2537" s="151" t="s">
        <v>4513</v>
      </c>
    </row>
    <row r="2538" spans="1:1">
      <c r="A2538" s="151" t="s">
        <v>4514</v>
      </c>
    </row>
    <row r="2539" spans="1:1">
      <c r="A2539" s="151" t="s">
        <v>4515</v>
      </c>
    </row>
    <row r="2540" spans="1:1">
      <c r="A2540" s="151" t="s">
        <v>4516</v>
      </c>
    </row>
    <row r="2541" spans="1:1">
      <c r="A2541" s="151" t="s">
        <v>4517</v>
      </c>
    </row>
    <row r="2542" spans="1:1">
      <c r="A2542" s="151" t="s">
        <v>4518</v>
      </c>
    </row>
    <row r="2543" spans="1:1">
      <c r="A2543" s="151" t="s">
        <v>4519</v>
      </c>
    </row>
    <row r="2544" spans="1:1">
      <c r="A2544" s="151" t="s">
        <v>4520</v>
      </c>
    </row>
    <row r="2545" spans="1:1">
      <c r="A2545" s="151" t="s">
        <v>4521</v>
      </c>
    </row>
    <row r="2546" spans="1:1">
      <c r="A2546" s="151" t="s">
        <v>4522</v>
      </c>
    </row>
    <row r="2547" spans="1:1">
      <c r="A2547" s="151" t="s">
        <v>4523</v>
      </c>
    </row>
    <row r="2548" spans="1:1">
      <c r="A2548" s="151" t="s">
        <v>4524</v>
      </c>
    </row>
    <row r="2549" spans="1:1">
      <c r="A2549" s="151" t="s">
        <v>4525</v>
      </c>
    </row>
    <row r="2550" spans="1:1">
      <c r="A2550" s="151" t="s">
        <v>4526</v>
      </c>
    </row>
    <row r="2551" spans="1:1">
      <c r="A2551" s="151" t="s">
        <v>4527</v>
      </c>
    </row>
    <row r="2552" spans="1:1">
      <c r="A2552" s="151" t="s">
        <v>4528</v>
      </c>
    </row>
    <row r="2553" spans="1:1">
      <c r="A2553" s="151" t="s">
        <v>4529</v>
      </c>
    </row>
    <row r="2554" spans="1:1">
      <c r="A2554" s="151" t="s">
        <v>4530</v>
      </c>
    </row>
    <row r="2555" spans="1:1">
      <c r="A2555" s="151" t="s">
        <v>4531</v>
      </c>
    </row>
    <row r="2556" spans="1:1">
      <c r="A2556" s="151" t="s">
        <v>4532</v>
      </c>
    </row>
    <row r="2557" spans="1:1">
      <c r="A2557" s="151" t="s">
        <v>4533</v>
      </c>
    </row>
    <row r="2558" spans="1:1">
      <c r="A2558" s="151" t="s">
        <v>4534</v>
      </c>
    </row>
    <row r="2559" spans="1:1">
      <c r="A2559" s="151" t="s">
        <v>4535</v>
      </c>
    </row>
    <row r="2560" spans="1:1">
      <c r="A2560" s="151" t="s">
        <v>4536</v>
      </c>
    </row>
    <row r="2561" spans="1:1">
      <c r="A2561" s="151" t="s">
        <v>4537</v>
      </c>
    </row>
    <row r="2562" spans="1:1">
      <c r="A2562" s="151" t="s">
        <v>4538</v>
      </c>
    </row>
    <row r="2563" spans="1:1">
      <c r="A2563" s="151" t="s">
        <v>4539</v>
      </c>
    </row>
    <row r="2564" spans="1:1">
      <c r="A2564" s="151" t="s">
        <v>4540</v>
      </c>
    </row>
    <row r="2565" spans="1:1">
      <c r="A2565" s="151" t="s">
        <v>4541</v>
      </c>
    </row>
    <row r="2566" spans="1:1">
      <c r="A2566" s="151" t="s">
        <v>4542</v>
      </c>
    </row>
    <row r="2567" spans="1:1">
      <c r="A2567" s="151" t="s">
        <v>4543</v>
      </c>
    </row>
    <row r="2568" spans="1:1">
      <c r="A2568" s="151" t="s">
        <v>4544</v>
      </c>
    </row>
    <row r="2569" spans="1:1">
      <c r="A2569" s="151" t="s">
        <v>4545</v>
      </c>
    </row>
    <row r="2570" spans="1:1">
      <c r="A2570" s="151" t="s">
        <v>4546</v>
      </c>
    </row>
    <row r="2571" spans="1:1">
      <c r="A2571" s="151" t="s">
        <v>4547</v>
      </c>
    </row>
    <row r="2572" spans="1:1">
      <c r="A2572" s="151" t="s">
        <v>4548</v>
      </c>
    </row>
    <row r="2573" spans="1:1">
      <c r="A2573" s="151" t="s">
        <v>4549</v>
      </c>
    </row>
    <row r="2574" spans="1:1">
      <c r="A2574" s="151" t="s">
        <v>4550</v>
      </c>
    </row>
    <row r="2575" spans="1:1">
      <c r="A2575" s="151" t="s">
        <v>4551</v>
      </c>
    </row>
    <row r="2576" spans="1:1">
      <c r="A2576" s="151" t="s">
        <v>4552</v>
      </c>
    </row>
    <row r="2577" spans="1:1">
      <c r="A2577" s="151" t="s">
        <v>4553</v>
      </c>
    </row>
    <row r="2578" spans="1:1">
      <c r="A2578" s="151" t="s">
        <v>4554</v>
      </c>
    </row>
    <row r="2579" spans="1:1">
      <c r="A2579" s="151" t="s">
        <v>4555</v>
      </c>
    </row>
    <row r="2580" spans="1:1">
      <c r="A2580" s="151" t="s">
        <v>4556</v>
      </c>
    </row>
    <row r="2581" spans="1:1">
      <c r="A2581" s="151" t="s">
        <v>4557</v>
      </c>
    </row>
    <row r="2582" spans="1:1">
      <c r="A2582" s="151" t="s">
        <v>4558</v>
      </c>
    </row>
    <row r="2583" spans="1:1">
      <c r="A2583" s="151" t="s">
        <v>4559</v>
      </c>
    </row>
    <row r="2584" spans="1:1">
      <c r="A2584" s="151" t="s">
        <v>4560</v>
      </c>
    </row>
    <row r="2585" spans="1:1">
      <c r="A2585" s="151" t="s">
        <v>4561</v>
      </c>
    </row>
    <row r="2586" spans="1:1">
      <c r="A2586" s="151" t="s">
        <v>4562</v>
      </c>
    </row>
    <row r="2587" spans="1:1">
      <c r="A2587" s="151" t="s">
        <v>4563</v>
      </c>
    </row>
    <row r="2588" spans="1:1">
      <c r="A2588" s="151" t="s">
        <v>4564</v>
      </c>
    </row>
    <row r="2589" spans="1:1">
      <c r="A2589" s="151" t="s">
        <v>4565</v>
      </c>
    </row>
    <row r="2590" spans="1:1">
      <c r="A2590" s="151" t="s">
        <v>4566</v>
      </c>
    </row>
    <row r="2591" spans="1:1">
      <c r="A2591" s="151" t="s">
        <v>4567</v>
      </c>
    </row>
    <row r="2592" spans="1:1">
      <c r="A2592" s="151" t="s">
        <v>4568</v>
      </c>
    </row>
    <row r="2593" spans="1:1">
      <c r="A2593" s="151" t="s">
        <v>4569</v>
      </c>
    </row>
    <row r="2594" spans="1:1">
      <c r="A2594" s="151" t="s">
        <v>4570</v>
      </c>
    </row>
    <row r="2595" spans="1:1">
      <c r="A2595" s="151" t="s">
        <v>4571</v>
      </c>
    </row>
    <row r="2596" spans="1:1">
      <c r="A2596" s="151" t="s">
        <v>4572</v>
      </c>
    </row>
    <row r="2597" spans="1:1">
      <c r="A2597" s="151" t="s">
        <v>4573</v>
      </c>
    </row>
    <row r="2598" spans="1:1">
      <c r="A2598" s="151" t="s">
        <v>4574</v>
      </c>
    </row>
    <row r="2599" spans="1:1">
      <c r="A2599" s="151" t="s">
        <v>4575</v>
      </c>
    </row>
    <row r="2600" spans="1:1">
      <c r="A2600" s="151" t="s">
        <v>4576</v>
      </c>
    </row>
    <row r="2601" spans="1:1">
      <c r="A2601" s="151" t="s">
        <v>4577</v>
      </c>
    </row>
    <row r="2602" spans="1:1">
      <c r="A2602" s="151" t="s">
        <v>4578</v>
      </c>
    </row>
    <row r="2603" spans="1:1">
      <c r="A2603" s="151" t="s">
        <v>4579</v>
      </c>
    </row>
    <row r="2604" spans="1:1">
      <c r="A2604" s="151" t="s">
        <v>4580</v>
      </c>
    </row>
    <row r="2605" spans="1:1">
      <c r="A2605" s="151" t="s">
        <v>4581</v>
      </c>
    </row>
    <row r="2606" spans="1:1">
      <c r="A2606" s="151" t="s">
        <v>4582</v>
      </c>
    </row>
    <row r="2607" spans="1:1">
      <c r="A2607" s="151" t="s">
        <v>4583</v>
      </c>
    </row>
    <row r="2608" spans="1:1">
      <c r="A2608" s="151" t="s">
        <v>4584</v>
      </c>
    </row>
    <row r="2609" spans="1:1">
      <c r="A2609" s="151" t="s">
        <v>4585</v>
      </c>
    </row>
    <row r="2610" spans="1:1">
      <c r="A2610" s="151" t="s">
        <v>4586</v>
      </c>
    </row>
    <row r="2611" spans="1:1">
      <c r="A2611" s="151" t="s">
        <v>4587</v>
      </c>
    </row>
    <row r="2612" spans="1:1">
      <c r="A2612" s="151" t="s">
        <v>4588</v>
      </c>
    </row>
    <row r="2613" spans="1:1">
      <c r="A2613" s="151" t="s">
        <v>4589</v>
      </c>
    </row>
    <row r="2614" spans="1:1">
      <c r="A2614" s="151" t="s">
        <v>4590</v>
      </c>
    </row>
    <row r="2615" spans="1:1">
      <c r="A2615" s="151" t="s">
        <v>4591</v>
      </c>
    </row>
    <row r="2616" spans="1:1">
      <c r="A2616" s="151" t="s">
        <v>4592</v>
      </c>
    </row>
    <row r="2617" spans="1:1">
      <c r="A2617" s="151" t="s">
        <v>4593</v>
      </c>
    </row>
    <row r="2618" spans="1:1">
      <c r="A2618" s="151" t="s">
        <v>4594</v>
      </c>
    </row>
    <row r="2619" spans="1:1">
      <c r="A2619" s="151" t="s">
        <v>4595</v>
      </c>
    </row>
    <row r="2620" spans="1:1">
      <c r="A2620" s="151" t="s">
        <v>4596</v>
      </c>
    </row>
    <row r="2621" spans="1:1">
      <c r="A2621" s="151" t="s">
        <v>4597</v>
      </c>
    </row>
    <row r="2622" spans="1:1">
      <c r="A2622" s="151" t="s">
        <v>4598</v>
      </c>
    </row>
    <row r="2623" spans="1:1">
      <c r="A2623" s="151" t="s">
        <v>4599</v>
      </c>
    </row>
    <row r="2624" spans="1:1">
      <c r="A2624" s="151" t="s">
        <v>4600</v>
      </c>
    </row>
    <row r="2625" spans="1:1">
      <c r="A2625" s="151" t="s">
        <v>4601</v>
      </c>
    </row>
    <row r="2626" spans="1:1">
      <c r="A2626" s="151" t="s">
        <v>4602</v>
      </c>
    </row>
    <row r="2627" spans="1:1">
      <c r="A2627" s="151" t="s">
        <v>4603</v>
      </c>
    </row>
    <row r="2628" spans="1:1">
      <c r="A2628" s="151" t="s">
        <v>4604</v>
      </c>
    </row>
    <row r="2629" spans="1:1">
      <c r="A2629" s="151" t="s">
        <v>4605</v>
      </c>
    </row>
    <row r="2630" spans="1:1">
      <c r="A2630" s="151" t="s">
        <v>4606</v>
      </c>
    </row>
    <row r="2631" spans="1:1">
      <c r="A2631" s="151" t="s">
        <v>4607</v>
      </c>
    </row>
    <row r="2632" spans="1:1">
      <c r="A2632" s="151" t="s">
        <v>4608</v>
      </c>
    </row>
    <row r="2633" spans="1:1">
      <c r="A2633" s="151" t="s">
        <v>4609</v>
      </c>
    </row>
    <row r="2634" spans="1:1">
      <c r="A2634" s="151" t="s">
        <v>4610</v>
      </c>
    </row>
    <row r="2635" spans="1:1">
      <c r="A2635" s="151" t="s">
        <v>4611</v>
      </c>
    </row>
    <row r="2636" spans="1:1">
      <c r="A2636" s="151" t="s">
        <v>4612</v>
      </c>
    </row>
    <row r="2637" spans="1:1">
      <c r="A2637" s="151" t="s">
        <v>4613</v>
      </c>
    </row>
    <row r="2638" spans="1:1">
      <c r="A2638" s="151" t="s">
        <v>4614</v>
      </c>
    </row>
    <row r="2639" spans="1:1">
      <c r="A2639" s="151" t="s">
        <v>4615</v>
      </c>
    </row>
    <row r="2640" spans="1:1">
      <c r="A2640" s="151" t="s">
        <v>4616</v>
      </c>
    </row>
    <row r="2641" spans="1:1">
      <c r="A2641" s="151" t="s">
        <v>4617</v>
      </c>
    </row>
    <row r="2642" spans="1:1">
      <c r="A2642" s="151" t="s">
        <v>4618</v>
      </c>
    </row>
    <row r="2643" spans="1:1">
      <c r="A2643" s="151" t="s">
        <v>4619</v>
      </c>
    </row>
    <row r="2644" spans="1:1">
      <c r="A2644" s="151" t="s">
        <v>4620</v>
      </c>
    </row>
    <row r="2645" spans="1:1">
      <c r="A2645" s="151" t="s">
        <v>4621</v>
      </c>
    </row>
    <row r="2646" spans="1:1">
      <c r="A2646" s="151" t="s">
        <v>4622</v>
      </c>
    </row>
    <row r="2647" spans="1:1">
      <c r="A2647" s="151" t="s">
        <v>4623</v>
      </c>
    </row>
    <row r="2648" spans="1:1">
      <c r="A2648" s="151" t="s">
        <v>4624</v>
      </c>
    </row>
    <row r="2649" spans="1:1">
      <c r="A2649" s="151" t="s">
        <v>4625</v>
      </c>
    </row>
    <row r="2650" spans="1:1">
      <c r="A2650" s="151" t="s">
        <v>4626</v>
      </c>
    </row>
    <row r="2651" spans="1:1">
      <c r="A2651" s="151" t="s">
        <v>4627</v>
      </c>
    </row>
    <row r="2652" spans="1:1">
      <c r="A2652" s="151" t="s">
        <v>4628</v>
      </c>
    </row>
    <row r="2653" spans="1:1">
      <c r="A2653" s="151" t="s">
        <v>4629</v>
      </c>
    </row>
    <row r="2654" spans="1:1">
      <c r="A2654" s="151" t="s">
        <v>4630</v>
      </c>
    </row>
    <row r="2655" spans="1:1">
      <c r="A2655" s="151" t="s">
        <v>4631</v>
      </c>
    </row>
    <row r="2656" spans="1:1">
      <c r="A2656" s="151" t="s">
        <v>4632</v>
      </c>
    </row>
    <row r="2657" spans="1:1">
      <c r="A2657" s="151" t="s">
        <v>4633</v>
      </c>
    </row>
    <row r="2658" spans="1:1">
      <c r="A2658" s="151" t="s">
        <v>4634</v>
      </c>
    </row>
    <row r="2659" spans="1:1">
      <c r="A2659" s="151" t="s">
        <v>4635</v>
      </c>
    </row>
    <row r="2660" spans="1:1">
      <c r="A2660" s="151" t="s">
        <v>4636</v>
      </c>
    </row>
    <row r="2661" spans="1:1">
      <c r="A2661" s="151" t="s">
        <v>4637</v>
      </c>
    </row>
    <row r="2662" spans="1:1">
      <c r="A2662" s="151" t="s">
        <v>4638</v>
      </c>
    </row>
    <row r="2663" spans="1:1">
      <c r="A2663" s="151" t="s">
        <v>4639</v>
      </c>
    </row>
    <row r="2664" spans="1:1">
      <c r="A2664" s="151" t="s">
        <v>4640</v>
      </c>
    </row>
    <row r="2665" spans="1:1">
      <c r="A2665" s="151" t="s">
        <v>4641</v>
      </c>
    </row>
    <row r="2666" spans="1:1">
      <c r="A2666" s="151" t="s">
        <v>4642</v>
      </c>
    </row>
    <row r="2667" spans="1:1">
      <c r="A2667" s="151" t="s">
        <v>4643</v>
      </c>
    </row>
    <row r="2668" spans="1:1">
      <c r="A2668" s="151" t="s">
        <v>4644</v>
      </c>
    </row>
    <row r="2669" spans="1:1">
      <c r="A2669" s="151" t="s">
        <v>4645</v>
      </c>
    </row>
    <row r="2670" spans="1:1">
      <c r="A2670" s="151" t="s">
        <v>4646</v>
      </c>
    </row>
    <row r="2671" spans="1:1">
      <c r="A2671" s="151" t="s">
        <v>4647</v>
      </c>
    </row>
    <row r="2672" spans="1:1">
      <c r="A2672" s="151" t="s">
        <v>4648</v>
      </c>
    </row>
    <row r="2673" spans="1:1">
      <c r="A2673" s="151" t="s">
        <v>4649</v>
      </c>
    </row>
    <row r="2674" spans="1:1">
      <c r="A2674" s="151" t="s">
        <v>4650</v>
      </c>
    </row>
    <row r="2675" spans="1:1">
      <c r="A2675" s="151" t="s">
        <v>4651</v>
      </c>
    </row>
    <row r="2676" spans="1:1">
      <c r="A2676" s="151" t="s">
        <v>4652</v>
      </c>
    </row>
    <row r="2677" spans="1:1">
      <c r="A2677" s="151" t="s">
        <v>4653</v>
      </c>
    </row>
    <row r="2678" spans="1:1">
      <c r="A2678" s="151" t="s">
        <v>4654</v>
      </c>
    </row>
    <row r="2679" spans="1:1">
      <c r="A2679" s="151" t="s">
        <v>4655</v>
      </c>
    </row>
    <row r="2680" spans="1:1">
      <c r="A2680" s="151" t="s">
        <v>4656</v>
      </c>
    </row>
    <row r="2681" spans="1:1">
      <c r="A2681" s="151" t="s">
        <v>4657</v>
      </c>
    </row>
    <row r="2682" spans="1:1">
      <c r="A2682" s="151" t="s">
        <v>4658</v>
      </c>
    </row>
    <row r="2683" spans="1:1">
      <c r="A2683" s="151" t="s">
        <v>4659</v>
      </c>
    </row>
    <row r="2684" spans="1:1">
      <c r="A2684" s="151" t="s">
        <v>4660</v>
      </c>
    </row>
    <row r="2685" spans="1:1">
      <c r="A2685" s="151" t="s">
        <v>4661</v>
      </c>
    </row>
    <row r="2686" spans="1:1">
      <c r="A2686" s="151" t="s">
        <v>4662</v>
      </c>
    </row>
    <row r="2687" spans="1:1">
      <c r="A2687" s="151" t="s">
        <v>4663</v>
      </c>
    </row>
    <row r="2688" spans="1:1">
      <c r="A2688" s="151" t="s">
        <v>4664</v>
      </c>
    </row>
    <row r="2689" spans="1:1">
      <c r="A2689" s="151" t="s">
        <v>4665</v>
      </c>
    </row>
    <row r="2690" spans="1:1">
      <c r="A2690" s="151" t="s">
        <v>4666</v>
      </c>
    </row>
    <row r="2691" spans="1:1">
      <c r="A2691" s="151" t="s">
        <v>4667</v>
      </c>
    </row>
    <row r="2692" spans="1:1">
      <c r="A2692" s="151" t="s">
        <v>4668</v>
      </c>
    </row>
    <row r="2693" spans="1:1">
      <c r="A2693" s="151" t="s">
        <v>4669</v>
      </c>
    </row>
    <row r="2694" spans="1:1">
      <c r="A2694" s="151" t="s">
        <v>4670</v>
      </c>
    </row>
    <row r="2695" spans="1:1">
      <c r="A2695" s="151" t="s">
        <v>4671</v>
      </c>
    </row>
    <row r="2696" spans="1:1">
      <c r="A2696" s="151" t="s">
        <v>4672</v>
      </c>
    </row>
    <row r="2697" spans="1:1">
      <c r="A2697" s="151" t="s">
        <v>4673</v>
      </c>
    </row>
    <row r="2698" spans="1:1">
      <c r="A2698" s="151" t="s">
        <v>4674</v>
      </c>
    </row>
    <row r="2699" spans="1:1">
      <c r="A2699" s="151" t="s">
        <v>4675</v>
      </c>
    </row>
    <row r="2700" spans="1:1">
      <c r="A2700" s="151" t="s">
        <v>4676</v>
      </c>
    </row>
    <row r="2701" spans="1:1">
      <c r="A2701" s="151" t="s">
        <v>4677</v>
      </c>
    </row>
    <row r="2702" spans="1:1">
      <c r="A2702" s="151" t="s">
        <v>4678</v>
      </c>
    </row>
    <row r="2703" spans="1:1">
      <c r="A2703" s="151" t="s">
        <v>4679</v>
      </c>
    </row>
    <row r="2704" spans="1:1">
      <c r="A2704" s="151" t="s">
        <v>4680</v>
      </c>
    </row>
    <row r="2705" spans="1:1">
      <c r="A2705" s="151" t="s">
        <v>4681</v>
      </c>
    </row>
    <row r="2706" spans="1:1">
      <c r="A2706" s="151" t="s">
        <v>4682</v>
      </c>
    </row>
    <row r="2707" spans="1:1">
      <c r="A2707" s="151" t="s">
        <v>4683</v>
      </c>
    </row>
    <row r="2708" spans="1:1">
      <c r="A2708" s="151" t="s">
        <v>4684</v>
      </c>
    </row>
    <row r="2709" spans="1:1">
      <c r="A2709" s="151" t="s">
        <v>4685</v>
      </c>
    </row>
    <row r="2710" spans="1:1">
      <c r="A2710" s="151" t="s">
        <v>4686</v>
      </c>
    </row>
    <row r="2711" spans="1:1">
      <c r="A2711" s="151" t="s">
        <v>4687</v>
      </c>
    </row>
    <row r="2712" spans="1:1">
      <c r="A2712" s="151" t="s">
        <v>4688</v>
      </c>
    </row>
    <row r="2713" spans="1:1">
      <c r="A2713" s="151" t="s">
        <v>4689</v>
      </c>
    </row>
    <row r="2714" spans="1:1">
      <c r="A2714" s="151" t="s">
        <v>4690</v>
      </c>
    </row>
    <row r="2715" spans="1:1">
      <c r="A2715" s="151" t="s">
        <v>4691</v>
      </c>
    </row>
    <row r="2716" spans="1:1">
      <c r="A2716" s="151" t="s">
        <v>4692</v>
      </c>
    </row>
    <row r="2717" spans="1:1">
      <c r="A2717" s="151" t="s">
        <v>4693</v>
      </c>
    </row>
    <row r="2718" spans="1:1">
      <c r="A2718" s="151" t="s">
        <v>4694</v>
      </c>
    </row>
    <row r="2719" spans="1:1">
      <c r="A2719" s="151" t="s">
        <v>4695</v>
      </c>
    </row>
    <row r="2720" spans="1:1">
      <c r="A2720" s="151" t="s">
        <v>4696</v>
      </c>
    </row>
    <row r="2721" spans="1:1">
      <c r="A2721" s="151" t="s">
        <v>4697</v>
      </c>
    </row>
    <row r="2722" spans="1:1">
      <c r="A2722" s="151" t="s">
        <v>4698</v>
      </c>
    </row>
    <row r="2723" spans="1:1">
      <c r="A2723" s="151" t="s">
        <v>4699</v>
      </c>
    </row>
    <row r="2724" spans="1:1">
      <c r="A2724" s="151" t="s">
        <v>4700</v>
      </c>
    </row>
    <row r="2725" spans="1:1">
      <c r="A2725" s="151" t="s">
        <v>4701</v>
      </c>
    </row>
    <row r="2726" spans="1:1">
      <c r="A2726" s="151" t="s">
        <v>4702</v>
      </c>
    </row>
    <row r="2727" spans="1:1">
      <c r="A2727" s="151" t="s">
        <v>4703</v>
      </c>
    </row>
    <row r="2728" spans="1:1">
      <c r="A2728" s="151" t="s">
        <v>4704</v>
      </c>
    </row>
    <row r="2729" spans="1:1">
      <c r="A2729" s="151" t="s">
        <v>4705</v>
      </c>
    </row>
    <row r="2730" spans="1:1">
      <c r="A2730" s="151" t="s">
        <v>4706</v>
      </c>
    </row>
    <row r="2731" spans="1:1">
      <c r="A2731" s="151" t="s">
        <v>4707</v>
      </c>
    </row>
    <row r="2732" spans="1:1">
      <c r="A2732" s="151" t="s">
        <v>4708</v>
      </c>
    </row>
    <row r="2733" spans="1:1">
      <c r="A2733" s="151" t="s">
        <v>4709</v>
      </c>
    </row>
    <row r="2734" spans="1:1">
      <c r="A2734" s="151" t="s">
        <v>4710</v>
      </c>
    </row>
    <row r="2735" spans="1:1">
      <c r="A2735" s="151" t="s">
        <v>4711</v>
      </c>
    </row>
    <row r="2736" spans="1:1">
      <c r="A2736" s="151" t="s">
        <v>4712</v>
      </c>
    </row>
    <row r="2737" spans="1:1">
      <c r="A2737" s="151" t="s">
        <v>4713</v>
      </c>
    </row>
    <row r="2738" spans="1:1">
      <c r="A2738" s="151" t="s">
        <v>4714</v>
      </c>
    </row>
    <row r="2739" spans="1:1">
      <c r="A2739" s="151" t="s">
        <v>4715</v>
      </c>
    </row>
    <row r="2740" spans="1:1">
      <c r="A2740" s="151" t="s">
        <v>4716</v>
      </c>
    </row>
    <row r="2741" spans="1:1">
      <c r="A2741" s="151" t="s">
        <v>4717</v>
      </c>
    </row>
    <row r="2742" spans="1:1">
      <c r="A2742" s="151" t="s">
        <v>4718</v>
      </c>
    </row>
    <row r="2743" spans="1:1">
      <c r="A2743" s="151" t="s">
        <v>4719</v>
      </c>
    </row>
    <row r="2744" spans="1:1">
      <c r="A2744" s="151" t="s">
        <v>4720</v>
      </c>
    </row>
    <row r="2745" spans="1:1">
      <c r="A2745" s="151" t="s">
        <v>4721</v>
      </c>
    </row>
    <row r="2746" spans="1:1">
      <c r="A2746" s="151" t="s">
        <v>4722</v>
      </c>
    </row>
    <row r="2747" spans="1:1">
      <c r="A2747" s="151" t="s">
        <v>4723</v>
      </c>
    </row>
    <row r="2748" spans="1:1">
      <c r="A2748" s="151" t="s">
        <v>4724</v>
      </c>
    </row>
    <row r="2749" spans="1:1">
      <c r="A2749" s="151" t="s">
        <v>4725</v>
      </c>
    </row>
    <row r="2750" spans="1:1">
      <c r="A2750" s="151" t="s">
        <v>4726</v>
      </c>
    </row>
    <row r="2751" spans="1:1">
      <c r="A2751" s="151" t="s">
        <v>4727</v>
      </c>
    </row>
    <row r="2752" spans="1:1">
      <c r="A2752" s="151" t="s">
        <v>4728</v>
      </c>
    </row>
    <row r="2753" spans="1:1">
      <c r="A2753" s="151" t="s">
        <v>4729</v>
      </c>
    </row>
    <row r="2754" spans="1:1">
      <c r="A2754" s="151" t="s">
        <v>4730</v>
      </c>
    </row>
    <row r="2755" spans="1:1">
      <c r="A2755" s="151" t="s">
        <v>4731</v>
      </c>
    </row>
    <row r="2756" spans="1:1">
      <c r="A2756" s="151" t="s">
        <v>4732</v>
      </c>
    </row>
    <row r="2757" spans="1:1">
      <c r="A2757" s="151" t="s">
        <v>4733</v>
      </c>
    </row>
    <row r="2758" spans="1:1">
      <c r="A2758" s="151" t="s">
        <v>4734</v>
      </c>
    </row>
    <row r="2759" spans="1:1">
      <c r="A2759" s="151" t="s">
        <v>4735</v>
      </c>
    </row>
    <row r="2760" spans="1:1">
      <c r="A2760" s="151" t="s">
        <v>4736</v>
      </c>
    </row>
    <row r="2761" spans="1:1">
      <c r="A2761" s="151" t="s">
        <v>4737</v>
      </c>
    </row>
    <row r="2762" spans="1:1">
      <c r="A2762" s="151" t="s">
        <v>4738</v>
      </c>
    </row>
    <row r="2763" spans="1:1">
      <c r="A2763" s="151" t="s">
        <v>4739</v>
      </c>
    </row>
    <row r="2764" spans="1:1">
      <c r="A2764" s="151" t="s">
        <v>4740</v>
      </c>
    </row>
    <row r="2765" spans="1:1">
      <c r="A2765" s="151" t="s">
        <v>4741</v>
      </c>
    </row>
    <row r="2766" spans="1:1">
      <c r="A2766" s="151" t="s">
        <v>4742</v>
      </c>
    </row>
    <row r="2767" spans="1:1">
      <c r="A2767" s="151" t="s">
        <v>4743</v>
      </c>
    </row>
    <row r="2768" spans="1:1">
      <c r="A2768" s="151" t="s">
        <v>4744</v>
      </c>
    </row>
    <row r="2769" spans="1:1">
      <c r="A2769" s="151" t="s">
        <v>4745</v>
      </c>
    </row>
    <row r="2770" spans="1:1">
      <c r="A2770" s="151" t="s">
        <v>4746</v>
      </c>
    </row>
    <row r="2771" spans="1:1">
      <c r="A2771" s="151" t="s">
        <v>4747</v>
      </c>
    </row>
    <row r="2772" spans="1:1">
      <c r="A2772" s="151" t="s">
        <v>4748</v>
      </c>
    </row>
    <row r="2773" spans="1:1">
      <c r="A2773" s="151" t="s">
        <v>4749</v>
      </c>
    </row>
    <row r="2774" spans="1:1">
      <c r="A2774" s="151" t="s">
        <v>4750</v>
      </c>
    </row>
    <row r="2775" spans="1:1">
      <c r="A2775" s="151" t="s">
        <v>4751</v>
      </c>
    </row>
    <row r="2776" spans="1:1">
      <c r="A2776" s="151" t="s">
        <v>4752</v>
      </c>
    </row>
    <row r="2777" spans="1:1">
      <c r="A2777" s="151" t="s">
        <v>4753</v>
      </c>
    </row>
    <row r="2778" spans="1:1">
      <c r="A2778" s="151" t="s">
        <v>4754</v>
      </c>
    </row>
    <row r="2779" spans="1:1">
      <c r="A2779" s="151" t="s">
        <v>4755</v>
      </c>
    </row>
    <row r="2780" spans="1:1">
      <c r="A2780" s="151" t="s">
        <v>4756</v>
      </c>
    </row>
    <row r="2781" spans="1:1">
      <c r="A2781" s="151" t="s">
        <v>4757</v>
      </c>
    </row>
    <row r="2782" spans="1:1">
      <c r="A2782" s="151" t="s">
        <v>4758</v>
      </c>
    </row>
    <row r="2783" spans="1:1">
      <c r="A2783" s="151" t="s">
        <v>4759</v>
      </c>
    </row>
    <row r="2784" spans="1:1">
      <c r="A2784" s="151" t="s">
        <v>4760</v>
      </c>
    </row>
    <row r="2785" spans="1:1">
      <c r="A2785" s="151" t="s">
        <v>4761</v>
      </c>
    </row>
    <row r="2786" spans="1:1">
      <c r="A2786" s="151" t="s">
        <v>4762</v>
      </c>
    </row>
    <row r="2787" spans="1:1">
      <c r="A2787" s="151" t="s">
        <v>4763</v>
      </c>
    </row>
    <row r="2788" spans="1:1">
      <c r="A2788" s="151" t="s">
        <v>4764</v>
      </c>
    </row>
    <row r="2789" spans="1:1">
      <c r="A2789" s="151" t="s">
        <v>4765</v>
      </c>
    </row>
    <row r="2790" spans="1:1">
      <c r="A2790" s="151" t="s">
        <v>4766</v>
      </c>
    </row>
    <row r="2791" spans="1:1">
      <c r="A2791" s="151" t="s">
        <v>4767</v>
      </c>
    </row>
    <row r="2792" spans="1:1">
      <c r="A2792" s="151" t="s">
        <v>4768</v>
      </c>
    </row>
    <row r="2793" spans="1:1">
      <c r="A2793" s="151" t="s">
        <v>4769</v>
      </c>
    </row>
    <row r="2794" spans="1:1">
      <c r="A2794" s="151" t="s">
        <v>4770</v>
      </c>
    </row>
    <row r="2795" spans="1:1">
      <c r="A2795" s="151" t="s">
        <v>4771</v>
      </c>
    </row>
    <row r="2796" spans="1:1">
      <c r="A2796" s="151" t="s">
        <v>4772</v>
      </c>
    </row>
    <row r="2797" spans="1:1">
      <c r="A2797" s="151" t="s">
        <v>4773</v>
      </c>
    </row>
    <row r="2798" spans="1:1">
      <c r="A2798" s="151" t="s">
        <v>4774</v>
      </c>
    </row>
    <row r="2799" spans="1:1">
      <c r="A2799" s="151" t="s">
        <v>4775</v>
      </c>
    </row>
    <row r="2800" spans="1:1">
      <c r="A2800" s="151" t="s">
        <v>4776</v>
      </c>
    </row>
    <row r="2801" spans="1:1">
      <c r="A2801" s="151" t="s">
        <v>4777</v>
      </c>
    </row>
    <row r="2802" spans="1:1">
      <c r="A2802" s="151" t="s">
        <v>4778</v>
      </c>
    </row>
    <row r="2803" spans="1:1">
      <c r="A2803" s="151" t="s">
        <v>4779</v>
      </c>
    </row>
    <row r="2804" spans="1:1">
      <c r="A2804" s="151" t="s">
        <v>4780</v>
      </c>
    </row>
    <row r="2805" spans="1:1">
      <c r="A2805" s="151" t="s">
        <v>4781</v>
      </c>
    </row>
    <row r="2806" spans="1:1">
      <c r="A2806" s="151" t="s">
        <v>4782</v>
      </c>
    </row>
    <row r="2807" spans="1:1">
      <c r="A2807" s="151" t="s">
        <v>4783</v>
      </c>
    </row>
    <row r="2808" spans="1:1">
      <c r="A2808" s="151" t="s">
        <v>4784</v>
      </c>
    </row>
    <row r="2809" spans="1:1">
      <c r="A2809" s="151" t="s">
        <v>4785</v>
      </c>
    </row>
    <row r="2810" spans="1:1">
      <c r="A2810" s="151" t="s">
        <v>4786</v>
      </c>
    </row>
    <row r="2811" spans="1:1">
      <c r="A2811" s="151" t="s">
        <v>4787</v>
      </c>
    </row>
    <row r="2812" spans="1:1">
      <c r="A2812" s="151" t="s">
        <v>4788</v>
      </c>
    </row>
    <row r="2813" spans="1:1">
      <c r="A2813" s="151" t="s">
        <v>4789</v>
      </c>
    </row>
    <row r="2814" spans="1:1">
      <c r="A2814" s="151" t="s">
        <v>4790</v>
      </c>
    </row>
    <row r="2815" spans="1:1">
      <c r="A2815" s="151" t="s">
        <v>4791</v>
      </c>
    </row>
    <row r="2816" spans="1:1">
      <c r="A2816" s="151" t="s">
        <v>4792</v>
      </c>
    </row>
    <row r="2817" spans="1:1">
      <c r="A2817" s="151" t="s">
        <v>4793</v>
      </c>
    </row>
    <row r="2818" spans="1:1">
      <c r="A2818" s="151" t="s">
        <v>4794</v>
      </c>
    </row>
    <row r="2819" spans="1:1">
      <c r="A2819" s="151" t="s">
        <v>4795</v>
      </c>
    </row>
    <row r="2820" spans="1:1">
      <c r="A2820" s="151" t="s">
        <v>4796</v>
      </c>
    </row>
    <row r="2821" spans="1:1">
      <c r="A2821" s="151" t="s">
        <v>4797</v>
      </c>
    </row>
    <row r="2822" spans="1:1">
      <c r="A2822" s="151" t="s">
        <v>4798</v>
      </c>
    </row>
    <row r="2823" spans="1:1">
      <c r="A2823" s="151" t="s">
        <v>4799</v>
      </c>
    </row>
    <row r="2824" spans="1:1">
      <c r="A2824" s="151" t="s">
        <v>4800</v>
      </c>
    </row>
    <row r="2825" spans="1:1">
      <c r="A2825" s="151" t="s">
        <v>4801</v>
      </c>
    </row>
    <row r="2826" spans="1:1">
      <c r="A2826" s="151" t="s">
        <v>4802</v>
      </c>
    </row>
    <row r="2827" spans="1:1">
      <c r="A2827" s="151" t="s">
        <v>4803</v>
      </c>
    </row>
    <row r="2828" spans="1:1">
      <c r="A2828" s="151" t="s">
        <v>4804</v>
      </c>
    </row>
    <row r="2829" spans="1:1">
      <c r="A2829" s="151" t="s">
        <v>4805</v>
      </c>
    </row>
    <row r="2830" spans="1:1">
      <c r="A2830" s="151" t="s">
        <v>4806</v>
      </c>
    </row>
    <row r="2831" spans="1:1">
      <c r="A2831" s="151" t="s">
        <v>4807</v>
      </c>
    </row>
    <row r="2832" spans="1:1">
      <c r="A2832" s="151" t="s">
        <v>4808</v>
      </c>
    </row>
    <row r="2833" spans="1:1">
      <c r="A2833" s="151" t="s">
        <v>4809</v>
      </c>
    </row>
    <row r="2834" spans="1:1">
      <c r="A2834" s="151" t="s">
        <v>4810</v>
      </c>
    </row>
    <row r="2835" spans="1:1">
      <c r="A2835" s="151" t="s">
        <v>4811</v>
      </c>
    </row>
    <row r="2836" spans="1:1">
      <c r="A2836" s="151" t="s">
        <v>4812</v>
      </c>
    </row>
    <row r="2837" spans="1:1">
      <c r="A2837" s="151" t="s">
        <v>4813</v>
      </c>
    </row>
    <row r="2838" spans="1:1">
      <c r="A2838" s="151" t="s">
        <v>4814</v>
      </c>
    </row>
    <row r="2839" spans="1:1">
      <c r="A2839" s="151" t="s">
        <v>4815</v>
      </c>
    </row>
    <row r="2840" spans="1:1">
      <c r="A2840" s="151" t="s">
        <v>4816</v>
      </c>
    </row>
    <row r="2841" spans="1:1">
      <c r="A2841" s="151" t="s">
        <v>4817</v>
      </c>
    </row>
    <row r="2842" spans="1:1">
      <c r="A2842" s="151" t="s">
        <v>4818</v>
      </c>
    </row>
    <row r="2843" spans="1:1">
      <c r="A2843" s="151" t="s">
        <v>4819</v>
      </c>
    </row>
    <row r="2844" spans="1:1">
      <c r="A2844" s="151" t="s">
        <v>4820</v>
      </c>
    </row>
    <row r="2845" spans="1:1">
      <c r="A2845" s="151" t="s">
        <v>4821</v>
      </c>
    </row>
    <row r="2846" spans="1:1">
      <c r="A2846" s="151" t="s">
        <v>4822</v>
      </c>
    </row>
    <row r="2847" spans="1:1">
      <c r="A2847" s="151" t="s">
        <v>4823</v>
      </c>
    </row>
    <row r="2848" spans="1:1">
      <c r="A2848" s="151" t="s">
        <v>4824</v>
      </c>
    </row>
    <row r="2849" spans="1:1">
      <c r="A2849" s="151" t="s">
        <v>4825</v>
      </c>
    </row>
    <row r="2850" spans="1:1">
      <c r="A2850" s="151" t="s">
        <v>4826</v>
      </c>
    </row>
    <row r="2851" spans="1:1">
      <c r="A2851" s="151" t="s">
        <v>4827</v>
      </c>
    </row>
    <row r="2852" spans="1:1">
      <c r="A2852" s="151" t="s">
        <v>4828</v>
      </c>
    </row>
    <row r="2853" spans="1:1">
      <c r="A2853" s="151" t="s">
        <v>4829</v>
      </c>
    </row>
    <row r="2854" spans="1:1">
      <c r="A2854" s="151" t="s">
        <v>4830</v>
      </c>
    </row>
    <row r="2855" spans="1:1">
      <c r="A2855" s="151" t="s">
        <v>4831</v>
      </c>
    </row>
    <row r="2856" spans="1:1">
      <c r="A2856" s="151" t="s">
        <v>4832</v>
      </c>
    </row>
    <row r="2857" spans="1:1">
      <c r="A2857" s="151" t="s">
        <v>4833</v>
      </c>
    </row>
    <row r="2858" spans="1:1">
      <c r="A2858" s="151" t="s">
        <v>4834</v>
      </c>
    </row>
    <row r="2859" spans="1:1">
      <c r="A2859" s="151" t="s">
        <v>4835</v>
      </c>
    </row>
    <row r="2860" spans="1:1">
      <c r="A2860" s="151" t="s">
        <v>4836</v>
      </c>
    </row>
    <row r="2861" spans="1:1">
      <c r="A2861" s="151" t="s">
        <v>4837</v>
      </c>
    </row>
    <row r="2862" spans="1:1">
      <c r="A2862" s="151" t="s">
        <v>4838</v>
      </c>
    </row>
    <row r="2863" spans="1:1">
      <c r="A2863" s="151" t="s">
        <v>4839</v>
      </c>
    </row>
    <row r="2864" spans="1:1">
      <c r="A2864" s="151" t="s">
        <v>4840</v>
      </c>
    </row>
    <row r="2865" spans="1:1">
      <c r="A2865" s="151" t="s">
        <v>4841</v>
      </c>
    </row>
    <row r="2866" spans="1:1">
      <c r="A2866" s="151" t="s">
        <v>4842</v>
      </c>
    </row>
    <row r="2867" spans="1:1">
      <c r="A2867" s="151" t="s">
        <v>4843</v>
      </c>
    </row>
    <row r="2868" spans="1:1">
      <c r="A2868" s="151" t="s">
        <v>4844</v>
      </c>
    </row>
    <row r="2869" spans="1:1">
      <c r="A2869" s="151" t="s">
        <v>4845</v>
      </c>
    </row>
    <row r="2870" spans="1:1">
      <c r="A2870" s="151" t="s">
        <v>4846</v>
      </c>
    </row>
    <row r="2871" spans="1:1">
      <c r="A2871" s="151" t="s">
        <v>4847</v>
      </c>
    </row>
    <row r="2872" spans="1:1">
      <c r="A2872" s="151" t="s">
        <v>4848</v>
      </c>
    </row>
    <row r="2873" spans="1:1">
      <c r="A2873" s="151" t="s">
        <v>4849</v>
      </c>
    </row>
    <row r="2874" spans="1:1">
      <c r="A2874" s="151" t="s">
        <v>4850</v>
      </c>
    </row>
    <row r="2875" spans="1:1">
      <c r="A2875" s="151" t="s">
        <v>4851</v>
      </c>
    </row>
    <row r="2876" spans="1:1">
      <c r="A2876" s="151" t="s">
        <v>4852</v>
      </c>
    </row>
    <row r="2877" spans="1:1">
      <c r="A2877" s="151" t="s">
        <v>4853</v>
      </c>
    </row>
    <row r="2878" spans="1:1">
      <c r="A2878" s="151" t="s">
        <v>4854</v>
      </c>
    </row>
    <row r="2879" spans="1:1">
      <c r="A2879" s="151" t="s">
        <v>4855</v>
      </c>
    </row>
    <row r="2880" spans="1:1">
      <c r="A2880" s="151" t="s">
        <v>4856</v>
      </c>
    </row>
    <row r="2881" spans="1:1">
      <c r="A2881" s="151" t="s">
        <v>4857</v>
      </c>
    </row>
    <row r="2882" spans="1:1">
      <c r="A2882" s="151" t="s">
        <v>4858</v>
      </c>
    </row>
    <row r="2883" spans="1:1">
      <c r="A2883" s="151" t="s">
        <v>4859</v>
      </c>
    </row>
    <row r="2884" spans="1:1">
      <c r="A2884" s="151" t="s">
        <v>4860</v>
      </c>
    </row>
    <row r="2885" spans="1:1">
      <c r="A2885" s="151" t="s">
        <v>4861</v>
      </c>
    </row>
    <row r="2886" spans="1:1">
      <c r="A2886" s="151" t="s">
        <v>4862</v>
      </c>
    </row>
    <row r="2887" spans="1:1">
      <c r="A2887" s="151" t="s">
        <v>4863</v>
      </c>
    </row>
    <row r="2888" spans="1:1">
      <c r="A2888" s="151" t="s">
        <v>4864</v>
      </c>
    </row>
    <row r="2889" spans="1:1">
      <c r="A2889" s="151" t="s">
        <v>4865</v>
      </c>
    </row>
    <row r="2890" spans="1:1">
      <c r="A2890" s="151" t="s">
        <v>4866</v>
      </c>
    </row>
    <row r="2891" spans="1:1">
      <c r="A2891" s="151" t="s">
        <v>4867</v>
      </c>
    </row>
    <row r="2892" spans="1:1">
      <c r="A2892" s="151" t="s">
        <v>4868</v>
      </c>
    </row>
    <row r="2893" spans="1:1">
      <c r="A2893" s="151" t="s">
        <v>4869</v>
      </c>
    </row>
    <row r="2894" spans="1:1">
      <c r="A2894" s="151" t="s">
        <v>4870</v>
      </c>
    </row>
    <row r="2895" spans="1:1">
      <c r="A2895" s="151" t="s">
        <v>4871</v>
      </c>
    </row>
    <row r="2896" spans="1:1">
      <c r="A2896" s="151" t="s">
        <v>4872</v>
      </c>
    </row>
    <row r="2897" spans="1:1">
      <c r="A2897" s="151" t="s">
        <v>4873</v>
      </c>
    </row>
    <row r="2898" spans="1:1">
      <c r="A2898" s="151" t="s">
        <v>4874</v>
      </c>
    </row>
    <row r="2899" spans="1:1">
      <c r="A2899" s="151" t="s">
        <v>4875</v>
      </c>
    </row>
    <row r="2900" spans="1:1">
      <c r="A2900" s="151" t="s">
        <v>4876</v>
      </c>
    </row>
    <row r="2901" spans="1:1">
      <c r="A2901" s="151" t="s">
        <v>4877</v>
      </c>
    </row>
    <row r="2902" spans="1:1">
      <c r="A2902" s="151" t="s">
        <v>4878</v>
      </c>
    </row>
    <row r="2903" spans="1:1">
      <c r="A2903" s="151" t="s">
        <v>4879</v>
      </c>
    </row>
    <row r="2904" spans="1:1">
      <c r="A2904" s="151" t="s">
        <v>4880</v>
      </c>
    </row>
    <row r="2905" spans="1:1">
      <c r="A2905" s="151" t="s">
        <v>4881</v>
      </c>
    </row>
    <row r="2906" spans="1:1">
      <c r="A2906" s="151" t="s">
        <v>4882</v>
      </c>
    </row>
    <row r="2907" spans="1:1">
      <c r="A2907" s="151" t="s">
        <v>4883</v>
      </c>
    </row>
    <row r="2908" spans="1:1">
      <c r="A2908" s="151" t="s">
        <v>4884</v>
      </c>
    </row>
    <row r="2909" spans="1:1">
      <c r="A2909" s="151" t="s">
        <v>4885</v>
      </c>
    </row>
    <row r="2910" spans="1:1">
      <c r="A2910" s="151" t="s">
        <v>4886</v>
      </c>
    </row>
    <row r="2911" spans="1:1">
      <c r="A2911" s="151" t="s">
        <v>4887</v>
      </c>
    </row>
    <row r="2912" spans="1:1">
      <c r="A2912" s="151" t="s">
        <v>4888</v>
      </c>
    </row>
    <row r="2913" spans="1:1">
      <c r="A2913" s="151" t="s">
        <v>4889</v>
      </c>
    </row>
    <row r="2914" spans="1:1">
      <c r="A2914" s="151" t="s">
        <v>4890</v>
      </c>
    </row>
    <row r="2915" spans="1:1">
      <c r="A2915" s="151" t="s">
        <v>4891</v>
      </c>
    </row>
    <row r="2916" spans="1:1">
      <c r="A2916" s="151" t="s">
        <v>4892</v>
      </c>
    </row>
    <row r="2917" spans="1:1">
      <c r="A2917" s="151" t="s">
        <v>4893</v>
      </c>
    </row>
    <row r="2918" spans="1:1">
      <c r="A2918" s="151" t="s">
        <v>4894</v>
      </c>
    </row>
    <row r="2919" spans="1:1">
      <c r="A2919" s="151" t="s">
        <v>4895</v>
      </c>
    </row>
    <row r="2920" spans="1:1">
      <c r="A2920" s="151" t="s">
        <v>4896</v>
      </c>
    </row>
    <row r="2921" spans="1:1">
      <c r="A2921" s="151" t="s">
        <v>4897</v>
      </c>
    </row>
    <row r="2922" spans="1:1">
      <c r="A2922" s="151" t="s">
        <v>4898</v>
      </c>
    </row>
    <row r="2923" spans="1:1">
      <c r="A2923" s="151" t="s">
        <v>4899</v>
      </c>
    </row>
    <row r="2924" spans="1:1">
      <c r="A2924" s="151" t="s">
        <v>4900</v>
      </c>
    </row>
    <row r="2925" spans="1:1">
      <c r="A2925" s="151" t="s">
        <v>4901</v>
      </c>
    </row>
    <row r="2926" spans="1:1">
      <c r="A2926" s="151" t="s">
        <v>4902</v>
      </c>
    </row>
    <row r="2927" spans="1:1">
      <c r="A2927" s="151" t="s">
        <v>4903</v>
      </c>
    </row>
    <row r="2928" spans="1:1">
      <c r="A2928" s="151" t="s">
        <v>4904</v>
      </c>
    </row>
    <row r="2929" spans="1:1">
      <c r="A2929" s="151" t="s">
        <v>4905</v>
      </c>
    </row>
    <row r="2930" spans="1:1">
      <c r="A2930" s="151" t="s">
        <v>4906</v>
      </c>
    </row>
    <row r="2931" spans="1:1">
      <c r="A2931" s="151" t="s">
        <v>4907</v>
      </c>
    </row>
    <row r="2932" spans="1:1">
      <c r="A2932" s="151" t="s">
        <v>4908</v>
      </c>
    </row>
    <row r="2933" spans="1:1">
      <c r="A2933" s="151" t="s">
        <v>4909</v>
      </c>
    </row>
    <row r="2934" spans="1:1">
      <c r="A2934" s="151" t="s">
        <v>4910</v>
      </c>
    </row>
    <row r="2935" spans="1:1">
      <c r="A2935" s="151" t="s">
        <v>4911</v>
      </c>
    </row>
    <row r="2936" spans="1:1">
      <c r="A2936" s="151" t="s">
        <v>4912</v>
      </c>
    </row>
    <row r="2937" spans="1:1">
      <c r="A2937" s="151" t="s">
        <v>4913</v>
      </c>
    </row>
    <row r="2938" spans="1:1">
      <c r="A2938" s="151" t="s">
        <v>4914</v>
      </c>
    </row>
    <row r="2939" spans="1:1">
      <c r="A2939" s="151" t="s">
        <v>4915</v>
      </c>
    </row>
    <row r="2940" spans="1:1">
      <c r="A2940" s="151" t="s">
        <v>4916</v>
      </c>
    </row>
    <row r="2941" spans="1:1">
      <c r="A2941" s="151" t="s">
        <v>4917</v>
      </c>
    </row>
    <row r="2942" spans="1:1">
      <c r="A2942" s="151" t="s">
        <v>4918</v>
      </c>
    </row>
    <row r="2943" spans="1:1">
      <c r="A2943" s="151" t="s">
        <v>4919</v>
      </c>
    </row>
    <row r="2944" spans="1:1">
      <c r="A2944" s="151" t="s">
        <v>4920</v>
      </c>
    </row>
    <row r="2945" spans="1:1">
      <c r="A2945" s="151" t="s">
        <v>4921</v>
      </c>
    </row>
    <row r="2946" spans="1:1">
      <c r="A2946" s="151" t="s">
        <v>4922</v>
      </c>
    </row>
    <row r="2947" spans="1:1">
      <c r="A2947" s="151" t="s">
        <v>4923</v>
      </c>
    </row>
    <row r="2948" spans="1:1">
      <c r="A2948" s="151" t="s">
        <v>4924</v>
      </c>
    </row>
    <row r="2949" spans="1:1">
      <c r="A2949" s="151" t="s">
        <v>4925</v>
      </c>
    </row>
    <row r="2950" spans="1:1">
      <c r="A2950" s="151" t="s">
        <v>4926</v>
      </c>
    </row>
    <row r="2951" spans="1:1">
      <c r="A2951" s="151" t="s">
        <v>4927</v>
      </c>
    </row>
    <row r="2952" spans="1:1">
      <c r="A2952" s="151" t="s">
        <v>4928</v>
      </c>
    </row>
    <row r="2953" spans="1:1">
      <c r="A2953" s="151" t="s">
        <v>4929</v>
      </c>
    </row>
    <row r="2954" spans="1:1">
      <c r="A2954" s="151" t="s">
        <v>4930</v>
      </c>
    </row>
    <row r="2955" spans="1:1">
      <c r="A2955" s="151" t="s">
        <v>4931</v>
      </c>
    </row>
    <row r="2956" spans="1:1">
      <c r="A2956" s="151" t="s">
        <v>4932</v>
      </c>
    </row>
    <row r="2957" spans="1:1">
      <c r="A2957" s="151" t="s">
        <v>4933</v>
      </c>
    </row>
    <row r="2958" spans="1:1">
      <c r="A2958" s="151" t="s">
        <v>4934</v>
      </c>
    </row>
    <row r="2959" spans="1:1">
      <c r="A2959" s="151" t="s">
        <v>4935</v>
      </c>
    </row>
    <row r="2960" spans="1:1">
      <c r="A2960" s="151" t="s">
        <v>4936</v>
      </c>
    </row>
    <row r="2961" spans="1:1">
      <c r="A2961" s="151" t="s">
        <v>4937</v>
      </c>
    </row>
    <row r="2962" spans="1:1">
      <c r="A2962" s="151" t="s">
        <v>4938</v>
      </c>
    </row>
    <row r="2963" spans="1:1">
      <c r="A2963" s="151" t="s">
        <v>4939</v>
      </c>
    </row>
    <row r="2964" spans="1:1">
      <c r="A2964" s="151" t="s">
        <v>4940</v>
      </c>
    </row>
    <row r="2965" spans="1:1">
      <c r="A2965" s="151" t="s">
        <v>4941</v>
      </c>
    </row>
    <row r="2966" spans="1:1">
      <c r="A2966" s="151" t="s">
        <v>4942</v>
      </c>
    </row>
    <row r="2967" spans="1:1">
      <c r="A2967" s="151" t="s">
        <v>4943</v>
      </c>
    </row>
    <row r="2968" spans="1:1">
      <c r="A2968" s="151" t="s">
        <v>4944</v>
      </c>
    </row>
    <row r="2969" spans="1:1">
      <c r="A2969" s="151" t="s">
        <v>4945</v>
      </c>
    </row>
    <row r="2970" spans="1:1">
      <c r="A2970" s="151" t="s">
        <v>4946</v>
      </c>
    </row>
    <row r="2971" spans="1:1">
      <c r="A2971" s="151" t="s">
        <v>4947</v>
      </c>
    </row>
    <row r="2972" spans="1:1">
      <c r="A2972" s="151" t="s">
        <v>4948</v>
      </c>
    </row>
    <row r="2973" spans="1:1">
      <c r="A2973" s="151" t="s">
        <v>4949</v>
      </c>
    </row>
    <row r="2974" spans="1:1">
      <c r="A2974" s="151" t="s">
        <v>4950</v>
      </c>
    </row>
    <row r="2975" spans="1:1">
      <c r="A2975" s="151" t="s">
        <v>4951</v>
      </c>
    </row>
    <row r="2976" spans="1:1">
      <c r="A2976" s="151" t="s">
        <v>4952</v>
      </c>
    </row>
    <row r="2977" spans="1:1">
      <c r="A2977" s="151" t="s">
        <v>4953</v>
      </c>
    </row>
    <row r="2978" spans="1:1">
      <c r="A2978" s="151" t="s">
        <v>4954</v>
      </c>
    </row>
    <row r="2979" spans="1:1">
      <c r="A2979" s="151" t="s">
        <v>4955</v>
      </c>
    </row>
    <row r="2980" spans="1:1">
      <c r="A2980" s="151" t="s">
        <v>4956</v>
      </c>
    </row>
    <row r="2981" spans="1:1">
      <c r="A2981" s="151" t="s">
        <v>4957</v>
      </c>
    </row>
    <row r="2982" spans="1:1">
      <c r="A2982" s="151" t="s">
        <v>4958</v>
      </c>
    </row>
    <row r="2983" spans="1:1">
      <c r="A2983" s="151" t="s">
        <v>4959</v>
      </c>
    </row>
    <row r="2984" spans="1:1">
      <c r="A2984" s="151" t="s">
        <v>4960</v>
      </c>
    </row>
    <row r="2985" spans="1:1">
      <c r="A2985" s="151" t="s">
        <v>4961</v>
      </c>
    </row>
    <row r="2986" spans="1:1">
      <c r="A2986" s="151" t="s">
        <v>4962</v>
      </c>
    </row>
    <row r="2987" spans="1:1">
      <c r="A2987" s="151" t="s">
        <v>4963</v>
      </c>
    </row>
    <row r="2988" spans="1:1">
      <c r="A2988" s="151" t="s">
        <v>4964</v>
      </c>
    </row>
    <row r="2989" spans="1:1">
      <c r="A2989" s="151" t="s">
        <v>4965</v>
      </c>
    </row>
    <row r="2990" spans="1:1">
      <c r="A2990" s="151" t="s">
        <v>4966</v>
      </c>
    </row>
    <row r="2991" spans="1:1">
      <c r="A2991" s="151" t="s">
        <v>4967</v>
      </c>
    </row>
    <row r="2992" spans="1:1">
      <c r="A2992" s="151" t="s">
        <v>4968</v>
      </c>
    </row>
    <row r="2993" spans="1:1">
      <c r="A2993" s="151" t="s">
        <v>4969</v>
      </c>
    </row>
    <row r="2994" spans="1:1">
      <c r="A2994" s="151" t="s">
        <v>4970</v>
      </c>
    </row>
    <row r="2995" spans="1:1">
      <c r="A2995" s="151" t="s">
        <v>4971</v>
      </c>
    </row>
    <row r="2996" spans="1:1">
      <c r="A2996" s="151" t="s">
        <v>4972</v>
      </c>
    </row>
    <row r="2997" spans="1:1">
      <c r="A2997" s="151" t="s">
        <v>4973</v>
      </c>
    </row>
    <row r="2998" spans="1:1">
      <c r="A2998" s="151" t="s">
        <v>4974</v>
      </c>
    </row>
    <row r="2999" spans="1:1">
      <c r="A2999" s="151" t="s">
        <v>4975</v>
      </c>
    </row>
    <row r="3000" spans="1:1">
      <c r="A3000" s="151" t="s">
        <v>4976</v>
      </c>
    </row>
    <row r="3001" spans="1:1">
      <c r="A3001" s="151" t="s">
        <v>4977</v>
      </c>
    </row>
    <row r="3002" spans="1:1">
      <c r="A3002" s="151" t="s">
        <v>4978</v>
      </c>
    </row>
    <row r="3003" spans="1:1">
      <c r="A3003" s="151" t="s">
        <v>4979</v>
      </c>
    </row>
    <row r="3004" spans="1:1">
      <c r="A3004" s="151" t="s">
        <v>4980</v>
      </c>
    </row>
    <row r="3005" spans="1:1">
      <c r="A3005" s="151" t="s">
        <v>4981</v>
      </c>
    </row>
    <row r="3006" spans="1:1">
      <c r="A3006" s="151" t="s">
        <v>4982</v>
      </c>
    </row>
    <row r="3007" spans="1:1">
      <c r="A3007" s="151" t="s">
        <v>4983</v>
      </c>
    </row>
    <row r="3008" spans="1:1">
      <c r="A3008" s="151" t="s">
        <v>4984</v>
      </c>
    </row>
    <row r="3009" spans="1:1">
      <c r="A3009" s="151" t="s">
        <v>4985</v>
      </c>
    </row>
    <row r="3010" spans="1:1">
      <c r="A3010" s="151" t="s">
        <v>4986</v>
      </c>
    </row>
    <row r="3011" spans="1:1">
      <c r="A3011" s="151" t="s">
        <v>4987</v>
      </c>
    </row>
    <row r="3012" spans="1:1">
      <c r="A3012" s="151" t="s">
        <v>4988</v>
      </c>
    </row>
    <row r="3013" spans="1:1">
      <c r="A3013" s="151" t="s">
        <v>4989</v>
      </c>
    </row>
    <row r="3014" spans="1:1">
      <c r="A3014" s="151" t="s">
        <v>4990</v>
      </c>
    </row>
    <row r="3015" spans="1:1">
      <c r="A3015" s="151" t="s">
        <v>4991</v>
      </c>
    </row>
    <row r="3016" spans="1:1">
      <c r="A3016" s="151" t="s">
        <v>4992</v>
      </c>
    </row>
    <row r="3017" spans="1:1">
      <c r="A3017" s="151" t="s">
        <v>4993</v>
      </c>
    </row>
    <row r="3018" spans="1:1">
      <c r="A3018" s="151" t="s">
        <v>4994</v>
      </c>
    </row>
    <row r="3019" spans="1:1">
      <c r="A3019" s="151" t="s">
        <v>4995</v>
      </c>
    </row>
    <row r="3020" spans="1:1">
      <c r="A3020" s="151" t="s">
        <v>4996</v>
      </c>
    </row>
    <row r="3021" spans="1:1">
      <c r="A3021" s="151" t="s">
        <v>4997</v>
      </c>
    </row>
    <row r="3022" spans="1:1">
      <c r="A3022" s="151" t="s">
        <v>4998</v>
      </c>
    </row>
    <row r="3023" spans="1:1">
      <c r="A3023" s="151" t="s">
        <v>4999</v>
      </c>
    </row>
    <row r="3024" spans="1:1">
      <c r="A3024" s="151" t="s">
        <v>5000</v>
      </c>
    </row>
    <row r="3025" spans="1:1">
      <c r="A3025" s="151" t="s">
        <v>5001</v>
      </c>
    </row>
    <row r="3026" spans="1:1">
      <c r="A3026" s="151" t="s">
        <v>5002</v>
      </c>
    </row>
    <row r="3027" spans="1:1">
      <c r="A3027" s="151" t="s">
        <v>5003</v>
      </c>
    </row>
    <row r="3028" spans="1:1">
      <c r="A3028" s="151" t="s">
        <v>5004</v>
      </c>
    </row>
    <row r="3029" spans="1:1">
      <c r="A3029" s="151" t="s">
        <v>5005</v>
      </c>
    </row>
    <row r="3030" spans="1:1">
      <c r="A3030" s="151" t="s">
        <v>5006</v>
      </c>
    </row>
    <row r="3031" spans="1:1">
      <c r="A3031" s="151" t="s">
        <v>5007</v>
      </c>
    </row>
    <row r="3032" spans="1:1">
      <c r="A3032" s="151" t="s">
        <v>5008</v>
      </c>
    </row>
    <row r="3033" spans="1:1">
      <c r="A3033" s="151" t="s">
        <v>5009</v>
      </c>
    </row>
    <row r="3034" spans="1:1">
      <c r="A3034" s="151" t="s">
        <v>5010</v>
      </c>
    </row>
    <row r="3035" spans="1:1">
      <c r="A3035" s="151" t="s">
        <v>5011</v>
      </c>
    </row>
    <row r="3036" spans="1:1">
      <c r="A3036" s="151" t="s">
        <v>5012</v>
      </c>
    </row>
    <row r="3037" spans="1:1">
      <c r="A3037" s="151" t="s">
        <v>5013</v>
      </c>
    </row>
    <row r="3038" spans="1:1">
      <c r="A3038" s="151" t="s">
        <v>5014</v>
      </c>
    </row>
    <row r="3039" spans="1:1">
      <c r="A3039" s="151" t="s">
        <v>5015</v>
      </c>
    </row>
    <row r="3040" spans="1:1">
      <c r="A3040" s="151" t="s">
        <v>5016</v>
      </c>
    </row>
    <row r="3041" spans="1:1">
      <c r="A3041" s="151" t="s">
        <v>5017</v>
      </c>
    </row>
    <row r="3042" spans="1:1">
      <c r="A3042" s="151" t="s">
        <v>5018</v>
      </c>
    </row>
    <row r="3043" spans="1:1">
      <c r="A3043" s="151" t="s">
        <v>5019</v>
      </c>
    </row>
    <row r="3044" spans="1:1">
      <c r="A3044" s="151" t="s">
        <v>5020</v>
      </c>
    </row>
    <row r="3045" spans="1:1">
      <c r="A3045" s="151" t="s">
        <v>5021</v>
      </c>
    </row>
    <row r="3046" spans="1:1">
      <c r="A3046" s="151" t="s">
        <v>5022</v>
      </c>
    </row>
    <row r="3047" spans="1:1">
      <c r="A3047" s="151" t="s">
        <v>5023</v>
      </c>
    </row>
    <row r="3048" spans="1:1">
      <c r="A3048" s="151" t="s">
        <v>5024</v>
      </c>
    </row>
    <row r="3049" spans="1:1">
      <c r="A3049" s="151" t="s">
        <v>5025</v>
      </c>
    </row>
    <row r="3050" spans="1:1">
      <c r="A3050" s="151" t="s">
        <v>5026</v>
      </c>
    </row>
    <row r="3051" spans="1:1">
      <c r="A3051" s="151" t="s">
        <v>5027</v>
      </c>
    </row>
    <row r="3052" spans="1:1">
      <c r="A3052" s="151" t="s">
        <v>5028</v>
      </c>
    </row>
    <row r="3053" spans="1:1">
      <c r="A3053" s="151" t="s">
        <v>5029</v>
      </c>
    </row>
    <row r="3054" spans="1:1">
      <c r="A3054" s="151" t="s">
        <v>5030</v>
      </c>
    </row>
    <row r="3055" spans="1:1">
      <c r="A3055" s="151" t="s">
        <v>5031</v>
      </c>
    </row>
    <row r="3056" spans="1:1">
      <c r="A3056" s="151" t="s">
        <v>5032</v>
      </c>
    </row>
    <row r="3057" spans="1:1">
      <c r="A3057" s="151" t="s">
        <v>5033</v>
      </c>
    </row>
    <row r="3058" spans="1:1">
      <c r="A3058" s="151" t="s">
        <v>5034</v>
      </c>
    </row>
    <row r="3059" spans="1:1">
      <c r="A3059" s="151" t="s">
        <v>5035</v>
      </c>
    </row>
    <row r="3060" spans="1:1">
      <c r="A3060" s="151" t="s">
        <v>5036</v>
      </c>
    </row>
    <row r="3061" spans="1:1">
      <c r="A3061" s="151" t="s">
        <v>5037</v>
      </c>
    </row>
    <row r="3062" spans="1:1">
      <c r="A3062" s="151" t="s">
        <v>5038</v>
      </c>
    </row>
    <row r="3063" spans="1:1">
      <c r="A3063" s="151" t="s">
        <v>5039</v>
      </c>
    </row>
    <row r="3064" spans="1:1">
      <c r="A3064" s="151" t="s">
        <v>5040</v>
      </c>
    </row>
    <row r="3065" spans="1:1">
      <c r="A3065" s="151" t="s">
        <v>5041</v>
      </c>
    </row>
    <row r="3066" spans="1:1">
      <c r="A3066" s="151" t="s">
        <v>5042</v>
      </c>
    </row>
    <row r="3067" spans="1:1">
      <c r="A3067" s="151" t="s">
        <v>5043</v>
      </c>
    </row>
    <row r="3068" spans="1:1">
      <c r="A3068" s="151" t="s">
        <v>5044</v>
      </c>
    </row>
    <row r="3069" spans="1:1">
      <c r="A3069" s="151" t="s">
        <v>5045</v>
      </c>
    </row>
    <row r="3070" spans="1:1">
      <c r="A3070" s="151" t="s">
        <v>5046</v>
      </c>
    </row>
    <row r="3071" spans="1:1">
      <c r="A3071" s="151" t="s">
        <v>5047</v>
      </c>
    </row>
    <row r="3072" spans="1:1">
      <c r="A3072" s="151" t="s">
        <v>5048</v>
      </c>
    </row>
    <row r="3073" spans="1:1">
      <c r="A3073" s="151" t="s">
        <v>5049</v>
      </c>
    </row>
    <row r="3074" spans="1:1">
      <c r="A3074" s="151" t="s">
        <v>5050</v>
      </c>
    </row>
    <row r="3075" spans="1:1">
      <c r="A3075" s="151" t="s">
        <v>5051</v>
      </c>
    </row>
    <row r="3076" spans="1:1">
      <c r="A3076" s="151" t="s">
        <v>5052</v>
      </c>
    </row>
    <row r="3077" spans="1:1">
      <c r="A3077" s="151" t="s">
        <v>5053</v>
      </c>
    </row>
    <row r="3078" spans="1:1">
      <c r="A3078" s="151" t="s">
        <v>5054</v>
      </c>
    </row>
    <row r="3079" spans="1:1">
      <c r="A3079" s="151" t="s">
        <v>5055</v>
      </c>
    </row>
    <row r="3080" spans="1:1">
      <c r="A3080" s="151" t="s">
        <v>5056</v>
      </c>
    </row>
    <row r="3081" spans="1:1">
      <c r="A3081" s="151" t="s">
        <v>5057</v>
      </c>
    </row>
    <row r="3082" spans="1:1">
      <c r="A3082" s="151" t="s">
        <v>5058</v>
      </c>
    </row>
    <row r="3083" spans="1:1">
      <c r="A3083" s="151" t="s">
        <v>5059</v>
      </c>
    </row>
    <row r="3084" spans="1:1">
      <c r="A3084" s="151" t="s">
        <v>5060</v>
      </c>
    </row>
    <row r="3085" spans="1:1">
      <c r="A3085" s="151" t="s">
        <v>5061</v>
      </c>
    </row>
    <row r="3086" spans="1:1">
      <c r="A3086" s="151" t="s">
        <v>5062</v>
      </c>
    </row>
    <row r="3087" spans="1:1">
      <c r="A3087" s="151" t="s">
        <v>5063</v>
      </c>
    </row>
    <row r="3088" spans="1:1">
      <c r="A3088" s="151" t="s">
        <v>5064</v>
      </c>
    </row>
    <row r="3089" spans="1:1">
      <c r="A3089" s="151" t="s">
        <v>5065</v>
      </c>
    </row>
    <row r="3090" spans="1:1">
      <c r="A3090" s="151" t="s">
        <v>5066</v>
      </c>
    </row>
    <row r="3091" spans="1:1">
      <c r="A3091" s="151" t="s">
        <v>5067</v>
      </c>
    </row>
    <row r="3092" spans="1:1">
      <c r="A3092" s="151" t="s">
        <v>5068</v>
      </c>
    </row>
    <row r="3093" spans="1:1">
      <c r="A3093" s="151" t="s">
        <v>5069</v>
      </c>
    </row>
    <row r="3094" spans="1:1">
      <c r="A3094" s="151" t="s">
        <v>5070</v>
      </c>
    </row>
    <row r="3095" spans="1:1">
      <c r="A3095" s="151" t="s">
        <v>5071</v>
      </c>
    </row>
    <row r="3096" spans="1:1">
      <c r="A3096" s="151" t="s">
        <v>5072</v>
      </c>
    </row>
    <row r="3097" spans="1:1">
      <c r="A3097" s="151" t="s">
        <v>5073</v>
      </c>
    </row>
    <row r="3098" spans="1:1">
      <c r="A3098" s="151" t="s">
        <v>5074</v>
      </c>
    </row>
    <row r="3099" spans="1:1">
      <c r="A3099" s="151" t="s">
        <v>5075</v>
      </c>
    </row>
    <row r="3100" spans="1:1">
      <c r="A3100" s="151" t="s">
        <v>5076</v>
      </c>
    </row>
    <row r="3101" spans="1:1">
      <c r="A3101" s="151" t="s">
        <v>5077</v>
      </c>
    </row>
    <row r="3102" spans="1:1">
      <c r="A3102" s="151" t="s">
        <v>5078</v>
      </c>
    </row>
    <row r="3103" spans="1:1">
      <c r="A3103" s="151" t="s">
        <v>5079</v>
      </c>
    </row>
    <row r="3104" spans="1:1">
      <c r="A3104" s="151" t="s">
        <v>5080</v>
      </c>
    </row>
    <row r="3105" spans="1:1">
      <c r="A3105" s="151" t="s">
        <v>5081</v>
      </c>
    </row>
    <row r="3106" spans="1:1">
      <c r="A3106" s="151" t="s">
        <v>5082</v>
      </c>
    </row>
    <row r="3107" spans="1:1">
      <c r="A3107" s="151" t="s">
        <v>5083</v>
      </c>
    </row>
    <row r="3108" spans="1:1">
      <c r="A3108" s="151" t="s">
        <v>5084</v>
      </c>
    </row>
    <row r="3109" spans="1:1">
      <c r="A3109" s="151" t="s">
        <v>5085</v>
      </c>
    </row>
    <row r="3110" spans="1:1">
      <c r="A3110" s="151" t="s">
        <v>5086</v>
      </c>
    </row>
    <row r="3111" spans="1:1">
      <c r="A3111" s="151" t="s">
        <v>5087</v>
      </c>
    </row>
    <row r="3112" spans="1:1">
      <c r="A3112" s="151" t="s">
        <v>5088</v>
      </c>
    </row>
    <row r="3113" spans="1:1">
      <c r="A3113" s="151" t="s">
        <v>5089</v>
      </c>
    </row>
    <row r="3114" spans="1:1">
      <c r="A3114" s="151" t="s">
        <v>5090</v>
      </c>
    </row>
    <row r="3115" spans="1:1">
      <c r="A3115" s="151" t="s">
        <v>5091</v>
      </c>
    </row>
    <row r="3116" spans="1:1">
      <c r="A3116" s="151" t="s">
        <v>5092</v>
      </c>
    </row>
    <row r="3117" spans="1:1">
      <c r="A3117" s="151" t="s">
        <v>5093</v>
      </c>
    </row>
    <row r="3118" spans="1:1">
      <c r="A3118" s="151" t="s">
        <v>5094</v>
      </c>
    </row>
    <row r="3119" spans="1:1">
      <c r="A3119" s="151" t="s">
        <v>5095</v>
      </c>
    </row>
    <row r="3120" spans="1:1">
      <c r="A3120" s="151" t="s">
        <v>5096</v>
      </c>
    </row>
    <row r="3121" spans="1:1">
      <c r="A3121" s="151" t="s">
        <v>5097</v>
      </c>
    </row>
    <row r="3122" spans="1:1">
      <c r="A3122" s="151" t="s">
        <v>5098</v>
      </c>
    </row>
    <row r="3123" spans="1:1">
      <c r="A3123" s="151" t="s">
        <v>5099</v>
      </c>
    </row>
    <row r="3124" spans="1:1">
      <c r="A3124" s="151" t="s">
        <v>5100</v>
      </c>
    </row>
    <row r="3125" spans="1:1">
      <c r="A3125" s="151" t="s">
        <v>5101</v>
      </c>
    </row>
    <row r="3126" spans="1:1">
      <c r="A3126" s="151" t="s">
        <v>5102</v>
      </c>
    </row>
    <row r="3127" spans="1:1">
      <c r="A3127" s="151" t="s">
        <v>5103</v>
      </c>
    </row>
    <row r="3128" spans="1:1">
      <c r="A3128" s="151" t="s">
        <v>5104</v>
      </c>
    </row>
    <row r="3129" spans="1:1">
      <c r="A3129" s="151" t="s">
        <v>5105</v>
      </c>
    </row>
    <row r="3130" spans="1:1">
      <c r="A3130" s="151" t="s">
        <v>5106</v>
      </c>
    </row>
    <row r="3131" spans="1:1">
      <c r="A3131" s="151" t="s">
        <v>5107</v>
      </c>
    </row>
    <row r="3132" spans="1:1">
      <c r="A3132" s="151" t="s">
        <v>5108</v>
      </c>
    </row>
    <row r="3133" spans="1:1">
      <c r="A3133" s="151" t="s">
        <v>5109</v>
      </c>
    </row>
    <row r="3134" spans="1:1">
      <c r="A3134" s="151" t="s">
        <v>5110</v>
      </c>
    </row>
    <row r="3135" spans="1:1">
      <c r="A3135" s="151" t="s">
        <v>5111</v>
      </c>
    </row>
    <row r="3136" spans="1:1">
      <c r="A3136" s="151" t="s">
        <v>5112</v>
      </c>
    </row>
    <row r="3137" spans="1:1">
      <c r="A3137" s="151" t="s">
        <v>5113</v>
      </c>
    </row>
    <row r="3138" spans="1:1">
      <c r="A3138" s="151" t="s">
        <v>5114</v>
      </c>
    </row>
    <row r="3139" spans="1:1">
      <c r="A3139" s="151" t="s">
        <v>5115</v>
      </c>
    </row>
    <row r="3140" spans="1:1">
      <c r="A3140" s="151" t="s">
        <v>5116</v>
      </c>
    </row>
    <row r="3141" spans="1:1">
      <c r="A3141" s="151" t="s">
        <v>5117</v>
      </c>
    </row>
    <row r="3142" spans="1:1">
      <c r="A3142" s="151" t="s">
        <v>5118</v>
      </c>
    </row>
    <row r="3143" spans="1:1">
      <c r="A3143" s="151" t="s">
        <v>5119</v>
      </c>
    </row>
    <row r="3144" spans="1:1">
      <c r="A3144" s="151" t="s">
        <v>5120</v>
      </c>
    </row>
    <row r="3145" spans="1:1">
      <c r="A3145" s="151" t="s">
        <v>5121</v>
      </c>
    </row>
    <row r="3146" spans="1:1">
      <c r="A3146" s="151" t="s">
        <v>5122</v>
      </c>
    </row>
    <row r="3147" spans="1:1">
      <c r="A3147" s="151" t="s">
        <v>5123</v>
      </c>
    </row>
    <row r="3148" spans="1:1">
      <c r="A3148" s="151" t="s">
        <v>5124</v>
      </c>
    </row>
    <row r="3149" spans="1:1">
      <c r="A3149" s="151" t="s">
        <v>5125</v>
      </c>
    </row>
    <row r="3150" spans="1:1">
      <c r="A3150" s="151" t="s">
        <v>5126</v>
      </c>
    </row>
    <row r="3151" spans="1:1">
      <c r="A3151" s="151" t="s">
        <v>5127</v>
      </c>
    </row>
    <row r="3152" spans="1:1">
      <c r="A3152" s="151" t="s">
        <v>5128</v>
      </c>
    </row>
    <row r="3153" spans="1:1">
      <c r="A3153" s="151" t="s">
        <v>5129</v>
      </c>
    </row>
    <row r="3154" spans="1:1">
      <c r="A3154" s="151" t="s">
        <v>5130</v>
      </c>
    </row>
    <row r="3155" spans="1:1">
      <c r="A3155" s="151" t="s">
        <v>5131</v>
      </c>
    </row>
    <row r="3156" spans="1:1">
      <c r="A3156" s="151" t="s">
        <v>5132</v>
      </c>
    </row>
    <row r="3157" spans="1:1">
      <c r="A3157" s="151" t="s">
        <v>5133</v>
      </c>
    </row>
    <row r="3158" spans="1:1">
      <c r="A3158" s="151" t="s">
        <v>5134</v>
      </c>
    </row>
    <row r="3159" spans="1:1">
      <c r="A3159" s="151" t="s">
        <v>5135</v>
      </c>
    </row>
    <row r="3160" spans="1:1">
      <c r="A3160" s="151" t="s">
        <v>5136</v>
      </c>
    </row>
    <row r="3161" spans="1:1">
      <c r="A3161" s="151" t="s">
        <v>5137</v>
      </c>
    </row>
    <row r="3162" spans="1:1">
      <c r="A3162" s="151" t="s">
        <v>5138</v>
      </c>
    </row>
    <row r="3163" spans="1:1">
      <c r="A3163" s="151" t="s">
        <v>5139</v>
      </c>
    </row>
    <row r="3164" spans="1:1">
      <c r="A3164" s="151" t="s">
        <v>5140</v>
      </c>
    </row>
    <row r="3165" spans="1:1">
      <c r="A3165" s="151" t="s">
        <v>5141</v>
      </c>
    </row>
    <row r="3166" spans="1:1">
      <c r="A3166" s="151" t="s">
        <v>5142</v>
      </c>
    </row>
    <row r="3167" spans="1:1">
      <c r="A3167" s="151" t="s">
        <v>5143</v>
      </c>
    </row>
    <row r="3168" spans="1:1">
      <c r="A3168" s="151" t="s">
        <v>5144</v>
      </c>
    </row>
    <row r="3169" spans="1:1">
      <c r="A3169" s="151" t="s">
        <v>5145</v>
      </c>
    </row>
    <row r="3170" spans="1:1">
      <c r="A3170" s="151" t="s">
        <v>5146</v>
      </c>
    </row>
    <row r="3171" spans="1:1">
      <c r="A3171" s="151" t="s">
        <v>5147</v>
      </c>
    </row>
    <row r="3172" spans="1:1">
      <c r="A3172" s="151" t="s">
        <v>5148</v>
      </c>
    </row>
    <row r="3173" spans="1:1">
      <c r="A3173" s="151" t="s">
        <v>5149</v>
      </c>
    </row>
    <row r="3174" spans="1:1">
      <c r="A3174" s="151" t="s">
        <v>5150</v>
      </c>
    </row>
    <row r="3175" spans="1:1">
      <c r="A3175" s="151" t="s">
        <v>5151</v>
      </c>
    </row>
    <row r="3176" spans="1:1">
      <c r="A3176" s="151" t="s">
        <v>5152</v>
      </c>
    </row>
    <row r="3177" spans="1:1">
      <c r="A3177" s="151" t="s">
        <v>5153</v>
      </c>
    </row>
    <row r="3178" spans="1:1">
      <c r="A3178" s="151" t="s">
        <v>5154</v>
      </c>
    </row>
    <row r="3179" spans="1:1">
      <c r="A3179" s="151" t="s">
        <v>5155</v>
      </c>
    </row>
    <row r="3180" spans="1:1">
      <c r="A3180" s="151" t="s">
        <v>5156</v>
      </c>
    </row>
    <row r="3181" spans="1:1">
      <c r="A3181" s="151" t="s">
        <v>5157</v>
      </c>
    </row>
    <row r="3182" spans="1:1">
      <c r="A3182" s="151" t="s">
        <v>5158</v>
      </c>
    </row>
    <row r="3183" spans="1:1">
      <c r="A3183" s="151" t="s">
        <v>5159</v>
      </c>
    </row>
    <row r="3184" spans="1:1">
      <c r="A3184" s="151" t="s">
        <v>5160</v>
      </c>
    </row>
    <row r="3185" spans="1:1">
      <c r="A3185" s="151" t="s">
        <v>5161</v>
      </c>
    </row>
    <row r="3186" spans="1:1">
      <c r="A3186" s="151" t="s">
        <v>5162</v>
      </c>
    </row>
    <row r="3187" spans="1:1">
      <c r="A3187" s="151" t="s">
        <v>5163</v>
      </c>
    </row>
    <row r="3188" spans="1:1">
      <c r="A3188" s="151" t="s">
        <v>5164</v>
      </c>
    </row>
    <row r="3189" spans="1:1">
      <c r="A3189" s="151" t="s">
        <v>5165</v>
      </c>
    </row>
    <row r="3190" spans="1:1">
      <c r="A3190" s="151" t="s">
        <v>5166</v>
      </c>
    </row>
    <row r="3191" spans="1:1">
      <c r="A3191" s="151" t="s">
        <v>5167</v>
      </c>
    </row>
    <row r="3192" spans="1:1">
      <c r="A3192" s="151" t="s">
        <v>5168</v>
      </c>
    </row>
    <row r="3193" spans="1:1">
      <c r="A3193" s="151" t="s">
        <v>5169</v>
      </c>
    </row>
    <row r="3194" spans="1:1">
      <c r="A3194" s="151" t="s">
        <v>5170</v>
      </c>
    </row>
    <row r="3195" spans="1:1">
      <c r="A3195" s="151" t="s">
        <v>5171</v>
      </c>
    </row>
    <row r="3196" spans="1:1">
      <c r="A3196" s="151" t="s">
        <v>5172</v>
      </c>
    </row>
    <row r="3197" spans="1:1">
      <c r="A3197" s="151" t="s">
        <v>5173</v>
      </c>
    </row>
    <row r="3198" spans="1:1">
      <c r="A3198" s="151" t="s">
        <v>5174</v>
      </c>
    </row>
    <row r="3199" spans="1:1">
      <c r="A3199" s="151" t="s">
        <v>5175</v>
      </c>
    </row>
    <row r="3200" spans="1:1">
      <c r="A3200" s="151" t="s">
        <v>5176</v>
      </c>
    </row>
    <row r="3201" spans="1:1">
      <c r="A3201" s="151" t="s">
        <v>5177</v>
      </c>
    </row>
    <row r="3202" spans="1:1">
      <c r="A3202" s="151" t="s">
        <v>5178</v>
      </c>
    </row>
    <row r="3203" spans="1:1">
      <c r="A3203" s="151" t="s">
        <v>5179</v>
      </c>
    </row>
    <row r="3204" spans="1:1">
      <c r="A3204" s="151" t="s">
        <v>5180</v>
      </c>
    </row>
    <row r="3205" spans="1:1">
      <c r="A3205" s="151" t="s">
        <v>5181</v>
      </c>
    </row>
    <row r="3206" spans="1:1">
      <c r="A3206" s="151" t="s">
        <v>5182</v>
      </c>
    </row>
    <row r="3207" spans="1:1">
      <c r="A3207" s="151" t="s">
        <v>5183</v>
      </c>
    </row>
    <row r="3208" spans="1:1">
      <c r="A3208" s="151" t="s">
        <v>5184</v>
      </c>
    </row>
    <row r="3209" spans="1:1">
      <c r="A3209" s="151" t="s">
        <v>5185</v>
      </c>
    </row>
    <row r="3210" spans="1:1">
      <c r="A3210" s="151" t="s">
        <v>5186</v>
      </c>
    </row>
    <row r="3211" spans="1:1">
      <c r="A3211" s="151" t="s">
        <v>5187</v>
      </c>
    </row>
    <row r="3212" spans="1:1">
      <c r="A3212" s="151" t="s">
        <v>5188</v>
      </c>
    </row>
    <row r="3213" spans="1:1">
      <c r="A3213" s="151" t="s">
        <v>5189</v>
      </c>
    </row>
    <row r="3214" spans="1:1">
      <c r="A3214" s="151" t="s">
        <v>5190</v>
      </c>
    </row>
    <row r="3215" spans="1:1">
      <c r="A3215" s="151" t="s">
        <v>5191</v>
      </c>
    </row>
    <row r="3216" spans="1:1">
      <c r="A3216" s="151" t="s">
        <v>5192</v>
      </c>
    </row>
    <row r="3217" spans="1:1">
      <c r="A3217" s="151" t="s">
        <v>5193</v>
      </c>
    </row>
    <row r="3218" spans="1:1">
      <c r="A3218" s="151" t="s">
        <v>5194</v>
      </c>
    </row>
    <row r="3219" spans="1:1">
      <c r="A3219" s="151" t="s">
        <v>5195</v>
      </c>
    </row>
    <row r="3220" spans="1:1">
      <c r="A3220" s="151" t="s">
        <v>5196</v>
      </c>
    </row>
    <row r="3221" spans="1:1">
      <c r="A3221" s="151" t="s">
        <v>5197</v>
      </c>
    </row>
    <row r="3222" spans="1:1">
      <c r="A3222" s="151" t="s">
        <v>5198</v>
      </c>
    </row>
    <row r="3223" spans="1:1">
      <c r="A3223" s="151" t="s">
        <v>5199</v>
      </c>
    </row>
    <row r="3224" spans="1:1">
      <c r="A3224" s="151" t="s">
        <v>5200</v>
      </c>
    </row>
    <row r="3225" spans="1:1">
      <c r="A3225" s="151" t="s">
        <v>5201</v>
      </c>
    </row>
    <row r="3226" spans="1:1">
      <c r="A3226" s="151" t="s">
        <v>5202</v>
      </c>
    </row>
    <row r="3227" spans="1:1">
      <c r="A3227" s="151" t="s">
        <v>5203</v>
      </c>
    </row>
    <row r="3228" spans="1:1">
      <c r="A3228" s="151" t="s">
        <v>5204</v>
      </c>
    </row>
    <row r="3229" spans="1:1">
      <c r="A3229" s="151" t="s">
        <v>5205</v>
      </c>
    </row>
    <row r="3230" spans="1:1">
      <c r="A3230" s="151" t="s">
        <v>5206</v>
      </c>
    </row>
    <row r="3231" spans="1:1">
      <c r="A3231" s="151" t="s">
        <v>5207</v>
      </c>
    </row>
    <row r="3232" spans="1:1">
      <c r="A3232" s="151" t="s">
        <v>5208</v>
      </c>
    </row>
    <row r="3233" spans="1:1">
      <c r="A3233" s="151" t="s">
        <v>5209</v>
      </c>
    </row>
    <row r="3234" spans="1:1">
      <c r="A3234" s="151" t="s">
        <v>5210</v>
      </c>
    </row>
    <row r="3235" spans="1:1">
      <c r="A3235" s="151" t="s">
        <v>5211</v>
      </c>
    </row>
    <row r="3236" spans="1:1">
      <c r="A3236" s="151" t="s">
        <v>5212</v>
      </c>
    </row>
    <row r="3237" spans="1:1">
      <c r="A3237" s="151" t="s">
        <v>5213</v>
      </c>
    </row>
    <row r="3238" spans="1:1">
      <c r="A3238" s="151" t="s">
        <v>5214</v>
      </c>
    </row>
    <row r="3239" spans="1:1">
      <c r="A3239" s="151" t="s">
        <v>5215</v>
      </c>
    </row>
    <row r="3240" spans="1:1">
      <c r="A3240" s="151" t="s">
        <v>5216</v>
      </c>
    </row>
    <row r="3241" spans="1:1">
      <c r="A3241" s="151" t="s">
        <v>5217</v>
      </c>
    </row>
    <row r="3242" spans="1:1">
      <c r="A3242" s="151" t="s">
        <v>5218</v>
      </c>
    </row>
    <row r="3243" spans="1:1">
      <c r="A3243" s="151" t="s">
        <v>5219</v>
      </c>
    </row>
    <row r="3244" spans="1:1">
      <c r="A3244" s="151" t="s">
        <v>5220</v>
      </c>
    </row>
    <row r="3245" spans="1:1">
      <c r="A3245" s="151" t="s">
        <v>5221</v>
      </c>
    </row>
    <row r="3246" spans="1:1">
      <c r="A3246" s="151" t="s">
        <v>5222</v>
      </c>
    </row>
    <row r="3247" spans="1:1">
      <c r="A3247" s="151" t="s">
        <v>5223</v>
      </c>
    </row>
    <row r="3248" spans="1:1">
      <c r="A3248" s="151" t="s">
        <v>5224</v>
      </c>
    </row>
    <row r="3249" spans="1:1">
      <c r="A3249" s="151" t="s">
        <v>5225</v>
      </c>
    </row>
    <row r="3250" spans="1:1">
      <c r="A3250" s="151" t="s">
        <v>5226</v>
      </c>
    </row>
    <row r="3251" spans="1:1">
      <c r="A3251" s="151" t="s">
        <v>5227</v>
      </c>
    </row>
    <row r="3252" spans="1:1">
      <c r="A3252" s="151" t="s">
        <v>5228</v>
      </c>
    </row>
    <row r="3253" spans="1:1">
      <c r="A3253" s="151" t="s">
        <v>5229</v>
      </c>
    </row>
    <row r="3254" spans="1:1">
      <c r="A3254" s="151" t="s">
        <v>5230</v>
      </c>
    </row>
    <row r="3255" spans="1:1">
      <c r="A3255" s="151" t="s">
        <v>5231</v>
      </c>
    </row>
    <row r="3256" spans="1:1">
      <c r="A3256" s="151" t="s">
        <v>5232</v>
      </c>
    </row>
    <row r="3257" spans="1:1">
      <c r="A3257" s="151" t="s">
        <v>5233</v>
      </c>
    </row>
    <row r="3258" spans="1:1">
      <c r="A3258" s="151" t="s">
        <v>5234</v>
      </c>
    </row>
    <row r="3259" spans="1:1">
      <c r="A3259" s="151" t="s">
        <v>5235</v>
      </c>
    </row>
    <row r="3260" spans="1:1">
      <c r="A3260" s="151" t="s">
        <v>5236</v>
      </c>
    </row>
    <row r="3261" spans="1:1">
      <c r="A3261" s="151" t="s">
        <v>5237</v>
      </c>
    </row>
    <row r="3262" spans="1:1">
      <c r="A3262" s="151" t="s">
        <v>5238</v>
      </c>
    </row>
    <row r="3263" spans="1:1">
      <c r="A3263" s="151" t="s">
        <v>5239</v>
      </c>
    </row>
    <row r="3264" spans="1:1">
      <c r="A3264" s="151" t="s">
        <v>5240</v>
      </c>
    </row>
    <row r="3265" spans="1:1">
      <c r="A3265" s="151" t="s">
        <v>5241</v>
      </c>
    </row>
    <row r="3266" spans="1:1">
      <c r="A3266" s="151" t="s">
        <v>5242</v>
      </c>
    </row>
    <row r="3267" spans="1:1">
      <c r="A3267" s="151" t="s">
        <v>5243</v>
      </c>
    </row>
    <row r="3268" spans="1:1">
      <c r="A3268" s="151" t="s">
        <v>5244</v>
      </c>
    </row>
    <row r="3269" spans="1:1">
      <c r="A3269" s="151" t="s">
        <v>5245</v>
      </c>
    </row>
    <row r="3270" spans="1:1">
      <c r="A3270" s="151" t="s">
        <v>5246</v>
      </c>
    </row>
    <row r="3271" spans="1:1">
      <c r="A3271" s="151" t="s">
        <v>5247</v>
      </c>
    </row>
    <row r="3272" spans="1:1">
      <c r="A3272" s="151" t="s">
        <v>5248</v>
      </c>
    </row>
    <row r="3273" spans="1:1">
      <c r="A3273" s="151" t="s">
        <v>5249</v>
      </c>
    </row>
    <row r="3274" spans="1:1">
      <c r="A3274" s="151" t="s">
        <v>5250</v>
      </c>
    </row>
    <row r="3275" spans="1:1">
      <c r="A3275" s="151" t="s">
        <v>5251</v>
      </c>
    </row>
    <row r="3276" spans="1:1">
      <c r="A3276" s="151" t="s">
        <v>5252</v>
      </c>
    </row>
    <row r="3277" spans="1:1">
      <c r="A3277" s="151" t="s">
        <v>5253</v>
      </c>
    </row>
    <row r="3278" spans="1:1">
      <c r="A3278" s="151" t="s">
        <v>5254</v>
      </c>
    </row>
    <row r="3279" spans="1:1">
      <c r="A3279" s="151" t="s">
        <v>5255</v>
      </c>
    </row>
    <row r="3280" spans="1:1">
      <c r="A3280" s="151" t="s">
        <v>5256</v>
      </c>
    </row>
    <row r="3281" spans="1:1">
      <c r="A3281" s="151" t="s">
        <v>5257</v>
      </c>
    </row>
    <row r="3282" spans="1:1">
      <c r="A3282" s="151" t="s">
        <v>5258</v>
      </c>
    </row>
    <row r="3283" spans="1:1">
      <c r="A3283" s="151" t="s">
        <v>5259</v>
      </c>
    </row>
    <row r="3284" spans="1:1">
      <c r="A3284" s="151" t="s">
        <v>5260</v>
      </c>
    </row>
    <row r="3285" spans="1:1">
      <c r="A3285" s="151" t="s">
        <v>5261</v>
      </c>
    </row>
    <row r="3286" spans="1:1">
      <c r="A3286" s="151" t="s">
        <v>5262</v>
      </c>
    </row>
    <row r="3287" spans="1:1">
      <c r="A3287" s="151" t="s">
        <v>5263</v>
      </c>
    </row>
    <row r="3288" spans="1:1">
      <c r="A3288" s="151" t="s">
        <v>5264</v>
      </c>
    </row>
    <row r="3289" spans="1:1">
      <c r="A3289" s="151" t="s">
        <v>5265</v>
      </c>
    </row>
    <row r="3290" spans="1:1">
      <c r="A3290" s="151" t="s">
        <v>5266</v>
      </c>
    </row>
    <row r="3291" spans="1:1">
      <c r="A3291" s="151" t="s">
        <v>5267</v>
      </c>
    </row>
    <row r="3292" spans="1:1">
      <c r="A3292" s="151" t="s">
        <v>5268</v>
      </c>
    </row>
    <row r="3293" spans="1:1">
      <c r="A3293" s="151" t="s">
        <v>5269</v>
      </c>
    </row>
    <row r="3294" spans="1:1">
      <c r="A3294" s="151" t="s">
        <v>5270</v>
      </c>
    </row>
    <row r="3295" spans="1:1">
      <c r="A3295" s="151" t="s">
        <v>5271</v>
      </c>
    </row>
    <row r="3296" spans="1:1">
      <c r="A3296" s="151" t="s">
        <v>5272</v>
      </c>
    </row>
    <row r="3297" spans="1:1">
      <c r="A3297" s="151" t="s">
        <v>5273</v>
      </c>
    </row>
    <row r="3298" spans="1:1">
      <c r="A3298" s="151" t="s">
        <v>5274</v>
      </c>
    </row>
    <row r="3299" spans="1:1">
      <c r="A3299" s="151" t="s">
        <v>5275</v>
      </c>
    </row>
    <row r="3300" spans="1:1">
      <c r="A3300" s="151" t="s">
        <v>5276</v>
      </c>
    </row>
    <row r="3301" spans="1:1">
      <c r="A3301" s="151" t="s">
        <v>5277</v>
      </c>
    </row>
    <row r="3302" spans="1:1">
      <c r="A3302" s="151" t="s">
        <v>5278</v>
      </c>
    </row>
    <row r="3303" spans="1:1">
      <c r="A3303" s="151" t="s">
        <v>5279</v>
      </c>
    </row>
    <row r="3304" spans="1:1">
      <c r="A3304" s="151" t="s">
        <v>5280</v>
      </c>
    </row>
    <row r="3305" spans="1:1">
      <c r="A3305" s="151" t="s">
        <v>5281</v>
      </c>
    </row>
    <row r="3306" spans="1:1">
      <c r="A3306" s="151" t="s">
        <v>5282</v>
      </c>
    </row>
    <row r="3307" spans="1:1">
      <c r="A3307" s="151" t="s">
        <v>5283</v>
      </c>
    </row>
    <row r="3308" spans="1:1">
      <c r="A3308" s="151" t="s">
        <v>5284</v>
      </c>
    </row>
    <row r="3309" spans="1:1">
      <c r="A3309" s="151" t="s">
        <v>5285</v>
      </c>
    </row>
    <row r="3310" spans="1:1">
      <c r="A3310" s="151" t="s">
        <v>5286</v>
      </c>
    </row>
    <row r="3311" spans="1:1">
      <c r="A3311" s="151" t="s">
        <v>5287</v>
      </c>
    </row>
    <row r="3312" spans="1:1">
      <c r="A3312" s="151" t="s">
        <v>5288</v>
      </c>
    </row>
    <row r="3313" spans="1:1">
      <c r="A3313" s="151" t="s">
        <v>5289</v>
      </c>
    </row>
    <row r="3314" spans="1:1">
      <c r="A3314" s="151" t="s">
        <v>5290</v>
      </c>
    </row>
    <row r="3315" spans="1:1">
      <c r="A3315" s="151" t="s">
        <v>5291</v>
      </c>
    </row>
    <row r="3316" spans="1:1">
      <c r="A3316" s="151" t="s">
        <v>5292</v>
      </c>
    </row>
    <row r="3317" spans="1:1">
      <c r="A3317" s="151" t="s">
        <v>5293</v>
      </c>
    </row>
    <row r="3318" spans="1:1">
      <c r="A3318" s="151" t="s">
        <v>5294</v>
      </c>
    </row>
    <row r="3319" spans="1:1">
      <c r="A3319" s="151" t="s">
        <v>5295</v>
      </c>
    </row>
    <row r="3320" spans="1:1">
      <c r="A3320" s="151" t="s">
        <v>5296</v>
      </c>
    </row>
    <row r="3321" spans="1:1">
      <c r="A3321" s="151" t="s">
        <v>5297</v>
      </c>
    </row>
    <row r="3322" spans="1:1">
      <c r="A3322" s="151" t="s">
        <v>5298</v>
      </c>
    </row>
    <row r="3323" spans="1:1">
      <c r="A3323" s="151" t="s">
        <v>5299</v>
      </c>
    </row>
    <row r="3324" spans="1:1">
      <c r="A3324" s="151" t="s">
        <v>5300</v>
      </c>
    </row>
    <row r="3325" spans="1:1">
      <c r="A3325" s="151" t="s">
        <v>5301</v>
      </c>
    </row>
    <row r="3326" spans="1:1">
      <c r="A3326" s="151" t="s">
        <v>5302</v>
      </c>
    </row>
    <row r="3327" spans="1:1">
      <c r="A3327" s="151" t="s">
        <v>5303</v>
      </c>
    </row>
    <row r="3328" spans="1:1">
      <c r="A3328" s="151" t="s">
        <v>5304</v>
      </c>
    </row>
    <row r="3329" spans="1:1">
      <c r="A3329" s="151" t="s">
        <v>5305</v>
      </c>
    </row>
    <row r="3330" spans="1:1">
      <c r="A3330" s="151" t="s">
        <v>5306</v>
      </c>
    </row>
    <row r="3331" spans="1:1">
      <c r="A3331" s="151" t="s">
        <v>5307</v>
      </c>
    </row>
    <row r="3332" spans="1:1">
      <c r="A3332" s="151" t="s">
        <v>5308</v>
      </c>
    </row>
    <row r="3333" spans="1:1">
      <c r="A3333" s="151" t="s">
        <v>5309</v>
      </c>
    </row>
    <row r="3334" spans="1:1">
      <c r="A3334" s="151" t="s">
        <v>5310</v>
      </c>
    </row>
    <row r="3335" spans="1:1">
      <c r="A3335" s="151" t="s">
        <v>5311</v>
      </c>
    </row>
    <row r="3336" spans="1:1">
      <c r="A3336" s="151" t="s">
        <v>5312</v>
      </c>
    </row>
    <row r="3337" spans="1:1">
      <c r="A3337" s="151" t="s">
        <v>5313</v>
      </c>
    </row>
    <row r="3338" spans="1:1">
      <c r="A3338" s="151" t="s">
        <v>5314</v>
      </c>
    </row>
    <row r="3339" spans="1:1">
      <c r="A3339" s="151" t="s">
        <v>5315</v>
      </c>
    </row>
    <row r="3340" spans="1:1">
      <c r="A3340" s="151" t="s">
        <v>5316</v>
      </c>
    </row>
    <row r="3341" spans="1:1">
      <c r="A3341" s="151" t="s">
        <v>5317</v>
      </c>
    </row>
    <row r="3342" spans="1:1">
      <c r="A3342" s="151" t="s">
        <v>5318</v>
      </c>
    </row>
    <row r="3343" spans="1:1">
      <c r="A3343" s="151" t="s">
        <v>5319</v>
      </c>
    </row>
    <row r="3344" spans="1:1">
      <c r="A3344" s="151" t="s">
        <v>5320</v>
      </c>
    </row>
    <row r="3345" spans="1:1">
      <c r="A3345" s="151" t="s">
        <v>5321</v>
      </c>
    </row>
    <row r="3346" spans="1:1">
      <c r="A3346" s="151" t="s">
        <v>5322</v>
      </c>
    </row>
    <row r="3347" spans="1:1">
      <c r="A3347" s="151" t="s">
        <v>5323</v>
      </c>
    </row>
    <row r="3348" spans="1:1">
      <c r="A3348" s="151" t="s">
        <v>5324</v>
      </c>
    </row>
    <row r="3349" spans="1:1">
      <c r="A3349" s="151" t="s">
        <v>5325</v>
      </c>
    </row>
    <row r="3350" spans="1:1">
      <c r="A3350" s="151" t="s">
        <v>5326</v>
      </c>
    </row>
    <row r="3351" spans="1:1">
      <c r="A3351" s="151" t="s">
        <v>5327</v>
      </c>
    </row>
    <row r="3352" spans="1:1">
      <c r="A3352" s="151" t="s">
        <v>5328</v>
      </c>
    </row>
    <row r="3353" spans="1:1">
      <c r="A3353" s="151" t="s">
        <v>5329</v>
      </c>
    </row>
    <row r="3354" spans="1:1">
      <c r="A3354" s="151" t="s">
        <v>5330</v>
      </c>
    </row>
    <row r="3355" spans="1:1">
      <c r="A3355" s="151" t="s">
        <v>5331</v>
      </c>
    </row>
    <row r="3356" spans="1:1">
      <c r="A3356" s="151" t="s">
        <v>5332</v>
      </c>
    </row>
    <row r="3357" spans="1:1">
      <c r="A3357" s="151" t="s">
        <v>5333</v>
      </c>
    </row>
    <row r="3358" spans="1:1">
      <c r="A3358" s="151" t="s">
        <v>5334</v>
      </c>
    </row>
    <row r="3359" spans="1:1">
      <c r="A3359" s="151" t="s">
        <v>5335</v>
      </c>
    </row>
    <row r="3360" spans="1:1">
      <c r="A3360" s="151" t="s">
        <v>5336</v>
      </c>
    </row>
    <row r="3361" spans="1:1">
      <c r="A3361" s="151" t="s">
        <v>5337</v>
      </c>
    </row>
    <row r="3362" spans="1:1">
      <c r="A3362" s="151" t="s">
        <v>5338</v>
      </c>
    </row>
    <row r="3363" spans="1:1">
      <c r="A3363" s="151" t="s">
        <v>5339</v>
      </c>
    </row>
    <row r="3364" spans="1:1">
      <c r="A3364" s="151" t="s">
        <v>5340</v>
      </c>
    </row>
    <row r="3365" spans="1:1">
      <c r="A3365" s="151" t="s">
        <v>5341</v>
      </c>
    </row>
    <row r="3366" spans="1:1">
      <c r="A3366" s="151" t="s">
        <v>5342</v>
      </c>
    </row>
    <row r="3367" spans="1:1">
      <c r="A3367" s="151" t="s">
        <v>5343</v>
      </c>
    </row>
    <row r="3368" spans="1:1">
      <c r="A3368" s="151" t="s">
        <v>5344</v>
      </c>
    </row>
    <row r="3369" spans="1:1">
      <c r="A3369" s="151" t="s">
        <v>5345</v>
      </c>
    </row>
    <row r="3370" spans="1:1">
      <c r="A3370" s="151" t="s">
        <v>5346</v>
      </c>
    </row>
    <row r="3371" spans="1:1">
      <c r="A3371" s="151" t="s">
        <v>5347</v>
      </c>
    </row>
    <row r="3372" spans="1:1">
      <c r="A3372" s="151" t="s">
        <v>5348</v>
      </c>
    </row>
    <row r="3373" spans="1:1">
      <c r="A3373" s="151" t="s">
        <v>5349</v>
      </c>
    </row>
    <row r="3374" spans="1:1">
      <c r="A3374" s="151" t="s">
        <v>5350</v>
      </c>
    </row>
    <row r="3375" spans="1:1">
      <c r="A3375" s="151" t="s">
        <v>5351</v>
      </c>
    </row>
    <row r="3376" spans="1:1">
      <c r="A3376" s="151" t="s">
        <v>5352</v>
      </c>
    </row>
    <row r="3377" spans="1:1">
      <c r="A3377" s="151" t="s">
        <v>5353</v>
      </c>
    </row>
    <row r="3378" spans="1:1">
      <c r="A3378" s="151" t="s">
        <v>5354</v>
      </c>
    </row>
    <row r="3379" spans="1:1">
      <c r="A3379" s="151" t="s">
        <v>5355</v>
      </c>
    </row>
    <row r="3380" spans="1:1">
      <c r="A3380" s="151" t="s">
        <v>5356</v>
      </c>
    </row>
    <row r="3381" spans="1:1">
      <c r="A3381" s="151" t="s">
        <v>5357</v>
      </c>
    </row>
    <row r="3382" spans="1:1">
      <c r="A3382" s="151" t="s">
        <v>5358</v>
      </c>
    </row>
    <row r="3383" spans="1:1">
      <c r="A3383" s="151" t="s">
        <v>5359</v>
      </c>
    </row>
    <row r="3384" spans="1:1">
      <c r="A3384" s="151" t="s">
        <v>5360</v>
      </c>
    </row>
    <row r="3385" spans="1:1">
      <c r="A3385" s="151" t="s">
        <v>5361</v>
      </c>
    </row>
    <row r="3386" spans="1:1">
      <c r="A3386" s="151" t="s">
        <v>5362</v>
      </c>
    </row>
    <row r="3387" spans="1:1">
      <c r="A3387" s="151" t="s">
        <v>5363</v>
      </c>
    </row>
    <row r="3388" spans="1:1">
      <c r="A3388" s="151" t="s">
        <v>5364</v>
      </c>
    </row>
    <row r="3389" spans="1:1">
      <c r="A3389" s="151" t="s">
        <v>5365</v>
      </c>
    </row>
    <row r="3390" spans="1:1">
      <c r="A3390" s="151" t="s">
        <v>5366</v>
      </c>
    </row>
    <row r="3391" spans="1:1">
      <c r="A3391" s="151" t="s">
        <v>5367</v>
      </c>
    </row>
    <row r="3392" spans="1:1">
      <c r="A3392" s="151" t="s">
        <v>5368</v>
      </c>
    </row>
    <row r="3393" spans="1:1">
      <c r="A3393" s="151" t="s">
        <v>5369</v>
      </c>
    </row>
    <row r="3394" spans="1:1">
      <c r="A3394" s="151" t="s">
        <v>5370</v>
      </c>
    </row>
    <row r="3395" spans="1:1">
      <c r="A3395" s="151" t="s">
        <v>5371</v>
      </c>
    </row>
    <row r="3396" spans="1:1">
      <c r="A3396" s="151" t="s">
        <v>5372</v>
      </c>
    </row>
    <row r="3397" spans="1:1">
      <c r="A3397" s="151" t="s">
        <v>5373</v>
      </c>
    </row>
    <row r="3398" spans="1:1">
      <c r="A3398" s="151" t="s">
        <v>5374</v>
      </c>
    </row>
    <row r="3399" spans="1:1">
      <c r="A3399" s="151" t="s">
        <v>5375</v>
      </c>
    </row>
    <row r="3400" spans="1:1">
      <c r="A3400" s="151" t="s">
        <v>5376</v>
      </c>
    </row>
    <row r="3401" spans="1:1">
      <c r="A3401" s="151" t="s">
        <v>5377</v>
      </c>
    </row>
    <row r="3402" spans="1:1">
      <c r="A3402" s="151" t="s">
        <v>5378</v>
      </c>
    </row>
    <row r="3403" spans="1:1">
      <c r="A3403" s="151" t="s">
        <v>5379</v>
      </c>
    </row>
    <row r="3404" spans="1:1">
      <c r="A3404" s="151" t="s">
        <v>5380</v>
      </c>
    </row>
    <row r="3405" spans="1:1">
      <c r="A3405" s="151" t="s">
        <v>5381</v>
      </c>
    </row>
    <row r="3406" spans="1:1">
      <c r="A3406" s="151" t="s">
        <v>5382</v>
      </c>
    </row>
    <row r="3407" spans="1:1">
      <c r="A3407" s="151" t="s">
        <v>5383</v>
      </c>
    </row>
    <row r="3408" spans="1:1">
      <c r="A3408" s="151" t="s">
        <v>5384</v>
      </c>
    </row>
    <row r="3409" spans="1:1">
      <c r="A3409" s="151" t="s">
        <v>5385</v>
      </c>
    </row>
    <row r="3410" spans="1:1">
      <c r="A3410" s="151" t="s">
        <v>5386</v>
      </c>
    </row>
    <row r="3411" spans="1:1">
      <c r="A3411" s="151" t="s">
        <v>5387</v>
      </c>
    </row>
    <row r="3412" spans="1:1">
      <c r="A3412" s="151" t="s">
        <v>5388</v>
      </c>
    </row>
    <row r="3413" spans="1:1">
      <c r="A3413" s="151" t="s">
        <v>5389</v>
      </c>
    </row>
    <row r="3414" spans="1:1">
      <c r="A3414" s="151" t="s">
        <v>5390</v>
      </c>
    </row>
    <row r="3415" spans="1:1">
      <c r="A3415" s="151" t="s">
        <v>5391</v>
      </c>
    </row>
    <row r="3416" spans="1:1">
      <c r="A3416" s="151" t="s">
        <v>5392</v>
      </c>
    </row>
    <row r="3417" spans="1:1">
      <c r="A3417" s="151" t="s">
        <v>5393</v>
      </c>
    </row>
    <row r="3418" spans="1:1">
      <c r="A3418" s="151" t="s">
        <v>5394</v>
      </c>
    </row>
    <row r="3419" spans="1:1">
      <c r="A3419" s="151" t="s">
        <v>5395</v>
      </c>
    </row>
    <row r="3420" spans="1:1">
      <c r="A3420" s="151" t="s">
        <v>5396</v>
      </c>
    </row>
    <row r="3421" spans="1:1">
      <c r="A3421" s="151" t="s">
        <v>5397</v>
      </c>
    </row>
    <row r="3422" spans="1:1">
      <c r="A3422" s="151" t="s">
        <v>5398</v>
      </c>
    </row>
    <row r="3423" spans="1:1">
      <c r="A3423" s="151" t="s">
        <v>5399</v>
      </c>
    </row>
    <row r="3424" spans="1:1">
      <c r="A3424" s="151" t="s">
        <v>5400</v>
      </c>
    </row>
    <row r="3425" spans="1:1">
      <c r="A3425" s="151" t="s">
        <v>5401</v>
      </c>
    </row>
    <row r="3426" spans="1:1">
      <c r="A3426" s="151" t="s">
        <v>5402</v>
      </c>
    </row>
    <row r="3427" spans="1:1">
      <c r="A3427" s="151" t="s">
        <v>5403</v>
      </c>
    </row>
    <row r="3428" spans="1:1">
      <c r="A3428" s="151" t="s">
        <v>5404</v>
      </c>
    </row>
    <row r="3429" spans="1:1">
      <c r="A3429" s="151" t="s">
        <v>5405</v>
      </c>
    </row>
    <row r="3430" spans="1:1">
      <c r="A3430" s="151" t="s">
        <v>5406</v>
      </c>
    </row>
    <row r="3431" spans="1:1">
      <c r="A3431" s="151" t="s">
        <v>5407</v>
      </c>
    </row>
    <row r="3432" spans="1:1">
      <c r="A3432" s="151" t="s">
        <v>5408</v>
      </c>
    </row>
    <row r="3433" spans="1:1">
      <c r="A3433" s="151" t="s">
        <v>5409</v>
      </c>
    </row>
    <row r="3434" spans="1:1">
      <c r="A3434" s="151" t="s">
        <v>5410</v>
      </c>
    </row>
    <row r="3435" spans="1:1">
      <c r="A3435" s="151" t="s">
        <v>5411</v>
      </c>
    </row>
    <row r="3436" spans="1:1">
      <c r="A3436" s="151" t="s">
        <v>5412</v>
      </c>
    </row>
    <row r="3437" spans="1:1">
      <c r="A3437" s="151" t="s">
        <v>5413</v>
      </c>
    </row>
    <row r="3438" spans="1:1">
      <c r="A3438" s="151" t="s">
        <v>5414</v>
      </c>
    </row>
    <row r="3439" spans="1:1">
      <c r="A3439" s="151" t="s">
        <v>5415</v>
      </c>
    </row>
    <row r="3440" spans="1:1">
      <c r="A3440" s="151" t="s">
        <v>5416</v>
      </c>
    </row>
    <row r="3441" spans="1:1">
      <c r="A3441" s="151" t="s">
        <v>5417</v>
      </c>
    </row>
    <row r="3442" spans="1:1">
      <c r="A3442" s="151" t="s">
        <v>5418</v>
      </c>
    </row>
    <row r="3443" spans="1:1">
      <c r="A3443" s="151" t="s">
        <v>5419</v>
      </c>
    </row>
    <row r="3444" spans="1:1">
      <c r="A3444" s="151" t="s">
        <v>5420</v>
      </c>
    </row>
    <row r="3445" spans="1:1">
      <c r="A3445" s="151" t="s">
        <v>5421</v>
      </c>
    </row>
    <row r="3446" spans="1:1">
      <c r="A3446" s="151" t="s">
        <v>5422</v>
      </c>
    </row>
    <row r="3447" spans="1:1">
      <c r="A3447" s="151" t="s">
        <v>5423</v>
      </c>
    </row>
    <row r="3448" spans="1:1">
      <c r="A3448" s="151" t="s">
        <v>5424</v>
      </c>
    </row>
    <row r="3449" spans="1:1">
      <c r="A3449" s="151" t="s">
        <v>5425</v>
      </c>
    </row>
    <row r="3450" spans="1:1">
      <c r="A3450" s="151" t="s">
        <v>5426</v>
      </c>
    </row>
    <row r="3451" spans="1:1">
      <c r="A3451" s="151" t="s">
        <v>5427</v>
      </c>
    </row>
    <row r="3452" spans="1:1">
      <c r="A3452" s="151" t="s">
        <v>5428</v>
      </c>
    </row>
    <row r="3453" spans="1:1">
      <c r="A3453" s="151" t="s">
        <v>5429</v>
      </c>
    </row>
    <row r="3454" spans="1:1">
      <c r="A3454" s="151" t="s">
        <v>5430</v>
      </c>
    </row>
    <row r="3455" spans="1:1">
      <c r="A3455" s="151" t="s">
        <v>5431</v>
      </c>
    </row>
    <row r="3456" spans="1:1">
      <c r="A3456" s="151" t="s">
        <v>5432</v>
      </c>
    </row>
    <row r="3457" spans="1:1">
      <c r="A3457" s="151" t="s">
        <v>5433</v>
      </c>
    </row>
    <row r="3458" spans="1:1">
      <c r="A3458" s="151" t="s">
        <v>5434</v>
      </c>
    </row>
    <row r="3459" spans="1:1">
      <c r="A3459" s="151" t="s">
        <v>5435</v>
      </c>
    </row>
    <row r="3460" spans="1:1">
      <c r="A3460" s="151" t="s">
        <v>5436</v>
      </c>
    </row>
    <row r="3461" spans="1:1">
      <c r="A3461" s="151" t="s">
        <v>5437</v>
      </c>
    </row>
    <row r="3462" spans="1:1">
      <c r="A3462" s="151" t="s">
        <v>5438</v>
      </c>
    </row>
    <row r="3463" spans="1:1">
      <c r="A3463" s="151" t="s">
        <v>5439</v>
      </c>
    </row>
    <row r="3464" spans="1:1">
      <c r="A3464" s="151" t="s">
        <v>5440</v>
      </c>
    </row>
    <row r="3465" spans="1:1">
      <c r="A3465" s="151" t="s">
        <v>5441</v>
      </c>
    </row>
    <row r="3466" spans="1:1">
      <c r="A3466" s="151" t="s">
        <v>5442</v>
      </c>
    </row>
    <row r="3467" spans="1:1">
      <c r="A3467" s="151" t="s">
        <v>5443</v>
      </c>
    </row>
    <row r="3468" spans="1:1">
      <c r="A3468" s="151" t="s">
        <v>5444</v>
      </c>
    </row>
    <row r="3469" spans="1:1">
      <c r="A3469" s="151" t="s">
        <v>5445</v>
      </c>
    </row>
    <row r="3470" spans="1:1">
      <c r="A3470" s="151" t="s">
        <v>5446</v>
      </c>
    </row>
    <row r="3471" spans="1:1">
      <c r="A3471" s="151" t="s">
        <v>5447</v>
      </c>
    </row>
    <row r="3472" spans="1:1">
      <c r="A3472" s="151" t="s">
        <v>5448</v>
      </c>
    </row>
    <row r="3473" spans="1:1">
      <c r="A3473" s="151" t="s">
        <v>5449</v>
      </c>
    </row>
    <row r="3474" spans="1:1">
      <c r="A3474" s="151" t="s">
        <v>5450</v>
      </c>
    </row>
    <row r="3475" spans="1:1">
      <c r="A3475" s="151" t="s">
        <v>5451</v>
      </c>
    </row>
    <row r="3476" spans="1:1">
      <c r="A3476" s="151" t="s">
        <v>5452</v>
      </c>
    </row>
    <row r="3477" spans="1:1">
      <c r="A3477" s="151" t="s">
        <v>5453</v>
      </c>
    </row>
    <row r="3478" spans="1:1">
      <c r="A3478" s="151" t="s">
        <v>5454</v>
      </c>
    </row>
    <row r="3479" spans="1:1">
      <c r="A3479" s="151" t="s">
        <v>5455</v>
      </c>
    </row>
    <row r="3480" spans="1:1">
      <c r="A3480" s="151" t="s">
        <v>5456</v>
      </c>
    </row>
    <row r="3481" spans="1:1">
      <c r="A3481" s="151" t="s">
        <v>5457</v>
      </c>
    </row>
    <row r="3482" spans="1:1">
      <c r="A3482" s="151" t="s">
        <v>5458</v>
      </c>
    </row>
    <row r="3483" spans="1:1">
      <c r="A3483" s="151" t="s">
        <v>5459</v>
      </c>
    </row>
    <row r="3484" spans="1:1">
      <c r="A3484" s="151" t="s">
        <v>5460</v>
      </c>
    </row>
    <row r="3485" spans="1:1">
      <c r="A3485" s="151" t="s">
        <v>5461</v>
      </c>
    </row>
    <row r="3486" spans="1:1">
      <c r="A3486" s="151" t="s">
        <v>5462</v>
      </c>
    </row>
    <row r="3487" spans="1:1">
      <c r="A3487" s="151" t="s">
        <v>5463</v>
      </c>
    </row>
    <row r="3488" spans="1:1">
      <c r="A3488" s="151" t="s">
        <v>5464</v>
      </c>
    </row>
    <row r="3489" spans="1:1">
      <c r="A3489" s="151" t="s">
        <v>5465</v>
      </c>
    </row>
    <row r="3490" spans="1:1">
      <c r="A3490" s="151" t="s">
        <v>5466</v>
      </c>
    </row>
    <row r="3491" spans="1:1">
      <c r="A3491" s="151" t="s">
        <v>5467</v>
      </c>
    </row>
    <row r="3492" spans="1:1">
      <c r="A3492" s="151" t="s">
        <v>5468</v>
      </c>
    </row>
    <row r="3493" spans="1:1">
      <c r="A3493" s="151" t="s">
        <v>5469</v>
      </c>
    </row>
    <row r="3494" spans="1:1">
      <c r="A3494" s="151" t="s">
        <v>5470</v>
      </c>
    </row>
    <row r="3495" spans="1:1">
      <c r="A3495" s="151" t="s">
        <v>5471</v>
      </c>
    </row>
    <row r="3496" spans="1:1">
      <c r="A3496" s="151" t="s">
        <v>5472</v>
      </c>
    </row>
    <row r="3497" spans="1:1">
      <c r="A3497" s="151" t="s">
        <v>5473</v>
      </c>
    </row>
    <row r="3498" spans="1:1">
      <c r="A3498" s="151" t="s">
        <v>5474</v>
      </c>
    </row>
    <row r="3499" spans="1:1">
      <c r="A3499" s="151" t="s">
        <v>5475</v>
      </c>
    </row>
    <row r="3500" spans="1:1">
      <c r="A3500" s="151" t="s">
        <v>5476</v>
      </c>
    </row>
    <row r="3501" spans="1:1">
      <c r="A3501" s="151" t="s">
        <v>5477</v>
      </c>
    </row>
    <row r="3502" spans="1:1">
      <c r="A3502" s="151" t="s">
        <v>5478</v>
      </c>
    </row>
    <row r="3503" spans="1:1">
      <c r="A3503" s="151" t="s">
        <v>5479</v>
      </c>
    </row>
    <row r="3504" spans="1:1">
      <c r="A3504" s="151" t="s">
        <v>5480</v>
      </c>
    </row>
    <row r="3505" spans="1:1">
      <c r="A3505" s="151" t="s">
        <v>5481</v>
      </c>
    </row>
    <row r="3506" spans="1:1">
      <c r="A3506" s="151" t="s">
        <v>5482</v>
      </c>
    </row>
    <row r="3507" spans="1:1">
      <c r="A3507" s="151" t="s">
        <v>5483</v>
      </c>
    </row>
    <row r="3508" spans="1:1">
      <c r="A3508" s="151" t="s">
        <v>5484</v>
      </c>
    </row>
    <row r="3509" spans="1:1">
      <c r="A3509" s="151" t="s">
        <v>5485</v>
      </c>
    </row>
    <row r="3510" spans="1:1">
      <c r="A3510" s="151" t="s">
        <v>5486</v>
      </c>
    </row>
    <row r="3511" spans="1:1">
      <c r="A3511" s="151" t="s">
        <v>5487</v>
      </c>
    </row>
    <row r="3512" spans="1:1">
      <c r="A3512" s="151" t="s">
        <v>5488</v>
      </c>
    </row>
    <row r="3513" spans="1:1">
      <c r="A3513" s="151" t="s">
        <v>5489</v>
      </c>
    </row>
    <row r="3514" spans="1:1">
      <c r="A3514" s="151" t="s">
        <v>5490</v>
      </c>
    </row>
    <row r="3515" spans="1:1">
      <c r="A3515" s="151" t="s">
        <v>5491</v>
      </c>
    </row>
    <row r="3516" spans="1:1">
      <c r="A3516" s="151" t="s">
        <v>5492</v>
      </c>
    </row>
    <row r="3517" spans="1:1">
      <c r="A3517" s="151" t="s">
        <v>5493</v>
      </c>
    </row>
    <row r="3518" spans="1:1">
      <c r="A3518" s="151" t="s">
        <v>5494</v>
      </c>
    </row>
    <row r="3519" spans="1:1">
      <c r="A3519" s="151" t="s">
        <v>5495</v>
      </c>
    </row>
    <row r="3520" spans="1:1">
      <c r="A3520" s="151" t="s">
        <v>5496</v>
      </c>
    </row>
    <row r="3521" spans="1:1">
      <c r="A3521" s="151" t="s">
        <v>5497</v>
      </c>
    </row>
    <row r="3522" spans="1:1">
      <c r="A3522" s="151" t="s">
        <v>5498</v>
      </c>
    </row>
    <row r="3523" spans="1:1">
      <c r="A3523" s="151" t="s">
        <v>5499</v>
      </c>
    </row>
    <row r="3524" spans="1:1">
      <c r="A3524" s="151" t="s">
        <v>5500</v>
      </c>
    </row>
    <row r="3525" spans="1:1">
      <c r="A3525" s="151" t="s">
        <v>5501</v>
      </c>
    </row>
    <row r="3526" spans="1:1">
      <c r="A3526" s="151" t="s">
        <v>5502</v>
      </c>
    </row>
    <row r="3527" spans="1:1">
      <c r="A3527" s="151" t="s">
        <v>5503</v>
      </c>
    </row>
    <row r="3528" spans="1:1">
      <c r="A3528" s="151" t="s">
        <v>5504</v>
      </c>
    </row>
    <row r="3529" spans="1:1">
      <c r="A3529" s="151" t="s">
        <v>5505</v>
      </c>
    </row>
    <row r="3530" spans="1:1">
      <c r="A3530" s="151" t="s">
        <v>5506</v>
      </c>
    </row>
    <row r="3531" spans="1:1">
      <c r="A3531" s="151" t="s">
        <v>5507</v>
      </c>
    </row>
    <row r="3532" spans="1:1">
      <c r="A3532" s="151" t="s">
        <v>5508</v>
      </c>
    </row>
    <row r="3533" spans="1:1">
      <c r="A3533" s="151" t="s">
        <v>5509</v>
      </c>
    </row>
    <row r="3534" spans="1:1">
      <c r="A3534" s="151" t="s">
        <v>5510</v>
      </c>
    </row>
    <row r="3535" spans="1:1">
      <c r="A3535" s="151" t="s">
        <v>5511</v>
      </c>
    </row>
    <row r="3536" spans="1:1">
      <c r="A3536" s="151" t="s">
        <v>5512</v>
      </c>
    </row>
    <row r="3537" spans="1:1">
      <c r="A3537" s="151" t="s">
        <v>5513</v>
      </c>
    </row>
    <row r="3538" spans="1:1">
      <c r="A3538" s="151" t="s">
        <v>5514</v>
      </c>
    </row>
    <row r="3539" spans="1:1">
      <c r="A3539" s="151" t="s">
        <v>5515</v>
      </c>
    </row>
    <row r="3540" spans="1:1">
      <c r="A3540" s="151" t="s">
        <v>5516</v>
      </c>
    </row>
    <row r="3541" spans="1:1">
      <c r="A3541" s="151" t="s">
        <v>5517</v>
      </c>
    </row>
    <row r="3542" spans="1:1">
      <c r="A3542" s="151" t="s">
        <v>5518</v>
      </c>
    </row>
    <row r="3543" spans="1:1">
      <c r="A3543" s="151" t="s">
        <v>5519</v>
      </c>
    </row>
    <row r="3544" spans="1:1">
      <c r="A3544" s="151" t="s">
        <v>5520</v>
      </c>
    </row>
    <row r="3545" spans="1:1">
      <c r="A3545" s="151" t="s">
        <v>5521</v>
      </c>
    </row>
    <row r="3546" spans="1:1">
      <c r="A3546" s="151" t="s">
        <v>5522</v>
      </c>
    </row>
    <row r="3547" spans="1:1">
      <c r="A3547" s="151" t="s">
        <v>5523</v>
      </c>
    </row>
    <row r="3548" spans="1:1">
      <c r="A3548" s="151" t="s">
        <v>5524</v>
      </c>
    </row>
    <row r="3549" spans="1:1">
      <c r="A3549" s="151" t="s">
        <v>5525</v>
      </c>
    </row>
    <row r="3550" spans="1:1">
      <c r="A3550" s="151" t="s">
        <v>5526</v>
      </c>
    </row>
    <row r="3551" spans="1:1">
      <c r="A3551" s="151" t="s">
        <v>5527</v>
      </c>
    </row>
    <row r="3552" spans="1:1">
      <c r="A3552" s="151" t="s">
        <v>5528</v>
      </c>
    </row>
    <row r="3553" spans="1:1">
      <c r="A3553" s="151" t="s">
        <v>5529</v>
      </c>
    </row>
    <row r="3554" spans="1:1">
      <c r="A3554" s="151" t="s">
        <v>5530</v>
      </c>
    </row>
    <row r="3555" spans="1:1">
      <c r="A3555" s="151" t="s">
        <v>5531</v>
      </c>
    </row>
    <row r="3556" spans="1:1">
      <c r="A3556" s="151" t="s">
        <v>5532</v>
      </c>
    </row>
    <row r="3557" spans="1:1">
      <c r="A3557" s="151" t="s">
        <v>5533</v>
      </c>
    </row>
    <row r="3558" spans="1:1">
      <c r="A3558" s="151" t="s">
        <v>5534</v>
      </c>
    </row>
    <row r="3559" spans="1:1">
      <c r="A3559" s="151" t="s">
        <v>5535</v>
      </c>
    </row>
    <row r="3560" spans="1:1">
      <c r="A3560" s="151" t="s">
        <v>5536</v>
      </c>
    </row>
    <row r="3561" spans="1:1">
      <c r="A3561" s="151" t="s">
        <v>5537</v>
      </c>
    </row>
    <row r="3562" spans="1:1">
      <c r="A3562" s="151" t="s">
        <v>5538</v>
      </c>
    </row>
    <row r="3563" spans="1:1">
      <c r="A3563" s="151" t="s">
        <v>5539</v>
      </c>
    </row>
    <row r="3564" spans="1:1">
      <c r="A3564" s="151" t="s">
        <v>5540</v>
      </c>
    </row>
    <row r="3565" spans="1:1">
      <c r="A3565" s="151" t="s">
        <v>5541</v>
      </c>
    </row>
    <row r="3566" spans="1:1">
      <c r="A3566" s="151" t="s">
        <v>5542</v>
      </c>
    </row>
    <row r="3567" spans="1:1">
      <c r="A3567" s="151" t="s">
        <v>5543</v>
      </c>
    </row>
    <row r="3568" spans="1:1">
      <c r="A3568" s="151" t="s">
        <v>5544</v>
      </c>
    </row>
    <row r="3569" spans="1:1">
      <c r="A3569" s="151" t="s">
        <v>5545</v>
      </c>
    </row>
    <row r="3570" spans="1:1">
      <c r="A3570" s="151" t="s">
        <v>5546</v>
      </c>
    </row>
    <row r="3571" spans="1:1">
      <c r="A3571" s="151" t="s">
        <v>5547</v>
      </c>
    </row>
    <row r="3572" spans="1:1">
      <c r="A3572" s="151" t="s">
        <v>5548</v>
      </c>
    </row>
    <row r="3573" spans="1:1">
      <c r="A3573" s="151" t="s">
        <v>5549</v>
      </c>
    </row>
    <row r="3574" spans="1:1">
      <c r="A3574" s="151" t="s">
        <v>5550</v>
      </c>
    </row>
    <row r="3575" spans="1:1">
      <c r="A3575" s="151" t="s">
        <v>5551</v>
      </c>
    </row>
    <row r="3576" spans="1:1">
      <c r="A3576" s="151" t="s">
        <v>5552</v>
      </c>
    </row>
    <row r="3577" spans="1:1">
      <c r="A3577" s="151" t="s">
        <v>5553</v>
      </c>
    </row>
    <row r="3578" spans="1:1">
      <c r="A3578" s="151" t="s">
        <v>5554</v>
      </c>
    </row>
    <row r="3579" spans="1:1">
      <c r="A3579" s="151" t="s">
        <v>5555</v>
      </c>
    </row>
    <row r="3580" spans="1:1">
      <c r="A3580" s="151" t="s">
        <v>5556</v>
      </c>
    </row>
    <row r="3581" spans="1:1">
      <c r="A3581" s="151" t="s">
        <v>5557</v>
      </c>
    </row>
    <row r="3582" spans="1:1">
      <c r="A3582" s="151" t="s">
        <v>5558</v>
      </c>
    </row>
    <row r="3583" spans="1:1">
      <c r="A3583" s="151" t="s">
        <v>5559</v>
      </c>
    </row>
    <row r="3584" spans="1:1">
      <c r="A3584" s="151" t="s">
        <v>5560</v>
      </c>
    </row>
    <row r="3585" spans="1:1">
      <c r="A3585" s="151" t="s">
        <v>5561</v>
      </c>
    </row>
    <row r="3586" spans="1:1">
      <c r="A3586" s="151" t="s">
        <v>5562</v>
      </c>
    </row>
    <row r="3587" spans="1:1">
      <c r="A3587" s="151" t="s">
        <v>5563</v>
      </c>
    </row>
    <row r="3588" spans="1:1">
      <c r="A3588" s="151" t="s">
        <v>5564</v>
      </c>
    </row>
    <row r="3589" spans="1:1">
      <c r="A3589" s="151" t="s">
        <v>5565</v>
      </c>
    </row>
    <row r="3590" spans="1:1">
      <c r="A3590" s="151" t="s">
        <v>5566</v>
      </c>
    </row>
    <row r="3591" spans="1:1">
      <c r="A3591" s="151" t="s">
        <v>5567</v>
      </c>
    </row>
    <row r="3592" spans="1:1">
      <c r="A3592" s="151" t="s">
        <v>5568</v>
      </c>
    </row>
    <row r="3593" spans="1:1">
      <c r="A3593" s="151" t="s">
        <v>5569</v>
      </c>
    </row>
    <row r="3594" spans="1:1">
      <c r="A3594" s="151" t="s">
        <v>5570</v>
      </c>
    </row>
    <row r="3595" spans="1:1">
      <c r="A3595" s="151" t="s">
        <v>5571</v>
      </c>
    </row>
    <row r="3596" spans="1:1">
      <c r="A3596" s="151" t="s">
        <v>5572</v>
      </c>
    </row>
    <row r="3597" spans="1:1">
      <c r="A3597" s="151" t="s">
        <v>5573</v>
      </c>
    </row>
    <row r="3598" spans="1:1">
      <c r="A3598" s="151" t="s">
        <v>5574</v>
      </c>
    </row>
    <row r="3599" spans="1:1">
      <c r="A3599" s="151" t="s">
        <v>5575</v>
      </c>
    </row>
    <row r="3600" spans="1:1">
      <c r="A3600" s="151" t="s">
        <v>5576</v>
      </c>
    </row>
    <row r="3601" spans="1:1">
      <c r="A3601" s="151" t="s">
        <v>5577</v>
      </c>
    </row>
    <row r="3602" spans="1:1">
      <c r="A3602" s="151" t="s">
        <v>5578</v>
      </c>
    </row>
    <row r="3603" spans="1:1">
      <c r="A3603" s="151" t="s">
        <v>5579</v>
      </c>
    </row>
    <row r="3604" spans="1:1">
      <c r="A3604" s="151" t="s">
        <v>5580</v>
      </c>
    </row>
    <row r="3605" spans="1:1">
      <c r="A3605" s="151" t="s">
        <v>5581</v>
      </c>
    </row>
    <row r="3606" spans="1:1">
      <c r="A3606" s="151" t="s">
        <v>5582</v>
      </c>
    </row>
    <row r="3607" spans="1:1">
      <c r="A3607" s="151" t="s">
        <v>5583</v>
      </c>
    </row>
    <row r="3608" spans="1:1">
      <c r="A3608" s="151" t="s">
        <v>5584</v>
      </c>
    </row>
    <row r="3609" spans="1:1">
      <c r="A3609" s="151" t="s">
        <v>5585</v>
      </c>
    </row>
    <row r="3610" spans="1:1">
      <c r="A3610" s="151" t="s">
        <v>5586</v>
      </c>
    </row>
    <row r="3611" spans="1:1">
      <c r="A3611" s="151" t="s">
        <v>5587</v>
      </c>
    </row>
    <row r="3612" spans="1:1">
      <c r="A3612" s="151" t="s">
        <v>5588</v>
      </c>
    </row>
    <row r="3613" spans="1:1">
      <c r="A3613" s="151" t="s">
        <v>5589</v>
      </c>
    </row>
    <row r="3614" spans="1:1">
      <c r="A3614" s="151" t="s">
        <v>5590</v>
      </c>
    </row>
    <row r="3615" spans="1:1">
      <c r="A3615" s="151" t="s">
        <v>5591</v>
      </c>
    </row>
    <row r="3616" spans="1:1">
      <c r="A3616" s="151" t="s">
        <v>5592</v>
      </c>
    </row>
    <row r="3617" spans="1:1">
      <c r="A3617" s="151" t="s">
        <v>5593</v>
      </c>
    </row>
    <row r="3618" spans="1:1">
      <c r="A3618" s="151" t="s">
        <v>5594</v>
      </c>
    </row>
    <row r="3619" spans="1:1">
      <c r="A3619" s="151" t="s">
        <v>5595</v>
      </c>
    </row>
    <row r="3620" spans="1:1">
      <c r="A3620" s="151" t="s">
        <v>5596</v>
      </c>
    </row>
    <row r="3621" spans="1:1">
      <c r="A3621" s="151" t="s">
        <v>5597</v>
      </c>
    </row>
    <row r="3622" spans="1:1">
      <c r="A3622" s="151" t="s">
        <v>5598</v>
      </c>
    </row>
    <row r="3623" spans="1:1">
      <c r="A3623" s="151" t="s">
        <v>5599</v>
      </c>
    </row>
    <row r="3624" spans="1:1">
      <c r="A3624" s="151" t="s">
        <v>5600</v>
      </c>
    </row>
    <row r="3625" spans="1:1">
      <c r="A3625" s="151" t="s">
        <v>5601</v>
      </c>
    </row>
    <row r="3626" spans="1:1">
      <c r="A3626" s="151" t="s">
        <v>5602</v>
      </c>
    </row>
    <row r="3627" spans="1:1">
      <c r="A3627" s="151" t="s">
        <v>5603</v>
      </c>
    </row>
    <row r="3628" spans="1:1">
      <c r="A3628" s="151" t="s">
        <v>5604</v>
      </c>
    </row>
    <row r="3629" spans="1:1">
      <c r="A3629" s="151" t="s">
        <v>5605</v>
      </c>
    </row>
    <row r="3630" spans="1:1">
      <c r="A3630" s="151" t="s">
        <v>5606</v>
      </c>
    </row>
    <row r="3631" spans="1:1">
      <c r="A3631" s="151" t="s">
        <v>5607</v>
      </c>
    </row>
    <row r="3632" spans="1:1">
      <c r="A3632" s="151" t="s">
        <v>5608</v>
      </c>
    </row>
    <row r="3633" spans="1:1">
      <c r="A3633" s="151" t="s">
        <v>5609</v>
      </c>
    </row>
    <row r="3634" spans="1:1">
      <c r="A3634" s="151" t="s">
        <v>5610</v>
      </c>
    </row>
    <row r="3635" spans="1:1">
      <c r="A3635" s="151" t="s">
        <v>5611</v>
      </c>
    </row>
    <row r="3636" spans="1:1">
      <c r="A3636" s="151" t="s">
        <v>5612</v>
      </c>
    </row>
    <row r="3637" spans="1:1">
      <c r="A3637" s="151" t="s">
        <v>5613</v>
      </c>
    </row>
    <row r="3638" spans="1:1">
      <c r="A3638" s="151" t="s">
        <v>5614</v>
      </c>
    </row>
    <row r="3639" spans="1:1">
      <c r="A3639" s="151" t="s">
        <v>5615</v>
      </c>
    </row>
    <row r="3640" spans="1:1">
      <c r="A3640" s="151" t="s">
        <v>5616</v>
      </c>
    </row>
    <row r="3641" spans="1:1">
      <c r="A3641" s="151" t="s">
        <v>5617</v>
      </c>
    </row>
    <row r="3642" spans="1:1">
      <c r="A3642" s="151" t="s">
        <v>5618</v>
      </c>
    </row>
    <row r="3643" spans="1:1">
      <c r="A3643" s="151" t="s">
        <v>5619</v>
      </c>
    </row>
    <row r="3644" spans="1:1">
      <c r="A3644" s="151" t="s">
        <v>5620</v>
      </c>
    </row>
    <row r="3645" spans="1:1">
      <c r="A3645" s="151" t="s">
        <v>5621</v>
      </c>
    </row>
    <row r="3646" spans="1:1">
      <c r="A3646" s="151" t="s">
        <v>5622</v>
      </c>
    </row>
    <row r="3647" spans="1:1">
      <c r="A3647" s="151" t="s">
        <v>5623</v>
      </c>
    </row>
    <row r="3648" spans="1:1">
      <c r="A3648" s="151" t="s">
        <v>5624</v>
      </c>
    </row>
    <row r="3649" spans="1:1">
      <c r="A3649" s="151" t="s">
        <v>5625</v>
      </c>
    </row>
    <row r="3650" spans="1:1">
      <c r="A3650" s="151" t="s">
        <v>5626</v>
      </c>
    </row>
    <row r="3651" spans="1:1">
      <c r="A3651" s="151" t="s">
        <v>5627</v>
      </c>
    </row>
    <row r="3652" spans="1:1">
      <c r="A3652" s="151" t="s">
        <v>5628</v>
      </c>
    </row>
    <row r="3653" spans="1:1">
      <c r="A3653" s="151" t="s">
        <v>5629</v>
      </c>
    </row>
    <row r="3654" spans="1:1">
      <c r="A3654" s="151" t="s">
        <v>5630</v>
      </c>
    </row>
    <row r="3655" spans="1:1">
      <c r="A3655" s="151" t="s">
        <v>5631</v>
      </c>
    </row>
    <row r="3656" spans="1:1">
      <c r="A3656" s="151" t="s">
        <v>5632</v>
      </c>
    </row>
    <row r="3657" spans="1:1">
      <c r="A3657" s="151" t="s">
        <v>5633</v>
      </c>
    </row>
    <row r="3658" spans="1:1">
      <c r="A3658" s="151" t="s">
        <v>5634</v>
      </c>
    </row>
    <row r="3659" spans="1:1">
      <c r="A3659" s="151" t="s">
        <v>5635</v>
      </c>
    </row>
    <row r="3660" spans="1:1">
      <c r="A3660" s="151" t="s">
        <v>5636</v>
      </c>
    </row>
    <row r="3661" spans="1:1">
      <c r="A3661" s="151" t="s">
        <v>5637</v>
      </c>
    </row>
    <row r="3662" spans="1:1">
      <c r="A3662" s="151" t="s">
        <v>5638</v>
      </c>
    </row>
    <row r="3663" spans="1:1">
      <c r="A3663" s="151" t="s">
        <v>5639</v>
      </c>
    </row>
    <row r="3664" spans="1:1">
      <c r="A3664" s="151" t="s">
        <v>5640</v>
      </c>
    </row>
    <row r="3665" spans="1:1">
      <c r="A3665" s="151" t="s">
        <v>5641</v>
      </c>
    </row>
    <row r="3666" spans="1:1">
      <c r="A3666" s="151" t="s">
        <v>5642</v>
      </c>
    </row>
    <row r="3667" spans="1:1">
      <c r="A3667" s="151" t="s">
        <v>5643</v>
      </c>
    </row>
    <row r="3668" spans="1:1">
      <c r="A3668" s="151" t="s">
        <v>5644</v>
      </c>
    </row>
    <row r="3669" spans="1:1">
      <c r="A3669" s="151" t="s">
        <v>5645</v>
      </c>
    </row>
    <row r="3670" spans="1:1">
      <c r="A3670" s="151" t="s">
        <v>5646</v>
      </c>
    </row>
    <row r="3671" spans="1:1">
      <c r="A3671" s="151" t="s">
        <v>5647</v>
      </c>
    </row>
    <row r="3672" spans="1:1">
      <c r="A3672" s="151" t="s">
        <v>5648</v>
      </c>
    </row>
    <row r="3673" spans="1:1">
      <c r="A3673" s="151" t="s">
        <v>5649</v>
      </c>
    </row>
    <row r="3674" spans="1:1">
      <c r="A3674" s="151" t="s">
        <v>5650</v>
      </c>
    </row>
    <row r="3675" spans="1:1">
      <c r="A3675" s="151" t="s">
        <v>5651</v>
      </c>
    </row>
    <row r="3676" spans="1:1">
      <c r="A3676" s="151" t="s">
        <v>5652</v>
      </c>
    </row>
    <row r="3677" spans="1:1">
      <c r="A3677" s="151" t="s">
        <v>5653</v>
      </c>
    </row>
    <row r="3678" spans="1:1">
      <c r="A3678" s="151" t="s">
        <v>5654</v>
      </c>
    </row>
    <row r="3679" spans="1:1">
      <c r="A3679" s="151" t="s">
        <v>5655</v>
      </c>
    </row>
    <row r="3680" spans="1:1">
      <c r="A3680" s="151" t="s">
        <v>5656</v>
      </c>
    </row>
    <row r="3681" spans="1:1">
      <c r="A3681" s="151" t="s">
        <v>5657</v>
      </c>
    </row>
    <row r="3682" spans="1:1">
      <c r="A3682" s="151" t="s">
        <v>5658</v>
      </c>
    </row>
    <row r="3683" spans="1:1">
      <c r="A3683" s="151" t="s">
        <v>5659</v>
      </c>
    </row>
    <row r="3684" spans="1:1">
      <c r="A3684" s="151" t="s">
        <v>5660</v>
      </c>
    </row>
    <row r="3685" spans="1:1">
      <c r="A3685" s="151" t="s">
        <v>5661</v>
      </c>
    </row>
    <row r="3686" spans="1:1">
      <c r="A3686" s="151" t="s">
        <v>5662</v>
      </c>
    </row>
    <row r="3687" spans="1:1">
      <c r="A3687" s="151" t="s">
        <v>5663</v>
      </c>
    </row>
    <row r="3688" spans="1:1">
      <c r="A3688" s="151" t="s">
        <v>5664</v>
      </c>
    </row>
    <row r="3689" spans="1:1">
      <c r="A3689" s="151" t="s">
        <v>5665</v>
      </c>
    </row>
    <row r="3690" spans="1:1">
      <c r="A3690" s="151" t="s">
        <v>5666</v>
      </c>
    </row>
    <row r="3691" spans="1:1">
      <c r="A3691" s="151" t="s">
        <v>5667</v>
      </c>
    </row>
    <row r="3692" spans="1:1">
      <c r="A3692" s="151" t="s">
        <v>5668</v>
      </c>
    </row>
    <row r="3693" spans="1:1">
      <c r="A3693" s="151" t="s">
        <v>5669</v>
      </c>
    </row>
    <row r="3694" spans="1:1">
      <c r="A3694" s="151" t="s">
        <v>5670</v>
      </c>
    </row>
    <row r="3695" spans="1:1">
      <c r="A3695" s="151" t="s">
        <v>5671</v>
      </c>
    </row>
    <row r="3696" spans="1:1">
      <c r="A3696" s="151" t="s">
        <v>5672</v>
      </c>
    </row>
    <row r="3697" spans="1:1">
      <c r="A3697" s="151" t="s">
        <v>5673</v>
      </c>
    </row>
    <row r="3698" spans="1:1">
      <c r="A3698" s="151" t="s">
        <v>5674</v>
      </c>
    </row>
    <row r="3699" spans="1:1">
      <c r="A3699" s="151" t="s">
        <v>5675</v>
      </c>
    </row>
    <row r="3700" spans="1:1">
      <c r="A3700" s="151" t="s">
        <v>5676</v>
      </c>
    </row>
    <row r="3701" spans="1:1">
      <c r="A3701" s="151" t="s">
        <v>5677</v>
      </c>
    </row>
    <row r="3702" spans="1:1">
      <c r="A3702" s="151" t="s">
        <v>5678</v>
      </c>
    </row>
    <row r="3703" spans="1:1">
      <c r="A3703" s="151" t="s">
        <v>5679</v>
      </c>
    </row>
    <row r="3704" spans="1:1">
      <c r="A3704" s="151" t="s">
        <v>5680</v>
      </c>
    </row>
    <row r="3705" spans="1:1">
      <c r="A3705" s="151" t="s">
        <v>5681</v>
      </c>
    </row>
    <row r="3706" spans="1:1">
      <c r="A3706" s="151" t="s">
        <v>5682</v>
      </c>
    </row>
    <row r="3707" spans="1:1">
      <c r="A3707" s="151" t="s">
        <v>5683</v>
      </c>
    </row>
    <row r="3708" spans="1:1">
      <c r="A3708" s="151" t="s">
        <v>5684</v>
      </c>
    </row>
    <row r="3709" spans="1:1">
      <c r="A3709" s="151" t="s">
        <v>5685</v>
      </c>
    </row>
    <row r="3710" spans="1:1">
      <c r="A3710" s="151" t="s">
        <v>5686</v>
      </c>
    </row>
    <row r="3711" spans="1:1">
      <c r="A3711" s="151" t="s">
        <v>5687</v>
      </c>
    </row>
    <row r="3712" spans="1:1">
      <c r="A3712" s="151" t="s">
        <v>5688</v>
      </c>
    </row>
    <row r="3713" spans="1:1">
      <c r="A3713" s="151" t="s">
        <v>5689</v>
      </c>
    </row>
    <row r="3714" spans="1:1">
      <c r="A3714" s="151" t="s">
        <v>5690</v>
      </c>
    </row>
    <row r="3715" spans="1:1">
      <c r="A3715" s="151" t="s">
        <v>5691</v>
      </c>
    </row>
    <row r="3716" spans="1:1">
      <c r="A3716" s="151" t="s">
        <v>5692</v>
      </c>
    </row>
    <row r="3717" spans="1:1">
      <c r="A3717" s="151" t="s">
        <v>5693</v>
      </c>
    </row>
    <row r="3718" spans="1:1">
      <c r="A3718" s="151" t="s">
        <v>5694</v>
      </c>
    </row>
    <row r="3719" spans="1:1">
      <c r="A3719" s="151" t="s">
        <v>5695</v>
      </c>
    </row>
    <row r="3720" spans="1:1">
      <c r="A3720" s="151" t="s">
        <v>5696</v>
      </c>
    </row>
    <row r="3721" spans="1:1">
      <c r="A3721" s="151" t="s">
        <v>5697</v>
      </c>
    </row>
    <row r="3722" spans="1:1">
      <c r="A3722" s="151" t="s">
        <v>5698</v>
      </c>
    </row>
    <row r="3723" spans="1:1">
      <c r="A3723" s="151" t="s">
        <v>5699</v>
      </c>
    </row>
    <row r="3724" spans="1:1">
      <c r="A3724" s="151" t="s">
        <v>5700</v>
      </c>
    </row>
    <row r="3725" spans="1:1">
      <c r="A3725" s="151" t="s">
        <v>5701</v>
      </c>
    </row>
    <row r="3726" spans="1:1">
      <c r="A3726" s="151" t="s">
        <v>5702</v>
      </c>
    </row>
    <row r="3727" spans="1:1">
      <c r="A3727" s="151" t="s">
        <v>5703</v>
      </c>
    </row>
    <row r="3728" spans="1:1">
      <c r="A3728" s="151" t="s">
        <v>5704</v>
      </c>
    </row>
    <row r="3729" spans="1:1">
      <c r="A3729" s="151" t="s">
        <v>5705</v>
      </c>
    </row>
    <row r="3730" spans="1:1">
      <c r="A3730" s="151" t="s">
        <v>5706</v>
      </c>
    </row>
    <row r="3731" spans="1:1">
      <c r="A3731" s="151" t="s">
        <v>5707</v>
      </c>
    </row>
    <row r="3732" spans="1:1">
      <c r="A3732" s="151" t="s">
        <v>5708</v>
      </c>
    </row>
    <row r="3733" spans="1:1">
      <c r="A3733" s="151" t="s">
        <v>5709</v>
      </c>
    </row>
    <row r="3734" spans="1:1">
      <c r="A3734" s="151" t="s">
        <v>5710</v>
      </c>
    </row>
    <row r="3735" spans="1:1">
      <c r="A3735" s="151" t="s">
        <v>5711</v>
      </c>
    </row>
    <row r="3736" spans="1:1">
      <c r="A3736" s="151" t="s">
        <v>5712</v>
      </c>
    </row>
    <row r="3737" spans="1:1">
      <c r="A3737" s="151" t="s">
        <v>5713</v>
      </c>
    </row>
    <row r="3738" spans="1:1">
      <c r="A3738" s="151" t="s">
        <v>5714</v>
      </c>
    </row>
    <row r="3739" spans="1:1">
      <c r="A3739" s="151" t="s">
        <v>5715</v>
      </c>
    </row>
    <row r="3740" spans="1:1">
      <c r="A3740" s="151" t="s">
        <v>5716</v>
      </c>
    </row>
    <row r="3741" spans="1:1">
      <c r="A3741" s="151" t="s">
        <v>5717</v>
      </c>
    </row>
    <row r="3742" spans="1:1">
      <c r="A3742" s="151" t="s">
        <v>5718</v>
      </c>
    </row>
    <row r="3743" spans="1:1">
      <c r="A3743" s="151" t="s">
        <v>5719</v>
      </c>
    </row>
    <row r="3744" spans="1:1">
      <c r="A3744" s="151" t="s">
        <v>5720</v>
      </c>
    </row>
    <row r="3745" spans="1:1">
      <c r="A3745" s="151" t="s">
        <v>5721</v>
      </c>
    </row>
    <row r="3746" spans="1:1">
      <c r="A3746" s="151" t="s">
        <v>5722</v>
      </c>
    </row>
    <row r="3747" spans="1:1">
      <c r="A3747" s="151" t="s">
        <v>5723</v>
      </c>
    </row>
    <row r="3748" spans="1:1">
      <c r="A3748" s="151" t="s">
        <v>5724</v>
      </c>
    </row>
    <row r="3749" spans="1:1">
      <c r="A3749" s="151" t="s">
        <v>5725</v>
      </c>
    </row>
    <row r="3750" spans="1:1">
      <c r="A3750" s="151" t="s">
        <v>5726</v>
      </c>
    </row>
    <row r="3751" spans="1:1">
      <c r="A3751" s="151" t="s">
        <v>5727</v>
      </c>
    </row>
    <row r="3752" spans="1:1">
      <c r="A3752" s="151" t="s">
        <v>5728</v>
      </c>
    </row>
    <row r="3753" spans="1:1">
      <c r="A3753" s="151" t="s">
        <v>5729</v>
      </c>
    </row>
    <row r="3754" spans="1:1">
      <c r="A3754" s="151" t="s">
        <v>5730</v>
      </c>
    </row>
    <row r="3755" spans="1:1">
      <c r="A3755" s="151" t="s">
        <v>5731</v>
      </c>
    </row>
    <row r="3756" spans="1:1">
      <c r="A3756" s="151" t="s">
        <v>5732</v>
      </c>
    </row>
    <row r="3757" spans="1:1">
      <c r="A3757" s="151" t="s">
        <v>5733</v>
      </c>
    </row>
    <row r="3758" spans="1:1">
      <c r="A3758" s="151" t="s">
        <v>5734</v>
      </c>
    </row>
    <row r="3759" spans="1:1">
      <c r="A3759" s="151" t="s">
        <v>5735</v>
      </c>
    </row>
    <row r="3760" spans="1:1">
      <c r="A3760" s="151" t="s">
        <v>5736</v>
      </c>
    </row>
    <row r="3761" spans="1:1">
      <c r="A3761" s="151" t="s">
        <v>5737</v>
      </c>
    </row>
    <row r="3762" spans="1:1">
      <c r="A3762" s="151" t="s">
        <v>5738</v>
      </c>
    </row>
    <row r="3763" spans="1:1">
      <c r="A3763" s="151" t="s">
        <v>5739</v>
      </c>
    </row>
    <row r="3764" spans="1:1">
      <c r="A3764" s="151" t="s">
        <v>5740</v>
      </c>
    </row>
    <row r="3765" spans="1:1">
      <c r="A3765" s="151" t="s">
        <v>5741</v>
      </c>
    </row>
    <row r="3766" spans="1:1">
      <c r="A3766" s="151" t="s">
        <v>5742</v>
      </c>
    </row>
    <row r="3767" spans="1:1">
      <c r="A3767" s="151" t="s">
        <v>5743</v>
      </c>
    </row>
    <row r="3768" spans="1:1">
      <c r="A3768" s="151" t="s">
        <v>5744</v>
      </c>
    </row>
    <row r="3769" spans="1:1">
      <c r="A3769" s="151" t="s">
        <v>5745</v>
      </c>
    </row>
    <row r="3770" spans="1:1">
      <c r="A3770" s="151" t="s">
        <v>5746</v>
      </c>
    </row>
    <row r="3771" spans="1:1">
      <c r="A3771" s="151" t="s">
        <v>5747</v>
      </c>
    </row>
    <row r="3772" spans="1:1">
      <c r="A3772" s="151" t="s">
        <v>5748</v>
      </c>
    </row>
    <row r="3773" spans="1:1">
      <c r="A3773" s="151" t="s">
        <v>5749</v>
      </c>
    </row>
    <row r="3774" spans="1:1">
      <c r="A3774" s="151" t="s">
        <v>5750</v>
      </c>
    </row>
    <row r="3775" spans="1:1">
      <c r="A3775" s="151" t="s">
        <v>5751</v>
      </c>
    </row>
    <row r="3776" spans="1:1">
      <c r="A3776" s="151" t="s">
        <v>5752</v>
      </c>
    </row>
    <row r="3777" spans="1:1">
      <c r="A3777" s="151" t="s">
        <v>5753</v>
      </c>
    </row>
    <row r="3778" spans="1:1">
      <c r="A3778" s="151" t="s">
        <v>5754</v>
      </c>
    </row>
    <row r="3779" spans="1:1">
      <c r="A3779" s="151" t="s">
        <v>5755</v>
      </c>
    </row>
    <row r="3780" spans="1:1">
      <c r="A3780" s="151" t="s">
        <v>5756</v>
      </c>
    </row>
    <row r="3781" spans="1:1">
      <c r="A3781" s="151" t="s">
        <v>5757</v>
      </c>
    </row>
    <row r="3782" spans="1:1">
      <c r="A3782" s="151" t="s">
        <v>5758</v>
      </c>
    </row>
    <row r="3783" spans="1:1">
      <c r="A3783" s="151" t="s">
        <v>5759</v>
      </c>
    </row>
    <row r="3784" spans="1:1">
      <c r="A3784" s="151" t="s">
        <v>5760</v>
      </c>
    </row>
    <row r="3785" spans="1:1">
      <c r="A3785" s="151" t="s">
        <v>5761</v>
      </c>
    </row>
    <row r="3786" spans="1:1">
      <c r="A3786" s="151" t="s">
        <v>5762</v>
      </c>
    </row>
    <row r="3787" spans="1:1">
      <c r="A3787" s="151" t="s">
        <v>5763</v>
      </c>
    </row>
    <row r="3788" spans="1:1">
      <c r="A3788" s="151" t="s">
        <v>5764</v>
      </c>
    </row>
    <row r="3789" spans="1:1">
      <c r="A3789" s="151" t="s">
        <v>5765</v>
      </c>
    </row>
    <row r="3790" spans="1:1">
      <c r="A3790" s="151" t="s">
        <v>5766</v>
      </c>
    </row>
    <row r="3791" spans="1:1">
      <c r="A3791" s="151" t="s">
        <v>5767</v>
      </c>
    </row>
    <row r="3792" spans="1:1">
      <c r="A3792" s="151" t="s">
        <v>5768</v>
      </c>
    </row>
    <row r="3793" spans="1:1">
      <c r="A3793" s="151" t="s">
        <v>5769</v>
      </c>
    </row>
    <row r="3794" spans="1:1">
      <c r="A3794" s="151" t="s">
        <v>5770</v>
      </c>
    </row>
    <row r="3795" spans="1:1">
      <c r="A3795" s="151" t="s">
        <v>5771</v>
      </c>
    </row>
    <row r="3796" spans="1:1">
      <c r="A3796" s="151" t="s">
        <v>5772</v>
      </c>
    </row>
    <row r="3797" spans="1:1">
      <c r="A3797" s="151" t="s">
        <v>5773</v>
      </c>
    </row>
    <row r="3798" spans="1:1">
      <c r="A3798" s="151" t="s">
        <v>5774</v>
      </c>
    </row>
    <row r="3799" spans="1:1">
      <c r="A3799" s="151" t="s">
        <v>5775</v>
      </c>
    </row>
    <row r="3800" spans="1:1">
      <c r="A3800" s="151" t="s">
        <v>5776</v>
      </c>
    </row>
    <row r="3801" spans="1:1">
      <c r="A3801" s="151" t="s">
        <v>5777</v>
      </c>
    </row>
    <row r="3802" spans="1:1">
      <c r="A3802" s="151" t="s">
        <v>5778</v>
      </c>
    </row>
    <row r="3803" spans="1:1">
      <c r="A3803" s="151" t="s">
        <v>5779</v>
      </c>
    </row>
    <row r="3804" spans="1:1">
      <c r="A3804" s="151" t="s">
        <v>5780</v>
      </c>
    </row>
    <row r="3805" spans="1:1">
      <c r="A3805" s="151" t="s">
        <v>5781</v>
      </c>
    </row>
    <row r="3806" spans="1:1">
      <c r="A3806" s="151" t="s">
        <v>5782</v>
      </c>
    </row>
    <row r="3807" spans="1:1">
      <c r="A3807" s="151" t="s">
        <v>5783</v>
      </c>
    </row>
    <row r="3808" spans="1:1">
      <c r="A3808" s="151" t="s">
        <v>5784</v>
      </c>
    </row>
    <row r="3809" spans="1:1">
      <c r="A3809" s="151" t="s">
        <v>5785</v>
      </c>
    </row>
    <row r="3810" spans="1:1">
      <c r="A3810" s="151" t="s">
        <v>5786</v>
      </c>
    </row>
    <row r="3811" spans="1:1">
      <c r="A3811" s="151" t="s">
        <v>5787</v>
      </c>
    </row>
    <row r="3812" spans="1:1">
      <c r="A3812" s="151" t="s">
        <v>5788</v>
      </c>
    </row>
    <row r="3813" spans="1:1">
      <c r="A3813" s="151" t="s">
        <v>5789</v>
      </c>
    </row>
    <row r="3814" spans="1:1">
      <c r="A3814" s="151" t="s">
        <v>5790</v>
      </c>
    </row>
    <row r="3815" spans="1:1">
      <c r="A3815" s="151" t="s">
        <v>5791</v>
      </c>
    </row>
    <row r="3816" spans="1:1">
      <c r="A3816" s="151" t="s">
        <v>5792</v>
      </c>
    </row>
    <row r="3817" spans="1:1">
      <c r="A3817" s="151" t="s">
        <v>5793</v>
      </c>
    </row>
    <row r="3818" spans="1:1">
      <c r="A3818" s="151" t="s">
        <v>5794</v>
      </c>
    </row>
    <row r="3819" spans="1:1">
      <c r="A3819" s="151" t="s">
        <v>5795</v>
      </c>
    </row>
    <row r="3820" spans="1:1">
      <c r="A3820" s="151" t="s">
        <v>5796</v>
      </c>
    </row>
    <row r="3821" spans="1:1">
      <c r="A3821" s="151" t="s">
        <v>5797</v>
      </c>
    </row>
    <row r="3822" spans="1:1">
      <c r="A3822" s="151" t="s">
        <v>5798</v>
      </c>
    </row>
    <row r="3823" spans="1:1">
      <c r="A3823" s="151" t="s">
        <v>5799</v>
      </c>
    </row>
    <row r="3824" spans="1:1">
      <c r="A3824" s="151" t="s">
        <v>5800</v>
      </c>
    </row>
    <row r="3825" spans="1:1">
      <c r="A3825" s="151" t="s">
        <v>5801</v>
      </c>
    </row>
    <row r="3826" spans="1:1">
      <c r="A3826" s="151" t="s">
        <v>5802</v>
      </c>
    </row>
    <row r="3827" spans="1:1">
      <c r="A3827" s="151" t="s">
        <v>5803</v>
      </c>
    </row>
    <row r="3828" spans="1:1">
      <c r="A3828" s="151" t="s">
        <v>5804</v>
      </c>
    </row>
    <row r="3829" spans="1:1">
      <c r="A3829" s="151" t="s">
        <v>5805</v>
      </c>
    </row>
    <row r="3830" spans="1:1">
      <c r="A3830" s="151" t="s">
        <v>5806</v>
      </c>
    </row>
    <row r="3831" spans="1:1">
      <c r="A3831" s="151" t="s">
        <v>5807</v>
      </c>
    </row>
    <row r="3832" spans="1:1">
      <c r="A3832" s="151" t="s">
        <v>5808</v>
      </c>
    </row>
    <row r="3833" spans="1:1">
      <c r="A3833" s="151" t="s">
        <v>5809</v>
      </c>
    </row>
    <row r="3834" spans="1:1">
      <c r="A3834" s="151" t="s">
        <v>5810</v>
      </c>
    </row>
    <row r="3835" spans="1:1">
      <c r="A3835" s="151" t="s">
        <v>5811</v>
      </c>
    </row>
    <row r="3836" spans="1:1">
      <c r="A3836" s="151" t="s">
        <v>5812</v>
      </c>
    </row>
    <row r="3837" spans="1:1">
      <c r="A3837" s="151" t="s">
        <v>5813</v>
      </c>
    </row>
    <row r="3838" spans="1:1">
      <c r="A3838" s="151" t="s">
        <v>5814</v>
      </c>
    </row>
    <row r="3839" spans="1:1">
      <c r="A3839" s="151" t="s">
        <v>5815</v>
      </c>
    </row>
    <row r="3840" spans="1:1">
      <c r="A3840" s="151" t="s">
        <v>5816</v>
      </c>
    </row>
    <row r="3841" spans="1:1">
      <c r="A3841" s="151" t="s">
        <v>5817</v>
      </c>
    </row>
    <row r="3842" spans="1:1">
      <c r="A3842" s="151" t="s">
        <v>5818</v>
      </c>
    </row>
    <row r="3843" spans="1:1">
      <c r="A3843" s="151" t="s">
        <v>5819</v>
      </c>
    </row>
    <row r="3844" spans="1:1">
      <c r="A3844" s="151" t="s">
        <v>5820</v>
      </c>
    </row>
    <row r="3845" spans="1:1">
      <c r="A3845" s="151" t="s">
        <v>5821</v>
      </c>
    </row>
    <row r="3846" spans="1:1">
      <c r="A3846" s="151" t="s">
        <v>5822</v>
      </c>
    </row>
    <row r="3847" spans="1:1">
      <c r="A3847" s="151" t="s">
        <v>5823</v>
      </c>
    </row>
    <row r="3848" spans="1:1">
      <c r="A3848" s="151" t="s">
        <v>5824</v>
      </c>
    </row>
    <row r="3849" spans="1:1">
      <c r="A3849" s="151" t="s">
        <v>5825</v>
      </c>
    </row>
    <row r="3850" spans="1:1">
      <c r="A3850" s="151" t="s">
        <v>5826</v>
      </c>
    </row>
    <row r="3851" spans="1:1">
      <c r="A3851" s="151" t="s">
        <v>5827</v>
      </c>
    </row>
    <row r="3852" spans="1:1">
      <c r="A3852" s="151" t="s">
        <v>5828</v>
      </c>
    </row>
    <row r="3853" spans="1:1">
      <c r="A3853" s="151" t="s">
        <v>5829</v>
      </c>
    </row>
    <row r="3854" spans="1:1">
      <c r="A3854" s="151" t="s">
        <v>5830</v>
      </c>
    </row>
    <row r="3855" spans="1:1">
      <c r="A3855" s="151" t="s">
        <v>5831</v>
      </c>
    </row>
    <row r="3856" spans="1:1">
      <c r="A3856" s="151" t="s">
        <v>5832</v>
      </c>
    </row>
    <row r="3857" spans="1:1">
      <c r="A3857" s="151" t="s">
        <v>5833</v>
      </c>
    </row>
    <row r="3858" spans="1:1">
      <c r="A3858" s="151" t="s">
        <v>5834</v>
      </c>
    </row>
    <row r="3859" spans="1:1">
      <c r="A3859" s="151" t="s">
        <v>5835</v>
      </c>
    </row>
    <row r="3860" spans="1:1">
      <c r="A3860" s="151" t="s">
        <v>5836</v>
      </c>
    </row>
    <row r="3861" spans="1:1">
      <c r="A3861" s="151" t="s">
        <v>5837</v>
      </c>
    </row>
    <row r="3862" spans="1:1">
      <c r="A3862" s="151" t="s">
        <v>5838</v>
      </c>
    </row>
    <row r="3863" spans="1:1">
      <c r="A3863" s="151" t="s">
        <v>5839</v>
      </c>
    </row>
    <row r="3864" spans="1:1">
      <c r="A3864" s="151" t="s">
        <v>5840</v>
      </c>
    </row>
    <row r="3865" spans="1:1">
      <c r="A3865" s="151" t="s">
        <v>5841</v>
      </c>
    </row>
    <row r="3866" spans="1:1">
      <c r="A3866" s="151" t="s">
        <v>5842</v>
      </c>
    </row>
    <row r="3867" spans="1:1">
      <c r="A3867" s="151" t="s">
        <v>5843</v>
      </c>
    </row>
    <row r="3868" spans="1:1">
      <c r="A3868" s="151" t="s">
        <v>5844</v>
      </c>
    </row>
    <row r="3869" spans="1:1">
      <c r="A3869" s="151" t="s">
        <v>5845</v>
      </c>
    </row>
    <row r="3870" spans="1:1">
      <c r="A3870" s="151" t="s">
        <v>5846</v>
      </c>
    </row>
    <row r="3871" spans="1:1">
      <c r="A3871" s="151" t="s">
        <v>5847</v>
      </c>
    </row>
    <row r="3872" spans="1:1">
      <c r="A3872" s="151" t="s">
        <v>5848</v>
      </c>
    </row>
    <row r="3873" spans="1:1">
      <c r="A3873" s="151" t="s">
        <v>5849</v>
      </c>
    </row>
    <row r="3874" spans="1:1">
      <c r="A3874" s="151" t="s">
        <v>5850</v>
      </c>
    </row>
    <row r="3875" spans="1:1">
      <c r="A3875" s="151" t="s">
        <v>5851</v>
      </c>
    </row>
    <row r="3876" spans="1:1">
      <c r="A3876" s="151" t="s">
        <v>5852</v>
      </c>
    </row>
    <row r="3877" spans="1:1">
      <c r="A3877" s="151" t="s">
        <v>5853</v>
      </c>
    </row>
    <row r="3878" spans="1:1">
      <c r="A3878" s="151" t="s">
        <v>5854</v>
      </c>
    </row>
    <row r="3879" spans="1:1">
      <c r="A3879" s="151" t="s">
        <v>5855</v>
      </c>
    </row>
    <row r="3880" spans="1:1">
      <c r="A3880" s="151" t="s">
        <v>5856</v>
      </c>
    </row>
    <row r="3881" spans="1:1">
      <c r="A3881" s="151" t="s">
        <v>5857</v>
      </c>
    </row>
    <row r="3882" spans="1:1">
      <c r="A3882" s="151" t="s">
        <v>5858</v>
      </c>
    </row>
    <row r="3883" spans="1:1">
      <c r="A3883" s="151" t="s">
        <v>5859</v>
      </c>
    </row>
    <row r="3884" spans="1:1">
      <c r="A3884" s="151" t="s">
        <v>5860</v>
      </c>
    </row>
    <row r="3885" spans="1:1">
      <c r="A3885" s="151" t="s">
        <v>5861</v>
      </c>
    </row>
    <row r="3886" spans="1:1">
      <c r="A3886" s="151" t="s">
        <v>5862</v>
      </c>
    </row>
    <row r="3887" spans="1:1">
      <c r="A3887" s="151" t="s">
        <v>5863</v>
      </c>
    </row>
    <row r="3888" spans="1:1">
      <c r="A3888" s="151" t="s">
        <v>5864</v>
      </c>
    </row>
    <row r="3889" spans="1:1">
      <c r="A3889" s="151" t="s">
        <v>5865</v>
      </c>
    </row>
    <row r="3890" spans="1:1">
      <c r="A3890" s="151" t="s">
        <v>5866</v>
      </c>
    </row>
    <row r="3891" spans="1:1">
      <c r="A3891" s="151" t="s">
        <v>5867</v>
      </c>
    </row>
    <row r="3892" spans="1:1">
      <c r="A3892" s="151" t="s">
        <v>5868</v>
      </c>
    </row>
    <row r="3893" spans="1:1">
      <c r="A3893" s="151" t="s">
        <v>5869</v>
      </c>
    </row>
    <row r="3894" spans="1:1">
      <c r="A3894" s="151" t="s">
        <v>5870</v>
      </c>
    </row>
    <row r="3895" spans="1:1">
      <c r="A3895" s="151" t="s">
        <v>5871</v>
      </c>
    </row>
    <row r="3896" spans="1:1">
      <c r="A3896" s="151" t="s">
        <v>5872</v>
      </c>
    </row>
    <row r="3897" spans="1:1">
      <c r="A3897" s="151" t="s">
        <v>5873</v>
      </c>
    </row>
    <row r="3898" spans="1:1">
      <c r="A3898" s="151" t="s">
        <v>5874</v>
      </c>
    </row>
    <row r="3899" spans="1:1">
      <c r="A3899" s="151" t="s">
        <v>5875</v>
      </c>
    </row>
    <row r="3900" spans="1:1">
      <c r="A3900" s="151" t="s">
        <v>5876</v>
      </c>
    </row>
    <row r="3901" spans="1:1">
      <c r="A3901" s="151" t="s">
        <v>5877</v>
      </c>
    </row>
    <row r="3902" spans="1:1">
      <c r="A3902" s="151" t="s">
        <v>5878</v>
      </c>
    </row>
    <row r="3903" spans="1:1">
      <c r="A3903" s="151" t="s">
        <v>5879</v>
      </c>
    </row>
    <row r="3904" spans="1:1">
      <c r="A3904" s="151" t="s">
        <v>5880</v>
      </c>
    </row>
    <row r="3905" spans="1:1">
      <c r="A3905" s="151" t="s">
        <v>5881</v>
      </c>
    </row>
    <row r="3906" spans="1:1">
      <c r="A3906" s="151" t="s">
        <v>5882</v>
      </c>
    </row>
    <row r="3907" spans="1:1">
      <c r="A3907" s="151" t="s">
        <v>5883</v>
      </c>
    </row>
    <row r="3908" spans="1:1">
      <c r="A3908" s="151" t="s">
        <v>5884</v>
      </c>
    </row>
    <row r="3909" spans="1:1">
      <c r="A3909" s="151" t="s">
        <v>5885</v>
      </c>
    </row>
    <row r="3910" spans="1:1">
      <c r="A3910" s="151" t="s">
        <v>5886</v>
      </c>
    </row>
    <row r="3911" spans="1:1">
      <c r="A3911" s="151" t="s">
        <v>5887</v>
      </c>
    </row>
    <row r="3912" spans="1:1">
      <c r="A3912" s="151" t="s">
        <v>5888</v>
      </c>
    </row>
    <row r="3913" spans="1:1">
      <c r="A3913" s="151" t="s">
        <v>5889</v>
      </c>
    </row>
    <row r="3914" spans="1:1">
      <c r="A3914" s="151" t="s">
        <v>5890</v>
      </c>
    </row>
    <row r="3915" spans="1:1">
      <c r="A3915" s="151" t="s">
        <v>5891</v>
      </c>
    </row>
    <row r="3916" spans="1:1">
      <c r="A3916" s="151" t="s">
        <v>5892</v>
      </c>
    </row>
    <row r="3917" spans="1:1">
      <c r="A3917" s="151" t="s">
        <v>5893</v>
      </c>
    </row>
    <row r="3918" spans="1:1">
      <c r="A3918" s="151" t="s">
        <v>5894</v>
      </c>
    </row>
    <row r="3919" spans="1:1">
      <c r="A3919" s="151" t="s">
        <v>5895</v>
      </c>
    </row>
    <row r="3920" spans="1:1">
      <c r="A3920" s="151" t="s">
        <v>5896</v>
      </c>
    </row>
    <row r="3921" spans="1:1">
      <c r="A3921" s="151" t="s">
        <v>5897</v>
      </c>
    </row>
    <row r="3922" spans="1:1">
      <c r="A3922" s="151" t="s">
        <v>5898</v>
      </c>
    </row>
    <row r="3923" spans="1:1">
      <c r="A3923" s="151" t="s">
        <v>5899</v>
      </c>
    </row>
    <row r="3924" spans="1:1">
      <c r="A3924" s="151" t="s">
        <v>5900</v>
      </c>
    </row>
    <row r="3925" spans="1:1">
      <c r="A3925" s="151" t="s">
        <v>5901</v>
      </c>
    </row>
    <row r="3926" spans="1:1">
      <c r="A3926" s="151" t="s">
        <v>5902</v>
      </c>
    </row>
    <row r="3927" spans="1:1">
      <c r="A3927" s="151" t="s">
        <v>5903</v>
      </c>
    </row>
    <row r="3928" spans="1:1">
      <c r="A3928" s="151" t="s">
        <v>5904</v>
      </c>
    </row>
    <row r="3929" spans="1:1">
      <c r="A3929" s="151" t="s">
        <v>5905</v>
      </c>
    </row>
    <row r="3930" spans="1:1">
      <c r="A3930" s="151" t="s">
        <v>5906</v>
      </c>
    </row>
    <row r="3931" spans="1:1">
      <c r="A3931" s="151" t="s">
        <v>5907</v>
      </c>
    </row>
    <row r="3932" spans="1:1">
      <c r="A3932" s="151" t="s">
        <v>5908</v>
      </c>
    </row>
    <row r="3933" spans="1:1">
      <c r="A3933" s="151" t="s">
        <v>5909</v>
      </c>
    </row>
    <row r="3934" spans="1:1">
      <c r="A3934" s="151" t="s">
        <v>5910</v>
      </c>
    </row>
    <row r="3935" spans="1:1">
      <c r="A3935" s="151" t="s">
        <v>5911</v>
      </c>
    </row>
    <row r="3936" spans="1:1">
      <c r="A3936" s="151" t="s">
        <v>5912</v>
      </c>
    </row>
    <row r="3937" spans="1:1">
      <c r="A3937" s="151" t="s">
        <v>5913</v>
      </c>
    </row>
    <row r="3938" spans="1:1">
      <c r="A3938" s="151" t="s">
        <v>5914</v>
      </c>
    </row>
    <row r="3939" spans="1:1">
      <c r="A3939" s="151" t="s">
        <v>5915</v>
      </c>
    </row>
    <row r="3940" spans="1:1">
      <c r="A3940" s="151" t="s">
        <v>5916</v>
      </c>
    </row>
    <row r="3941" spans="1:1">
      <c r="A3941" s="151" t="s">
        <v>5917</v>
      </c>
    </row>
    <row r="3942" spans="1:1">
      <c r="A3942" s="151" t="s">
        <v>5918</v>
      </c>
    </row>
    <row r="3943" spans="1:1">
      <c r="A3943" s="151" t="s">
        <v>5919</v>
      </c>
    </row>
    <row r="3944" spans="1:1">
      <c r="A3944" s="151" t="s">
        <v>5920</v>
      </c>
    </row>
    <row r="3945" spans="1:1">
      <c r="A3945" s="151" t="s">
        <v>5921</v>
      </c>
    </row>
    <row r="3946" spans="1:1">
      <c r="A3946" s="151" t="s">
        <v>5922</v>
      </c>
    </row>
    <row r="3947" spans="1:1">
      <c r="A3947" s="151" t="s">
        <v>5923</v>
      </c>
    </row>
    <row r="3948" spans="1:1">
      <c r="A3948" s="151" t="s">
        <v>5924</v>
      </c>
    </row>
    <row r="3949" spans="1:1">
      <c r="A3949" s="151" t="s">
        <v>5925</v>
      </c>
    </row>
    <row r="3950" spans="1:1">
      <c r="A3950" s="151" t="s">
        <v>5926</v>
      </c>
    </row>
    <row r="3951" spans="1:1">
      <c r="A3951" s="151" t="s">
        <v>5927</v>
      </c>
    </row>
    <row r="3952" spans="1:1">
      <c r="A3952" s="151" t="s">
        <v>5928</v>
      </c>
    </row>
    <row r="3953" spans="1:1">
      <c r="A3953" s="151" t="s">
        <v>5929</v>
      </c>
    </row>
    <row r="3954" spans="1:1">
      <c r="A3954" s="151" t="s">
        <v>5930</v>
      </c>
    </row>
    <row r="3955" spans="1:1">
      <c r="A3955" s="151" t="s">
        <v>5931</v>
      </c>
    </row>
    <row r="3956" spans="1:1">
      <c r="A3956" s="151" t="s">
        <v>5932</v>
      </c>
    </row>
    <row r="3957" spans="1:1">
      <c r="A3957" s="151" t="s">
        <v>5933</v>
      </c>
    </row>
    <row r="3958" spans="1:1">
      <c r="A3958" s="151" t="s">
        <v>5934</v>
      </c>
    </row>
    <row r="3959" spans="1:1">
      <c r="A3959" s="151" t="s">
        <v>5935</v>
      </c>
    </row>
    <row r="3960" spans="1:1">
      <c r="A3960" s="151" t="s">
        <v>5936</v>
      </c>
    </row>
    <row r="3961" spans="1:1">
      <c r="A3961" s="151" t="s">
        <v>5937</v>
      </c>
    </row>
    <row r="3962" spans="1:1">
      <c r="A3962" s="151" t="s">
        <v>5938</v>
      </c>
    </row>
    <row r="3963" spans="1:1">
      <c r="A3963" s="151" t="s">
        <v>5939</v>
      </c>
    </row>
    <row r="3964" spans="1:1">
      <c r="A3964" s="151" t="s">
        <v>5940</v>
      </c>
    </row>
    <row r="3965" spans="1:1">
      <c r="A3965" s="151" t="s">
        <v>5941</v>
      </c>
    </row>
    <row r="3966" spans="1:1">
      <c r="A3966" s="151" t="s">
        <v>5942</v>
      </c>
    </row>
    <row r="3967" spans="1:1">
      <c r="A3967" s="151" t="s">
        <v>5943</v>
      </c>
    </row>
    <row r="3968" spans="1:1">
      <c r="A3968" s="151" t="s">
        <v>5944</v>
      </c>
    </row>
    <row r="3969" spans="1:1">
      <c r="A3969" s="151" t="s">
        <v>5945</v>
      </c>
    </row>
    <row r="3970" spans="1:1">
      <c r="A3970" s="151" t="s">
        <v>5946</v>
      </c>
    </row>
    <row r="3971" spans="1:1">
      <c r="A3971" s="151" t="s">
        <v>5947</v>
      </c>
    </row>
    <row r="3972" spans="1:1">
      <c r="A3972" s="151" t="s">
        <v>5948</v>
      </c>
    </row>
    <row r="3973" spans="1:1">
      <c r="A3973" s="151" t="s">
        <v>5949</v>
      </c>
    </row>
    <row r="3974" spans="1:1">
      <c r="A3974" s="151" t="s">
        <v>5950</v>
      </c>
    </row>
    <row r="3975" spans="1:1">
      <c r="A3975" s="151" t="s">
        <v>5951</v>
      </c>
    </row>
    <row r="3976" spans="1:1">
      <c r="A3976" s="151" t="s">
        <v>5952</v>
      </c>
    </row>
    <row r="3977" spans="1:1">
      <c r="A3977" s="151" t="s">
        <v>5953</v>
      </c>
    </row>
    <row r="3978" spans="1:1">
      <c r="A3978" s="151" t="s">
        <v>5954</v>
      </c>
    </row>
    <row r="3979" spans="1:1">
      <c r="A3979" s="151" t="s">
        <v>5955</v>
      </c>
    </row>
    <row r="3980" spans="1:1">
      <c r="A3980" s="151" t="s">
        <v>5956</v>
      </c>
    </row>
    <row r="3981" spans="1:1">
      <c r="A3981" s="151" t="s">
        <v>5957</v>
      </c>
    </row>
    <row r="3982" spans="1:1">
      <c r="A3982" s="151" t="s">
        <v>5958</v>
      </c>
    </row>
    <row r="3983" spans="1:1">
      <c r="A3983" s="151" t="s">
        <v>5959</v>
      </c>
    </row>
    <row r="3984" spans="1:1">
      <c r="A3984" s="151" t="s">
        <v>5960</v>
      </c>
    </row>
    <row r="3985" spans="1:1">
      <c r="A3985" s="151" t="s">
        <v>5961</v>
      </c>
    </row>
    <row r="3986" spans="1:1">
      <c r="A3986" s="151" t="s">
        <v>5962</v>
      </c>
    </row>
    <row r="3987" spans="1:1">
      <c r="A3987" s="151" t="s">
        <v>5963</v>
      </c>
    </row>
    <row r="3988" spans="1:1">
      <c r="A3988" s="151" t="s">
        <v>5964</v>
      </c>
    </row>
    <row r="3989" spans="1:1">
      <c r="A3989" s="151" t="s">
        <v>5965</v>
      </c>
    </row>
    <row r="3990" spans="1:1">
      <c r="A3990" s="151" t="s">
        <v>5966</v>
      </c>
    </row>
    <row r="3991" spans="1:1">
      <c r="A3991" s="151" t="s">
        <v>5967</v>
      </c>
    </row>
    <row r="3992" spans="1:1">
      <c r="A3992" s="151" t="s">
        <v>5968</v>
      </c>
    </row>
    <row r="3993" spans="1:1">
      <c r="A3993" s="151" t="s">
        <v>5969</v>
      </c>
    </row>
    <row r="3994" spans="1:1">
      <c r="A3994" s="151" t="s">
        <v>5970</v>
      </c>
    </row>
    <row r="3995" spans="1:1">
      <c r="A3995" s="151" t="s">
        <v>5971</v>
      </c>
    </row>
    <row r="3996" spans="1:1">
      <c r="A3996" s="151" t="s">
        <v>5972</v>
      </c>
    </row>
    <row r="3997" spans="1:1">
      <c r="A3997" s="151" t="s">
        <v>5973</v>
      </c>
    </row>
    <row r="3998" spans="1:1">
      <c r="A3998" s="151" t="s">
        <v>5974</v>
      </c>
    </row>
    <row r="3999" spans="1:1">
      <c r="A3999" s="151" t="s">
        <v>5975</v>
      </c>
    </row>
    <row r="4000" spans="1:1">
      <c r="A4000" s="151" t="s">
        <v>5976</v>
      </c>
    </row>
    <row r="4001" spans="1:1">
      <c r="A4001" s="151" t="s">
        <v>5977</v>
      </c>
    </row>
    <row r="4002" spans="1:1">
      <c r="A4002" s="151" t="s">
        <v>5978</v>
      </c>
    </row>
    <row r="4003" spans="1:1">
      <c r="A4003" s="151" t="s">
        <v>5979</v>
      </c>
    </row>
    <row r="4004" spans="1:1">
      <c r="A4004" s="151" t="s">
        <v>5980</v>
      </c>
    </row>
    <row r="4005" spans="1:1">
      <c r="A4005" s="151" t="s">
        <v>5981</v>
      </c>
    </row>
    <row r="4006" spans="1:1">
      <c r="A4006" s="151" t="s">
        <v>5982</v>
      </c>
    </row>
    <row r="4007" spans="1:1">
      <c r="A4007" s="151" t="s">
        <v>5983</v>
      </c>
    </row>
    <row r="4008" spans="1:1">
      <c r="A4008" s="151" t="s">
        <v>5984</v>
      </c>
    </row>
    <row r="4009" spans="1:1">
      <c r="A4009" s="151" t="s">
        <v>5985</v>
      </c>
    </row>
    <row r="4010" spans="1:1">
      <c r="A4010" s="151" t="s">
        <v>5986</v>
      </c>
    </row>
    <row r="4011" spans="1:1">
      <c r="A4011" s="151" t="s">
        <v>5987</v>
      </c>
    </row>
    <row r="4012" spans="1:1">
      <c r="A4012" s="151" t="s">
        <v>5988</v>
      </c>
    </row>
    <row r="4013" spans="1:1">
      <c r="A4013" s="151" t="s">
        <v>5989</v>
      </c>
    </row>
    <row r="4014" spans="1:1">
      <c r="A4014" s="151" t="s">
        <v>5990</v>
      </c>
    </row>
    <row r="4015" spans="1:1">
      <c r="A4015" s="151" t="s">
        <v>5991</v>
      </c>
    </row>
    <row r="4016" spans="1:1">
      <c r="A4016" s="151" t="s">
        <v>5992</v>
      </c>
    </row>
    <row r="4017" spans="1:1">
      <c r="A4017" s="151" t="s">
        <v>5993</v>
      </c>
    </row>
    <row r="4018" spans="1:1">
      <c r="A4018" s="151" t="s">
        <v>5994</v>
      </c>
    </row>
    <row r="4019" spans="1:1">
      <c r="A4019" s="151" t="s">
        <v>5995</v>
      </c>
    </row>
    <row r="4020" spans="1:1">
      <c r="A4020" s="151" t="s">
        <v>5996</v>
      </c>
    </row>
    <row r="4021" spans="1:1">
      <c r="A4021" s="151" t="s">
        <v>5997</v>
      </c>
    </row>
    <row r="4022" spans="1:1">
      <c r="A4022" s="151" t="s">
        <v>5998</v>
      </c>
    </row>
    <row r="4023" spans="1:1">
      <c r="A4023" s="151" t="s">
        <v>5999</v>
      </c>
    </row>
    <row r="4024" spans="1:1">
      <c r="A4024" s="151" t="s">
        <v>6000</v>
      </c>
    </row>
    <row r="4025" spans="1:1">
      <c r="A4025" s="151" t="s">
        <v>6001</v>
      </c>
    </row>
    <row r="4026" spans="1:1">
      <c r="A4026" s="151" t="s">
        <v>6002</v>
      </c>
    </row>
    <row r="4027" spans="1:1">
      <c r="A4027" s="151" t="s">
        <v>6003</v>
      </c>
    </row>
    <row r="4028" spans="1:1">
      <c r="A4028" s="151" t="s">
        <v>6004</v>
      </c>
    </row>
    <row r="4029" spans="1:1">
      <c r="A4029" s="151" t="s">
        <v>6005</v>
      </c>
    </row>
    <row r="4030" spans="1:1">
      <c r="A4030" s="151" t="s">
        <v>6006</v>
      </c>
    </row>
    <row r="4031" spans="1:1">
      <c r="A4031" s="151" t="s">
        <v>6007</v>
      </c>
    </row>
    <row r="4032" spans="1:1">
      <c r="A4032" s="151" t="s">
        <v>6008</v>
      </c>
    </row>
    <row r="4033" spans="1:1">
      <c r="A4033" s="151" t="s">
        <v>6009</v>
      </c>
    </row>
    <row r="4034" spans="1:1">
      <c r="A4034" s="151" t="s">
        <v>6010</v>
      </c>
    </row>
    <row r="4035" spans="1:1">
      <c r="A4035" s="151" t="s">
        <v>6011</v>
      </c>
    </row>
    <row r="4036" spans="1:1">
      <c r="A4036" s="151" t="s">
        <v>6012</v>
      </c>
    </row>
    <row r="4037" spans="1:1">
      <c r="A4037" s="151" t="s">
        <v>6013</v>
      </c>
    </row>
    <row r="4038" spans="1:1">
      <c r="A4038" s="151" t="s">
        <v>6014</v>
      </c>
    </row>
    <row r="4039" spans="1:1">
      <c r="A4039" s="151" t="s">
        <v>6015</v>
      </c>
    </row>
    <row r="4040" spans="1:1">
      <c r="A4040" s="151" t="s">
        <v>6016</v>
      </c>
    </row>
    <row r="4041" spans="1:1">
      <c r="A4041" s="151" t="s">
        <v>6017</v>
      </c>
    </row>
    <row r="4042" spans="1:1">
      <c r="A4042" s="151" t="s">
        <v>6018</v>
      </c>
    </row>
    <row r="4043" spans="1:1">
      <c r="A4043" s="151" t="s">
        <v>6019</v>
      </c>
    </row>
    <row r="4044" spans="1:1">
      <c r="A4044" s="151" t="s">
        <v>6020</v>
      </c>
    </row>
    <row r="4045" spans="1:1">
      <c r="A4045" s="151" t="s">
        <v>6021</v>
      </c>
    </row>
    <row r="4046" spans="1:1">
      <c r="A4046" s="151" t="s">
        <v>6022</v>
      </c>
    </row>
    <row r="4047" spans="1:1">
      <c r="A4047" s="151" t="s">
        <v>6023</v>
      </c>
    </row>
    <row r="4048" spans="1:1">
      <c r="A4048" s="151" t="s">
        <v>6024</v>
      </c>
    </row>
    <row r="4049" spans="1:1">
      <c r="A4049" s="151" t="s">
        <v>6025</v>
      </c>
    </row>
    <row r="4050" spans="1:1">
      <c r="A4050" s="151" t="s">
        <v>6026</v>
      </c>
    </row>
    <row r="4051" spans="1:1">
      <c r="A4051" s="151" t="s">
        <v>6027</v>
      </c>
    </row>
    <row r="4052" spans="1:1">
      <c r="A4052" s="151" t="s">
        <v>6028</v>
      </c>
    </row>
    <row r="4053" spans="1:1">
      <c r="A4053" s="151" t="s">
        <v>6029</v>
      </c>
    </row>
    <row r="4054" spans="1:1">
      <c r="A4054" s="151" t="s">
        <v>6030</v>
      </c>
    </row>
    <row r="4055" spans="1:1">
      <c r="A4055" s="151" t="s">
        <v>6031</v>
      </c>
    </row>
    <row r="4056" spans="1:1">
      <c r="A4056" s="151" t="s">
        <v>6032</v>
      </c>
    </row>
    <row r="4057" spans="1:1">
      <c r="A4057" s="151" t="s">
        <v>6033</v>
      </c>
    </row>
    <row r="4058" spans="1:1">
      <c r="A4058" s="151" t="s">
        <v>6034</v>
      </c>
    </row>
    <row r="4059" spans="1:1">
      <c r="A4059" s="151" t="s">
        <v>6035</v>
      </c>
    </row>
    <row r="4060" spans="1:1">
      <c r="A4060" s="151" t="s">
        <v>6036</v>
      </c>
    </row>
    <row r="4061" spans="1:1">
      <c r="A4061" s="151" t="s">
        <v>6037</v>
      </c>
    </row>
    <row r="4062" spans="1:1">
      <c r="A4062" s="151" t="s">
        <v>6038</v>
      </c>
    </row>
    <row r="4063" spans="1:1">
      <c r="A4063" s="151" t="s">
        <v>6039</v>
      </c>
    </row>
    <row r="4064" spans="1:1">
      <c r="A4064" s="151" t="s">
        <v>6040</v>
      </c>
    </row>
    <row r="4065" spans="1:1">
      <c r="A4065" s="151" t="s">
        <v>6041</v>
      </c>
    </row>
    <row r="4066" spans="1:1">
      <c r="A4066" s="151" t="s">
        <v>6042</v>
      </c>
    </row>
    <row r="4067" spans="1:1">
      <c r="A4067" s="151" t="s">
        <v>6043</v>
      </c>
    </row>
    <row r="4068" spans="1:1">
      <c r="A4068" s="151" t="s">
        <v>6044</v>
      </c>
    </row>
    <row r="4069" spans="1:1">
      <c r="A4069" s="151" t="s">
        <v>6045</v>
      </c>
    </row>
    <row r="4070" spans="1:1">
      <c r="A4070" s="151" t="s">
        <v>6046</v>
      </c>
    </row>
    <row r="4071" spans="1:1">
      <c r="A4071" s="151" t="s">
        <v>6047</v>
      </c>
    </row>
    <row r="4072" spans="1:1">
      <c r="A4072" s="151" t="s">
        <v>6048</v>
      </c>
    </row>
    <row r="4073" spans="1:1">
      <c r="A4073" s="151" t="s">
        <v>6049</v>
      </c>
    </row>
    <row r="4074" spans="1:1">
      <c r="A4074" s="151" t="s">
        <v>6050</v>
      </c>
    </row>
    <row r="4075" spans="1:1">
      <c r="A4075" s="151" t="s">
        <v>6051</v>
      </c>
    </row>
    <row r="4076" spans="1:1">
      <c r="A4076" s="151" t="s">
        <v>6052</v>
      </c>
    </row>
    <row r="4077" spans="1:1">
      <c r="A4077" s="151" t="s">
        <v>6053</v>
      </c>
    </row>
    <row r="4078" spans="1:1">
      <c r="A4078" s="151" t="s">
        <v>6054</v>
      </c>
    </row>
    <row r="4079" spans="1:1">
      <c r="A4079" s="151" t="s">
        <v>6055</v>
      </c>
    </row>
    <row r="4080" spans="1:1">
      <c r="A4080" s="151" t="s">
        <v>6056</v>
      </c>
    </row>
    <row r="4081" spans="1:1">
      <c r="A4081" s="151" t="s">
        <v>6057</v>
      </c>
    </row>
    <row r="4082" spans="1:1">
      <c r="A4082" s="151" t="s">
        <v>6058</v>
      </c>
    </row>
    <row r="4083" spans="1:1">
      <c r="A4083" s="151" t="s">
        <v>6059</v>
      </c>
    </row>
    <row r="4084" spans="1:1">
      <c r="A4084" s="151" t="s">
        <v>6060</v>
      </c>
    </row>
    <row r="4085" spans="1:1">
      <c r="A4085" s="151" t="s">
        <v>6061</v>
      </c>
    </row>
    <row r="4086" spans="1:1">
      <c r="A4086" s="151" t="s">
        <v>6062</v>
      </c>
    </row>
    <row r="4087" spans="1:1">
      <c r="A4087" s="151" t="s">
        <v>6063</v>
      </c>
    </row>
    <row r="4088" spans="1:1">
      <c r="A4088" s="151" t="s">
        <v>6064</v>
      </c>
    </row>
    <row r="4089" spans="1:1">
      <c r="A4089" s="151" t="s">
        <v>6065</v>
      </c>
    </row>
    <row r="4090" spans="1:1">
      <c r="A4090" s="151" t="s">
        <v>6066</v>
      </c>
    </row>
    <row r="4091" spans="1:1">
      <c r="A4091" s="151" t="s">
        <v>6067</v>
      </c>
    </row>
    <row r="4092" spans="1:1">
      <c r="A4092" s="151" t="s">
        <v>6068</v>
      </c>
    </row>
    <row r="4093" spans="1:1">
      <c r="A4093" s="151" t="s">
        <v>6069</v>
      </c>
    </row>
    <row r="4094" spans="1:1">
      <c r="A4094" s="151" t="s">
        <v>6070</v>
      </c>
    </row>
    <row r="4095" spans="1:1">
      <c r="A4095" s="151" t="s">
        <v>6071</v>
      </c>
    </row>
    <row r="4096" spans="1:1">
      <c r="A4096" s="151" t="s">
        <v>6072</v>
      </c>
    </row>
    <row r="4097" spans="1:1">
      <c r="A4097" s="151" t="s">
        <v>6073</v>
      </c>
    </row>
    <row r="4098" spans="1:1">
      <c r="A4098" s="151" t="s">
        <v>6074</v>
      </c>
    </row>
    <row r="4099" spans="1:1">
      <c r="A4099" s="151" t="s">
        <v>6075</v>
      </c>
    </row>
    <row r="4100" spans="1:1">
      <c r="A4100" s="151" t="s">
        <v>6076</v>
      </c>
    </row>
    <row r="4101" spans="1:1">
      <c r="A4101" s="151" t="s">
        <v>6077</v>
      </c>
    </row>
    <row r="4102" spans="1:1">
      <c r="A4102" s="151" t="s">
        <v>6078</v>
      </c>
    </row>
    <row r="4103" spans="1:1">
      <c r="A4103" s="151" t="s">
        <v>6079</v>
      </c>
    </row>
    <row r="4104" spans="1:1">
      <c r="A4104" s="151" t="s">
        <v>6080</v>
      </c>
    </row>
    <row r="4105" spans="1:1">
      <c r="A4105" s="151" t="s">
        <v>6081</v>
      </c>
    </row>
    <row r="4106" spans="1:1">
      <c r="A4106" s="151" t="s">
        <v>6082</v>
      </c>
    </row>
    <row r="4107" spans="1:1">
      <c r="A4107" s="151" t="s">
        <v>6083</v>
      </c>
    </row>
    <row r="4108" spans="1:1">
      <c r="A4108" s="151" t="s">
        <v>6084</v>
      </c>
    </row>
    <row r="4109" spans="1:1">
      <c r="A4109" s="151" t="s">
        <v>6085</v>
      </c>
    </row>
    <row r="4110" spans="1:1">
      <c r="A4110" s="151" t="s">
        <v>6086</v>
      </c>
    </row>
    <row r="4111" spans="1:1">
      <c r="A4111" s="151" t="s">
        <v>6087</v>
      </c>
    </row>
    <row r="4112" spans="1:1">
      <c r="A4112" s="151" t="s">
        <v>6088</v>
      </c>
    </row>
    <row r="4113" spans="1:1">
      <c r="A4113" s="151" t="s">
        <v>6089</v>
      </c>
    </row>
    <row r="4114" spans="1:1">
      <c r="A4114" s="151" t="s">
        <v>6090</v>
      </c>
    </row>
    <row r="4115" spans="1:1">
      <c r="A4115" s="151" t="s">
        <v>6091</v>
      </c>
    </row>
    <row r="4116" spans="1:1">
      <c r="A4116" s="151" t="s">
        <v>6092</v>
      </c>
    </row>
    <row r="4117" spans="1:1">
      <c r="A4117" s="151" t="s">
        <v>6093</v>
      </c>
    </row>
    <row r="4118" spans="1:1">
      <c r="A4118" s="151" t="s">
        <v>6094</v>
      </c>
    </row>
    <row r="4119" spans="1:1">
      <c r="A4119" s="151" t="s">
        <v>6095</v>
      </c>
    </row>
    <row r="4120" spans="1:1">
      <c r="A4120" s="151" t="s">
        <v>6096</v>
      </c>
    </row>
    <row r="4121" spans="1:1">
      <c r="A4121" s="151" t="s">
        <v>6097</v>
      </c>
    </row>
    <row r="4122" spans="1:1">
      <c r="A4122" s="151" t="s">
        <v>6098</v>
      </c>
    </row>
    <row r="4123" spans="1:1">
      <c r="A4123" s="151" t="s">
        <v>6099</v>
      </c>
    </row>
    <row r="4124" spans="1:1">
      <c r="A4124" s="151" t="s">
        <v>6100</v>
      </c>
    </row>
    <row r="4125" spans="1:1">
      <c r="A4125" s="151" t="s">
        <v>6101</v>
      </c>
    </row>
    <row r="4126" spans="1:1">
      <c r="A4126" s="151" t="s">
        <v>6102</v>
      </c>
    </row>
    <row r="4127" spans="1:1">
      <c r="A4127" s="151" t="s">
        <v>6103</v>
      </c>
    </row>
    <row r="4128" spans="1:1">
      <c r="A4128" s="151" t="s">
        <v>6104</v>
      </c>
    </row>
    <row r="4129" spans="1:1">
      <c r="A4129" s="151" t="s">
        <v>6105</v>
      </c>
    </row>
    <row r="4130" spans="1:1">
      <c r="A4130" s="151" t="s">
        <v>6106</v>
      </c>
    </row>
    <row r="4131" spans="1:1">
      <c r="A4131" s="151" t="s">
        <v>6107</v>
      </c>
    </row>
    <row r="4132" spans="1:1">
      <c r="A4132" s="151" t="s">
        <v>6108</v>
      </c>
    </row>
    <row r="4133" spans="1:1">
      <c r="A4133" s="151" t="s">
        <v>6109</v>
      </c>
    </row>
    <row r="4134" spans="1:1">
      <c r="A4134" s="151" t="s">
        <v>6110</v>
      </c>
    </row>
    <row r="4135" spans="1:1">
      <c r="A4135" s="151" t="s">
        <v>6111</v>
      </c>
    </row>
    <row r="4136" spans="1:1">
      <c r="A4136" s="151" t="s">
        <v>6112</v>
      </c>
    </row>
    <row r="4137" spans="1:1">
      <c r="A4137" s="151" t="s">
        <v>6113</v>
      </c>
    </row>
    <row r="4138" spans="1:1">
      <c r="A4138" s="151" t="s">
        <v>6114</v>
      </c>
    </row>
    <row r="4139" spans="1:1">
      <c r="A4139" s="151" t="s">
        <v>6115</v>
      </c>
    </row>
    <row r="4140" spans="1:1">
      <c r="A4140" s="151" t="s">
        <v>6116</v>
      </c>
    </row>
    <row r="4141" spans="1:1">
      <c r="A4141" s="151" t="s">
        <v>6117</v>
      </c>
    </row>
    <row r="4142" spans="1:1">
      <c r="A4142" s="151" t="s">
        <v>6118</v>
      </c>
    </row>
    <row r="4143" spans="1:1">
      <c r="A4143" s="151" t="s">
        <v>6119</v>
      </c>
    </row>
    <row r="4144" spans="1:1">
      <c r="A4144" s="151" t="s">
        <v>6120</v>
      </c>
    </row>
    <row r="4145" spans="1:1">
      <c r="A4145" s="151" t="s">
        <v>6121</v>
      </c>
    </row>
    <row r="4146" spans="1:1">
      <c r="A4146" s="151" t="s">
        <v>6122</v>
      </c>
    </row>
    <row r="4147" spans="1:1">
      <c r="A4147" s="151" t="s">
        <v>6123</v>
      </c>
    </row>
    <row r="4148" spans="1:1">
      <c r="A4148" s="151" t="s">
        <v>6124</v>
      </c>
    </row>
    <row r="4149" spans="1:1">
      <c r="A4149" s="151" t="s">
        <v>6125</v>
      </c>
    </row>
    <row r="4150" spans="1:1">
      <c r="A4150" s="151" t="s">
        <v>6126</v>
      </c>
    </row>
    <row r="4151" spans="1:1">
      <c r="A4151" s="151" t="s">
        <v>6127</v>
      </c>
    </row>
    <row r="4152" spans="1:1">
      <c r="A4152" s="151" t="s">
        <v>6128</v>
      </c>
    </row>
    <row r="4153" spans="1:1">
      <c r="A4153" s="151" t="s">
        <v>6129</v>
      </c>
    </row>
    <row r="4154" spans="1:1">
      <c r="A4154" s="151" t="s">
        <v>6130</v>
      </c>
    </row>
    <row r="4155" spans="1:1">
      <c r="A4155" s="151" t="s">
        <v>6131</v>
      </c>
    </row>
    <row r="4156" spans="1:1">
      <c r="A4156" s="151" t="s">
        <v>6132</v>
      </c>
    </row>
    <row r="4157" spans="1:1">
      <c r="A4157" s="151" t="s">
        <v>6133</v>
      </c>
    </row>
    <row r="4158" spans="1:1">
      <c r="A4158" s="151" t="s">
        <v>6134</v>
      </c>
    </row>
    <row r="4159" spans="1:1">
      <c r="A4159" s="151" t="s">
        <v>6135</v>
      </c>
    </row>
    <row r="4160" spans="1:1">
      <c r="A4160" s="151" t="s">
        <v>6136</v>
      </c>
    </row>
    <row r="4161" spans="1:1">
      <c r="A4161" s="151" t="s">
        <v>6137</v>
      </c>
    </row>
    <row r="4162" spans="1:1">
      <c r="A4162" s="151" t="s">
        <v>6138</v>
      </c>
    </row>
    <row r="4163" spans="1:1">
      <c r="A4163" s="151" t="s">
        <v>6139</v>
      </c>
    </row>
    <row r="4164" spans="1:1">
      <c r="A4164" s="151" t="s">
        <v>6140</v>
      </c>
    </row>
    <row r="4165" spans="1:1">
      <c r="A4165" s="151" t="s">
        <v>6141</v>
      </c>
    </row>
    <row r="4166" spans="1:1">
      <c r="A4166" s="151" t="s">
        <v>6142</v>
      </c>
    </row>
    <row r="4167" spans="1:1">
      <c r="A4167" s="151" t="s">
        <v>6143</v>
      </c>
    </row>
    <row r="4168" spans="1:1">
      <c r="A4168" s="151" t="s">
        <v>6144</v>
      </c>
    </row>
    <row r="4169" spans="1:1">
      <c r="A4169" s="151" t="s">
        <v>6145</v>
      </c>
    </row>
    <row r="4170" spans="1:1">
      <c r="A4170" s="151" t="s">
        <v>6146</v>
      </c>
    </row>
    <row r="4171" spans="1:1">
      <c r="A4171" s="151" t="s">
        <v>6147</v>
      </c>
    </row>
    <row r="4172" spans="1:1">
      <c r="A4172" s="151" t="s">
        <v>6148</v>
      </c>
    </row>
    <row r="4173" spans="1:1">
      <c r="A4173" s="151" t="s">
        <v>6149</v>
      </c>
    </row>
    <row r="4174" spans="1:1">
      <c r="A4174" s="151" t="s">
        <v>6150</v>
      </c>
    </row>
    <row r="4175" spans="1:1">
      <c r="A4175" s="151" t="s">
        <v>6151</v>
      </c>
    </row>
    <row r="4176" spans="1:1">
      <c r="A4176" s="151" t="s">
        <v>6152</v>
      </c>
    </row>
    <row r="4177" spans="1:1">
      <c r="A4177" s="151" t="s">
        <v>6153</v>
      </c>
    </row>
    <row r="4178" spans="1:1">
      <c r="A4178" s="151" t="s">
        <v>6154</v>
      </c>
    </row>
    <row r="4179" spans="1:1">
      <c r="A4179" s="151" t="s">
        <v>6155</v>
      </c>
    </row>
    <row r="4180" spans="1:1">
      <c r="A4180" s="151" t="s">
        <v>6156</v>
      </c>
    </row>
    <row r="4181" spans="1:1">
      <c r="A4181" s="151" t="s">
        <v>6157</v>
      </c>
    </row>
    <row r="4182" spans="1:1">
      <c r="A4182" s="151" t="s">
        <v>6158</v>
      </c>
    </row>
    <row r="4183" spans="1:1">
      <c r="A4183" s="151" t="s">
        <v>6159</v>
      </c>
    </row>
    <row r="4184" spans="1:1">
      <c r="A4184" s="151" t="s">
        <v>6160</v>
      </c>
    </row>
    <row r="4185" spans="1:1">
      <c r="A4185" s="151" t="s">
        <v>6161</v>
      </c>
    </row>
    <row r="4186" spans="1:1">
      <c r="A4186" s="151" t="s">
        <v>6162</v>
      </c>
    </row>
    <row r="4187" spans="1:1">
      <c r="A4187" s="151" t="s">
        <v>6163</v>
      </c>
    </row>
    <row r="4188" spans="1:1">
      <c r="A4188" s="151" t="s">
        <v>6164</v>
      </c>
    </row>
    <row r="4189" spans="1:1">
      <c r="A4189" s="151" t="s">
        <v>6165</v>
      </c>
    </row>
    <row r="4190" spans="1:1">
      <c r="A4190" s="151" t="s">
        <v>6166</v>
      </c>
    </row>
    <row r="4191" spans="1:1">
      <c r="A4191" s="151" t="s">
        <v>6167</v>
      </c>
    </row>
    <row r="4192" spans="1:1">
      <c r="A4192" s="151" t="s">
        <v>6168</v>
      </c>
    </row>
    <row r="4193" spans="1:1">
      <c r="A4193" s="151" t="s">
        <v>6169</v>
      </c>
    </row>
    <row r="4194" spans="1:1">
      <c r="A4194" s="151" t="s">
        <v>6170</v>
      </c>
    </row>
    <row r="4195" spans="1:1">
      <c r="A4195" s="151" t="s">
        <v>6171</v>
      </c>
    </row>
    <row r="4196" spans="1:1">
      <c r="A4196" s="151" t="s">
        <v>6172</v>
      </c>
    </row>
    <row r="4197" spans="1:1">
      <c r="A4197" s="151" t="s">
        <v>6173</v>
      </c>
    </row>
    <row r="4198" spans="1:1">
      <c r="A4198" s="151" t="s">
        <v>6174</v>
      </c>
    </row>
    <row r="4199" spans="1:1">
      <c r="A4199" s="151" t="s">
        <v>6175</v>
      </c>
    </row>
    <row r="4200" spans="1:1">
      <c r="A4200" s="151" t="s">
        <v>6176</v>
      </c>
    </row>
    <row r="4201" spans="1:1">
      <c r="A4201" s="151" t="s">
        <v>6177</v>
      </c>
    </row>
    <row r="4202" spans="1:1">
      <c r="A4202" s="151" t="s">
        <v>6178</v>
      </c>
    </row>
    <row r="4203" spans="1:1">
      <c r="A4203" s="151" t="s">
        <v>6179</v>
      </c>
    </row>
    <row r="4204" spans="1:1">
      <c r="A4204" s="151" t="s">
        <v>6180</v>
      </c>
    </row>
    <row r="4205" spans="1:1">
      <c r="A4205" s="151" t="s">
        <v>6181</v>
      </c>
    </row>
    <row r="4206" spans="1:1">
      <c r="A4206" s="151" t="s">
        <v>6182</v>
      </c>
    </row>
    <row r="4207" spans="1:1">
      <c r="A4207" s="151" t="s">
        <v>6183</v>
      </c>
    </row>
    <row r="4208" spans="1:1">
      <c r="A4208" s="151" t="s">
        <v>6184</v>
      </c>
    </row>
    <row r="4209" spans="1:1">
      <c r="A4209" s="151" t="s">
        <v>6185</v>
      </c>
    </row>
    <row r="4210" spans="1:1">
      <c r="A4210" s="151" t="s">
        <v>6186</v>
      </c>
    </row>
    <row r="4211" spans="1:1">
      <c r="A4211" s="151" t="s">
        <v>6187</v>
      </c>
    </row>
    <row r="4212" spans="1:1">
      <c r="A4212" s="151" t="s">
        <v>6188</v>
      </c>
    </row>
    <row r="4213" spans="1:1">
      <c r="A4213" s="151" t="s">
        <v>6189</v>
      </c>
    </row>
    <row r="4214" spans="1:1">
      <c r="A4214" s="151" t="s">
        <v>6190</v>
      </c>
    </row>
    <row r="4215" spans="1:1">
      <c r="A4215" s="151" t="s">
        <v>6191</v>
      </c>
    </row>
    <row r="4216" spans="1:1">
      <c r="A4216" s="151" t="s">
        <v>6192</v>
      </c>
    </row>
    <row r="4217" spans="1:1">
      <c r="A4217" s="151" t="s">
        <v>6193</v>
      </c>
    </row>
    <row r="4218" spans="1:1">
      <c r="A4218" s="151" t="s">
        <v>6194</v>
      </c>
    </row>
    <row r="4219" spans="1:1">
      <c r="A4219" s="151" t="s">
        <v>6195</v>
      </c>
    </row>
    <row r="4220" spans="1:1">
      <c r="A4220" s="151" t="s">
        <v>6196</v>
      </c>
    </row>
    <row r="4221" spans="1:1">
      <c r="A4221" s="151" t="s">
        <v>6197</v>
      </c>
    </row>
    <row r="4222" spans="1:1">
      <c r="A4222" s="151" t="s">
        <v>6198</v>
      </c>
    </row>
    <row r="4223" spans="1:1">
      <c r="A4223" s="151" t="s">
        <v>6199</v>
      </c>
    </row>
    <row r="4224" spans="1:1">
      <c r="A4224" s="151" t="s">
        <v>6200</v>
      </c>
    </row>
    <row r="4225" spans="1:1">
      <c r="A4225" s="151" t="s">
        <v>6201</v>
      </c>
    </row>
    <row r="4226" spans="1:1">
      <c r="A4226" s="151" t="s">
        <v>6202</v>
      </c>
    </row>
    <row r="4227" spans="1:1">
      <c r="A4227" s="151" t="s">
        <v>6203</v>
      </c>
    </row>
    <row r="4228" spans="1:1">
      <c r="A4228" s="151" t="s">
        <v>6204</v>
      </c>
    </row>
    <row r="4229" spans="1:1">
      <c r="A4229" s="151" t="s">
        <v>6205</v>
      </c>
    </row>
    <row r="4230" spans="1:1">
      <c r="A4230" s="151" t="s">
        <v>6206</v>
      </c>
    </row>
    <row r="4231" spans="1:1">
      <c r="A4231" s="151" t="s">
        <v>6207</v>
      </c>
    </row>
    <row r="4232" spans="1:1">
      <c r="A4232" s="151" t="s">
        <v>6208</v>
      </c>
    </row>
    <row r="4233" spans="1:1">
      <c r="A4233" s="151" t="s">
        <v>6209</v>
      </c>
    </row>
    <row r="4234" spans="1:1">
      <c r="A4234" s="151" t="s">
        <v>6210</v>
      </c>
    </row>
    <row r="4235" spans="1:1">
      <c r="A4235" s="151" t="s">
        <v>6211</v>
      </c>
    </row>
    <row r="4236" spans="1:1">
      <c r="A4236" s="151" t="s">
        <v>6212</v>
      </c>
    </row>
    <row r="4237" spans="1:1">
      <c r="A4237" s="151" t="s">
        <v>6213</v>
      </c>
    </row>
    <row r="4238" spans="1:1">
      <c r="A4238" s="151" t="s">
        <v>6214</v>
      </c>
    </row>
    <row r="4239" spans="1:1">
      <c r="A4239" s="151" t="s">
        <v>6215</v>
      </c>
    </row>
    <row r="4240" spans="1:1">
      <c r="A4240" s="151" t="s">
        <v>6216</v>
      </c>
    </row>
    <row r="4241" spans="1:1">
      <c r="A4241" s="151" t="s">
        <v>6217</v>
      </c>
    </row>
    <row r="4242" spans="1:1">
      <c r="A4242" s="151" t="s">
        <v>6218</v>
      </c>
    </row>
    <row r="4243" spans="1:1">
      <c r="A4243" s="151" t="s">
        <v>6219</v>
      </c>
    </row>
    <row r="4244" spans="1:1">
      <c r="A4244" s="151" t="s">
        <v>6220</v>
      </c>
    </row>
    <row r="4245" spans="1:1">
      <c r="A4245" s="151" t="s">
        <v>6221</v>
      </c>
    </row>
    <row r="4246" spans="1:1">
      <c r="A4246" s="151" t="s">
        <v>6222</v>
      </c>
    </row>
    <row r="4247" spans="1:1">
      <c r="A4247" s="151" t="s">
        <v>6223</v>
      </c>
    </row>
    <row r="4248" spans="1:1">
      <c r="A4248" s="151" t="s">
        <v>6224</v>
      </c>
    </row>
    <row r="4249" spans="1:1">
      <c r="A4249" s="151" t="s">
        <v>6225</v>
      </c>
    </row>
    <row r="4250" spans="1:1">
      <c r="A4250" s="151" t="s">
        <v>6226</v>
      </c>
    </row>
    <row r="4251" spans="1:1">
      <c r="A4251" s="151" t="s">
        <v>6227</v>
      </c>
    </row>
    <row r="4252" spans="1:1">
      <c r="A4252" s="151" t="s">
        <v>6228</v>
      </c>
    </row>
    <row r="4253" spans="1:1">
      <c r="A4253" s="151" t="s">
        <v>6229</v>
      </c>
    </row>
    <row r="4254" spans="1:1">
      <c r="A4254" s="151" t="s">
        <v>6230</v>
      </c>
    </row>
    <row r="4255" spans="1:1">
      <c r="A4255" s="151" t="s">
        <v>6231</v>
      </c>
    </row>
    <row r="4256" spans="1:1">
      <c r="A4256" s="151" t="s">
        <v>6232</v>
      </c>
    </row>
    <row r="4257" spans="1:1">
      <c r="A4257" s="151" t="s">
        <v>6233</v>
      </c>
    </row>
    <row r="4258" spans="1:1">
      <c r="A4258" s="151" t="s">
        <v>6234</v>
      </c>
    </row>
    <row r="4259" spans="1:1">
      <c r="A4259" s="151" t="s">
        <v>6235</v>
      </c>
    </row>
    <row r="4260" spans="1:1">
      <c r="A4260" s="151" t="s">
        <v>6236</v>
      </c>
    </row>
    <row r="4261" spans="1:1">
      <c r="A4261" s="151" t="s">
        <v>6237</v>
      </c>
    </row>
    <row r="4262" spans="1:1">
      <c r="A4262" s="151" t="s">
        <v>6238</v>
      </c>
    </row>
    <row r="4263" spans="1:1">
      <c r="A4263" s="151" t="s">
        <v>6239</v>
      </c>
    </row>
    <row r="4264" spans="1:1">
      <c r="A4264" s="151" t="s">
        <v>6240</v>
      </c>
    </row>
    <row r="4265" spans="1:1">
      <c r="A4265" s="151" t="s">
        <v>6241</v>
      </c>
    </row>
    <row r="4266" spans="1:1">
      <c r="A4266" s="151" t="s">
        <v>6242</v>
      </c>
    </row>
    <row r="4267" spans="1:1">
      <c r="A4267" s="151" t="s">
        <v>6243</v>
      </c>
    </row>
    <row r="4268" spans="1:1">
      <c r="A4268" s="151" t="s">
        <v>6244</v>
      </c>
    </row>
    <row r="4269" spans="1:1">
      <c r="A4269" s="151" t="s">
        <v>6245</v>
      </c>
    </row>
    <row r="4270" spans="1:1">
      <c r="A4270" s="151" t="s">
        <v>6246</v>
      </c>
    </row>
    <row r="4271" spans="1:1">
      <c r="A4271" s="151" t="s">
        <v>6247</v>
      </c>
    </row>
    <row r="4272" spans="1:1">
      <c r="A4272" s="151" t="s">
        <v>6248</v>
      </c>
    </row>
    <row r="4273" spans="1:1">
      <c r="A4273" s="151" t="s">
        <v>6249</v>
      </c>
    </row>
    <row r="4274" spans="1:1">
      <c r="A4274" s="151" t="s">
        <v>6250</v>
      </c>
    </row>
    <row r="4275" spans="1:1">
      <c r="A4275" s="151" t="s">
        <v>6251</v>
      </c>
    </row>
    <row r="4276" spans="1:1">
      <c r="A4276" s="151" t="s">
        <v>6252</v>
      </c>
    </row>
    <row r="4277" spans="1:1">
      <c r="A4277" s="151" t="s">
        <v>6253</v>
      </c>
    </row>
    <row r="4278" spans="1:1">
      <c r="A4278" s="151" t="s">
        <v>6254</v>
      </c>
    </row>
    <row r="4279" spans="1:1">
      <c r="A4279" s="151" t="s">
        <v>6255</v>
      </c>
    </row>
    <row r="4280" spans="1:1">
      <c r="A4280" s="151" t="s">
        <v>6256</v>
      </c>
    </row>
    <row r="4281" spans="1:1">
      <c r="A4281" s="151" t="s">
        <v>6257</v>
      </c>
    </row>
    <row r="4282" spans="1:1">
      <c r="A4282" s="151" t="s">
        <v>6258</v>
      </c>
    </row>
    <row r="4283" spans="1:1">
      <c r="A4283" s="151" t="s">
        <v>6259</v>
      </c>
    </row>
    <row r="4284" spans="1:1">
      <c r="A4284" s="151" t="s">
        <v>6260</v>
      </c>
    </row>
    <row r="4285" spans="1:1">
      <c r="A4285" s="151" t="s">
        <v>6261</v>
      </c>
    </row>
    <row r="4286" spans="1:1">
      <c r="A4286" s="151" t="s">
        <v>6262</v>
      </c>
    </row>
    <row r="4287" spans="1:1">
      <c r="A4287" s="151" t="s">
        <v>6263</v>
      </c>
    </row>
    <row r="4288" spans="1:1">
      <c r="A4288" s="151" t="s">
        <v>6264</v>
      </c>
    </row>
    <row r="4289" spans="1:1">
      <c r="A4289" s="151" t="s">
        <v>6265</v>
      </c>
    </row>
    <row r="4290" spans="1:1">
      <c r="A4290" s="151" t="s">
        <v>6266</v>
      </c>
    </row>
    <row r="4291" spans="1:1">
      <c r="A4291" s="151" t="s">
        <v>6267</v>
      </c>
    </row>
    <row r="4292" spans="1:1">
      <c r="A4292" s="151" t="s">
        <v>6268</v>
      </c>
    </row>
    <row r="4293" spans="1:1">
      <c r="A4293" s="151" t="s">
        <v>6269</v>
      </c>
    </row>
    <row r="4294" spans="1:1">
      <c r="A4294" s="151" t="s">
        <v>6270</v>
      </c>
    </row>
    <row r="4295" spans="1:1">
      <c r="A4295" s="151" t="s">
        <v>6271</v>
      </c>
    </row>
    <row r="4296" spans="1:1">
      <c r="A4296" s="151" t="s">
        <v>6272</v>
      </c>
    </row>
    <row r="4297" spans="1:1">
      <c r="A4297" s="151" t="s">
        <v>6273</v>
      </c>
    </row>
    <row r="4298" spans="1:1">
      <c r="A4298" s="151" t="s">
        <v>6274</v>
      </c>
    </row>
    <row r="4299" spans="1:1">
      <c r="A4299" s="151" t="s">
        <v>6275</v>
      </c>
    </row>
    <row r="4300" spans="1:1">
      <c r="A4300" s="151" t="s">
        <v>6276</v>
      </c>
    </row>
    <row r="4301" spans="1:1">
      <c r="A4301" s="151" t="s">
        <v>6277</v>
      </c>
    </row>
    <row r="4302" spans="1:1">
      <c r="A4302" s="151" t="s">
        <v>6278</v>
      </c>
    </row>
    <row r="4303" spans="1:1">
      <c r="A4303" s="151" t="s">
        <v>6279</v>
      </c>
    </row>
    <row r="4304" spans="1:1">
      <c r="A4304" s="151" t="s">
        <v>6280</v>
      </c>
    </row>
    <row r="4305" spans="1:1">
      <c r="A4305" s="151" t="s">
        <v>6281</v>
      </c>
    </row>
    <row r="4306" spans="1:1">
      <c r="A4306" s="151" t="s">
        <v>6282</v>
      </c>
    </row>
    <row r="4307" spans="1:1">
      <c r="A4307" s="151" t="s">
        <v>6283</v>
      </c>
    </row>
    <row r="4308" spans="1:1">
      <c r="A4308" s="151" t="s">
        <v>6284</v>
      </c>
    </row>
    <row r="4309" spans="1:1">
      <c r="A4309" s="151" t="s">
        <v>6285</v>
      </c>
    </row>
    <row r="4310" spans="1:1">
      <c r="A4310" s="151" t="s">
        <v>6286</v>
      </c>
    </row>
    <row r="4311" spans="1:1">
      <c r="A4311" s="151" t="s">
        <v>6287</v>
      </c>
    </row>
    <row r="4312" spans="1:1">
      <c r="A4312" s="151" t="s">
        <v>6288</v>
      </c>
    </row>
    <row r="4313" spans="1:1">
      <c r="A4313" s="151" t="s">
        <v>6289</v>
      </c>
    </row>
    <row r="4314" spans="1:1">
      <c r="A4314" s="151" t="s">
        <v>6290</v>
      </c>
    </row>
    <row r="4315" spans="1:1">
      <c r="A4315" s="151" t="s">
        <v>6291</v>
      </c>
    </row>
    <row r="4316" spans="1:1">
      <c r="A4316" s="151" t="s">
        <v>6292</v>
      </c>
    </row>
    <row r="4317" spans="1:1">
      <c r="A4317" s="151" t="s">
        <v>6293</v>
      </c>
    </row>
    <row r="4318" spans="1:1">
      <c r="A4318" s="151" t="s">
        <v>6294</v>
      </c>
    </row>
    <row r="4319" spans="1:1">
      <c r="A4319" s="151" t="s">
        <v>6295</v>
      </c>
    </row>
    <row r="4320" spans="1:1">
      <c r="A4320" s="151" t="s">
        <v>6296</v>
      </c>
    </row>
    <row r="4321" spans="1:1">
      <c r="A4321" s="151" t="s">
        <v>6297</v>
      </c>
    </row>
    <row r="4322" spans="1:1">
      <c r="A4322" s="151" t="s">
        <v>6298</v>
      </c>
    </row>
    <row r="4323" spans="1:1">
      <c r="A4323" s="151" t="s">
        <v>6299</v>
      </c>
    </row>
    <row r="4324" spans="1:1">
      <c r="A4324" s="151" t="s">
        <v>6300</v>
      </c>
    </row>
    <row r="4325" spans="1:1">
      <c r="A4325" s="151" t="s">
        <v>6301</v>
      </c>
    </row>
    <row r="4326" spans="1:1">
      <c r="A4326" s="151" t="s">
        <v>6302</v>
      </c>
    </row>
    <row r="4327" spans="1:1">
      <c r="A4327" s="151" t="s">
        <v>6303</v>
      </c>
    </row>
    <row r="4328" spans="1:1">
      <c r="A4328" s="151" t="s">
        <v>6304</v>
      </c>
    </row>
    <row r="4329" spans="1:1">
      <c r="A4329" s="151" t="s">
        <v>6305</v>
      </c>
    </row>
    <row r="4330" spans="1:1">
      <c r="A4330" s="151" t="s">
        <v>6306</v>
      </c>
    </row>
    <row r="4331" spans="1:1">
      <c r="A4331" s="151" t="s">
        <v>6307</v>
      </c>
    </row>
    <row r="4332" spans="1:1">
      <c r="A4332" s="151" t="s">
        <v>6308</v>
      </c>
    </row>
    <row r="4333" spans="1:1">
      <c r="A4333" s="151" t="s">
        <v>6309</v>
      </c>
    </row>
    <row r="4334" spans="1:1">
      <c r="A4334" s="151" t="s">
        <v>6310</v>
      </c>
    </row>
    <row r="4335" spans="1:1">
      <c r="A4335" s="151" t="s">
        <v>6311</v>
      </c>
    </row>
    <row r="4336" spans="1:1">
      <c r="A4336" s="151" t="s">
        <v>6312</v>
      </c>
    </row>
    <row r="4337" spans="1:1">
      <c r="A4337" s="151" t="s">
        <v>6313</v>
      </c>
    </row>
    <row r="4338" spans="1:1">
      <c r="A4338" s="151" t="s">
        <v>6314</v>
      </c>
    </row>
    <row r="4339" spans="1:1">
      <c r="A4339" s="151" t="s">
        <v>6315</v>
      </c>
    </row>
    <row r="4340" spans="1:1">
      <c r="A4340" s="151" t="s">
        <v>6316</v>
      </c>
    </row>
    <row r="4341" spans="1:1">
      <c r="A4341" s="151" t="s">
        <v>6317</v>
      </c>
    </row>
    <row r="4342" spans="1:1">
      <c r="A4342" s="151" t="s">
        <v>6318</v>
      </c>
    </row>
    <row r="4343" spans="1:1">
      <c r="A4343" s="151" t="s">
        <v>6319</v>
      </c>
    </row>
    <row r="4344" spans="1:1">
      <c r="A4344" s="151" t="s">
        <v>6320</v>
      </c>
    </row>
    <row r="4345" spans="1:1">
      <c r="A4345" s="151" t="s">
        <v>6321</v>
      </c>
    </row>
    <row r="4346" spans="1:1">
      <c r="A4346" s="151" t="s">
        <v>6322</v>
      </c>
    </row>
    <row r="4347" spans="1:1">
      <c r="A4347" s="151" t="s">
        <v>6323</v>
      </c>
    </row>
    <row r="4348" spans="1:1">
      <c r="A4348" s="151" t="s">
        <v>6324</v>
      </c>
    </row>
    <row r="4349" spans="1:1">
      <c r="A4349" s="151" t="s">
        <v>6325</v>
      </c>
    </row>
    <row r="4350" spans="1:1">
      <c r="A4350" s="151" t="s">
        <v>6326</v>
      </c>
    </row>
    <row r="4351" spans="1:1">
      <c r="A4351" s="151" t="s">
        <v>6327</v>
      </c>
    </row>
    <row r="4352" spans="1:1">
      <c r="A4352" s="151" t="s">
        <v>6328</v>
      </c>
    </row>
    <row r="4353" spans="1:1">
      <c r="A4353" s="151" t="s">
        <v>6329</v>
      </c>
    </row>
    <row r="4354" spans="1:1">
      <c r="A4354" s="151" t="s">
        <v>6330</v>
      </c>
    </row>
    <row r="4355" spans="1:1">
      <c r="A4355" s="151" t="s">
        <v>6331</v>
      </c>
    </row>
    <row r="4356" spans="1:1">
      <c r="A4356" s="151" t="s">
        <v>6332</v>
      </c>
    </row>
    <row r="4357" spans="1:1">
      <c r="A4357" s="151" t="s">
        <v>6333</v>
      </c>
    </row>
    <row r="4358" spans="1:1">
      <c r="A4358" s="151" t="s">
        <v>6334</v>
      </c>
    </row>
    <row r="4359" spans="1:1">
      <c r="A4359" s="151" t="s">
        <v>6335</v>
      </c>
    </row>
    <row r="4360" spans="1:1">
      <c r="A4360" s="151" t="s">
        <v>6336</v>
      </c>
    </row>
    <row r="4361" spans="1:1">
      <c r="A4361" s="151" t="s">
        <v>6337</v>
      </c>
    </row>
    <row r="4362" spans="1:1">
      <c r="A4362" s="151" t="s">
        <v>6338</v>
      </c>
    </row>
    <row r="4363" spans="1:1">
      <c r="A4363" s="151" t="s">
        <v>6339</v>
      </c>
    </row>
    <row r="4364" spans="1:1">
      <c r="A4364" s="151" t="s">
        <v>6340</v>
      </c>
    </row>
    <row r="4365" spans="1:1">
      <c r="A4365" s="151" t="s">
        <v>6341</v>
      </c>
    </row>
    <row r="4366" spans="1:1">
      <c r="A4366" s="151" t="s">
        <v>6342</v>
      </c>
    </row>
    <row r="4367" spans="1:1">
      <c r="A4367" s="151" t="s">
        <v>6343</v>
      </c>
    </row>
    <row r="4368" spans="1:1">
      <c r="A4368" s="151" t="s">
        <v>6344</v>
      </c>
    </row>
    <row r="4369" spans="1:1">
      <c r="A4369" s="151" t="s">
        <v>6345</v>
      </c>
    </row>
    <row r="4370" spans="1:1">
      <c r="A4370" s="151" t="s">
        <v>6346</v>
      </c>
    </row>
    <row r="4371" spans="1:1">
      <c r="A4371" s="151" t="s">
        <v>6347</v>
      </c>
    </row>
    <row r="4372" spans="1:1">
      <c r="A4372" s="151" t="s">
        <v>6348</v>
      </c>
    </row>
    <row r="4373" spans="1:1">
      <c r="A4373" s="151" t="s">
        <v>6349</v>
      </c>
    </row>
    <row r="4374" spans="1:1">
      <c r="A4374" s="151" t="s">
        <v>6350</v>
      </c>
    </row>
    <row r="4375" spans="1:1">
      <c r="A4375" s="151" t="s">
        <v>6351</v>
      </c>
    </row>
    <row r="4376" spans="1:1">
      <c r="A4376" s="151" t="s">
        <v>6352</v>
      </c>
    </row>
    <row r="4377" spans="1:1">
      <c r="A4377" s="151" t="s">
        <v>6353</v>
      </c>
    </row>
    <row r="4378" spans="1:1">
      <c r="A4378" s="151" t="s">
        <v>6354</v>
      </c>
    </row>
    <row r="4379" spans="1:1">
      <c r="A4379" s="151" t="s">
        <v>6355</v>
      </c>
    </row>
    <row r="4380" spans="1:1">
      <c r="A4380" s="151" t="s">
        <v>6356</v>
      </c>
    </row>
    <row r="4381" spans="1:1">
      <c r="A4381" s="151" t="s">
        <v>6357</v>
      </c>
    </row>
    <row r="4382" spans="1:1">
      <c r="A4382" s="151" t="s">
        <v>6358</v>
      </c>
    </row>
    <row r="4383" spans="1:1">
      <c r="A4383" s="151" t="s">
        <v>6359</v>
      </c>
    </row>
    <row r="4384" spans="1:1">
      <c r="A4384" s="151" t="s">
        <v>6360</v>
      </c>
    </row>
    <row r="4385" spans="1:1">
      <c r="A4385" s="151" t="s">
        <v>6361</v>
      </c>
    </row>
    <row r="4386" spans="1:1">
      <c r="A4386" s="151" t="s">
        <v>6362</v>
      </c>
    </row>
    <row r="4387" spans="1:1">
      <c r="A4387" s="151" t="s">
        <v>6363</v>
      </c>
    </row>
    <row r="4388" spans="1:1">
      <c r="A4388" s="151" t="s">
        <v>6364</v>
      </c>
    </row>
    <row r="4389" spans="1:1">
      <c r="A4389" s="151" t="s">
        <v>6365</v>
      </c>
    </row>
    <row r="4390" spans="1:1">
      <c r="A4390" s="151" t="s">
        <v>6366</v>
      </c>
    </row>
    <row r="4391" spans="1:1">
      <c r="A4391" s="151" t="s">
        <v>6367</v>
      </c>
    </row>
    <row r="4392" spans="1:1">
      <c r="A4392" s="151" t="s">
        <v>6368</v>
      </c>
    </row>
    <row r="4393" spans="1:1">
      <c r="A4393" s="151" t="s">
        <v>6369</v>
      </c>
    </row>
    <row r="4394" spans="1:1">
      <c r="A4394" s="151" t="s">
        <v>6370</v>
      </c>
    </row>
    <row r="4395" spans="1:1">
      <c r="A4395" s="151" t="s">
        <v>6371</v>
      </c>
    </row>
    <row r="4396" spans="1:1">
      <c r="A4396" s="151" t="s">
        <v>6372</v>
      </c>
    </row>
    <row r="4397" spans="1:1">
      <c r="A4397" s="151" t="s">
        <v>6373</v>
      </c>
    </row>
    <row r="4398" spans="1:1">
      <c r="A4398" s="151" t="s">
        <v>6374</v>
      </c>
    </row>
    <row r="4399" spans="1:1">
      <c r="A4399" s="151" t="s">
        <v>6375</v>
      </c>
    </row>
    <row r="4400" spans="1:1">
      <c r="A4400" s="151" t="s">
        <v>6376</v>
      </c>
    </row>
    <row r="4401" spans="1:1">
      <c r="A4401" s="151" t="s">
        <v>6377</v>
      </c>
    </row>
    <row r="4402" spans="1:1">
      <c r="A4402" s="151" t="s">
        <v>6378</v>
      </c>
    </row>
    <row r="4403" spans="1:1">
      <c r="A4403" s="151" t="s">
        <v>6379</v>
      </c>
    </row>
    <row r="4404" spans="1:1">
      <c r="A4404" s="151" t="s">
        <v>6380</v>
      </c>
    </row>
    <row r="4405" spans="1:1">
      <c r="A4405" s="151" t="s">
        <v>6381</v>
      </c>
    </row>
    <row r="4406" spans="1:1">
      <c r="A4406" s="151" t="s">
        <v>6382</v>
      </c>
    </row>
    <row r="4407" spans="1:1">
      <c r="A4407" s="151" t="s">
        <v>6383</v>
      </c>
    </row>
    <row r="4408" spans="1:1">
      <c r="A4408" s="151" t="s">
        <v>6384</v>
      </c>
    </row>
    <row r="4409" spans="1:1">
      <c r="A4409" s="151" t="s">
        <v>6385</v>
      </c>
    </row>
    <row r="4410" spans="1:1">
      <c r="A4410" s="151" t="s">
        <v>6386</v>
      </c>
    </row>
    <row r="4411" spans="1:1">
      <c r="A4411" s="151" t="s">
        <v>6387</v>
      </c>
    </row>
    <row r="4412" spans="1:1">
      <c r="A4412" s="151" t="s">
        <v>6388</v>
      </c>
    </row>
    <row r="4413" spans="1:1">
      <c r="A4413" s="151" t="s">
        <v>6389</v>
      </c>
    </row>
    <row r="4414" spans="1:1">
      <c r="A4414" s="151" t="s">
        <v>6390</v>
      </c>
    </row>
    <row r="4415" spans="1:1">
      <c r="A4415" s="151" t="s">
        <v>6391</v>
      </c>
    </row>
    <row r="4416" spans="1:1">
      <c r="A4416" s="151" t="s">
        <v>6392</v>
      </c>
    </row>
    <row r="4417" spans="1:1">
      <c r="A4417" s="151" t="s">
        <v>6393</v>
      </c>
    </row>
    <row r="4418" spans="1:1">
      <c r="A4418" s="151" t="s">
        <v>6394</v>
      </c>
    </row>
    <row r="4419" spans="1:1">
      <c r="A4419" s="151" t="s">
        <v>6395</v>
      </c>
    </row>
    <row r="4420" spans="1:1">
      <c r="A4420" s="151" t="s">
        <v>6396</v>
      </c>
    </row>
    <row r="4421" spans="1:1">
      <c r="A4421" s="151" t="s">
        <v>6397</v>
      </c>
    </row>
    <row r="4422" spans="1:1">
      <c r="A4422" s="151" t="s">
        <v>6398</v>
      </c>
    </row>
    <row r="4423" spans="1:1">
      <c r="A4423" s="151" t="s">
        <v>6399</v>
      </c>
    </row>
    <row r="4424" spans="1:1">
      <c r="A4424" s="151" t="s">
        <v>6400</v>
      </c>
    </row>
    <row r="4425" spans="1:1">
      <c r="A4425" s="151" t="s">
        <v>6401</v>
      </c>
    </row>
    <row r="4426" spans="1:1">
      <c r="A4426" s="151" t="s">
        <v>6402</v>
      </c>
    </row>
    <row r="4427" spans="1:1">
      <c r="A4427" s="151" t="s">
        <v>6403</v>
      </c>
    </row>
    <row r="4428" spans="1:1">
      <c r="A4428" s="151" t="s">
        <v>6404</v>
      </c>
    </row>
    <row r="4429" spans="1:1">
      <c r="A4429" s="151" t="s">
        <v>6405</v>
      </c>
    </row>
    <row r="4430" spans="1:1">
      <c r="A4430" s="151" t="s">
        <v>6406</v>
      </c>
    </row>
    <row r="4431" spans="1:1">
      <c r="A4431" s="151" t="s">
        <v>6407</v>
      </c>
    </row>
    <row r="4432" spans="1:1">
      <c r="A4432" s="151" t="s">
        <v>6408</v>
      </c>
    </row>
    <row r="4433" spans="1:1">
      <c r="A4433" s="151" t="s">
        <v>6409</v>
      </c>
    </row>
    <row r="4434" spans="1:1">
      <c r="A4434" s="151" t="s">
        <v>6410</v>
      </c>
    </row>
    <row r="4435" spans="1:1">
      <c r="A4435" s="151" t="s">
        <v>6411</v>
      </c>
    </row>
    <row r="4436" spans="1:1">
      <c r="A4436" s="151" t="s">
        <v>6412</v>
      </c>
    </row>
    <row r="4437" spans="1:1">
      <c r="A4437" s="151" t="s">
        <v>6413</v>
      </c>
    </row>
    <row r="4438" spans="1:1">
      <c r="A4438" s="151" t="s">
        <v>6414</v>
      </c>
    </row>
    <row r="4439" spans="1:1">
      <c r="A4439" s="151" t="s">
        <v>6415</v>
      </c>
    </row>
    <row r="4440" spans="1:1">
      <c r="A4440" s="151" t="s">
        <v>6416</v>
      </c>
    </row>
    <row r="4441" spans="1:1">
      <c r="A4441" s="151" t="s">
        <v>6417</v>
      </c>
    </row>
    <row r="4442" spans="1:1">
      <c r="A4442" s="151" t="s">
        <v>6418</v>
      </c>
    </row>
    <row r="4443" spans="1:1">
      <c r="A4443" s="151" t="s">
        <v>6419</v>
      </c>
    </row>
    <row r="4444" spans="1:1">
      <c r="A4444" s="151" t="s">
        <v>6420</v>
      </c>
    </row>
    <row r="4445" spans="1:1">
      <c r="A4445" s="151" t="s">
        <v>6421</v>
      </c>
    </row>
    <row r="4446" spans="1:1">
      <c r="A4446" s="151" t="s">
        <v>6422</v>
      </c>
    </row>
    <row r="4447" spans="1:1">
      <c r="A4447" s="151" t="s">
        <v>6423</v>
      </c>
    </row>
    <row r="4448" spans="1:1">
      <c r="A4448" s="151" t="s">
        <v>6424</v>
      </c>
    </row>
    <row r="4449" spans="1:1">
      <c r="A4449" s="151" t="s">
        <v>6425</v>
      </c>
    </row>
    <row r="4450" spans="1:1">
      <c r="A4450" s="151" t="s">
        <v>6426</v>
      </c>
    </row>
    <row r="4451" spans="1:1">
      <c r="A4451" s="151" t="s">
        <v>6427</v>
      </c>
    </row>
    <row r="4452" spans="1:1">
      <c r="A4452" s="151" t="s">
        <v>6428</v>
      </c>
    </row>
    <row r="4453" spans="1:1">
      <c r="A4453" s="151" t="s">
        <v>6429</v>
      </c>
    </row>
    <row r="4454" spans="1:1">
      <c r="A4454" s="151" t="s">
        <v>6430</v>
      </c>
    </row>
    <row r="4455" spans="1:1">
      <c r="A4455" s="151" t="s">
        <v>6431</v>
      </c>
    </row>
    <row r="4456" spans="1:1">
      <c r="A4456" s="151" t="s">
        <v>6432</v>
      </c>
    </row>
    <row r="4457" spans="1:1">
      <c r="A4457" s="151" t="s">
        <v>6433</v>
      </c>
    </row>
    <row r="4458" spans="1:1">
      <c r="A4458" s="151" t="s">
        <v>6434</v>
      </c>
    </row>
    <row r="4459" spans="1:1">
      <c r="A4459" s="151" t="s">
        <v>6435</v>
      </c>
    </row>
    <row r="4460" spans="1:1">
      <c r="A4460" s="151" t="s">
        <v>6436</v>
      </c>
    </row>
    <row r="4461" spans="1:1">
      <c r="A4461" s="151" t="s">
        <v>6437</v>
      </c>
    </row>
    <row r="4462" spans="1:1">
      <c r="A4462" s="151" t="s">
        <v>6438</v>
      </c>
    </row>
    <row r="4463" spans="1:1">
      <c r="A4463" s="151" t="s">
        <v>6439</v>
      </c>
    </row>
    <row r="4464" spans="1:1">
      <c r="A4464" s="151" t="s">
        <v>6440</v>
      </c>
    </row>
    <row r="4465" spans="1:1">
      <c r="A4465" s="151" t="s">
        <v>6441</v>
      </c>
    </row>
    <row r="4466" spans="1:1">
      <c r="A4466" s="151" t="s">
        <v>6442</v>
      </c>
    </row>
    <row r="4467" spans="1:1">
      <c r="A4467" s="151" t="s">
        <v>6443</v>
      </c>
    </row>
    <row r="4468" spans="1:1">
      <c r="A4468" s="151" t="s">
        <v>6444</v>
      </c>
    </row>
    <row r="4469" spans="1:1">
      <c r="A4469" s="151" t="s">
        <v>6445</v>
      </c>
    </row>
    <row r="4470" spans="1:1">
      <c r="A4470" s="151" t="s">
        <v>6446</v>
      </c>
    </row>
    <row r="4471" spans="1:1">
      <c r="A4471" s="151" t="s">
        <v>6447</v>
      </c>
    </row>
    <row r="4472" spans="1:1">
      <c r="A4472" s="151" t="s">
        <v>6448</v>
      </c>
    </row>
    <row r="4473" spans="1:1">
      <c r="A4473" s="151" t="s">
        <v>6449</v>
      </c>
    </row>
    <row r="4474" spans="1:1">
      <c r="A4474" s="151" t="s">
        <v>6450</v>
      </c>
    </row>
    <row r="4475" spans="1:1">
      <c r="A4475" s="151" t="s">
        <v>6451</v>
      </c>
    </row>
    <row r="4476" spans="1:1">
      <c r="A4476" s="151" t="s">
        <v>6452</v>
      </c>
    </row>
    <row r="4477" spans="1:1">
      <c r="A4477" s="151" t="s">
        <v>6453</v>
      </c>
    </row>
    <row r="4478" spans="1:1">
      <c r="A4478" s="151" t="s">
        <v>6454</v>
      </c>
    </row>
    <row r="4479" spans="1:1">
      <c r="A4479" s="151" t="s">
        <v>6455</v>
      </c>
    </row>
    <row r="4480" spans="1:1">
      <c r="A4480" s="151" t="s">
        <v>6456</v>
      </c>
    </row>
    <row r="4481" spans="1:1">
      <c r="A4481" s="151" t="s">
        <v>6457</v>
      </c>
    </row>
    <row r="4482" spans="1:1">
      <c r="A4482" s="151" t="s">
        <v>6458</v>
      </c>
    </row>
    <row r="4483" spans="1:1">
      <c r="A4483" s="151" t="s">
        <v>6459</v>
      </c>
    </row>
    <row r="4484" spans="1:1">
      <c r="A4484" s="151" t="s">
        <v>6460</v>
      </c>
    </row>
    <row r="4485" spans="1:1">
      <c r="A4485" s="151" t="s">
        <v>6461</v>
      </c>
    </row>
    <row r="4486" spans="1:1">
      <c r="A4486" s="151" t="s">
        <v>6462</v>
      </c>
    </row>
    <row r="4487" spans="1:1">
      <c r="A4487" s="151" t="s">
        <v>6463</v>
      </c>
    </row>
    <row r="4488" spans="1:1">
      <c r="A4488" s="151" t="s">
        <v>6464</v>
      </c>
    </row>
    <row r="4489" spans="1:1">
      <c r="A4489" s="151" t="s">
        <v>6465</v>
      </c>
    </row>
    <row r="4490" spans="1:1">
      <c r="A4490" s="151" t="s">
        <v>6466</v>
      </c>
    </row>
    <row r="4491" spans="1:1">
      <c r="A4491" s="151" t="s">
        <v>6467</v>
      </c>
    </row>
    <row r="4492" spans="1:1">
      <c r="A4492" s="151" t="s">
        <v>6468</v>
      </c>
    </row>
    <row r="4493" spans="1:1">
      <c r="A4493" s="151" t="s">
        <v>6469</v>
      </c>
    </row>
    <row r="4494" spans="1:1">
      <c r="A4494" s="151" t="s">
        <v>6470</v>
      </c>
    </row>
    <row r="4495" spans="1:1">
      <c r="A4495" s="151" t="s">
        <v>6471</v>
      </c>
    </row>
    <row r="4496" spans="1:1">
      <c r="A4496" s="151" t="s">
        <v>6472</v>
      </c>
    </row>
    <row r="4497" spans="1:1">
      <c r="A4497" s="151" t="s">
        <v>6473</v>
      </c>
    </row>
    <row r="4498" spans="1:1">
      <c r="A4498" s="151" t="s">
        <v>6474</v>
      </c>
    </row>
    <row r="4499" spans="1:1">
      <c r="A4499" s="151" t="s">
        <v>6475</v>
      </c>
    </row>
    <row r="4500" spans="1:1">
      <c r="A4500" s="151" t="s">
        <v>6476</v>
      </c>
    </row>
    <row r="4501" spans="1:1">
      <c r="A4501" s="151" t="s">
        <v>6477</v>
      </c>
    </row>
    <row r="4502" spans="1:1">
      <c r="A4502" s="151" t="s">
        <v>6478</v>
      </c>
    </row>
    <row r="4503" spans="1:1">
      <c r="A4503" s="151" t="s">
        <v>6479</v>
      </c>
    </row>
    <row r="4504" spans="1:1">
      <c r="A4504" s="151" t="s">
        <v>6480</v>
      </c>
    </row>
    <row r="4505" spans="1:1">
      <c r="A4505" s="151" t="s">
        <v>6481</v>
      </c>
    </row>
    <row r="4506" spans="1:1">
      <c r="A4506" s="151" t="s">
        <v>6482</v>
      </c>
    </row>
    <row r="4507" spans="1:1">
      <c r="A4507" s="151" t="s">
        <v>6483</v>
      </c>
    </row>
    <row r="4508" spans="1:1">
      <c r="A4508" s="151" t="s">
        <v>6484</v>
      </c>
    </row>
    <row r="4509" spans="1:1">
      <c r="A4509" s="151" t="s">
        <v>6485</v>
      </c>
    </row>
    <row r="4510" spans="1:1">
      <c r="A4510" s="151" t="s">
        <v>6486</v>
      </c>
    </row>
    <row r="4511" spans="1:1">
      <c r="A4511" s="151" t="s">
        <v>6487</v>
      </c>
    </row>
    <row r="4512" spans="1:1">
      <c r="A4512" s="151" t="s">
        <v>6488</v>
      </c>
    </row>
    <row r="4513" spans="1:1">
      <c r="A4513" s="151" t="s">
        <v>6489</v>
      </c>
    </row>
    <row r="4514" spans="1:1">
      <c r="A4514" s="151" t="s">
        <v>6490</v>
      </c>
    </row>
    <row r="4515" spans="1:1">
      <c r="A4515" s="151" t="s">
        <v>6491</v>
      </c>
    </row>
    <row r="4516" spans="1:1">
      <c r="A4516" s="151" t="s">
        <v>6492</v>
      </c>
    </row>
    <row r="4517" spans="1:1">
      <c r="A4517" s="151" t="s">
        <v>6493</v>
      </c>
    </row>
    <row r="4518" spans="1:1">
      <c r="A4518" s="151" t="s">
        <v>6494</v>
      </c>
    </row>
    <row r="4519" spans="1:1">
      <c r="A4519" s="151" t="s">
        <v>6495</v>
      </c>
    </row>
    <row r="4520" spans="1:1">
      <c r="A4520" s="151" t="s">
        <v>6496</v>
      </c>
    </row>
    <row r="4521" spans="1:1">
      <c r="A4521" s="151" t="s">
        <v>6497</v>
      </c>
    </row>
    <row r="4522" spans="1:1">
      <c r="A4522" s="151" t="s">
        <v>6498</v>
      </c>
    </row>
    <row r="4523" spans="1:1">
      <c r="A4523" s="151" t="s">
        <v>6499</v>
      </c>
    </row>
    <row r="4524" spans="1:1">
      <c r="A4524" s="151" t="s">
        <v>6500</v>
      </c>
    </row>
    <row r="4525" spans="1:1">
      <c r="A4525" s="151" t="s">
        <v>6501</v>
      </c>
    </row>
    <row r="4526" spans="1:1">
      <c r="A4526" s="151" t="s">
        <v>6502</v>
      </c>
    </row>
    <row r="4527" spans="1:1">
      <c r="A4527" s="151" t="s">
        <v>6503</v>
      </c>
    </row>
    <row r="4528" spans="1:1">
      <c r="A4528" s="151" t="s">
        <v>6504</v>
      </c>
    </row>
    <row r="4529" spans="1:1">
      <c r="A4529" s="151" t="s">
        <v>6505</v>
      </c>
    </row>
    <row r="4530" spans="1:1">
      <c r="A4530" s="151" t="s">
        <v>6506</v>
      </c>
    </row>
    <row r="4531" spans="1:1">
      <c r="A4531" s="151" t="s">
        <v>6507</v>
      </c>
    </row>
    <row r="4532" spans="1:1">
      <c r="A4532" s="151" t="s">
        <v>6508</v>
      </c>
    </row>
    <row r="4533" spans="1:1">
      <c r="A4533" s="151" t="s">
        <v>6509</v>
      </c>
    </row>
    <row r="4534" spans="1:1">
      <c r="A4534" s="151" t="s">
        <v>6510</v>
      </c>
    </row>
    <row r="4535" spans="1:1">
      <c r="A4535" s="151" t="s">
        <v>6511</v>
      </c>
    </row>
    <row r="4536" spans="1:1">
      <c r="A4536" s="151" t="s">
        <v>6512</v>
      </c>
    </row>
    <row r="4537" spans="1:1">
      <c r="A4537" s="151" t="s">
        <v>6513</v>
      </c>
    </row>
    <row r="4538" spans="1:1">
      <c r="A4538" s="151" t="s">
        <v>6514</v>
      </c>
    </row>
    <row r="4539" spans="1:1">
      <c r="A4539" s="151" t="s">
        <v>6515</v>
      </c>
    </row>
    <row r="4540" spans="1:1">
      <c r="A4540" s="151" t="s">
        <v>6516</v>
      </c>
    </row>
    <row r="4541" spans="1:1">
      <c r="A4541" s="151" t="s">
        <v>6517</v>
      </c>
    </row>
    <row r="4542" spans="1:1">
      <c r="A4542" s="151" t="s">
        <v>6518</v>
      </c>
    </row>
    <row r="4543" spans="1:1">
      <c r="A4543" s="151" t="s">
        <v>6519</v>
      </c>
    </row>
    <row r="4544" spans="1:1">
      <c r="A4544" s="151" t="s">
        <v>6520</v>
      </c>
    </row>
    <row r="4545" spans="1:1">
      <c r="A4545" s="151" t="s">
        <v>6521</v>
      </c>
    </row>
    <row r="4546" spans="1:1">
      <c r="A4546" s="151" t="s">
        <v>6522</v>
      </c>
    </row>
    <row r="4547" spans="1:1">
      <c r="A4547" s="151" t="s">
        <v>6523</v>
      </c>
    </row>
    <row r="4548" spans="1:1">
      <c r="A4548" s="151" t="s">
        <v>6524</v>
      </c>
    </row>
    <row r="4549" spans="1:1">
      <c r="A4549" s="151" t="s">
        <v>6525</v>
      </c>
    </row>
    <row r="4550" spans="1:1">
      <c r="A4550" s="151" t="s">
        <v>6526</v>
      </c>
    </row>
    <row r="4551" spans="1:1">
      <c r="A4551" s="151" t="s">
        <v>6527</v>
      </c>
    </row>
    <row r="4552" spans="1:1">
      <c r="A4552" s="151" t="s">
        <v>6528</v>
      </c>
    </row>
    <row r="4553" spans="1:1">
      <c r="A4553" s="151" t="s">
        <v>6529</v>
      </c>
    </row>
    <row r="4554" spans="1:1">
      <c r="A4554" s="151" t="s">
        <v>6530</v>
      </c>
    </row>
    <row r="4555" spans="1:1">
      <c r="A4555" s="151" t="s">
        <v>6531</v>
      </c>
    </row>
    <row r="4556" spans="1:1">
      <c r="A4556" s="151" t="s">
        <v>6532</v>
      </c>
    </row>
    <row r="4557" spans="1:1">
      <c r="A4557" s="151" t="s">
        <v>6533</v>
      </c>
    </row>
    <row r="4558" spans="1:1">
      <c r="A4558" s="151" t="s">
        <v>6534</v>
      </c>
    </row>
    <row r="4559" spans="1:1">
      <c r="A4559" s="151" t="s">
        <v>6535</v>
      </c>
    </row>
    <row r="4560" spans="1:1">
      <c r="A4560" s="151" t="s">
        <v>6536</v>
      </c>
    </row>
    <row r="4561" spans="1:1">
      <c r="A4561" s="151" t="s">
        <v>6537</v>
      </c>
    </row>
    <row r="4562" spans="1:1">
      <c r="A4562" s="151" t="s">
        <v>6538</v>
      </c>
    </row>
    <row r="4563" spans="1:1">
      <c r="A4563" s="151" t="s">
        <v>6539</v>
      </c>
    </row>
    <row r="4564" spans="1:1">
      <c r="A4564" s="151" t="s">
        <v>6540</v>
      </c>
    </row>
    <row r="4565" spans="1:1">
      <c r="A4565" s="151" t="s">
        <v>6541</v>
      </c>
    </row>
    <row r="4566" spans="1:1">
      <c r="A4566" s="151" t="s">
        <v>6542</v>
      </c>
    </row>
    <row r="4567" spans="1:1">
      <c r="A4567" s="151" t="s">
        <v>6543</v>
      </c>
    </row>
    <row r="4568" spans="1:1">
      <c r="A4568" s="151" t="s">
        <v>6544</v>
      </c>
    </row>
    <row r="4569" spans="1:1">
      <c r="A4569" s="151" t="s">
        <v>6545</v>
      </c>
    </row>
    <row r="4570" spans="1:1">
      <c r="A4570" s="151" t="s">
        <v>6546</v>
      </c>
    </row>
    <row r="4571" spans="1:1">
      <c r="A4571" s="151" t="s">
        <v>6547</v>
      </c>
    </row>
    <row r="4572" spans="1:1">
      <c r="A4572" s="151" t="s">
        <v>6548</v>
      </c>
    </row>
    <row r="4573" spans="1:1">
      <c r="A4573" s="151" t="s">
        <v>6549</v>
      </c>
    </row>
    <row r="4574" spans="1:1">
      <c r="A4574" s="151" t="s">
        <v>6550</v>
      </c>
    </row>
    <row r="4575" spans="1:1">
      <c r="A4575" s="151" t="s">
        <v>6551</v>
      </c>
    </row>
    <row r="4576" spans="1:1">
      <c r="A4576" s="151" t="s">
        <v>6552</v>
      </c>
    </row>
    <row r="4577" spans="1:1">
      <c r="A4577" s="151" t="s">
        <v>6553</v>
      </c>
    </row>
    <row r="4578" spans="1:1">
      <c r="A4578" s="151" t="s">
        <v>6554</v>
      </c>
    </row>
    <row r="4579" spans="1:1">
      <c r="A4579" s="151" t="s">
        <v>6555</v>
      </c>
    </row>
    <row r="4580" spans="1:1">
      <c r="A4580" s="151" t="s">
        <v>6556</v>
      </c>
    </row>
    <row r="4581" spans="1:1">
      <c r="A4581" s="151" t="s">
        <v>6557</v>
      </c>
    </row>
    <row r="4582" spans="1:1">
      <c r="A4582" s="151" t="s">
        <v>6558</v>
      </c>
    </row>
    <row r="4583" spans="1:1">
      <c r="A4583" s="151" t="s">
        <v>6559</v>
      </c>
    </row>
    <row r="4584" spans="1:1">
      <c r="A4584" s="151" t="s">
        <v>6560</v>
      </c>
    </row>
    <row r="4585" spans="1:1">
      <c r="A4585" s="151" t="s">
        <v>6561</v>
      </c>
    </row>
    <row r="4586" spans="1:1">
      <c r="A4586" s="151" t="s">
        <v>6562</v>
      </c>
    </row>
    <row r="4587" spans="1:1">
      <c r="A4587" s="151" t="s">
        <v>6563</v>
      </c>
    </row>
    <row r="4588" spans="1:1">
      <c r="A4588" s="151" t="s">
        <v>6564</v>
      </c>
    </row>
    <row r="4589" spans="1:1">
      <c r="A4589" s="151" t="s">
        <v>6565</v>
      </c>
    </row>
    <row r="4590" spans="1:1">
      <c r="A4590" s="151" t="s">
        <v>6566</v>
      </c>
    </row>
    <row r="4591" spans="1:1">
      <c r="A4591" s="151" t="s">
        <v>6567</v>
      </c>
    </row>
    <row r="4592" spans="1:1">
      <c r="A4592" s="151" t="s">
        <v>6568</v>
      </c>
    </row>
    <row r="4593" spans="1:1">
      <c r="A4593" s="151" t="s">
        <v>6569</v>
      </c>
    </row>
    <row r="4594" spans="1:1">
      <c r="A4594" s="151" t="s">
        <v>6570</v>
      </c>
    </row>
    <row r="4595" spans="1:1">
      <c r="A4595" s="151" t="s">
        <v>6571</v>
      </c>
    </row>
    <row r="4596" spans="1:1">
      <c r="A4596" s="151" t="s">
        <v>6572</v>
      </c>
    </row>
    <row r="4597" spans="1:1">
      <c r="A4597" s="151" t="s">
        <v>6573</v>
      </c>
    </row>
    <row r="4598" spans="1:1">
      <c r="A4598" s="151" t="s">
        <v>6574</v>
      </c>
    </row>
    <row r="4599" spans="1:1">
      <c r="A4599" s="151" t="s">
        <v>6575</v>
      </c>
    </row>
    <row r="4600" spans="1:1">
      <c r="A4600" s="151" t="s">
        <v>6576</v>
      </c>
    </row>
    <row r="4601" spans="1:1">
      <c r="A4601" s="151" t="s">
        <v>6577</v>
      </c>
    </row>
    <row r="4602" spans="1:1">
      <c r="A4602" s="151" t="s">
        <v>6578</v>
      </c>
    </row>
    <row r="4603" spans="1:1">
      <c r="A4603" s="151" t="s">
        <v>6579</v>
      </c>
    </row>
    <row r="4604" spans="1:1">
      <c r="A4604" s="151" t="s">
        <v>6580</v>
      </c>
    </row>
    <row r="4605" spans="1:1">
      <c r="A4605" s="151" t="s">
        <v>6581</v>
      </c>
    </row>
    <row r="4606" spans="1:1">
      <c r="A4606" s="151" t="s">
        <v>6582</v>
      </c>
    </row>
    <row r="4607" spans="1:1">
      <c r="A4607" s="151" t="s">
        <v>6583</v>
      </c>
    </row>
    <row r="4608" spans="1:1">
      <c r="A4608" s="151" t="s">
        <v>6584</v>
      </c>
    </row>
    <row r="4609" spans="1:1">
      <c r="A4609" s="151" t="s">
        <v>6585</v>
      </c>
    </row>
    <row r="4610" spans="1:1">
      <c r="A4610" s="151" t="s">
        <v>6586</v>
      </c>
    </row>
    <row r="4611" spans="1:1">
      <c r="A4611" s="151" t="s">
        <v>6587</v>
      </c>
    </row>
    <row r="4612" spans="1:1">
      <c r="A4612" s="151" t="s">
        <v>6588</v>
      </c>
    </row>
    <row r="4613" spans="1:1">
      <c r="A4613" s="151" t="s">
        <v>6589</v>
      </c>
    </row>
    <row r="4614" spans="1:1">
      <c r="A4614" s="151" t="s">
        <v>6590</v>
      </c>
    </row>
    <row r="4615" spans="1:1">
      <c r="A4615" s="151" t="s">
        <v>6591</v>
      </c>
    </row>
    <row r="4616" spans="1:1">
      <c r="A4616" s="151" t="s">
        <v>6592</v>
      </c>
    </row>
    <row r="4617" spans="1:1">
      <c r="A4617" s="151" t="s">
        <v>6593</v>
      </c>
    </row>
    <row r="4618" spans="1:1">
      <c r="A4618" s="151" t="s">
        <v>6594</v>
      </c>
    </row>
    <row r="4619" spans="1:1">
      <c r="A4619" s="151" t="s">
        <v>6595</v>
      </c>
    </row>
    <row r="4620" spans="1:1">
      <c r="A4620" s="151" t="s">
        <v>6596</v>
      </c>
    </row>
    <row r="4621" spans="1:1">
      <c r="A4621" s="151" t="s">
        <v>6597</v>
      </c>
    </row>
    <row r="4622" spans="1:1">
      <c r="A4622" s="151" t="s">
        <v>6598</v>
      </c>
    </row>
    <row r="4623" spans="1:1">
      <c r="A4623" s="151" t="s">
        <v>6599</v>
      </c>
    </row>
    <row r="4624" spans="1:1">
      <c r="A4624" s="151" t="s">
        <v>6600</v>
      </c>
    </row>
    <row r="4625" spans="1:1">
      <c r="A4625" s="151" t="s">
        <v>6601</v>
      </c>
    </row>
    <row r="4626" spans="1:1">
      <c r="A4626" s="151" t="s">
        <v>6602</v>
      </c>
    </row>
    <row r="4627" spans="1:1">
      <c r="A4627" s="151" t="s">
        <v>6603</v>
      </c>
    </row>
    <row r="4628" spans="1:1">
      <c r="A4628" s="151" t="s">
        <v>6604</v>
      </c>
    </row>
    <row r="4629" spans="1:1">
      <c r="A4629" s="151" t="s">
        <v>6605</v>
      </c>
    </row>
    <row r="4630" spans="1:1">
      <c r="A4630" s="151" t="s">
        <v>6606</v>
      </c>
    </row>
    <row r="4631" spans="1:1">
      <c r="A4631" s="151" t="s">
        <v>6607</v>
      </c>
    </row>
    <row r="4632" spans="1:1">
      <c r="A4632" s="151" t="s">
        <v>6608</v>
      </c>
    </row>
    <row r="4633" spans="1:1">
      <c r="A4633" s="151" t="s">
        <v>6609</v>
      </c>
    </row>
    <row r="4634" spans="1:1">
      <c r="A4634" s="151" t="s">
        <v>6610</v>
      </c>
    </row>
    <row r="4635" spans="1:1">
      <c r="A4635" s="151" t="s">
        <v>6611</v>
      </c>
    </row>
    <row r="4636" spans="1:1">
      <c r="A4636" s="151" t="s">
        <v>6612</v>
      </c>
    </row>
    <row r="4637" spans="1:1">
      <c r="A4637" s="151" t="s">
        <v>6613</v>
      </c>
    </row>
    <row r="4638" spans="1:1">
      <c r="A4638" s="151" t="s">
        <v>6614</v>
      </c>
    </row>
    <row r="4639" spans="1:1">
      <c r="A4639" s="151" t="s">
        <v>6615</v>
      </c>
    </row>
    <row r="4640" spans="1:1">
      <c r="A4640" s="151" t="s">
        <v>6616</v>
      </c>
    </row>
    <row r="4641" spans="1:1">
      <c r="A4641" s="151" t="s">
        <v>6617</v>
      </c>
    </row>
    <row r="4642" spans="1:1">
      <c r="A4642" s="151" t="s">
        <v>6618</v>
      </c>
    </row>
    <row r="4643" spans="1:1">
      <c r="A4643" s="151" t="s">
        <v>6619</v>
      </c>
    </row>
    <row r="4644" spans="1:1">
      <c r="A4644" s="151" t="s">
        <v>6620</v>
      </c>
    </row>
    <row r="4645" spans="1:1">
      <c r="A4645" s="151" t="s">
        <v>6621</v>
      </c>
    </row>
    <row r="4646" spans="1:1">
      <c r="A4646" s="151" t="s">
        <v>6622</v>
      </c>
    </row>
    <row r="4647" spans="1:1">
      <c r="A4647" s="151" t="s">
        <v>6623</v>
      </c>
    </row>
    <row r="4648" spans="1:1">
      <c r="A4648" s="151" t="s">
        <v>6624</v>
      </c>
    </row>
    <row r="4649" spans="1:1">
      <c r="A4649" s="151" t="s">
        <v>6625</v>
      </c>
    </row>
    <row r="4650" spans="1:1">
      <c r="A4650" s="151" t="s">
        <v>6626</v>
      </c>
    </row>
    <row r="4651" spans="1:1">
      <c r="A4651" s="151" t="s">
        <v>6627</v>
      </c>
    </row>
    <row r="4652" spans="1:1">
      <c r="A4652" s="151" t="s">
        <v>6628</v>
      </c>
    </row>
    <row r="4653" spans="1:1">
      <c r="A4653" s="151" t="s">
        <v>6629</v>
      </c>
    </row>
    <row r="4654" spans="1:1">
      <c r="A4654" s="151" t="s">
        <v>6630</v>
      </c>
    </row>
    <row r="4655" spans="1:1">
      <c r="A4655" s="151" t="s">
        <v>6631</v>
      </c>
    </row>
    <row r="4656" spans="1:1">
      <c r="A4656" s="151" t="s">
        <v>6632</v>
      </c>
    </row>
    <row r="4657" spans="1:1">
      <c r="A4657" s="151" t="s">
        <v>6633</v>
      </c>
    </row>
    <row r="4658" spans="1:1">
      <c r="A4658" s="151" t="s">
        <v>6634</v>
      </c>
    </row>
    <row r="4659" spans="1:1">
      <c r="A4659" s="151" t="s">
        <v>6635</v>
      </c>
    </row>
    <row r="4660" spans="1:1">
      <c r="A4660" s="151" t="s">
        <v>6636</v>
      </c>
    </row>
    <row r="4661" spans="1:1">
      <c r="A4661" s="151" t="s">
        <v>6637</v>
      </c>
    </row>
    <row r="4662" spans="1:1">
      <c r="A4662" s="151" t="s">
        <v>6638</v>
      </c>
    </row>
    <row r="4663" spans="1:1">
      <c r="A4663" s="151" t="s">
        <v>6639</v>
      </c>
    </row>
    <row r="4664" spans="1:1">
      <c r="A4664" s="151" t="s">
        <v>6640</v>
      </c>
    </row>
    <row r="4665" spans="1:1">
      <c r="A4665" s="151" t="s">
        <v>6641</v>
      </c>
    </row>
    <row r="4666" spans="1:1">
      <c r="A4666" s="151" t="s">
        <v>6642</v>
      </c>
    </row>
    <row r="4667" spans="1:1">
      <c r="A4667" s="151" t="s">
        <v>6643</v>
      </c>
    </row>
    <row r="4668" spans="1:1">
      <c r="A4668" s="151" t="s">
        <v>6644</v>
      </c>
    </row>
    <row r="4669" spans="1:1">
      <c r="A4669" s="151" t="s">
        <v>6645</v>
      </c>
    </row>
    <row r="4670" spans="1:1">
      <c r="A4670" s="151" t="s">
        <v>6646</v>
      </c>
    </row>
    <row r="4671" spans="1:1">
      <c r="A4671" s="151" t="s">
        <v>6647</v>
      </c>
    </row>
    <row r="4672" spans="1:1">
      <c r="A4672" s="151" t="s">
        <v>6648</v>
      </c>
    </row>
    <row r="4673" spans="1:1">
      <c r="A4673" s="151" t="s">
        <v>6649</v>
      </c>
    </row>
    <row r="4674" spans="1:1">
      <c r="A4674" s="151" t="s">
        <v>6650</v>
      </c>
    </row>
    <row r="4675" spans="1:1">
      <c r="A4675" s="151" t="s">
        <v>6651</v>
      </c>
    </row>
    <row r="4676" spans="1:1">
      <c r="A4676" s="151" t="s">
        <v>6652</v>
      </c>
    </row>
    <row r="4677" spans="1:1">
      <c r="A4677" s="151" t="s">
        <v>6653</v>
      </c>
    </row>
    <row r="4678" spans="1:1">
      <c r="A4678" s="151" t="s">
        <v>6654</v>
      </c>
    </row>
    <row r="4679" spans="1:1">
      <c r="A4679" s="151" t="s">
        <v>6655</v>
      </c>
    </row>
    <row r="4680" spans="1:1">
      <c r="A4680" s="151" t="s">
        <v>6656</v>
      </c>
    </row>
    <row r="4681" spans="1:1">
      <c r="A4681" s="151" t="s">
        <v>6657</v>
      </c>
    </row>
    <row r="4682" spans="1:1">
      <c r="A4682" s="151" t="s">
        <v>6658</v>
      </c>
    </row>
    <row r="4683" spans="1:1">
      <c r="A4683" s="151" t="s">
        <v>6659</v>
      </c>
    </row>
    <row r="4684" spans="1:1">
      <c r="A4684" s="151" t="s">
        <v>6660</v>
      </c>
    </row>
    <row r="4685" spans="1:1">
      <c r="A4685" s="151" t="s">
        <v>6661</v>
      </c>
    </row>
    <row r="4686" spans="1:1">
      <c r="A4686" s="151" t="s">
        <v>6662</v>
      </c>
    </row>
    <row r="4687" spans="1:1">
      <c r="A4687" s="151" t="s">
        <v>6663</v>
      </c>
    </row>
    <row r="4688" spans="1:1">
      <c r="A4688" s="151" t="s">
        <v>6664</v>
      </c>
    </row>
    <row r="4689" spans="1:1">
      <c r="A4689" s="151" t="s">
        <v>6665</v>
      </c>
    </row>
    <row r="4690" spans="1:1">
      <c r="A4690" s="151" t="s">
        <v>6666</v>
      </c>
    </row>
    <row r="4691" spans="1:1">
      <c r="A4691" s="151" t="s">
        <v>6667</v>
      </c>
    </row>
    <row r="4692" spans="1:1">
      <c r="A4692" s="151" t="s">
        <v>6668</v>
      </c>
    </row>
    <row r="4693" spans="1:1">
      <c r="A4693" s="151" t="s">
        <v>6669</v>
      </c>
    </row>
    <row r="4694" spans="1:1">
      <c r="A4694" s="151" t="s">
        <v>6670</v>
      </c>
    </row>
    <row r="4695" spans="1:1">
      <c r="A4695" s="151" t="s">
        <v>6671</v>
      </c>
    </row>
    <row r="4696" spans="1:1">
      <c r="A4696" s="151" t="s">
        <v>6672</v>
      </c>
    </row>
    <row r="4697" spans="1:1">
      <c r="A4697" s="151" t="s">
        <v>6673</v>
      </c>
    </row>
    <row r="4698" spans="1:1">
      <c r="A4698" s="151" t="s">
        <v>6674</v>
      </c>
    </row>
    <row r="4699" spans="1:1">
      <c r="A4699" s="151" t="s">
        <v>6675</v>
      </c>
    </row>
    <row r="4700" spans="1:1">
      <c r="A4700" s="151" t="s">
        <v>6676</v>
      </c>
    </row>
    <row r="4701" spans="1:1">
      <c r="A4701" s="151" t="s">
        <v>6677</v>
      </c>
    </row>
    <row r="4702" spans="1:1">
      <c r="A4702" s="151" t="s">
        <v>6678</v>
      </c>
    </row>
    <row r="4703" spans="1:1">
      <c r="A4703" s="151" t="s">
        <v>6679</v>
      </c>
    </row>
    <row r="4704" spans="1:1">
      <c r="A4704" s="151" t="s">
        <v>6680</v>
      </c>
    </row>
    <row r="4705" spans="1:1">
      <c r="A4705" s="151" t="s">
        <v>6681</v>
      </c>
    </row>
    <row r="4706" spans="1:1">
      <c r="A4706" s="151" t="s">
        <v>6682</v>
      </c>
    </row>
    <row r="4707" spans="1:1">
      <c r="A4707" s="151" t="s">
        <v>6683</v>
      </c>
    </row>
    <row r="4708" spans="1:1">
      <c r="A4708" s="151" t="s">
        <v>6684</v>
      </c>
    </row>
    <row r="4709" spans="1:1">
      <c r="A4709" s="151" t="s">
        <v>6685</v>
      </c>
    </row>
    <row r="4710" spans="1:1">
      <c r="A4710" s="151" t="s">
        <v>6686</v>
      </c>
    </row>
    <row r="4711" spans="1:1">
      <c r="A4711" s="151" t="s">
        <v>6687</v>
      </c>
    </row>
    <row r="4712" spans="1:1">
      <c r="A4712" s="151" t="s">
        <v>6688</v>
      </c>
    </row>
    <row r="4713" spans="1:1">
      <c r="A4713" s="151" t="s">
        <v>6689</v>
      </c>
    </row>
    <row r="4714" spans="1:1">
      <c r="A4714" s="151" t="s">
        <v>6690</v>
      </c>
    </row>
    <row r="4715" spans="1:1">
      <c r="A4715" s="151" t="s">
        <v>6691</v>
      </c>
    </row>
    <row r="4716" spans="1:1">
      <c r="A4716" s="151" t="s">
        <v>6692</v>
      </c>
    </row>
    <row r="4717" spans="1:1">
      <c r="A4717" s="151" t="s">
        <v>6693</v>
      </c>
    </row>
    <row r="4718" spans="1:1">
      <c r="A4718" s="151" t="s">
        <v>6694</v>
      </c>
    </row>
    <row r="4719" spans="1:1">
      <c r="A4719" s="151" t="s">
        <v>6695</v>
      </c>
    </row>
    <row r="4720" spans="1:1">
      <c r="A4720" s="151" t="s">
        <v>6696</v>
      </c>
    </row>
    <row r="4721" spans="1:1">
      <c r="A4721" s="151" t="s">
        <v>6697</v>
      </c>
    </row>
    <row r="4722" spans="1:1">
      <c r="A4722" s="151" t="s">
        <v>6698</v>
      </c>
    </row>
    <row r="4723" spans="1:1">
      <c r="A4723" s="151" t="s">
        <v>6699</v>
      </c>
    </row>
    <row r="4724" spans="1:1">
      <c r="A4724" s="151" t="s">
        <v>6700</v>
      </c>
    </row>
    <row r="4725" spans="1:1">
      <c r="A4725" s="151" t="s">
        <v>6701</v>
      </c>
    </row>
    <row r="4726" spans="1:1">
      <c r="A4726" s="151" t="s">
        <v>6702</v>
      </c>
    </row>
    <row r="4727" spans="1:1">
      <c r="A4727" s="151" t="s">
        <v>6703</v>
      </c>
    </row>
    <row r="4728" spans="1:1">
      <c r="A4728" s="151" t="s">
        <v>6704</v>
      </c>
    </row>
    <row r="4729" spans="1:1">
      <c r="A4729" s="151" t="s">
        <v>6705</v>
      </c>
    </row>
    <row r="4730" spans="1:1">
      <c r="A4730" s="151" t="s">
        <v>6706</v>
      </c>
    </row>
    <row r="4731" spans="1:1">
      <c r="A4731" s="151" t="s">
        <v>6707</v>
      </c>
    </row>
    <row r="4732" spans="1:1">
      <c r="A4732" s="151" t="s">
        <v>6708</v>
      </c>
    </row>
    <row r="4733" spans="1:1">
      <c r="A4733" s="151" t="s">
        <v>6709</v>
      </c>
    </row>
    <row r="4734" spans="1:1">
      <c r="A4734" s="151" t="s">
        <v>6710</v>
      </c>
    </row>
    <row r="4735" spans="1:1">
      <c r="A4735" s="151" t="s">
        <v>6711</v>
      </c>
    </row>
    <row r="4736" spans="1:1">
      <c r="A4736" s="151" t="s">
        <v>6712</v>
      </c>
    </row>
    <row r="4737" spans="1:1">
      <c r="A4737" s="151" t="s">
        <v>6713</v>
      </c>
    </row>
    <row r="4738" spans="1:1">
      <c r="A4738" s="151" t="s">
        <v>6714</v>
      </c>
    </row>
    <row r="4739" spans="1:1">
      <c r="A4739" s="151" t="s">
        <v>6715</v>
      </c>
    </row>
    <row r="4740" spans="1:1">
      <c r="A4740" s="151" t="s">
        <v>6716</v>
      </c>
    </row>
    <row r="4741" spans="1:1">
      <c r="A4741" s="151" t="s">
        <v>6717</v>
      </c>
    </row>
    <row r="4742" spans="1:1">
      <c r="A4742" s="151" t="s">
        <v>6718</v>
      </c>
    </row>
    <row r="4743" spans="1:1">
      <c r="A4743" s="151" t="s">
        <v>6719</v>
      </c>
    </row>
    <row r="4744" spans="1:1">
      <c r="A4744" s="151" t="s">
        <v>6720</v>
      </c>
    </row>
    <row r="4745" spans="1:1">
      <c r="A4745" s="151" t="s">
        <v>6721</v>
      </c>
    </row>
    <row r="4746" spans="1:1">
      <c r="A4746" s="151" t="s">
        <v>6722</v>
      </c>
    </row>
    <row r="4747" spans="1:1">
      <c r="A4747" s="151" t="s">
        <v>6723</v>
      </c>
    </row>
    <row r="4748" spans="1:1">
      <c r="A4748" s="151" t="s">
        <v>6724</v>
      </c>
    </row>
    <row r="4749" spans="1:1">
      <c r="A4749" s="151" t="s">
        <v>6725</v>
      </c>
    </row>
    <row r="4750" spans="1:1">
      <c r="A4750" s="151" t="s">
        <v>6726</v>
      </c>
    </row>
    <row r="4751" spans="1:1">
      <c r="A4751" s="151" t="s">
        <v>6727</v>
      </c>
    </row>
    <row r="4752" spans="1:1">
      <c r="A4752" s="151" t="s">
        <v>6728</v>
      </c>
    </row>
    <row r="4753" spans="1:1">
      <c r="A4753" s="151" t="s">
        <v>6729</v>
      </c>
    </row>
    <row r="4754" spans="1:1">
      <c r="A4754" s="151" t="s">
        <v>6730</v>
      </c>
    </row>
    <row r="4755" spans="1:1">
      <c r="A4755" s="151" t="s">
        <v>6731</v>
      </c>
    </row>
    <row r="4756" spans="1:1">
      <c r="A4756" s="151" t="s">
        <v>6732</v>
      </c>
    </row>
    <row r="4757" spans="1:1">
      <c r="A4757" s="151" t="s">
        <v>6733</v>
      </c>
    </row>
    <row r="4758" spans="1:1">
      <c r="A4758" s="151" t="s">
        <v>6734</v>
      </c>
    </row>
    <row r="4759" spans="1:1">
      <c r="A4759" s="151" t="s">
        <v>6735</v>
      </c>
    </row>
    <row r="4760" spans="1:1">
      <c r="A4760" s="151" t="s">
        <v>6736</v>
      </c>
    </row>
    <row r="4761" spans="1:1">
      <c r="A4761" s="151" t="s">
        <v>6737</v>
      </c>
    </row>
    <row r="4762" spans="1:1">
      <c r="A4762" s="151" t="s">
        <v>6738</v>
      </c>
    </row>
    <row r="4763" spans="1:1">
      <c r="A4763" s="151" t="s">
        <v>6739</v>
      </c>
    </row>
    <row r="4764" spans="1:1">
      <c r="A4764" s="151" t="s">
        <v>6740</v>
      </c>
    </row>
    <row r="4765" spans="1:1">
      <c r="A4765" s="151" t="s">
        <v>6741</v>
      </c>
    </row>
    <row r="4766" spans="1:1">
      <c r="A4766" s="151" t="s">
        <v>6742</v>
      </c>
    </row>
    <row r="4767" spans="1:1">
      <c r="A4767" s="151" t="s">
        <v>6743</v>
      </c>
    </row>
    <row r="4768" spans="1:1">
      <c r="A4768" s="151" t="s">
        <v>6744</v>
      </c>
    </row>
    <row r="4769" spans="1:1">
      <c r="A4769" s="151" t="s">
        <v>6745</v>
      </c>
    </row>
    <row r="4770" spans="1:1">
      <c r="A4770" s="151" t="s">
        <v>6746</v>
      </c>
    </row>
    <row r="4771" spans="1:1">
      <c r="A4771" s="151" t="s">
        <v>6747</v>
      </c>
    </row>
    <row r="4772" spans="1:1">
      <c r="A4772" s="151" t="s">
        <v>6748</v>
      </c>
    </row>
    <row r="4773" spans="1:1">
      <c r="A4773" s="151" t="s">
        <v>6749</v>
      </c>
    </row>
    <row r="4774" spans="1:1">
      <c r="A4774" s="151" t="s">
        <v>6750</v>
      </c>
    </row>
    <row r="4775" spans="1:1">
      <c r="A4775" s="151" t="s">
        <v>6751</v>
      </c>
    </row>
    <row r="4776" spans="1:1">
      <c r="A4776" s="151" t="s">
        <v>6752</v>
      </c>
    </row>
    <row r="4777" spans="1:1">
      <c r="A4777" s="151" t="s">
        <v>6753</v>
      </c>
    </row>
    <row r="4778" spans="1:1">
      <c r="A4778" s="151" t="s">
        <v>6754</v>
      </c>
    </row>
    <row r="4779" spans="1:1">
      <c r="A4779" s="151" t="s">
        <v>6755</v>
      </c>
    </row>
    <row r="4780" spans="1:1">
      <c r="A4780" s="151" t="s">
        <v>6756</v>
      </c>
    </row>
    <row r="4781" spans="1:1">
      <c r="A4781" s="151" t="s">
        <v>6757</v>
      </c>
    </row>
    <row r="4782" spans="1:1">
      <c r="A4782" s="151" t="s">
        <v>6758</v>
      </c>
    </row>
    <row r="4783" spans="1:1">
      <c r="A4783" s="151" t="s">
        <v>6759</v>
      </c>
    </row>
    <row r="4784" spans="1:1">
      <c r="A4784" s="151" t="s">
        <v>6760</v>
      </c>
    </row>
    <row r="4785" spans="1:1">
      <c r="A4785" s="151" t="s">
        <v>6761</v>
      </c>
    </row>
    <row r="4786" spans="1:1">
      <c r="A4786" s="151" t="s">
        <v>6762</v>
      </c>
    </row>
    <row r="4787" spans="1:1">
      <c r="A4787" s="151" t="s">
        <v>6763</v>
      </c>
    </row>
    <row r="4788" spans="1:1">
      <c r="A4788" s="151" t="s">
        <v>6764</v>
      </c>
    </row>
    <row r="4789" spans="1:1">
      <c r="A4789" s="151" t="s">
        <v>6765</v>
      </c>
    </row>
    <row r="4790" spans="1:1">
      <c r="A4790" s="151" t="s">
        <v>6766</v>
      </c>
    </row>
    <row r="4791" spans="1:1">
      <c r="A4791" s="151" t="s">
        <v>6767</v>
      </c>
    </row>
    <row r="4792" spans="1:1">
      <c r="A4792" s="151" t="s">
        <v>6768</v>
      </c>
    </row>
    <row r="4793" spans="1:1">
      <c r="A4793" s="151" t="s">
        <v>6769</v>
      </c>
    </row>
    <row r="4794" spans="1:1">
      <c r="A4794" s="151" t="s">
        <v>6770</v>
      </c>
    </row>
    <row r="4795" spans="1:1">
      <c r="A4795" s="151" t="s">
        <v>6771</v>
      </c>
    </row>
    <row r="4796" spans="1:1">
      <c r="A4796" s="151" t="s">
        <v>6772</v>
      </c>
    </row>
    <row r="4797" spans="1:1">
      <c r="A4797" s="151" t="s">
        <v>6773</v>
      </c>
    </row>
    <row r="4798" spans="1:1">
      <c r="A4798" s="151" t="s">
        <v>6774</v>
      </c>
    </row>
    <row r="4799" spans="1:1">
      <c r="A4799" s="151" t="s">
        <v>6775</v>
      </c>
    </row>
    <row r="4800" spans="1:1">
      <c r="A4800" s="151" t="s">
        <v>6776</v>
      </c>
    </row>
    <row r="4801" spans="1:1">
      <c r="A4801" s="151" t="s">
        <v>6777</v>
      </c>
    </row>
    <row r="4802" spans="1:1">
      <c r="A4802" s="151" t="s">
        <v>6778</v>
      </c>
    </row>
    <row r="4803" spans="1:1">
      <c r="A4803" s="151" t="s">
        <v>6779</v>
      </c>
    </row>
    <row r="4804" spans="1:1">
      <c r="A4804" s="151" t="s">
        <v>6780</v>
      </c>
    </row>
    <row r="4805" spans="1:1">
      <c r="A4805" s="151" t="s">
        <v>6781</v>
      </c>
    </row>
    <row r="4806" spans="1:1">
      <c r="A4806" s="151" t="s">
        <v>6782</v>
      </c>
    </row>
    <row r="4807" spans="1:1">
      <c r="A4807" s="151" t="s">
        <v>6783</v>
      </c>
    </row>
    <row r="4808" spans="1:1">
      <c r="A4808" s="151" t="s">
        <v>6784</v>
      </c>
    </row>
    <row r="4809" spans="1:1">
      <c r="A4809" s="151" t="s">
        <v>6785</v>
      </c>
    </row>
    <row r="4810" spans="1:1">
      <c r="A4810" s="151" t="s">
        <v>6786</v>
      </c>
    </row>
    <row r="4811" spans="1:1">
      <c r="A4811" s="151" t="s">
        <v>6787</v>
      </c>
    </row>
    <row r="4812" spans="1:1">
      <c r="A4812" s="151" t="s">
        <v>6788</v>
      </c>
    </row>
    <row r="4813" spans="1:1">
      <c r="A4813" s="151" t="s">
        <v>6789</v>
      </c>
    </row>
    <row r="4814" spans="1:1">
      <c r="A4814" s="151" t="s">
        <v>6790</v>
      </c>
    </row>
    <row r="4815" spans="1:1">
      <c r="A4815" s="151" t="s">
        <v>6791</v>
      </c>
    </row>
    <row r="4816" spans="1:1">
      <c r="A4816" s="151" t="s">
        <v>6792</v>
      </c>
    </row>
    <row r="4817" spans="1:1">
      <c r="A4817" s="151" t="s">
        <v>6793</v>
      </c>
    </row>
    <row r="4818" spans="1:1">
      <c r="A4818" s="151" t="s">
        <v>6794</v>
      </c>
    </row>
    <row r="4819" spans="1:1">
      <c r="A4819" s="151" t="s">
        <v>6795</v>
      </c>
    </row>
    <row r="4820" spans="1:1">
      <c r="A4820" s="151" t="s">
        <v>6796</v>
      </c>
    </row>
    <row r="4821" spans="1:1">
      <c r="A4821" s="151" t="s">
        <v>6797</v>
      </c>
    </row>
    <row r="4822" spans="1:1">
      <c r="A4822" s="151" t="s">
        <v>6798</v>
      </c>
    </row>
    <row r="4823" spans="1:1">
      <c r="A4823" s="151" t="s">
        <v>6799</v>
      </c>
    </row>
    <row r="4824" spans="1:1">
      <c r="A4824" s="151" t="s">
        <v>6800</v>
      </c>
    </row>
    <row r="4825" spans="1:1">
      <c r="A4825" s="151" t="s">
        <v>6801</v>
      </c>
    </row>
    <row r="4826" spans="1:1">
      <c r="A4826" s="151" t="s">
        <v>6802</v>
      </c>
    </row>
    <row r="4827" spans="1:1">
      <c r="A4827" s="151" t="s">
        <v>6803</v>
      </c>
    </row>
    <row r="4828" spans="1:1">
      <c r="A4828" s="151" t="s">
        <v>6804</v>
      </c>
    </row>
    <row r="4829" spans="1:1">
      <c r="A4829" s="151" t="s">
        <v>6805</v>
      </c>
    </row>
    <row r="4830" spans="1:1">
      <c r="A4830" s="151" t="s">
        <v>6806</v>
      </c>
    </row>
    <row r="4831" spans="1:1">
      <c r="A4831" s="151" t="s">
        <v>6807</v>
      </c>
    </row>
    <row r="4832" spans="1:1">
      <c r="A4832" s="151" t="s">
        <v>6808</v>
      </c>
    </row>
    <row r="4833" spans="1:1">
      <c r="A4833" s="151" t="s">
        <v>6809</v>
      </c>
    </row>
    <row r="4834" spans="1:1">
      <c r="A4834" s="151" t="s">
        <v>6810</v>
      </c>
    </row>
    <row r="4835" spans="1:1">
      <c r="A4835" s="151" t="s">
        <v>6811</v>
      </c>
    </row>
    <row r="4836" spans="1:1">
      <c r="A4836" s="151" t="s">
        <v>6812</v>
      </c>
    </row>
    <row r="4837" spans="1:1">
      <c r="A4837" s="151" t="s">
        <v>6813</v>
      </c>
    </row>
    <row r="4838" spans="1:1">
      <c r="A4838" s="151" t="s">
        <v>6814</v>
      </c>
    </row>
    <row r="4839" spans="1:1">
      <c r="A4839" s="151" t="s">
        <v>6815</v>
      </c>
    </row>
    <row r="4840" spans="1:1">
      <c r="A4840" s="151" t="s">
        <v>6816</v>
      </c>
    </row>
    <row r="4841" spans="1:1">
      <c r="A4841" s="151" t="s">
        <v>6817</v>
      </c>
    </row>
    <row r="4842" spans="1:1">
      <c r="A4842" s="151" t="s">
        <v>6818</v>
      </c>
    </row>
    <row r="4843" spans="1:1">
      <c r="A4843" s="151" t="s">
        <v>6819</v>
      </c>
    </row>
    <row r="4844" spans="1:1">
      <c r="A4844" s="151" t="s">
        <v>6820</v>
      </c>
    </row>
    <row r="4845" spans="1:1">
      <c r="A4845" s="151" t="s">
        <v>6821</v>
      </c>
    </row>
    <row r="4846" spans="1:1">
      <c r="A4846" s="151" t="s">
        <v>6822</v>
      </c>
    </row>
    <row r="4847" spans="1:1">
      <c r="A4847" s="151" t="s">
        <v>6823</v>
      </c>
    </row>
    <row r="4848" spans="1:1">
      <c r="A4848" s="151" t="s">
        <v>6824</v>
      </c>
    </row>
    <row r="4849" spans="1:1">
      <c r="A4849" s="151" t="s">
        <v>6825</v>
      </c>
    </row>
    <row r="4850" spans="1:1">
      <c r="A4850" s="151" t="s">
        <v>6826</v>
      </c>
    </row>
    <row r="4851" spans="1:1">
      <c r="A4851" s="151" t="s">
        <v>6827</v>
      </c>
    </row>
    <row r="4852" spans="1:1">
      <c r="A4852" s="151" t="s">
        <v>6828</v>
      </c>
    </row>
    <row r="4853" spans="1:1">
      <c r="A4853" s="151" t="s">
        <v>6829</v>
      </c>
    </row>
    <row r="4854" spans="1:1">
      <c r="A4854" s="151" t="s">
        <v>6830</v>
      </c>
    </row>
    <row r="4855" spans="1:1">
      <c r="A4855" s="151" t="s">
        <v>6831</v>
      </c>
    </row>
    <row r="4856" spans="1:1">
      <c r="A4856" s="151" t="s">
        <v>6832</v>
      </c>
    </row>
    <row r="4857" spans="1:1">
      <c r="A4857" s="151" t="s">
        <v>6833</v>
      </c>
    </row>
    <row r="4858" spans="1:1">
      <c r="A4858" s="151" t="s">
        <v>6834</v>
      </c>
    </row>
    <row r="4859" spans="1:1">
      <c r="A4859" s="151" t="s">
        <v>6835</v>
      </c>
    </row>
    <row r="4860" spans="1:1">
      <c r="A4860" s="151" t="s">
        <v>6836</v>
      </c>
    </row>
    <row r="4861" spans="1:1">
      <c r="A4861" s="151" t="s">
        <v>6837</v>
      </c>
    </row>
    <row r="4862" spans="1:1">
      <c r="A4862" s="151" t="s">
        <v>6838</v>
      </c>
    </row>
    <row r="4863" spans="1:1">
      <c r="A4863" s="151" t="s">
        <v>6839</v>
      </c>
    </row>
    <row r="4864" spans="1:1">
      <c r="A4864" s="151" t="s">
        <v>6840</v>
      </c>
    </row>
    <row r="4865" spans="1:1">
      <c r="A4865" s="151" t="s">
        <v>6841</v>
      </c>
    </row>
    <row r="4866" spans="1:1">
      <c r="A4866" s="151" t="s">
        <v>6842</v>
      </c>
    </row>
    <row r="4867" spans="1:1">
      <c r="A4867" s="151" t="s">
        <v>6843</v>
      </c>
    </row>
    <row r="4868" spans="1:1">
      <c r="A4868" s="151" t="s">
        <v>6844</v>
      </c>
    </row>
    <row r="4869" spans="1:1">
      <c r="A4869" s="151" t="s">
        <v>6845</v>
      </c>
    </row>
    <row r="4870" spans="1:1">
      <c r="A4870" s="151" t="s">
        <v>6846</v>
      </c>
    </row>
    <row r="4871" spans="1:1">
      <c r="A4871" s="151" t="s">
        <v>6847</v>
      </c>
    </row>
    <row r="4872" spans="1:1">
      <c r="A4872" s="151" t="s">
        <v>6848</v>
      </c>
    </row>
    <row r="4873" spans="1:1">
      <c r="A4873" s="151" t="s">
        <v>6849</v>
      </c>
    </row>
    <row r="4874" spans="1:1">
      <c r="A4874" s="151" t="s">
        <v>6850</v>
      </c>
    </row>
    <row r="4875" spans="1:1">
      <c r="A4875" s="151" t="s">
        <v>6851</v>
      </c>
    </row>
    <row r="4876" spans="1:1">
      <c r="A4876" s="151" t="s">
        <v>6852</v>
      </c>
    </row>
    <row r="4877" spans="1:1">
      <c r="A4877" s="151" t="s">
        <v>6853</v>
      </c>
    </row>
    <row r="4878" spans="1:1">
      <c r="A4878" s="151" t="s">
        <v>6854</v>
      </c>
    </row>
    <row r="4879" spans="1:1">
      <c r="A4879" s="151" t="s">
        <v>6855</v>
      </c>
    </row>
    <row r="4880" spans="1:1">
      <c r="A4880" s="151" t="s">
        <v>6856</v>
      </c>
    </row>
    <row r="4881" spans="1:1">
      <c r="A4881" s="151" t="s">
        <v>6857</v>
      </c>
    </row>
    <row r="4882" spans="1:1">
      <c r="A4882" s="151" t="s">
        <v>6858</v>
      </c>
    </row>
    <row r="4883" spans="1:1">
      <c r="A4883" s="151" t="s">
        <v>6859</v>
      </c>
    </row>
    <row r="4884" spans="1:1">
      <c r="A4884" s="151" t="s">
        <v>6860</v>
      </c>
    </row>
    <row r="4885" spans="1:1">
      <c r="A4885" s="151" t="s">
        <v>6861</v>
      </c>
    </row>
    <row r="4886" spans="1:1">
      <c r="A4886" s="151" t="s">
        <v>6862</v>
      </c>
    </row>
    <row r="4887" spans="1:1">
      <c r="A4887" s="151" t="s">
        <v>6863</v>
      </c>
    </row>
    <row r="4888" spans="1:1">
      <c r="A4888" s="151" t="s">
        <v>6864</v>
      </c>
    </row>
    <row r="4889" spans="1:1">
      <c r="A4889" s="151" t="s">
        <v>6865</v>
      </c>
    </row>
    <row r="4890" spans="1:1">
      <c r="A4890" s="151" t="s">
        <v>6866</v>
      </c>
    </row>
    <row r="4891" spans="1:1">
      <c r="A4891" s="151" t="s">
        <v>6867</v>
      </c>
    </row>
    <row r="4892" spans="1:1">
      <c r="A4892" s="151" t="s">
        <v>6868</v>
      </c>
    </row>
    <row r="4893" spans="1:1">
      <c r="A4893" s="151" t="s">
        <v>6869</v>
      </c>
    </row>
    <row r="4894" spans="1:1">
      <c r="A4894" s="151" t="s">
        <v>6870</v>
      </c>
    </row>
    <row r="4895" spans="1:1">
      <c r="A4895" s="151" t="s">
        <v>6871</v>
      </c>
    </row>
    <row r="4896" spans="1:1">
      <c r="A4896" s="151" t="s">
        <v>6872</v>
      </c>
    </row>
    <row r="4897" spans="1:1">
      <c r="A4897" s="151" t="s">
        <v>6873</v>
      </c>
    </row>
    <row r="4898" spans="1:1">
      <c r="A4898" s="151" t="s">
        <v>6874</v>
      </c>
    </row>
    <row r="4899" spans="1:1">
      <c r="A4899" s="151" t="s">
        <v>6875</v>
      </c>
    </row>
    <row r="4900" spans="1:1">
      <c r="A4900" s="151" t="s">
        <v>6876</v>
      </c>
    </row>
    <row r="4901" spans="1:1">
      <c r="A4901" s="151" t="s">
        <v>6877</v>
      </c>
    </row>
    <row r="4902" spans="1:1">
      <c r="A4902" s="151" t="s">
        <v>6878</v>
      </c>
    </row>
    <row r="4903" spans="1:1">
      <c r="A4903" s="151" t="s">
        <v>6879</v>
      </c>
    </row>
    <row r="4904" spans="1:1">
      <c r="A4904" s="151" t="s">
        <v>6880</v>
      </c>
    </row>
    <row r="4905" spans="1:1">
      <c r="A4905" s="151" t="s">
        <v>6881</v>
      </c>
    </row>
    <row r="4906" spans="1:1">
      <c r="A4906" s="151" t="s">
        <v>6882</v>
      </c>
    </row>
    <row r="4907" spans="1:1">
      <c r="A4907" s="151" t="s">
        <v>6883</v>
      </c>
    </row>
    <row r="4908" spans="1:1">
      <c r="A4908" s="151" t="s">
        <v>6884</v>
      </c>
    </row>
    <row r="4909" spans="1:1">
      <c r="A4909" s="151" t="s">
        <v>6885</v>
      </c>
    </row>
    <row r="4910" spans="1:1">
      <c r="A4910" s="151" t="s">
        <v>6886</v>
      </c>
    </row>
    <row r="4911" spans="1:1">
      <c r="A4911" s="151" t="s">
        <v>6887</v>
      </c>
    </row>
    <row r="4912" spans="1:1">
      <c r="A4912" s="151" t="s">
        <v>6888</v>
      </c>
    </row>
    <row r="4913" spans="1:1">
      <c r="A4913" s="151" t="s">
        <v>6889</v>
      </c>
    </row>
    <row r="4914" spans="1:1">
      <c r="A4914" s="151" t="s">
        <v>6890</v>
      </c>
    </row>
    <row r="4915" spans="1:1">
      <c r="A4915" s="151" t="s">
        <v>6891</v>
      </c>
    </row>
    <row r="4916" spans="1:1">
      <c r="A4916" s="151" t="s">
        <v>6892</v>
      </c>
    </row>
    <row r="4917" spans="1:1">
      <c r="A4917" s="151" t="s">
        <v>6893</v>
      </c>
    </row>
    <row r="4918" spans="1:1">
      <c r="A4918" s="151" t="s">
        <v>6894</v>
      </c>
    </row>
    <row r="4919" spans="1:1">
      <c r="A4919" s="151" t="s">
        <v>6895</v>
      </c>
    </row>
    <row r="4920" spans="1:1">
      <c r="A4920" s="151" t="s">
        <v>6896</v>
      </c>
    </row>
    <row r="4921" spans="1:1">
      <c r="A4921" s="151" t="s">
        <v>6897</v>
      </c>
    </row>
    <row r="4922" spans="1:1">
      <c r="A4922" s="151" t="s">
        <v>6898</v>
      </c>
    </row>
    <row r="4923" spans="1:1">
      <c r="A4923" s="151" t="s">
        <v>6899</v>
      </c>
    </row>
    <row r="4924" spans="1:1">
      <c r="A4924" s="151" t="s">
        <v>6900</v>
      </c>
    </row>
    <row r="4925" spans="1:1">
      <c r="A4925" s="151" t="s">
        <v>6901</v>
      </c>
    </row>
    <row r="4926" spans="1:1">
      <c r="A4926" s="151" t="s">
        <v>6902</v>
      </c>
    </row>
    <row r="4927" spans="1:1">
      <c r="A4927" s="151" t="s">
        <v>6903</v>
      </c>
    </row>
    <row r="4928" spans="1:1">
      <c r="A4928" s="151" t="s">
        <v>6904</v>
      </c>
    </row>
    <row r="4929" spans="1:1">
      <c r="A4929" s="151" t="s">
        <v>6905</v>
      </c>
    </row>
    <row r="4930" spans="1:1">
      <c r="A4930" s="151" t="s">
        <v>6906</v>
      </c>
    </row>
    <row r="4931" spans="1:1">
      <c r="A4931" s="151" t="s">
        <v>6907</v>
      </c>
    </row>
    <row r="4932" spans="1:1">
      <c r="A4932" s="151" t="s">
        <v>6908</v>
      </c>
    </row>
    <row r="4933" spans="1:1">
      <c r="A4933" s="151" t="s">
        <v>6909</v>
      </c>
    </row>
    <row r="4934" spans="1:1">
      <c r="A4934" s="151" t="s">
        <v>6910</v>
      </c>
    </row>
    <row r="4935" spans="1:1">
      <c r="A4935" s="151" t="s">
        <v>6911</v>
      </c>
    </row>
    <row r="4936" spans="1:1">
      <c r="A4936" s="151" t="s">
        <v>6912</v>
      </c>
    </row>
    <row r="4937" spans="1:1">
      <c r="A4937" s="151" t="s">
        <v>6913</v>
      </c>
    </row>
    <row r="4938" spans="1:1">
      <c r="A4938" s="151" t="s">
        <v>6914</v>
      </c>
    </row>
    <row r="4939" spans="1:1">
      <c r="A4939" s="151" t="s">
        <v>6915</v>
      </c>
    </row>
    <row r="4940" spans="1:1">
      <c r="A4940" s="151" t="s">
        <v>6916</v>
      </c>
    </row>
    <row r="4941" spans="1:1">
      <c r="A4941" s="151" t="s">
        <v>6917</v>
      </c>
    </row>
    <row r="4942" spans="1:1">
      <c r="A4942" s="151" t="s">
        <v>6918</v>
      </c>
    </row>
    <row r="4943" spans="1:1">
      <c r="A4943" s="151" t="s">
        <v>6919</v>
      </c>
    </row>
    <row r="4944" spans="1:1">
      <c r="A4944" s="151" t="s">
        <v>6920</v>
      </c>
    </row>
    <row r="4945" spans="1:1">
      <c r="A4945" s="151" t="s">
        <v>6921</v>
      </c>
    </row>
    <row r="4946" spans="1:1">
      <c r="A4946" s="151" t="s">
        <v>6922</v>
      </c>
    </row>
    <row r="4947" spans="1:1">
      <c r="A4947" s="151" t="s">
        <v>6923</v>
      </c>
    </row>
    <row r="4948" spans="1:1">
      <c r="A4948" s="151" t="s">
        <v>6924</v>
      </c>
    </row>
    <row r="4949" spans="1:1">
      <c r="A4949" s="151" t="s">
        <v>6925</v>
      </c>
    </row>
    <row r="4950" spans="1:1">
      <c r="A4950" s="151" t="s">
        <v>6926</v>
      </c>
    </row>
    <row r="4951" spans="1:1">
      <c r="A4951" s="151" t="s">
        <v>6927</v>
      </c>
    </row>
    <row r="4952" spans="1:1">
      <c r="A4952" s="151" t="s">
        <v>6928</v>
      </c>
    </row>
    <row r="4953" spans="1:1">
      <c r="A4953" s="151" t="s">
        <v>6929</v>
      </c>
    </row>
    <row r="4954" spans="1:1">
      <c r="A4954" s="151" t="s">
        <v>6930</v>
      </c>
    </row>
    <row r="4955" spans="1:1">
      <c r="A4955" s="151" t="s">
        <v>6931</v>
      </c>
    </row>
    <row r="4956" spans="1:1">
      <c r="A4956" s="151" t="s">
        <v>6932</v>
      </c>
    </row>
    <row r="4957" spans="1:1">
      <c r="A4957" s="151" t="s">
        <v>6933</v>
      </c>
    </row>
    <row r="4958" spans="1:1">
      <c r="A4958" s="151" t="s">
        <v>6934</v>
      </c>
    </row>
    <row r="4959" spans="1:1">
      <c r="A4959" s="151" t="s">
        <v>6935</v>
      </c>
    </row>
    <row r="4960" spans="1:1">
      <c r="A4960" s="151" t="s">
        <v>6936</v>
      </c>
    </row>
    <row r="4961" spans="1:1">
      <c r="A4961" s="151" t="s">
        <v>6937</v>
      </c>
    </row>
    <row r="4962" spans="1:1">
      <c r="A4962" s="151" t="s">
        <v>6938</v>
      </c>
    </row>
    <row r="4963" spans="1:1">
      <c r="A4963" s="151" t="s">
        <v>6939</v>
      </c>
    </row>
    <row r="4964" spans="1:1">
      <c r="A4964" s="151" t="s">
        <v>6940</v>
      </c>
    </row>
    <row r="4965" spans="1:1">
      <c r="A4965" s="151" t="s">
        <v>6941</v>
      </c>
    </row>
    <row r="4966" spans="1:1">
      <c r="A4966" s="151" t="s">
        <v>6942</v>
      </c>
    </row>
    <row r="4967" spans="1:1">
      <c r="A4967" s="151" t="s">
        <v>6943</v>
      </c>
    </row>
    <row r="4968" spans="1:1">
      <c r="A4968" s="151" t="s">
        <v>6944</v>
      </c>
    </row>
    <row r="4969" spans="1:1">
      <c r="A4969" s="151" t="s">
        <v>6945</v>
      </c>
    </row>
    <row r="4970" spans="1:1">
      <c r="A4970" s="151" t="s">
        <v>6946</v>
      </c>
    </row>
    <row r="4971" spans="1:1">
      <c r="A4971" s="151" t="s">
        <v>6947</v>
      </c>
    </row>
    <row r="4972" spans="1:1">
      <c r="A4972" s="151" t="s">
        <v>6948</v>
      </c>
    </row>
    <row r="4973" spans="1:1">
      <c r="A4973" s="151" t="s">
        <v>6949</v>
      </c>
    </row>
    <row r="4974" spans="1:1">
      <c r="A4974" s="151" t="s">
        <v>6950</v>
      </c>
    </row>
    <row r="4975" spans="1:1">
      <c r="A4975" s="151" t="s">
        <v>6951</v>
      </c>
    </row>
    <row r="4976" spans="1:1">
      <c r="A4976" s="151" t="s">
        <v>6952</v>
      </c>
    </row>
    <row r="4977" spans="1:1">
      <c r="A4977" s="151" t="s">
        <v>6953</v>
      </c>
    </row>
    <row r="4978" spans="1:1">
      <c r="A4978" s="151" t="s">
        <v>6954</v>
      </c>
    </row>
    <row r="4979" spans="1:1">
      <c r="A4979" s="151" t="s">
        <v>6955</v>
      </c>
    </row>
    <row r="4980" spans="1:1">
      <c r="A4980" s="151" t="s">
        <v>6956</v>
      </c>
    </row>
    <row r="4981" spans="1:1">
      <c r="A4981" s="151" t="s">
        <v>6957</v>
      </c>
    </row>
    <row r="4982" spans="1:1">
      <c r="A4982" s="151" t="s">
        <v>6958</v>
      </c>
    </row>
    <row r="4983" spans="1:1">
      <c r="A4983" s="151" t="s">
        <v>6959</v>
      </c>
    </row>
    <row r="4984" spans="1:1">
      <c r="A4984" s="151" t="s">
        <v>6960</v>
      </c>
    </row>
    <row r="4985" spans="1:1">
      <c r="A4985" s="151" t="s">
        <v>6961</v>
      </c>
    </row>
    <row r="4986" spans="1:1">
      <c r="A4986" s="151" t="s">
        <v>6962</v>
      </c>
    </row>
    <row r="4987" spans="1:1">
      <c r="A4987" s="151" t="s">
        <v>6963</v>
      </c>
    </row>
    <row r="4988" spans="1:1">
      <c r="A4988" s="151" t="s">
        <v>6964</v>
      </c>
    </row>
    <row r="4989" spans="1:1">
      <c r="A4989" s="151" t="s">
        <v>6965</v>
      </c>
    </row>
    <row r="4990" spans="1:1">
      <c r="A4990" s="151" t="s">
        <v>6966</v>
      </c>
    </row>
    <row r="4991" spans="1:1">
      <c r="A4991" s="151" t="s">
        <v>6967</v>
      </c>
    </row>
    <row r="4992" spans="1:1">
      <c r="A4992" s="151" t="s">
        <v>6968</v>
      </c>
    </row>
    <row r="4993" spans="1:1">
      <c r="A4993" s="151" t="s">
        <v>6969</v>
      </c>
    </row>
    <row r="4994" spans="1:1">
      <c r="A4994" s="151" t="s">
        <v>6970</v>
      </c>
    </row>
    <row r="4995" spans="1:1">
      <c r="A4995" s="151" t="s">
        <v>6971</v>
      </c>
    </row>
    <row r="4996" spans="1:1">
      <c r="A4996" s="151" t="s">
        <v>6972</v>
      </c>
    </row>
    <row r="4997" spans="1:1">
      <c r="A4997" s="151" t="s">
        <v>6973</v>
      </c>
    </row>
    <row r="4998" spans="1:1">
      <c r="A4998" s="151" t="s">
        <v>6974</v>
      </c>
    </row>
    <row r="4999" spans="1:1">
      <c r="A4999" s="151" t="s">
        <v>6975</v>
      </c>
    </row>
    <row r="5000" spans="1:1">
      <c r="A5000" s="151" t="s">
        <v>6976</v>
      </c>
    </row>
    <row r="5001" spans="1:1">
      <c r="A5001" s="151" t="s">
        <v>6977</v>
      </c>
    </row>
    <row r="5002" spans="1:1">
      <c r="A5002" s="151" t="s">
        <v>6978</v>
      </c>
    </row>
    <row r="5003" spans="1:1">
      <c r="A5003" s="151" t="s">
        <v>6979</v>
      </c>
    </row>
    <row r="5004" spans="1:1">
      <c r="A5004" s="151" t="s">
        <v>6980</v>
      </c>
    </row>
    <row r="5005" spans="1:1">
      <c r="A5005" s="151" t="s">
        <v>6981</v>
      </c>
    </row>
    <row r="5006" spans="1:1">
      <c r="A5006" s="151" t="s">
        <v>6982</v>
      </c>
    </row>
    <row r="5007" spans="1:1">
      <c r="A5007" s="151" t="s">
        <v>6983</v>
      </c>
    </row>
    <row r="5008" spans="1:1">
      <c r="A5008" s="151" t="s">
        <v>6984</v>
      </c>
    </row>
    <row r="5009" spans="1:1">
      <c r="A5009" s="151" t="s">
        <v>6985</v>
      </c>
    </row>
    <row r="5010" spans="1:1">
      <c r="A5010" s="151" t="s">
        <v>6986</v>
      </c>
    </row>
    <row r="5011" spans="1:1">
      <c r="A5011" s="151" t="s">
        <v>6987</v>
      </c>
    </row>
    <row r="5012" spans="1:1">
      <c r="A5012" s="151" t="s">
        <v>6988</v>
      </c>
    </row>
    <row r="5013" spans="1:1">
      <c r="A5013" s="151" t="s">
        <v>6989</v>
      </c>
    </row>
    <row r="5014" spans="1:1">
      <c r="A5014" s="151" t="s">
        <v>6990</v>
      </c>
    </row>
    <row r="5015" spans="1:1">
      <c r="A5015" s="151" t="s">
        <v>6991</v>
      </c>
    </row>
    <row r="5016" spans="1:1">
      <c r="A5016" s="151" t="s">
        <v>6992</v>
      </c>
    </row>
    <row r="5017" spans="1:1">
      <c r="A5017" s="151" t="s">
        <v>6993</v>
      </c>
    </row>
    <row r="5018" spans="1:1">
      <c r="A5018" s="151" t="s">
        <v>6994</v>
      </c>
    </row>
    <row r="5019" spans="1:1">
      <c r="A5019" s="151" t="s">
        <v>6995</v>
      </c>
    </row>
    <row r="5020" spans="1:1">
      <c r="A5020" s="151" t="s">
        <v>6996</v>
      </c>
    </row>
    <row r="5021" spans="1:1">
      <c r="A5021" s="151" t="s">
        <v>6997</v>
      </c>
    </row>
    <row r="5022" spans="1:1">
      <c r="A5022" s="151" t="s">
        <v>6998</v>
      </c>
    </row>
    <row r="5023" spans="1:1">
      <c r="A5023" s="151" t="s">
        <v>6999</v>
      </c>
    </row>
    <row r="5024" spans="1:1">
      <c r="A5024" s="151" t="s">
        <v>7000</v>
      </c>
    </row>
    <row r="5025" spans="1:1">
      <c r="A5025" s="151" t="s">
        <v>7001</v>
      </c>
    </row>
    <row r="5026" spans="1:1">
      <c r="A5026" s="151" t="s">
        <v>7002</v>
      </c>
    </row>
    <row r="5027" spans="1:1">
      <c r="A5027" s="151" t="s">
        <v>7003</v>
      </c>
    </row>
    <row r="5028" spans="1:1">
      <c r="A5028" s="151" t="s">
        <v>7004</v>
      </c>
    </row>
    <row r="5029" spans="1:1">
      <c r="A5029" s="151" t="s">
        <v>7005</v>
      </c>
    </row>
    <row r="5030" spans="1:1">
      <c r="A5030" s="151" t="s">
        <v>7006</v>
      </c>
    </row>
    <row r="5031" spans="1:1">
      <c r="A5031" s="151" t="s">
        <v>7007</v>
      </c>
    </row>
    <row r="5032" spans="1:1">
      <c r="A5032" s="151" t="s">
        <v>7008</v>
      </c>
    </row>
    <row r="5033" spans="1:1">
      <c r="A5033" s="151" t="s">
        <v>7009</v>
      </c>
    </row>
    <row r="5034" spans="1:1">
      <c r="A5034" s="151" t="s">
        <v>7010</v>
      </c>
    </row>
    <row r="5035" spans="1:1">
      <c r="A5035" s="151" t="s">
        <v>7011</v>
      </c>
    </row>
    <row r="5036" spans="1:1">
      <c r="A5036" s="151" t="s">
        <v>7012</v>
      </c>
    </row>
    <row r="5037" spans="1:1">
      <c r="A5037" s="151" t="s">
        <v>7013</v>
      </c>
    </row>
    <row r="5038" spans="1:1">
      <c r="A5038" s="151" t="s">
        <v>7014</v>
      </c>
    </row>
    <row r="5039" spans="1:1">
      <c r="A5039" s="151" t="s">
        <v>7015</v>
      </c>
    </row>
    <row r="5040" spans="1:1">
      <c r="A5040" s="151" t="s">
        <v>7016</v>
      </c>
    </row>
    <row r="5041" spans="1:1">
      <c r="A5041" s="151" t="s">
        <v>7017</v>
      </c>
    </row>
    <row r="5042" spans="1:1">
      <c r="A5042" s="151" t="s">
        <v>7018</v>
      </c>
    </row>
    <row r="5043" spans="1:1">
      <c r="A5043" s="151" t="s">
        <v>7019</v>
      </c>
    </row>
    <row r="5044" spans="1:1">
      <c r="A5044" s="151" t="s">
        <v>7020</v>
      </c>
    </row>
    <row r="5045" spans="1:1">
      <c r="A5045" s="151" t="s">
        <v>7021</v>
      </c>
    </row>
    <row r="5046" spans="1:1">
      <c r="A5046" s="151" t="s">
        <v>7022</v>
      </c>
    </row>
    <row r="5047" spans="1:1">
      <c r="A5047" s="151" t="s">
        <v>7023</v>
      </c>
    </row>
    <row r="5048" spans="1:1">
      <c r="A5048" s="151" t="s">
        <v>7024</v>
      </c>
    </row>
    <row r="5049" spans="1:1">
      <c r="A5049" s="151" t="s">
        <v>7025</v>
      </c>
    </row>
    <row r="5050" spans="1:1">
      <c r="A5050" s="151" t="s">
        <v>7026</v>
      </c>
    </row>
    <row r="5051" spans="1:1">
      <c r="A5051" s="151" t="s">
        <v>7027</v>
      </c>
    </row>
    <row r="5052" spans="1:1">
      <c r="A5052" s="151" t="s">
        <v>7028</v>
      </c>
    </row>
    <row r="5053" spans="1:1">
      <c r="A5053" s="151" t="s">
        <v>7029</v>
      </c>
    </row>
    <row r="5054" spans="1:1">
      <c r="A5054" s="151" t="s">
        <v>7030</v>
      </c>
    </row>
    <row r="5055" spans="1:1">
      <c r="A5055" s="151" t="s">
        <v>7031</v>
      </c>
    </row>
    <row r="5056" spans="1:1">
      <c r="A5056" s="151" t="s">
        <v>7032</v>
      </c>
    </row>
    <row r="5057" spans="1:1">
      <c r="A5057" s="151" t="s">
        <v>7033</v>
      </c>
    </row>
    <row r="5058" spans="1:1">
      <c r="A5058" s="151" t="s">
        <v>7034</v>
      </c>
    </row>
    <row r="5059" spans="1:1">
      <c r="A5059" s="151" t="s">
        <v>7035</v>
      </c>
    </row>
    <row r="5060" spans="1:1">
      <c r="A5060" s="151" t="s">
        <v>7036</v>
      </c>
    </row>
    <row r="5061" spans="1:1">
      <c r="A5061" s="151" t="s">
        <v>7037</v>
      </c>
    </row>
    <row r="5062" spans="1:1">
      <c r="A5062" s="151" t="s">
        <v>7038</v>
      </c>
    </row>
    <row r="5063" spans="1:1">
      <c r="A5063" s="151" t="s">
        <v>7039</v>
      </c>
    </row>
    <row r="5064" spans="1:1">
      <c r="A5064" s="151" t="s">
        <v>7040</v>
      </c>
    </row>
    <row r="5065" spans="1:1">
      <c r="A5065" s="151" t="s">
        <v>7041</v>
      </c>
    </row>
    <row r="5066" spans="1:1">
      <c r="A5066" s="151" t="s">
        <v>7042</v>
      </c>
    </row>
    <row r="5067" spans="1:1">
      <c r="A5067" s="151" t="s">
        <v>7043</v>
      </c>
    </row>
    <row r="5068" spans="1:1">
      <c r="A5068" s="151" t="s">
        <v>7044</v>
      </c>
    </row>
    <row r="5069" spans="1:1">
      <c r="A5069" s="151" t="s">
        <v>7045</v>
      </c>
    </row>
    <row r="5070" spans="1:1">
      <c r="A5070" s="151" t="s">
        <v>7046</v>
      </c>
    </row>
    <row r="5071" spans="1:1">
      <c r="A5071" s="151" t="s">
        <v>7047</v>
      </c>
    </row>
    <row r="5072" spans="1:1">
      <c r="A5072" s="151" t="s">
        <v>7048</v>
      </c>
    </row>
    <row r="5073" spans="1:1">
      <c r="A5073" s="151" t="s">
        <v>7049</v>
      </c>
    </row>
    <row r="5074" spans="1:1">
      <c r="A5074" s="151" t="s">
        <v>7050</v>
      </c>
    </row>
    <row r="5075" spans="1:1">
      <c r="A5075" s="151" t="s">
        <v>7051</v>
      </c>
    </row>
    <row r="5076" spans="1:1">
      <c r="A5076" s="151" t="s">
        <v>7052</v>
      </c>
    </row>
    <row r="5077" spans="1:1">
      <c r="A5077" s="151" t="s">
        <v>7053</v>
      </c>
    </row>
    <row r="5078" spans="1:1">
      <c r="A5078" s="151" t="s">
        <v>7054</v>
      </c>
    </row>
    <row r="5079" spans="1:1">
      <c r="A5079" s="151" t="s">
        <v>7055</v>
      </c>
    </row>
    <row r="5080" spans="1:1">
      <c r="A5080" s="151" t="s">
        <v>7056</v>
      </c>
    </row>
    <row r="5081" spans="1:1">
      <c r="A5081" s="151" t="s">
        <v>7057</v>
      </c>
    </row>
    <row r="5082" spans="1:1">
      <c r="A5082" s="151" t="s">
        <v>7058</v>
      </c>
    </row>
    <row r="5083" spans="1:1">
      <c r="A5083" s="151" t="s">
        <v>7059</v>
      </c>
    </row>
    <row r="5084" spans="1:1">
      <c r="A5084" s="151" t="s">
        <v>7060</v>
      </c>
    </row>
    <row r="5085" spans="1:1">
      <c r="A5085" s="151" t="s">
        <v>7061</v>
      </c>
    </row>
    <row r="5086" spans="1:1">
      <c r="A5086" s="151" t="s">
        <v>7062</v>
      </c>
    </row>
    <row r="5087" spans="1:1">
      <c r="A5087" s="151" t="s">
        <v>7063</v>
      </c>
    </row>
    <row r="5088" spans="1:1">
      <c r="A5088" s="151" t="s">
        <v>7064</v>
      </c>
    </row>
    <row r="5089" spans="1:1">
      <c r="A5089" s="151" t="s">
        <v>7065</v>
      </c>
    </row>
    <row r="5090" spans="1:1">
      <c r="A5090" s="151" t="s">
        <v>7066</v>
      </c>
    </row>
    <row r="5091" spans="1:1">
      <c r="A5091" s="151" t="s">
        <v>7067</v>
      </c>
    </row>
    <row r="5092" spans="1:1">
      <c r="A5092" s="151" t="s">
        <v>7068</v>
      </c>
    </row>
    <row r="5093" spans="1:1">
      <c r="A5093" s="151" t="s">
        <v>7069</v>
      </c>
    </row>
    <row r="5094" spans="1:1">
      <c r="A5094" s="151" t="s">
        <v>7070</v>
      </c>
    </row>
    <row r="5095" spans="1:1">
      <c r="A5095" s="151" t="s">
        <v>7071</v>
      </c>
    </row>
    <row r="5096" spans="1:1">
      <c r="A5096" s="151" t="s">
        <v>7072</v>
      </c>
    </row>
    <row r="5097" spans="1:1">
      <c r="A5097" s="151" t="s">
        <v>7073</v>
      </c>
    </row>
    <row r="5098" spans="1:1">
      <c r="A5098" s="151" t="s">
        <v>7074</v>
      </c>
    </row>
    <row r="5099" spans="1:1">
      <c r="A5099" s="151" t="s">
        <v>7075</v>
      </c>
    </row>
    <row r="5100" spans="1:1">
      <c r="A5100" s="151" t="s">
        <v>7076</v>
      </c>
    </row>
    <row r="5101" spans="1:1">
      <c r="A5101" s="151" t="s">
        <v>7077</v>
      </c>
    </row>
    <row r="5102" spans="1:1">
      <c r="A5102" s="151" t="s">
        <v>7078</v>
      </c>
    </row>
    <row r="5103" spans="1:1">
      <c r="A5103" s="151" t="s">
        <v>7079</v>
      </c>
    </row>
    <row r="5104" spans="1:1">
      <c r="A5104" s="151" t="s">
        <v>7080</v>
      </c>
    </row>
    <row r="5105" spans="1:1">
      <c r="A5105" s="151" t="s">
        <v>7081</v>
      </c>
    </row>
    <row r="5106" spans="1:1">
      <c r="A5106" s="151" t="s">
        <v>7082</v>
      </c>
    </row>
    <row r="5107" spans="1:1">
      <c r="A5107" s="151" t="s">
        <v>7083</v>
      </c>
    </row>
    <row r="5108" spans="1:1">
      <c r="A5108" s="151" t="s">
        <v>7084</v>
      </c>
    </row>
    <row r="5109" spans="1:1">
      <c r="A5109" s="151" t="s">
        <v>7085</v>
      </c>
    </row>
    <row r="5110" spans="1:1">
      <c r="A5110" s="151" t="s">
        <v>7086</v>
      </c>
    </row>
    <row r="5111" spans="1:1">
      <c r="A5111" s="151" t="s">
        <v>7087</v>
      </c>
    </row>
    <row r="5112" spans="1:1">
      <c r="A5112" s="151" t="s">
        <v>7088</v>
      </c>
    </row>
    <row r="5113" spans="1:1">
      <c r="A5113" s="151" t="s">
        <v>7089</v>
      </c>
    </row>
    <row r="5114" spans="1:1">
      <c r="A5114" s="151" t="s">
        <v>7090</v>
      </c>
    </row>
    <row r="5115" spans="1:1">
      <c r="A5115" s="151" t="s">
        <v>7091</v>
      </c>
    </row>
    <row r="5116" spans="1:1">
      <c r="A5116" s="151" t="s">
        <v>7092</v>
      </c>
    </row>
    <row r="5117" spans="1:1">
      <c r="A5117" s="151" t="s">
        <v>7093</v>
      </c>
    </row>
    <row r="5118" spans="1:1">
      <c r="A5118" s="151" t="s">
        <v>7094</v>
      </c>
    </row>
    <row r="5119" spans="1:1">
      <c r="A5119" s="151" t="s">
        <v>7095</v>
      </c>
    </row>
    <row r="5120" spans="1:1">
      <c r="A5120" s="151" t="s">
        <v>7096</v>
      </c>
    </row>
    <row r="5121" spans="1:1">
      <c r="A5121" s="151" t="s">
        <v>7097</v>
      </c>
    </row>
    <row r="5122" spans="1:1">
      <c r="A5122" s="151" t="s">
        <v>7098</v>
      </c>
    </row>
    <row r="5123" spans="1:1">
      <c r="A5123" s="151" t="s">
        <v>7099</v>
      </c>
    </row>
    <row r="5124" spans="1:1">
      <c r="A5124" s="151" t="s">
        <v>7100</v>
      </c>
    </row>
    <row r="5125" spans="1:1">
      <c r="A5125" s="151" t="s">
        <v>7101</v>
      </c>
    </row>
    <row r="5126" spans="1:1">
      <c r="A5126" s="151" t="s">
        <v>7102</v>
      </c>
    </row>
    <row r="5127" spans="1:1">
      <c r="A5127" s="151" t="s">
        <v>7103</v>
      </c>
    </row>
    <row r="5128" spans="1:1">
      <c r="A5128" s="151" t="s">
        <v>7104</v>
      </c>
    </row>
    <row r="5129" spans="1:1">
      <c r="A5129" s="151" t="s">
        <v>7105</v>
      </c>
    </row>
    <row r="5130" spans="1:1">
      <c r="A5130" s="151" t="s">
        <v>7106</v>
      </c>
    </row>
    <row r="5131" spans="1:1">
      <c r="A5131" s="151" t="s">
        <v>7107</v>
      </c>
    </row>
    <row r="5132" spans="1:1">
      <c r="A5132" s="151" t="s">
        <v>7108</v>
      </c>
    </row>
    <row r="5133" spans="1:1">
      <c r="A5133" s="151" t="s">
        <v>7109</v>
      </c>
    </row>
    <row r="5134" spans="1:1">
      <c r="A5134" s="151" t="s">
        <v>7110</v>
      </c>
    </row>
    <row r="5135" spans="1:1">
      <c r="A5135" s="151" t="s">
        <v>7111</v>
      </c>
    </row>
    <row r="5136" spans="1:1">
      <c r="A5136" s="151" t="s">
        <v>7112</v>
      </c>
    </row>
    <row r="5137" spans="1:1">
      <c r="A5137" s="151" t="s">
        <v>7113</v>
      </c>
    </row>
    <row r="5138" spans="1:1">
      <c r="A5138" s="151" t="s">
        <v>7114</v>
      </c>
    </row>
    <row r="5139" spans="1:1">
      <c r="A5139" s="151" t="s">
        <v>7115</v>
      </c>
    </row>
    <row r="5140" spans="1:1">
      <c r="A5140" s="151" t="s">
        <v>7116</v>
      </c>
    </row>
    <row r="5141" spans="1:1">
      <c r="A5141" s="151" t="s">
        <v>7117</v>
      </c>
    </row>
    <row r="5142" spans="1:1">
      <c r="A5142" s="151" t="s">
        <v>7118</v>
      </c>
    </row>
    <row r="5143" spans="1:1">
      <c r="A5143" s="151" t="s">
        <v>7119</v>
      </c>
    </row>
    <row r="5144" spans="1:1">
      <c r="A5144" s="151" t="s">
        <v>7120</v>
      </c>
    </row>
    <row r="5145" spans="1:1">
      <c r="A5145" s="151" t="s">
        <v>7121</v>
      </c>
    </row>
    <row r="5146" spans="1:1">
      <c r="A5146" s="151" t="s">
        <v>7122</v>
      </c>
    </row>
    <row r="5147" spans="1:1">
      <c r="A5147" s="151" t="s">
        <v>7123</v>
      </c>
    </row>
    <row r="5148" spans="1:1">
      <c r="A5148" s="151" t="s">
        <v>7124</v>
      </c>
    </row>
    <row r="5149" spans="1:1">
      <c r="A5149" s="151" t="s">
        <v>7125</v>
      </c>
    </row>
    <row r="5150" spans="1:1">
      <c r="A5150" s="151" t="s">
        <v>7126</v>
      </c>
    </row>
    <row r="5151" spans="1:1">
      <c r="A5151" s="151" t="s">
        <v>7127</v>
      </c>
    </row>
    <row r="5152" spans="1:1">
      <c r="A5152" s="151" t="s">
        <v>7128</v>
      </c>
    </row>
    <row r="5153" spans="1:1">
      <c r="A5153" s="151" t="s">
        <v>7129</v>
      </c>
    </row>
    <row r="5154" spans="1:1">
      <c r="A5154" s="151" t="s">
        <v>7130</v>
      </c>
    </row>
    <row r="5155" spans="1:1">
      <c r="A5155" s="151" t="s">
        <v>7131</v>
      </c>
    </row>
    <row r="5156" spans="1:1">
      <c r="A5156" s="151" t="s">
        <v>7132</v>
      </c>
    </row>
    <row r="5157" spans="1:1">
      <c r="A5157" s="151" t="s">
        <v>7133</v>
      </c>
    </row>
    <row r="5158" spans="1:1">
      <c r="A5158" s="151" t="s">
        <v>7134</v>
      </c>
    </row>
    <row r="5159" spans="1:1">
      <c r="A5159" s="151" t="s">
        <v>7135</v>
      </c>
    </row>
    <row r="5160" spans="1:1">
      <c r="A5160" s="151" t="s">
        <v>7136</v>
      </c>
    </row>
    <row r="5161" spans="1:1">
      <c r="A5161" s="151" t="s">
        <v>7137</v>
      </c>
    </row>
    <row r="5162" spans="1:1">
      <c r="A5162" s="151" t="s">
        <v>7138</v>
      </c>
    </row>
    <row r="5163" spans="1:1">
      <c r="A5163" s="151" t="s">
        <v>7139</v>
      </c>
    </row>
    <row r="5164" spans="1:1">
      <c r="A5164" s="151" t="s">
        <v>7140</v>
      </c>
    </row>
    <row r="5165" spans="1:1">
      <c r="A5165" s="151" t="s">
        <v>7141</v>
      </c>
    </row>
    <row r="5166" spans="1:1">
      <c r="A5166" s="151" t="s">
        <v>7142</v>
      </c>
    </row>
    <row r="5167" spans="1:1">
      <c r="A5167" s="151" t="s">
        <v>7143</v>
      </c>
    </row>
    <row r="5168" spans="1:1">
      <c r="A5168" s="151" t="s">
        <v>7144</v>
      </c>
    </row>
    <row r="5169" spans="1:1">
      <c r="A5169" s="151" t="s">
        <v>7145</v>
      </c>
    </row>
    <row r="5170" spans="1:1">
      <c r="A5170" s="151" t="s">
        <v>7146</v>
      </c>
    </row>
    <row r="5171" spans="1:1">
      <c r="A5171" s="151" t="s">
        <v>7147</v>
      </c>
    </row>
    <row r="5172" spans="1:1">
      <c r="A5172" s="151" t="s">
        <v>7148</v>
      </c>
    </row>
    <row r="5173" spans="1:1">
      <c r="A5173" s="151" t="s">
        <v>7149</v>
      </c>
    </row>
    <row r="5174" spans="1:1">
      <c r="A5174" s="151" t="s">
        <v>7150</v>
      </c>
    </row>
    <row r="5175" spans="1:1">
      <c r="A5175" s="151" t="s">
        <v>7151</v>
      </c>
    </row>
    <row r="5176" spans="1:1">
      <c r="A5176" s="151" t="s">
        <v>7152</v>
      </c>
    </row>
    <row r="5177" spans="1:1">
      <c r="A5177" s="151" t="s">
        <v>7153</v>
      </c>
    </row>
    <row r="5178" spans="1:1">
      <c r="A5178" s="151" t="s">
        <v>7154</v>
      </c>
    </row>
    <row r="5179" spans="1:1">
      <c r="A5179" s="151" t="s">
        <v>7155</v>
      </c>
    </row>
    <row r="5180" spans="1:1">
      <c r="A5180" s="151" t="s">
        <v>7156</v>
      </c>
    </row>
    <row r="5181" spans="1:1">
      <c r="A5181" s="151" t="s">
        <v>7157</v>
      </c>
    </row>
    <row r="5182" spans="1:1">
      <c r="A5182" s="151" t="s">
        <v>7158</v>
      </c>
    </row>
    <row r="5183" spans="1:1">
      <c r="A5183" s="151" t="s">
        <v>7159</v>
      </c>
    </row>
    <row r="5184" spans="1:1">
      <c r="A5184" s="151" t="s">
        <v>7160</v>
      </c>
    </row>
    <row r="5185" spans="1:1">
      <c r="A5185" s="151" t="s">
        <v>7161</v>
      </c>
    </row>
    <row r="5186" spans="1:1">
      <c r="A5186" s="151" t="s">
        <v>7162</v>
      </c>
    </row>
    <row r="5187" spans="1:1">
      <c r="A5187" s="151" t="s">
        <v>7163</v>
      </c>
    </row>
    <row r="5188" spans="1:1">
      <c r="A5188" s="151" t="s">
        <v>7164</v>
      </c>
    </row>
    <row r="5189" spans="1:1">
      <c r="A5189" s="151" t="s">
        <v>7165</v>
      </c>
    </row>
    <row r="5190" spans="1:1">
      <c r="A5190" s="151" t="s">
        <v>7166</v>
      </c>
    </row>
    <row r="5191" spans="1:1">
      <c r="A5191" s="151" t="s">
        <v>7167</v>
      </c>
    </row>
    <row r="5192" spans="1:1">
      <c r="A5192" s="151" t="s">
        <v>7168</v>
      </c>
    </row>
    <row r="5193" spans="1:1">
      <c r="A5193" s="151" t="s">
        <v>7169</v>
      </c>
    </row>
    <row r="5194" spans="1:1">
      <c r="A5194" s="151" t="s">
        <v>7170</v>
      </c>
    </row>
    <row r="5195" spans="1:1">
      <c r="A5195" s="151" t="s">
        <v>7171</v>
      </c>
    </row>
    <row r="5196" spans="1:1">
      <c r="A5196" s="151" t="s">
        <v>7172</v>
      </c>
    </row>
    <row r="5197" spans="1:1">
      <c r="A5197" s="151" t="s">
        <v>7173</v>
      </c>
    </row>
    <row r="5198" spans="1:1">
      <c r="A5198" s="151" t="s">
        <v>7174</v>
      </c>
    </row>
    <row r="5199" spans="1:1">
      <c r="A5199" s="151" t="s">
        <v>7175</v>
      </c>
    </row>
    <row r="5200" spans="1:1">
      <c r="A5200" s="151" t="s">
        <v>7176</v>
      </c>
    </row>
    <row r="5201" spans="1:1">
      <c r="A5201" s="151" t="s">
        <v>7177</v>
      </c>
    </row>
    <row r="5202" spans="1:1">
      <c r="A5202" s="151" t="s">
        <v>7178</v>
      </c>
    </row>
    <row r="5203" spans="1:1">
      <c r="A5203" s="151" t="s">
        <v>7179</v>
      </c>
    </row>
    <row r="5204" spans="1:1">
      <c r="A5204" s="151" t="s">
        <v>7180</v>
      </c>
    </row>
    <row r="5205" spans="1:1">
      <c r="A5205" s="151" t="s">
        <v>7181</v>
      </c>
    </row>
    <row r="5206" spans="1:1">
      <c r="A5206" s="151" t="s">
        <v>7182</v>
      </c>
    </row>
    <row r="5207" spans="1:1">
      <c r="A5207" s="151" t="s">
        <v>7183</v>
      </c>
    </row>
    <row r="5208" spans="1:1">
      <c r="A5208" s="151" t="s">
        <v>7184</v>
      </c>
    </row>
    <row r="5209" spans="1:1">
      <c r="A5209" s="151" t="s">
        <v>7185</v>
      </c>
    </row>
    <row r="5210" spans="1:1">
      <c r="A5210" s="151" t="s">
        <v>7186</v>
      </c>
    </row>
    <row r="5211" spans="1:1">
      <c r="A5211" s="151" t="s">
        <v>7187</v>
      </c>
    </row>
    <row r="5212" spans="1:1">
      <c r="A5212" s="151" t="s">
        <v>7188</v>
      </c>
    </row>
    <row r="5213" spans="1:1">
      <c r="A5213" s="151" t="s">
        <v>7189</v>
      </c>
    </row>
    <row r="5214" spans="1:1">
      <c r="A5214" s="151" t="s">
        <v>7190</v>
      </c>
    </row>
    <row r="5215" spans="1:1">
      <c r="A5215" s="151" t="s">
        <v>7191</v>
      </c>
    </row>
    <row r="5216" spans="1:1">
      <c r="A5216" s="151" t="s">
        <v>7192</v>
      </c>
    </row>
    <row r="5217" spans="1:1">
      <c r="A5217" s="151" t="s">
        <v>7193</v>
      </c>
    </row>
    <row r="5218" spans="1:1">
      <c r="A5218" s="151" t="s">
        <v>7194</v>
      </c>
    </row>
    <row r="5219" spans="1:1">
      <c r="A5219" s="151" t="s">
        <v>7195</v>
      </c>
    </row>
    <row r="5220" spans="1:1">
      <c r="A5220" s="151" t="s">
        <v>7196</v>
      </c>
    </row>
    <row r="5221" spans="1:1">
      <c r="A5221" s="151" t="s">
        <v>7197</v>
      </c>
    </row>
    <row r="5222" spans="1:1">
      <c r="A5222" s="151" t="s">
        <v>7198</v>
      </c>
    </row>
    <row r="5223" spans="1:1">
      <c r="A5223" s="151" t="s">
        <v>7199</v>
      </c>
    </row>
    <row r="5224" spans="1:1">
      <c r="A5224" s="151" t="s">
        <v>7200</v>
      </c>
    </row>
    <row r="5225" spans="1:1">
      <c r="A5225" s="151" t="s">
        <v>7201</v>
      </c>
    </row>
    <row r="5226" spans="1:1">
      <c r="A5226" s="151" t="s">
        <v>7202</v>
      </c>
    </row>
    <row r="5227" spans="1:1">
      <c r="A5227" s="151" t="s">
        <v>7203</v>
      </c>
    </row>
    <row r="5228" spans="1:1">
      <c r="A5228" s="151" t="s">
        <v>7204</v>
      </c>
    </row>
    <row r="5229" spans="1:1">
      <c r="A5229" s="151" t="s">
        <v>7205</v>
      </c>
    </row>
    <row r="5230" spans="1:1">
      <c r="A5230" s="151" t="s">
        <v>7206</v>
      </c>
    </row>
    <row r="5231" spans="1:1">
      <c r="A5231" s="151" t="s">
        <v>7207</v>
      </c>
    </row>
    <row r="5232" spans="1:1">
      <c r="A5232" s="151" t="s">
        <v>7208</v>
      </c>
    </row>
    <row r="5233" spans="1:1">
      <c r="A5233" s="151" t="s">
        <v>7209</v>
      </c>
    </row>
    <row r="5234" spans="1:1">
      <c r="A5234" s="151" t="s">
        <v>7210</v>
      </c>
    </row>
    <row r="5235" spans="1:1">
      <c r="A5235" s="151" t="s">
        <v>7211</v>
      </c>
    </row>
    <row r="5236" spans="1:1">
      <c r="A5236" s="151" t="s">
        <v>7212</v>
      </c>
    </row>
    <row r="5237" spans="1:1">
      <c r="A5237" s="151" t="s">
        <v>7213</v>
      </c>
    </row>
    <row r="5238" spans="1:1">
      <c r="A5238" s="151" t="s">
        <v>7214</v>
      </c>
    </row>
    <row r="5239" spans="1:1">
      <c r="A5239" s="151" t="s">
        <v>7215</v>
      </c>
    </row>
    <row r="5240" spans="1:1">
      <c r="A5240" s="151" t="s">
        <v>7216</v>
      </c>
    </row>
    <row r="5241" spans="1:1">
      <c r="A5241" s="151" t="s">
        <v>7217</v>
      </c>
    </row>
    <row r="5242" spans="1:1">
      <c r="A5242" s="151" t="s">
        <v>7218</v>
      </c>
    </row>
    <row r="5243" spans="1:1">
      <c r="A5243" s="151" t="s">
        <v>7219</v>
      </c>
    </row>
    <row r="5244" spans="1:1">
      <c r="A5244" s="151" t="s">
        <v>7220</v>
      </c>
    </row>
    <row r="5245" spans="1:1">
      <c r="A5245" s="151" t="s">
        <v>7221</v>
      </c>
    </row>
    <row r="5246" spans="1:1">
      <c r="A5246" s="151" t="s">
        <v>7222</v>
      </c>
    </row>
    <row r="5247" spans="1:1">
      <c r="A5247" s="151" t="s">
        <v>7223</v>
      </c>
    </row>
    <row r="5248" spans="1:1">
      <c r="A5248" s="151" t="s">
        <v>7224</v>
      </c>
    </row>
    <row r="5249" spans="1:1">
      <c r="A5249" s="151" t="s">
        <v>7225</v>
      </c>
    </row>
    <row r="5250" spans="1:1">
      <c r="A5250" s="151" t="s">
        <v>7226</v>
      </c>
    </row>
    <row r="5251" spans="1:1">
      <c r="A5251" s="151" t="s">
        <v>7227</v>
      </c>
    </row>
    <row r="5252" spans="1:1">
      <c r="A5252" s="151" t="s">
        <v>7228</v>
      </c>
    </row>
    <row r="5253" spans="1:1">
      <c r="A5253" s="151" t="s">
        <v>7229</v>
      </c>
    </row>
    <row r="5254" spans="1:1">
      <c r="A5254" s="151" t="s">
        <v>7230</v>
      </c>
    </row>
    <row r="5255" spans="1:1">
      <c r="A5255" s="151" t="s">
        <v>7231</v>
      </c>
    </row>
    <row r="5256" spans="1:1">
      <c r="A5256" s="151" t="s">
        <v>7232</v>
      </c>
    </row>
    <row r="5257" spans="1:1">
      <c r="A5257" s="151" t="s">
        <v>7233</v>
      </c>
    </row>
    <row r="5258" spans="1:1">
      <c r="A5258" s="151" t="s">
        <v>7234</v>
      </c>
    </row>
    <row r="5259" spans="1:1">
      <c r="A5259" s="151" t="s">
        <v>7235</v>
      </c>
    </row>
    <row r="5260" spans="1:1">
      <c r="A5260" s="151" t="s">
        <v>7236</v>
      </c>
    </row>
    <row r="5261" spans="1:1">
      <c r="A5261" s="151" t="s">
        <v>7237</v>
      </c>
    </row>
    <row r="5262" spans="1:1">
      <c r="A5262" s="151" t="s">
        <v>7238</v>
      </c>
    </row>
    <row r="5263" spans="1:1">
      <c r="A5263" s="151" t="s">
        <v>7239</v>
      </c>
    </row>
    <row r="5264" spans="1:1">
      <c r="A5264" s="151" t="s">
        <v>7240</v>
      </c>
    </row>
    <row r="5265" spans="1:1">
      <c r="A5265" s="151" t="s">
        <v>7241</v>
      </c>
    </row>
    <row r="5266" spans="1:1">
      <c r="A5266" s="151" t="s">
        <v>7242</v>
      </c>
    </row>
    <row r="5267" spans="1:1">
      <c r="A5267" s="151" t="s">
        <v>7243</v>
      </c>
    </row>
    <row r="5268" spans="1:1">
      <c r="A5268" s="151" t="s">
        <v>7244</v>
      </c>
    </row>
    <row r="5269" spans="1:1">
      <c r="A5269" s="151" t="s">
        <v>7245</v>
      </c>
    </row>
    <row r="5270" spans="1:1">
      <c r="A5270" s="151" t="s">
        <v>7246</v>
      </c>
    </row>
    <row r="5271" spans="1:1">
      <c r="A5271" s="151" t="s">
        <v>7247</v>
      </c>
    </row>
    <row r="5272" spans="1:1">
      <c r="A5272" s="151" t="s">
        <v>7248</v>
      </c>
    </row>
    <row r="5273" spans="1:1">
      <c r="A5273" s="151" t="s">
        <v>7249</v>
      </c>
    </row>
    <row r="5274" spans="1:1">
      <c r="A5274" s="151" t="s">
        <v>7250</v>
      </c>
    </row>
    <row r="5275" spans="1:1">
      <c r="A5275" s="151" t="s">
        <v>7251</v>
      </c>
    </row>
    <row r="5276" spans="1:1">
      <c r="A5276" s="151" t="s">
        <v>7252</v>
      </c>
    </row>
    <row r="5277" spans="1:1">
      <c r="A5277" s="151" t="s">
        <v>7253</v>
      </c>
    </row>
    <row r="5278" spans="1:1">
      <c r="A5278" s="151" t="s">
        <v>7254</v>
      </c>
    </row>
    <row r="5279" spans="1:1">
      <c r="A5279" s="151" t="s">
        <v>7255</v>
      </c>
    </row>
    <row r="5280" spans="1:1">
      <c r="A5280" s="151" t="s">
        <v>7256</v>
      </c>
    </row>
    <row r="5281" spans="1:1">
      <c r="A5281" s="151" t="s">
        <v>7257</v>
      </c>
    </row>
    <row r="5282" spans="1:1">
      <c r="A5282" s="151" t="s">
        <v>7258</v>
      </c>
    </row>
    <row r="5283" spans="1:1">
      <c r="A5283" s="151" t="s">
        <v>7259</v>
      </c>
    </row>
    <row r="5284" spans="1:1">
      <c r="A5284" s="151" t="s">
        <v>7260</v>
      </c>
    </row>
    <row r="5285" spans="1:1">
      <c r="A5285" s="151" t="s">
        <v>7261</v>
      </c>
    </row>
    <row r="5286" spans="1:1">
      <c r="A5286" s="151" t="s">
        <v>7262</v>
      </c>
    </row>
    <row r="5287" spans="1:1">
      <c r="A5287" s="151" t="s">
        <v>7263</v>
      </c>
    </row>
    <row r="5288" spans="1:1">
      <c r="A5288" s="151" t="s">
        <v>7264</v>
      </c>
    </row>
    <row r="5289" spans="1:1">
      <c r="A5289" s="151" t="s">
        <v>7265</v>
      </c>
    </row>
    <row r="5290" spans="1:1">
      <c r="A5290" s="151" t="s">
        <v>7266</v>
      </c>
    </row>
    <row r="5291" spans="1:1">
      <c r="A5291" s="151" t="s">
        <v>7267</v>
      </c>
    </row>
    <row r="5292" spans="1:1">
      <c r="A5292" s="151" t="s">
        <v>7268</v>
      </c>
    </row>
    <row r="5293" spans="1:1">
      <c r="A5293" s="151" t="s">
        <v>7269</v>
      </c>
    </row>
    <row r="5294" spans="1:1">
      <c r="A5294" s="151" t="s">
        <v>7270</v>
      </c>
    </row>
    <row r="5295" spans="1:1">
      <c r="A5295" s="151" t="s">
        <v>7271</v>
      </c>
    </row>
    <row r="5296" spans="1:1">
      <c r="A5296" s="151" t="s">
        <v>7272</v>
      </c>
    </row>
    <row r="5297" spans="1:1">
      <c r="A5297" s="151" t="s">
        <v>7273</v>
      </c>
    </row>
    <row r="5298" spans="1:1">
      <c r="A5298" s="151" t="s">
        <v>7274</v>
      </c>
    </row>
    <row r="5299" spans="1:1">
      <c r="A5299" s="151" t="s">
        <v>7275</v>
      </c>
    </row>
    <row r="5300" spans="1:1">
      <c r="A5300" s="151" t="s">
        <v>7276</v>
      </c>
    </row>
    <row r="5301" spans="1:1">
      <c r="A5301" s="151" t="s">
        <v>7277</v>
      </c>
    </row>
    <row r="5302" spans="1:1">
      <c r="A5302" s="151" t="s">
        <v>7278</v>
      </c>
    </row>
    <row r="5303" spans="1:1">
      <c r="A5303" s="151" t="s">
        <v>7279</v>
      </c>
    </row>
    <row r="5304" spans="1:1">
      <c r="A5304" s="151" t="s">
        <v>7280</v>
      </c>
    </row>
    <row r="5305" spans="1:1">
      <c r="A5305" s="151" t="s">
        <v>7281</v>
      </c>
    </row>
    <row r="5306" spans="1:1">
      <c r="A5306" s="151" t="s">
        <v>7282</v>
      </c>
    </row>
    <row r="5307" spans="1:1">
      <c r="A5307" s="151" t="s">
        <v>7283</v>
      </c>
    </row>
    <row r="5308" spans="1:1">
      <c r="A5308" s="151" t="s">
        <v>7284</v>
      </c>
    </row>
    <row r="5309" spans="1:1">
      <c r="A5309" s="151" t="s">
        <v>7285</v>
      </c>
    </row>
    <row r="5310" spans="1:1">
      <c r="A5310" s="151" t="s">
        <v>7286</v>
      </c>
    </row>
    <row r="5311" spans="1:1">
      <c r="A5311" s="151" t="s">
        <v>7287</v>
      </c>
    </row>
    <row r="5312" spans="1:1">
      <c r="A5312" s="151" t="s">
        <v>7288</v>
      </c>
    </row>
    <row r="5313" spans="1:1">
      <c r="A5313" s="151" t="s">
        <v>7289</v>
      </c>
    </row>
    <row r="5314" spans="1:1">
      <c r="A5314" s="151" t="s">
        <v>7290</v>
      </c>
    </row>
    <row r="5315" spans="1:1">
      <c r="A5315" s="151" t="s">
        <v>7291</v>
      </c>
    </row>
    <row r="5316" spans="1:1">
      <c r="A5316" s="151" t="s">
        <v>7292</v>
      </c>
    </row>
    <row r="5317" spans="1:1">
      <c r="A5317" s="151" t="s">
        <v>7293</v>
      </c>
    </row>
    <row r="5318" spans="1:1">
      <c r="A5318" s="151" t="s">
        <v>7294</v>
      </c>
    </row>
    <row r="5319" spans="1:1">
      <c r="A5319" s="151" t="s">
        <v>7295</v>
      </c>
    </row>
    <row r="5320" spans="1:1">
      <c r="A5320" s="151" t="s">
        <v>7296</v>
      </c>
    </row>
    <row r="5321" spans="1:1">
      <c r="A5321" s="151" t="s">
        <v>7297</v>
      </c>
    </row>
    <row r="5322" spans="1:1">
      <c r="A5322" s="151" t="s">
        <v>7298</v>
      </c>
    </row>
    <row r="5323" spans="1:1">
      <c r="A5323" s="151" t="s">
        <v>7299</v>
      </c>
    </row>
    <row r="5324" spans="1:1">
      <c r="A5324" s="151" t="s">
        <v>7300</v>
      </c>
    </row>
    <row r="5325" spans="1:1">
      <c r="A5325" s="151" t="s">
        <v>7301</v>
      </c>
    </row>
    <row r="5326" spans="1:1">
      <c r="A5326" s="151" t="s">
        <v>7302</v>
      </c>
    </row>
    <row r="5327" spans="1:1">
      <c r="A5327" s="151" t="s">
        <v>7303</v>
      </c>
    </row>
    <row r="5328" spans="1:1">
      <c r="A5328" s="151" t="s">
        <v>7304</v>
      </c>
    </row>
    <row r="5329" spans="1:1">
      <c r="A5329" s="151" t="s">
        <v>7305</v>
      </c>
    </row>
    <row r="5330" spans="1:1">
      <c r="A5330" s="151" t="s">
        <v>7306</v>
      </c>
    </row>
    <row r="5331" spans="1:1">
      <c r="A5331" s="151" t="s">
        <v>7307</v>
      </c>
    </row>
    <row r="5332" spans="1:1">
      <c r="A5332" s="151" t="s">
        <v>7308</v>
      </c>
    </row>
    <row r="5333" spans="1:1">
      <c r="A5333" s="151" t="s">
        <v>7309</v>
      </c>
    </row>
    <row r="5334" spans="1:1">
      <c r="A5334" s="151" t="s">
        <v>7310</v>
      </c>
    </row>
    <row r="5335" spans="1:1">
      <c r="A5335" s="151" t="s">
        <v>7311</v>
      </c>
    </row>
    <row r="5336" spans="1:1">
      <c r="A5336" s="151" t="s">
        <v>7312</v>
      </c>
    </row>
    <row r="5337" spans="1:1">
      <c r="A5337" s="151" t="s">
        <v>7313</v>
      </c>
    </row>
    <row r="5338" spans="1:1">
      <c r="A5338" s="151" t="s">
        <v>7314</v>
      </c>
    </row>
    <row r="5339" spans="1:1">
      <c r="A5339" s="151" t="s">
        <v>7315</v>
      </c>
    </row>
    <row r="5340" spans="1:1">
      <c r="A5340" s="151" t="s">
        <v>7316</v>
      </c>
    </row>
    <row r="5341" spans="1:1">
      <c r="A5341" s="151" t="s">
        <v>7317</v>
      </c>
    </row>
    <row r="5342" spans="1:1">
      <c r="A5342" s="151" t="s">
        <v>7318</v>
      </c>
    </row>
    <row r="5343" spans="1:1">
      <c r="A5343" s="151" t="s">
        <v>7319</v>
      </c>
    </row>
    <row r="5344" spans="1:1">
      <c r="A5344" s="151" t="s">
        <v>7320</v>
      </c>
    </row>
    <row r="5345" spans="1:1">
      <c r="A5345" s="151" t="s">
        <v>7321</v>
      </c>
    </row>
    <row r="5346" spans="1:1">
      <c r="A5346" s="151" t="s">
        <v>7322</v>
      </c>
    </row>
    <row r="5347" spans="1:1">
      <c r="A5347" s="151" t="s">
        <v>7323</v>
      </c>
    </row>
    <row r="5348" spans="1:1">
      <c r="A5348" s="151" t="s">
        <v>7324</v>
      </c>
    </row>
    <row r="5349" spans="1:1">
      <c r="A5349" s="151" t="s">
        <v>7325</v>
      </c>
    </row>
    <row r="5350" spans="1:1">
      <c r="A5350" s="151" t="s">
        <v>7326</v>
      </c>
    </row>
    <row r="5351" spans="1:1">
      <c r="A5351" s="151" t="s">
        <v>7327</v>
      </c>
    </row>
    <row r="5352" spans="1:1">
      <c r="A5352" s="151" t="s">
        <v>7328</v>
      </c>
    </row>
    <row r="5353" spans="1:1">
      <c r="A5353" s="151" t="s">
        <v>7329</v>
      </c>
    </row>
    <row r="5354" spans="1:1">
      <c r="A5354" s="151" t="s">
        <v>7330</v>
      </c>
    </row>
    <row r="5355" spans="1:1">
      <c r="A5355" s="151" t="s">
        <v>7331</v>
      </c>
    </row>
    <row r="5356" spans="1:1">
      <c r="A5356" s="151" t="s">
        <v>7332</v>
      </c>
    </row>
    <row r="5357" spans="1:1">
      <c r="A5357" s="151" t="s">
        <v>7333</v>
      </c>
    </row>
    <row r="5358" spans="1:1">
      <c r="A5358" s="151" t="s">
        <v>7334</v>
      </c>
    </row>
    <row r="5359" spans="1:1">
      <c r="A5359" s="151" t="s">
        <v>7335</v>
      </c>
    </row>
    <row r="5360" spans="1:1">
      <c r="A5360" s="151" t="s">
        <v>7336</v>
      </c>
    </row>
    <row r="5361" spans="1:1">
      <c r="A5361" s="151" t="s">
        <v>7337</v>
      </c>
    </row>
    <row r="5362" spans="1:1">
      <c r="A5362" s="151" t="s">
        <v>7338</v>
      </c>
    </row>
    <row r="5363" spans="1:1">
      <c r="A5363" s="151" t="s">
        <v>7339</v>
      </c>
    </row>
    <row r="5364" spans="1:1">
      <c r="A5364" s="151" t="s">
        <v>7340</v>
      </c>
    </row>
    <row r="5365" spans="1:1">
      <c r="A5365" s="151" t="s">
        <v>7341</v>
      </c>
    </row>
    <row r="5366" spans="1:1">
      <c r="A5366" s="151" t="s">
        <v>7342</v>
      </c>
    </row>
    <row r="5367" spans="1:1">
      <c r="A5367" s="151" t="s">
        <v>7343</v>
      </c>
    </row>
    <row r="5368" spans="1:1">
      <c r="A5368" s="151" t="s">
        <v>7344</v>
      </c>
    </row>
    <row r="5369" spans="1:1">
      <c r="A5369" s="151" t="s">
        <v>7345</v>
      </c>
    </row>
    <row r="5370" spans="1:1">
      <c r="A5370" s="151" t="s">
        <v>7346</v>
      </c>
    </row>
    <row r="5371" spans="1:1">
      <c r="A5371" s="151" t="s">
        <v>7347</v>
      </c>
    </row>
    <row r="5372" spans="1:1">
      <c r="A5372" s="151" t="s">
        <v>7348</v>
      </c>
    </row>
    <row r="5373" spans="1:1">
      <c r="A5373" s="151" t="s">
        <v>7349</v>
      </c>
    </row>
    <row r="5374" spans="1:1">
      <c r="A5374" s="151" t="s">
        <v>7350</v>
      </c>
    </row>
    <row r="5375" spans="1:1">
      <c r="A5375" s="151" t="s">
        <v>7351</v>
      </c>
    </row>
    <row r="5376" spans="1:1">
      <c r="A5376" s="151" t="s">
        <v>7352</v>
      </c>
    </row>
    <row r="5377" spans="1:1">
      <c r="A5377" s="151" t="s">
        <v>7353</v>
      </c>
    </row>
    <row r="5378" spans="1:1">
      <c r="A5378" s="151" t="s">
        <v>7354</v>
      </c>
    </row>
    <row r="5379" spans="1:1">
      <c r="A5379" s="151" t="s">
        <v>7355</v>
      </c>
    </row>
    <row r="5380" spans="1:1">
      <c r="A5380" s="151" t="s">
        <v>7356</v>
      </c>
    </row>
    <row r="5381" spans="1:1">
      <c r="A5381" s="151" t="s">
        <v>7357</v>
      </c>
    </row>
    <row r="5382" spans="1:1">
      <c r="A5382" s="151" t="s">
        <v>7358</v>
      </c>
    </row>
    <row r="5383" spans="1:1">
      <c r="A5383" s="151" t="s">
        <v>7359</v>
      </c>
    </row>
    <row r="5384" spans="1:1">
      <c r="A5384" s="151" t="s">
        <v>7360</v>
      </c>
    </row>
    <row r="5385" spans="1:1">
      <c r="A5385" s="151" t="s">
        <v>7361</v>
      </c>
    </row>
    <row r="5386" spans="1:1">
      <c r="A5386" s="151" t="s">
        <v>7362</v>
      </c>
    </row>
    <row r="5387" spans="1:1">
      <c r="A5387" s="151" t="s">
        <v>7363</v>
      </c>
    </row>
    <row r="5388" spans="1:1">
      <c r="A5388" s="151" t="s">
        <v>7364</v>
      </c>
    </row>
    <row r="5389" spans="1:1">
      <c r="A5389" s="151" t="s">
        <v>7365</v>
      </c>
    </row>
    <row r="5390" spans="1:1">
      <c r="A5390" s="151" t="s">
        <v>7366</v>
      </c>
    </row>
    <row r="5391" spans="1:1">
      <c r="A5391" s="151" t="s">
        <v>7367</v>
      </c>
    </row>
    <row r="5392" spans="1:1">
      <c r="A5392" s="151" t="s">
        <v>7368</v>
      </c>
    </row>
    <row r="5393" spans="1:1">
      <c r="A5393" s="151" t="s">
        <v>7369</v>
      </c>
    </row>
    <row r="5394" spans="1:1">
      <c r="A5394" s="151" t="s">
        <v>7370</v>
      </c>
    </row>
    <row r="5395" spans="1:1">
      <c r="A5395" s="151" t="s">
        <v>7371</v>
      </c>
    </row>
    <row r="5396" spans="1:1">
      <c r="A5396" s="151" t="s">
        <v>7372</v>
      </c>
    </row>
    <row r="5397" spans="1:1">
      <c r="A5397" s="151" t="s">
        <v>7373</v>
      </c>
    </row>
    <row r="5398" spans="1:1">
      <c r="A5398" s="151" t="s">
        <v>7374</v>
      </c>
    </row>
    <row r="5399" spans="1:1">
      <c r="A5399" s="151" t="s">
        <v>7375</v>
      </c>
    </row>
    <row r="5400" spans="1:1">
      <c r="A5400" s="151" t="s">
        <v>7376</v>
      </c>
    </row>
    <row r="5401" spans="1:1">
      <c r="A5401" s="151" t="s">
        <v>7377</v>
      </c>
    </row>
    <row r="5402" spans="1:1">
      <c r="A5402" s="151" t="s">
        <v>7378</v>
      </c>
    </row>
    <row r="5403" spans="1:1">
      <c r="A5403" s="151" t="s">
        <v>7379</v>
      </c>
    </row>
    <row r="5404" spans="1:1">
      <c r="A5404" s="151" t="s">
        <v>7380</v>
      </c>
    </row>
    <row r="5405" spans="1:1">
      <c r="A5405" s="151" t="s">
        <v>7381</v>
      </c>
    </row>
    <row r="5406" spans="1:1">
      <c r="A5406" s="151" t="s">
        <v>7382</v>
      </c>
    </row>
    <row r="5407" spans="1:1">
      <c r="A5407" s="151" t="s">
        <v>7383</v>
      </c>
    </row>
    <row r="5408" spans="1:1">
      <c r="A5408" s="151" t="s">
        <v>7384</v>
      </c>
    </row>
    <row r="5409" spans="1:1">
      <c r="A5409" s="151" t="s">
        <v>7385</v>
      </c>
    </row>
    <row r="5410" spans="1:1">
      <c r="A5410" s="151" t="s">
        <v>7386</v>
      </c>
    </row>
    <row r="5411" spans="1:1">
      <c r="A5411" s="151" t="s">
        <v>7387</v>
      </c>
    </row>
    <row r="5412" spans="1:1">
      <c r="A5412" s="151" t="s">
        <v>7388</v>
      </c>
    </row>
    <row r="5413" spans="1:1">
      <c r="A5413" s="151" t="s">
        <v>7389</v>
      </c>
    </row>
    <row r="5414" spans="1:1">
      <c r="A5414" s="151" t="s">
        <v>7390</v>
      </c>
    </row>
    <row r="5415" spans="1:1">
      <c r="A5415" s="151" t="s">
        <v>7391</v>
      </c>
    </row>
    <row r="5416" spans="1:1">
      <c r="A5416" s="151" t="s">
        <v>7392</v>
      </c>
    </row>
    <row r="5417" spans="1:1">
      <c r="A5417" s="151" t="s">
        <v>7393</v>
      </c>
    </row>
    <row r="5418" spans="1:1">
      <c r="A5418" s="151" t="s">
        <v>7394</v>
      </c>
    </row>
    <row r="5419" spans="1:1">
      <c r="A5419" s="151" t="s">
        <v>7395</v>
      </c>
    </row>
    <row r="5420" spans="1:1">
      <c r="A5420" s="151" t="s">
        <v>7396</v>
      </c>
    </row>
    <row r="5421" spans="1:1">
      <c r="A5421" s="151" t="s">
        <v>7397</v>
      </c>
    </row>
    <row r="5422" spans="1:1">
      <c r="A5422" s="151" t="s">
        <v>7398</v>
      </c>
    </row>
    <row r="5423" spans="1:1">
      <c r="A5423" s="151" t="s">
        <v>7399</v>
      </c>
    </row>
    <row r="5424" spans="1:1">
      <c r="A5424" s="151" t="s">
        <v>7400</v>
      </c>
    </row>
    <row r="5425" spans="1:1">
      <c r="A5425" s="151" t="s">
        <v>7401</v>
      </c>
    </row>
    <row r="5426" spans="1:1">
      <c r="A5426" s="151" t="s">
        <v>7402</v>
      </c>
    </row>
    <row r="5427" spans="1:1">
      <c r="A5427" s="151" t="s">
        <v>7403</v>
      </c>
    </row>
    <row r="5428" spans="1:1">
      <c r="A5428" s="151" t="s">
        <v>7404</v>
      </c>
    </row>
    <row r="5429" spans="1:1">
      <c r="A5429" s="151" t="s">
        <v>7405</v>
      </c>
    </row>
    <row r="5430" spans="1:1">
      <c r="A5430" s="151" t="s">
        <v>7406</v>
      </c>
    </row>
    <row r="5431" spans="1:1">
      <c r="A5431" s="151" t="s">
        <v>7407</v>
      </c>
    </row>
    <row r="5432" spans="1:1">
      <c r="A5432" s="151" t="s">
        <v>7408</v>
      </c>
    </row>
    <row r="5433" spans="1:1">
      <c r="A5433" s="151" t="s">
        <v>7409</v>
      </c>
    </row>
    <row r="5434" spans="1:1">
      <c r="A5434" s="151" t="s">
        <v>7410</v>
      </c>
    </row>
    <row r="5435" spans="1:1">
      <c r="A5435" s="151" t="s">
        <v>7411</v>
      </c>
    </row>
    <row r="5436" spans="1:1">
      <c r="A5436" s="151" t="s">
        <v>7412</v>
      </c>
    </row>
    <row r="5437" spans="1:1">
      <c r="A5437" s="151" t="s">
        <v>7413</v>
      </c>
    </row>
    <row r="5438" spans="1:1">
      <c r="A5438" s="151" t="s">
        <v>7414</v>
      </c>
    </row>
    <row r="5439" spans="1:1">
      <c r="A5439" s="151" t="s">
        <v>7415</v>
      </c>
    </row>
    <row r="5440" spans="1:1">
      <c r="A5440" s="151" t="s">
        <v>7416</v>
      </c>
    </row>
    <row r="5441" spans="1:1">
      <c r="A5441" s="151" t="s">
        <v>7417</v>
      </c>
    </row>
    <row r="5442" spans="1:1">
      <c r="A5442" s="151" t="s">
        <v>7418</v>
      </c>
    </row>
    <row r="5443" spans="1:1">
      <c r="A5443" s="151" t="s">
        <v>7419</v>
      </c>
    </row>
    <row r="5444" spans="1:1">
      <c r="A5444" s="151" t="s">
        <v>7420</v>
      </c>
    </row>
    <row r="5445" spans="1:1">
      <c r="A5445" s="151" t="s">
        <v>7421</v>
      </c>
    </row>
    <row r="5446" spans="1:1">
      <c r="A5446" s="151" t="s">
        <v>7422</v>
      </c>
    </row>
    <row r="5447" spans="1:1">
      <c r="A5447" s="151" t="s">
        <v>7423</v>
      </c>
    </row>
    <row r="5448" spans="1:1">
      <c r="A5448" s="151" t="s">
        <v>7424</v>
      </c>
    </row>
    <row r="5449" spans="1:1">
      <c r="A5449" s="151" t="s">
        <v>7425</v>
      </c>
    </row>
    <row r="5450" spans="1:1">
      <c r="A5450" s="151" t="s">
        <v>7426</v>
      </c>
    </row>
    <row r="5451" spans="1:1">
      <c r="A5451" s="151" t="s">
        <v>7427</v>
      </c>
    </row>
    <row r="5452" spans="1:1">
      <c r="A5452" s="151" t="s">
        <v>7428</v>
      </c>
    </row>
    <row r="5453" spans="1:1">
      <c r="A5453" s="151" t="s">
        <v>7429</v>
      </c>
    </row>
    <row r="5454" spans="1:1">
      <c r="A5454" s="151" t="s">
        <v>7430</v>
      </c>
    </row>
    <row r="5455" spans="1:1">
      <c r="A5455" s="151" t="s">
        <v>7431</v>
      </c>
    </row>
    <row r="5456" spans="1:1">
      <c r="A5456" s="151" t="s">
        <v>7432</v>
      </c>
    </row>
    <row r="5457" spans="1:1">
      <c r="A5457" s="151" t="s">
        <v>7433</v>
      </c>
    </row>
    <row r="5458" spans="1:1">
      <c r="A5458" s="151" t="s">
        <v>7434</v>
      </c>
    </row>
    <row r="5459" spans="1:1">
      <c r="A5459" s="151" t="s">
        <v>7435</v>
      </c>
    </row>
    <row r="5460" spans="1:1">
      <c r="A5460" s="151" t="s">
        <v>7436</v>
      </c>
    </row>
    <row r="5461" spans="1:1">
      <c r="A5461" s="151" t="s">
        <v>7437</v>
      </c>
    </row>
    <row r="5462" spans="1:1">
      <c r="A5462" s="151" t="s">
        <v>7438</v>
      </c>
    </row>
    <row r="5463" spans="1:1">
      <c r="A5463" s="151" t="s">
        <v>7439</v>
      </c>
    </row>
    <row r="5464" spans="1:1">
      <c r="A5464" s="151" t="s">
        <v>7440</v>
      </c>
    </row>
    <row r="5465" spans="1:1">
      <c r="A5465" s="151" t="s">
        <v>7441</v>
      </c>
    </row>
    <row r="5466" spans="1:1">
      <c r="A5466" s="151" t="s">
        <v>7442</v>
      </c>
    </row>
    <row r="5467" spans="1:1">
      <c r="A5467" s="151" t="s">
        <v>7443</v>
      </c>
    </row>
    <row r="5468" spans="1:1">
      <c r="A5468" s="151" t="s">
        <v>7444</v>
      </c>
    </row>
    <row r="5469" spans="1:1">
      <c r="A5469" s="151" t="s">
        <v>7445</v>
      </c>
    </row>
    <row r="5470" spans="1:1">
      <c r="A5470" s="151" t="s">
        <v>7446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1"/>
  <sheetViews>
    <sheetView topLeftCell="A13" zoomScale="121" zoomScaleNormal="121" workbookViewId="0">
      <selection activeCell="I21" sqref="I21:M21"/>
    </sheetView>
  </sheetViews>
  <sheetFormatPr baseColWidth="10" defaultRowHeight="12"/>
  <cols>
    <col min="1" max="1" width="17.85546875" style="196" bestFit="1" customWidth="1"/>
    <col min="2" max="2" width="15.85546875" style="196" bestFit="1" customWidth="1"/>
    <col min="3" max="13" width="11.42578125" style="196"/>
    <col min="14" max="16384" width="11.42578125" style="197"/>
  </cols>
  <sheetData>
    <row r="1" spans="1:13" ht="12.75">
      <c r="A1" s="195" t="s">
        <v>8116</v>
      </c>
      <c r="B1" s="195" t="s">
        <v>8117</v>
      </c>
    </row>
    <row r="2" spans="1:13" ht="12.75">
      <c r="A2" s="195" t="s">
        <v>8118</v>
      </c>
      <c r="B2" s="195" t="s">
        <v>8119</v>
      </c>
    </row>
    <row r="3" spans="1:13" ht="12.75">
      <c r="A3" s="195" t="s">
        <v>8120</v>
      </c>
      <c r="B3" s="198">
        <v>41852</v>
      </c>
    </row>
    <row r="4" spans="1:13" ht="12.75">
      <c r="A4" s="195" t="s">
        <v>8121</v>
      </c>
      <c r="B4" s="198">
        <v>41837</v>
      </c>
    </row>
    <row r="6" spans="1:13" ht="12.75">
      <c r="A6" s="406" t="s">
        <v>8122</v>
      </c>
      <c r="B6" s="199" t="s">
        <v>8123</v>
      </c>
      <c r="C6" s="405" t="s">
        <v>8124</v>
      </c>
      <c r="D6" s="405"/>
      <c r="E6" s="405"/>
      <c r="F6" s="405"/>
      <c r="G6" s="405"/>
      <c r="H6" s="200" t="s">
        <v>8125</v>
      </c>
    </row>
    <row r="7" spans="1:13" ht="12.75">
      <c r="A7" s="406"/>
      <c r="B7" s="199" t="s">
        <v>8126</v>
      </c>
      <c r="C7" s="405" t="s">
        <v>8127</v>
      </c>
      <c r="D7" s="405"/>
      <c r="E7" s="405"/>
      <c r="F7" s="405"/>
      <c r="G7" s="405"/>
      <c r="H7" s="200" t="s">
        <v>8125</v>
      </c>
    </row>
    <row r="8" spans="1:13" ht="12.75">
      <c r="A8" s="406"/>
      <c r="B8" s="199" t="s">
        <v>8128</v>
      </c>
      <c r="C8" s="405" t="s">
        <v>8129</v>
      </c>
      <c r="D8" s="405"/>
      <c r="E8" s="405"/>
      <c r="F8" s="405"/>
      <c r="G8" s="405"/>
      <c r="H8" s="200" t="s">
        <v>8125</v>
      </c>
    </row>
    <row r="9" spans="1:13" ht="12.75">
      <c r="A9" s="199" t="s">
        <v>8130</v>
      </c>
      <c r="B9" s="199" t="s">
        <v>8123</v>
      </c>
      <c r="C9" s="405" t="s">
        <v>8131</v>
      </c>
      <c r="D9" s="405"/>
      <c r="E9" s="405"/>
      <c r="F9" s="405"/>
      <c r="G9" s="405"/>
      <c r="H9" s="201" t="s">
        <v>247</v>
      </c>
    </row>
    <row r="10" spans="1:13" ht="12.75">
      <c r="A10" s="199" t="s">
        <v>8132</v>
      </c>
      <c r="B10" s="199" t="s">
        <v>8133</v>
      </c>
      <c r="C10" s="405" t="s">
        <v>8134</v>
      </c>
      <c r="D10" s="405"/>
      <c r="E10" s="405"/>
      <c r="F10" s="405"/>
      <c r="G10" s="405"/>
      <c r="H10" s="201" t="s">
        <v>8135</v>
      </c>
    </row>
    <row r="11" spans="1:13" ht="12.75">
      <c r="A11" s="199" t="s">
        <v>8136</v>
      </c>
      <c r="B11" s="199" t="s">
        <v>8137</v>
      </c>
      <c r="C11" s="405" t="s">
        <v>8138</v>
      </c>
      <c r="D11" s="405"/>
      <c r="E11" s="405"/>
      <c r="F11" s="405"/>
      <c r="G11" s="405"/>
      <c r="H11" s="201" t="s">
        <v>8139</v>
      </c>
    </row>
    <row r="12" spans="1:13" ht="12.75">
      <c r="A12" s="199" t="s">
        <v>8140</v>
      </c>
      <c r="B12" s="199" t="s">
        <v>8141</v>
      </c>
      <c r="C12" s="405" t="s">
        <v>8142</v>
      </c>
      <c r="D12" s="405"/>
      <c r="E12" s="405"/>
      <c r="F12" s="405"/>
      <c r="G12" s="405"/>
      <c r="H12" s="201" t="s">
        <v>8143</v>
      </c>
    </row>
    <row r="13" spans="1:13" ht="12.75">
      <c r="A13" s="199" t="s">
        <v>8144</v>
      </c>
      <c r="B13" s="199" t="s">
        <v>8145</v>
      </c>
      <c r="C13" s="405" t="s">
        <v>8146</v>
      </c>
      <c r="D13" s="405"/>
      <c r="E13" s="405"/>
      <c r="F13" s="405"/>
      <c r="G13" s="405"/>
      <c r="H13" s="201" t="s">
        <v>8143</v>
      </c>
    </row>
    <row r="14" spans="1:13" ht="12.75">
      <c r="A14" s="199" t="s">
        <v>8144</v>
      </c>
      <c r="B14" s="199" t="s">
        <v>7856</v>
      </c>
      <c r="C14" s="405" t="s">
        <v>8147</v>
      </c>
      <c r="D14" s="405"/>
      <c r="E14" s="405"/>
      <c r="F14" s="405"/>
      <c r="G14" s="405"/>
      <c r="H14" s="201" t="s">
        <v>8143</v>
      </c>
    </row>
    <row r="15" spans="1:13" ht="12.75">
      <c r="A15" s="199" t="s">
        <v>8148</v>
      </c>
      <c r="B15" s="199" t="s">
        <v>8149</v>
      </c>
      <c r="C15" s="405" t="s">
        <v>8150</v>
      </c>
      <c r="D15" s="405"/>
      <c r="E15" s="405"/>
      <c r="F15" s="405"/>
      <c r="G15" s="405"/>
      <c r="H15" s="201" t="s">
        <v>8143</v>
      </c>
    </row>
    <row r="16" spans="1:13" ht="12.75">
      <c r="A16" s="199" t="s">
        <v>8151</v>
      </c>
      <c r="B16" s="199" t="s">
        <v>8152</v>
      </c>
      <c r="C16" s="405" t="s">
        <v>8153</v>
      </c>
      <c r="D16" s="405"/>
      <c r="E16" s="405"/>
      <c r="F16" s="405"/>
      <c r="G16" s="405"/>
      <c r="H16" s="201" t="s">
        <v>8143</v>
      </c>
      <c r="I16" s="195"/>
      <c r="J16" s="195"/>
      <c r="K16" s="195"/>
      <c r="L16" s="195"/>
      <c r="M16" s="195"/>
    </row>
    <row r="17" spans="1:13" ht="12.75">
      <c r="A17" s="196" t="s">
        <v>8154</v>
      </c>
      <c r="B17" s="196" t="s">
        <v>8151</v>
      </c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</row>
    <row r="19" spans="1:13">
      <c r="B19" s="407" t="s">
        <v>8122</v>
      </c>
      <c r="C19" s="407"/>
      <c r="D19" s="407"/>
      <c r="E19" s="196" t="s">
        <v>8130</v>
      </c>
      <c r="F19" s="196" t="s">
        <v>8132</v>
      </c>
      <c r="G19" s="196" t="s">
        <v>8136</v>
      </c>
      <c r="H19" s="196" t="s">
        <v>8140</v>
      </c>
      <c r="I19" s="196" t="s">
        <v>8144</v>
      </c>
      <c r="J19" s="196" t="s">
        <v>8144</v>
      </c>
      <c r="K19" s="196" t="s">
        <v>8148</v>
      </c>
      <c r="L19" s="196" t="s">
        <v>8151</v>
      </c>
      <c r="M19" s="196" t="s">
        <v>8154</v>
      </c>
    </row>
    <row r="20" spans="1:13">
      <c r="A20" s="196" t="s">
        <v>213</v>
      </c>
      <c r="B20" s="196" t="s">
        <v>8123</v>
      </c>
      <c r="C20" s="196" t="s">
        <v>8126</v>
      </c>
      <c r="D20" s="196" t="s">
        <v>8128</v>
      </c>
      <c r="E20" s="196" t="s">
        <v>8123</v>
      </c>
      <c r="F20" s="196" t="s">
        <v>8133</v>
      </c>
      <c r="G20" s="196" t="s">
        <v>8137</v>
      </c>
      <c r="H20" s="196" t="s">
        <v>8141</v>
      </c>
      <c r="I20" s="196" t="s">
        <v>8145</v>
      </c>
      <c r="J20" s="196" t="s">
        <v>7856</v>
      </c>
      <c r="K20" s="196" t="s">
        <v>8149</v>
      </c>
      <c r="L20" s="196" t="s">
        <v>8152</v>
      </c>
      <c r="M20" s="196" t="s">
        <v>8151</v>
      </c>
    </row>
    <row r="21" spans="1:13">
      <c r="A21" s="202" t="s">
        <v>8295</v>
      </c>
      <c r="B21" s="196">
        <v>23.9</v>
      </c>
      <c r="C21" s="196">
        <v>32.299999999999997</v>
      </c>
      <c r="D21" s="196">
        <v>14.6</v>
      </c>
      <c r="E21" s="196">
        <v>67</v>
      </c>
      <c r="H21" s="196">
        <v>0</v>
      </c>
    </row>
    <row r="22" spans="1:13">
      <c r="A22" s="202" t="s">
        <v>8296</v>
      </c>
      <c r="B22" s="196">
        <v>24.7</v>
      </c>
      <c r="C22" s="196">
        <v>33</v>
      </c>
      <c r="D22" s="196">
        <v>15</v>
      </c>
      <c r="E22" s="196">
        <v>58</v>
      </c>
      <c r="H22" s="196">
        <v>0</v>
      </c>
    </row>
    <row r="23" spans="1:13">
      <c r="A23" s="202" t="s">
        <v>8297</v>
      </c>
      <c r="B23" s="196">
        <v>23.3</v>
      </c>
      <c r="C23" s="196">
        <v>28.5</v>
      </c>
      <c r="D23" s="196">
        <v>18.600000000000001</v>
      </c>
      <c r="E23" s="196">
        <v>60</v>
      </c>
      <c r="H23" s="196">
        <v>0</v>
      </c>
    </row>
    <row r="24" spans="1:13">
      <c r="A24" s="202" t="s">
        <v>8298</v>
      </c>
      <c r="B24" s="196">
        <v>23</v>
      </c>
      <c r="C24" s="196">
        <v>29.3</v>
      </c>
      <c r="D24" s="196">
        <v>17.8</v>
      </c>
      <c r="E24" s="196">
        <v>62</v>
      </c>
      <c r="H24" s="196">
        <v>0</v>
      </c>
    </row>
    <row r="25" spans="1:13">
      <c r="A25" s="202" t="s">
        <v>8299</v>
      </c>
      <c r="B25" s="196">
        <v>24.7</v>
      </c>
      <c r="C25" s="196">
        <v>31.8</v>
      </c>
      <c r="D25" s="196">
        <v>16.8</v>
      </c>
      <c r="E25" s="196">
        <v>66</v>
      </c>
      <c r="H25" s="196">
        <v>0</v>
      </c>
    </row>
    <row r="26" spans="1:13">
      <c r="A26" s="202" t="s">
        <v>8300</v>
      </c>
      <c r="B26" s="196">
        <v>21.6</v>
      </c>
      <c r="C26" s="196">
        <v>24.6</v>
      </c>
      <c r="D26" s="196">
        <v>18.8</v>
      </c>
      <c r="E26" s="196">
        <v>74</v>
      </c>
      <c r="H26" s="196">
        <v>10</v>
      </c>
    </row>
    <row r="27" spans="1:13">
      <c r="A27" s="202" t="s">
        <v>8301</v>
      </c>
      <c r="B27" s="196">
        <v>18.8</v>
      </c>
      <c r="C27" s="196">
        <v>21.1</v>
      </c>
      <c r="D27" s="196">
        <v>18.100000000000001</v>
      </c>
      <c r="E27" s="196">
        <v>88</v>
      </c>
      <c r="H27" s="196">
        <v>2</v>
      </c>
    </row>
    <row r="28" spans="1:13">
      <c r="A28" s="202" t="s">
        <v>8302</v>
      </c>
      <c r="B28" s="196">
        <v>17.399999999999999</v>
      </c>
      <c r="C28" s="196">
        <v>21.1</v>
      </c>
      <c r="D28" s="196">
        <v>15.3</v>
      </c>
      <c r="E28" s="196">
        <v>83</v>
      </c>
      <c r="H28" s="196">
        <v>0</v>
      </c>
    </row>
    <row r="29" spans="1:13">
      <c r="A29" s="202" t="s">
        <v>8303</v>
      </c>
      <c r="B29" s="196">
        <v>17.899999999999999</v>
      </c>
      <c r="C29" s="196">
        <v>25.7</v>
      </c>
      <c r="D29" s="196">
        <v>10.199999999999999</v>
      </c>
      <c r="E29" s="196">
        <v>76</v>
      </c>
      <c r="H29" s="196">
        <v>0</v>
      </c>
    </row>
    <row r="30" spans="1:13">
      <c r="A30" s="202" t="s">
        <v>8304</v>
      </c>
      <c r="B30" s="196">
        <v>18.7</v>
      </c>
      <c r="C30" s="196">
        <v>25.8</v>
      </c>
      <c r="D30" s="196">
        <v>11.9</v>
      </c>
      <c r="E30" s="196">
        <v>70</v>
      </c>
      <c r="H30" s="196">
        <v>0</v>
      </c>
      <c r="L30" s="203"/>
      <c r="M30" s="203"/>
    </row>
    <row r="31" spans="1:13">
      <c r="A31" s="202" t="s">
        <v>8305</v>
      </c>
      <c r="B31" s="196">
        <v>19.399999999999999</v>
      </c>
      <c r="C31" s="196">
        <v>26</v>
      </c>
      <c r="D31" s="196">
        <v>9.6999999999999993</v>
      </c>
      <c r="E31" s="196">
        <v>59</v>
      </c>
      <c r="H31" s="196">
        <v>0</v>
      </c>
      <c r="L31" s="203"/>
      <c r="M31" s="203"/>
    </row>
    <row r="32" spans="1:13">
      <c r="A32" s="202" t="s">
        <v>8306</v>
      </c>
      <c r="B32" s="196">
        <v>20.9</v>
      </c>
      <c r="C32" s="196">
        <v>28.2</v>
      </c>
      <c r="D32" s="196">
        <v>11.9</v>
      </c>
      <c r="E32" s="196">
        <v>63</v>
      </c>
      <c r="H32" s="196">
        <v>0</v>
      </c>
    </row>
    <row r="33" spans="1:8">
      <c r="A33" s="202" t="s">
        <v>8307</v>
      </c>
      <c r="B33" s="196">
        <v>17.899999999999999</v>
      </c>
      <c r="C33" s="196">
        <v>23.8</v>
      </c>
      <c r="D33" s="196">
        <v>12.2</v>
      </c>
      <c r="E33" s="196">
        <v>58</v>
      </c>
      <c r="H33" s="196">
        <v>0</v>
      </c>
    </row>
    <row r="34" spans="1:8">
      <c r="A34" s="202" t="s">
        <v>8308</v>
      </c>
      <c r="B34" s="196">
        <v>17.100000000000001</v>
      </c>
      <c r="C34" s="196">
        <v>23.7</v>
      </c>
      <c r="D34" s="196">
        <v>9.8000000000000007</v>
      </c>
      <c r="E34" s="196">
        <v>57</v>
      </c>
      <c r="H34" s="196">
        <v>0</v>
      </c>
    </row>
    <row r="35" spans="1:8">
      <c r="A35" s="202" t="s">
        <v>8309</v>
      </c>
      <c r="B35" s="196">
        <v>18.600000000000001</v>
      </c>
      <c r="C35" s="196">
        <v>26.8</v>
      </c>
      <c r="D35" s="196">
        <v>10.4</v>
      </c>
      <c r="E35" s="196">
        <v>55</v>
      </c>
      <c r="H35" s="196">
        <v>0</v>
      </c>
    </row>
    <row r="36" spans="1:8">
      <c r="A36" s="202" t="s">
        <v>8310</v>
      </c>
      <c r="B36" s="196">
        <v>20.100000000000001</v>
      </c>
      <c r="C36" s="196">
        <v>28.7</v>
      </c>
      <c r="D36" s="196">
        <v>10.5</v>
      </c>
      <c r="E36" s="196">
        <v>62</v>
      </c>
      <c r="H36" s="196">
        <v>0</v>
      </c>
    </row>
    <row r="37" spans="1:8">
      <c r="A37" s="202" t="s">
        <v>8311</v>
      </c>
      <c r="B37" s="196">
        <v>21.3</v>
      </c>
      <c r="C37" s="196">
        <v>30</v>
      </c>
      <c r="D37" s="196">
        <v>12.1</v>
      </c>
      <c r="E37" s="196">
        <v>60</v>
      </c>
      <c r="H37" s="196">
        <v>0</v>
      </c>
    </row>
    <row r="38" spans="1:8">
      <c r="A38" s="202" t="s">
        <v>8312</v>
      </c>
      <c r="B38" s="196">
        <v>20.8</v>
      </c>
      <c r="C38" s="196">
        <v>29.2</v>
      </c>
      <c r="D38" s="196">
        <v>11.9</v>
      </c>
      <c r="E38" s="196">
        <v>63</v>
      </c>
      <c r="H38" s="196">
        <v>0</v>
      </c>
    </row>
    <row r="39" spans="1:8">
      <c r="A39" s="202" t="s">
        <v>8313</v>
      </c>
      <c r="B39" s="196">
        <v>20.6</v>
      </c>
      <c r="C39" s="196">
        <v>25.5</v>
      </c>
      <c r="D39" s="196">
        <v>16.5</v>
      </c>
      <c r="E39" s="196">
        <v>59</v>
      </c>
      <c r="H39" s="196">
        <v>0</v>
      </c>
    </row>
    <row r="40" spans="1:8">
      <c r="A40" s="202" t="s">
        <v>8314</v>
      </c>
      <c r="B40" s="196">
        <v>18.899999999999999</v>
      </c>
      <c r="C40" s="196">
        <v>25.2</v>
      </c>
      <c r="D40" s="196">
        <v>12.6</v>
      </c>
      <c r="E40" s="196">
        <v>54</v>
      </c>
      <c r="H40" s="196">
        <v>0</v>
      </c>
    </row>
    <row r="41" spans="1:8">
      <c r="A41" s="202" t="s">
        <v>8315</v>
      </c>
      <c r="B41" s="196">
        <v>19.399999999999999</v>
      </c>
      <c r="C41" s="196">
        <v>26.9</v>
      </c>
      <c r="D41" s="196">
        <v>12</v>
      </c>
      <c r="E41" s="196">
        <v>51</v>
      </c>
      <c r="H41" s="196">
        <v>0.5</v>
      </c>
    </row>
    <row r="42" spans="1:8">
      <c r="A42" s="202" t="s">
        <v>8316</v>
      </c>
      <c r="B42" s="196">
        <v>20.8</v>
      </c>
      <c r="C42" s="196">
        <v>28.2</v>
      </c>
      <c r="D42" s="196">
        <v>13.8</v>
      </c>
      <c r="E42" s="196">
        <v>53</v>
      </c>
      <c r="H42" s="196">
        <v>0</v>
      </c>
    </row>
    <row r="43" spans="1:8">
      <c r="A43" s="202" t="s">
        <v>8317</v>
      </c>
      <c r="B43" s="196">
        <v>21</v>
      </c>
      <c r="C43" s="196">
        <v>28.9</v>
      </c>
      <c r="D43" s="196">
        <v>12.4</v>
      </c>
      <c r="E43" s="196">
        <v>62</v>
      </c>
      <c r="H43" s="196">
        <v>1</v>
      </c>
    </row>
    <row r="44" spans="1:8">
      <c r="A44" s="202" t="s">
        <v>8318</v>
      </c>
      <c r="B44" s="196">
        <v>18.5</v>
      </c>
      <c r="C44" s="196">
        <v>22.7</v>
      </c>
      <c r="D44" s="196">
        <v>16.8</v>
      </c>
      <c r="E44" s="196">
        <v>80</v>
      </c>
      <c r="H44" s="196">
        <v>20</v>
      </c>
    </row>
    <row r="45" spans="1:8">
      <c r="A45" s="202" t="s">
        <v>8319</v>
      </c>
      <c r="B45" s="196">
        <v>15.3</v>
      </c>
      <c r="C45" s="196">
        <v>17.899999999999999</v>
      </c>
      <c r="D45" s="196">
        <v>13.4</v>
      </c>
      <c r="E45" s="196">
        <v>74</v>
      </c>
      <c r="H45" s="196">
        <v>0</v>
      </c>
    </row>
    <row r="46" spans="1:8">
      <c r="A46" s="202" t="s">
        <v>8320</v>
      </c>
      <c r="B46" s="196">
        <v>13.8</v>
      </c>
      <c r="C46" s="196">
        <v>15.7</v>
      </c>
      <c r="D46" s="196">
        <v>10</v>
      </c>
      <c r="E46" s="196">
        <v>93</v>
      </c>
      <c r="H46" s="196">
        <v>9.5</v>
      </c>
    </row>
    <row r="47" spans="1:8">
      <c r="A47" s="202" t="s">
        <v>8321</v>
      </c>
      <c r="B47" s="196">
        <v>16.600000000000001</v>
      </c>
      <c r="C47" s="196">
        <v>22</v>
      </c>
      <c r="D47" s="196">
        <v>14.5</v>
      </c>
      <c r="E47" s="196">
        <v>86</v>
      </c>
      <c r="H47" s="196">
        <v>9.5</v>
      </c>
    </row>
    <row r="48" spans="1:8">
      <c r="A48" s="202" t="s">
        <v>8322</v>
      </c>
      <c r="B48" s="196">
        <v>17</v>
      </c>
      <c r="C48" s="196">
        <v>22.4</v>
      </c>
      <c r="D48" s="196">
        <v>12.8</v>
      </c>
      <c r="E48" s="196">
        <v>79</v>
      </c>
      <c r="H48" s="196">
        <v>0</v>
      </c>
    </row>
    <row r="49" spans="1:8">
      <c r="A49" s="202" t="s">
        <v>8323</v>
      </c>
      <c r="B49" s="196">
        <v>17.2</v>
      </c>
      <c r="C49" s="196">
        <v>24.3</v>
      </c>
      <c r="D49" s="196">
        <v>10.8</v>
      </c>
      <c r="E49" s="196">
        <v>71</v>
      </c>
      <c r="H49" s="196">
        <v>0</v>
      </c>
    </row>
    <row r="50" spans="1:8">
      <c r="A50" s="202" t="s">
        <v>8324</v>
      </c>
      <c r="B50" s="196">
        <v>18.399999999999999</v>
      </c>
      <c r="C50" s="196">
        <v>25.5</v>
      </c>
      <c r="D50" s="196">
        <v>10.7</v>
      </c>
      <c r="E50" s="196">
        <v>66</v>
      </c>
      <c r="H50" s="196">
        <v>0</v>
      </c>
    </row>
    <row r="51" spans="1:8">
      <c r="A51" s="202" t="s">
        <v>8325</v>
      </c>
      <c r="B51" s="196">
        <v>18.899999999999999</v>
      </c>
      <c r="C51" s="196">
        <v>25.9</v>
      </c>
      <c r="D51" s="196">
        <v>10.6</v>
      </c>
      <c r="E51" s="196">
        <v>67</v>
      </c>
      <c r="H51" s="196">
        <v>0</v>
      </c>
    </row>
    <row r="52" spans="1:8">
      <c r="A52" s="202" t="s">
        <v>8326</v>
      </c>
      <c r="B52" s="196">
        <v>17.100000000000001</v>
      </c>
      <c r="C52" s="196">
        <v>21.5</v>
      </c>
      <c r="D52" s="196">
        <v>13.9</v>
      </c>
      <c r="E52" s="196">
        <v>64</v>
      </c>
      <c r="H52" s="196">
        <v>0</v>
      </c>
    </row>
    <row r="53" spans="1:8">
      <c r="A53" s="202" t="s">
        <v>8327</v>
      </c>
      <c r="B53" s="196">
        <v>16.8</v>
      </c>
      <c r="C53" s="196">
        <v>25</v>
      </c>
      <c r="D53" s="196">
        <v>9.1999999999999993</v>
      </c>
      <c r="E53" s="196">
        <v>53</v>
      </c>
      <c r="H53" s="196">
        <v>0</v>
      </c>
    </row>
    <row r="54" spans="1:8">
      <c r="A54" s="202" t="s">
        <v>8328</v>
      </c>
      <c r="B54" s="196">
        <v>19</v>
      </c>
      <c r="C54" s="196">
        <v>27.4</v>
      </c>
      <c r="D54" s="196">
        <v>9.1999999999999993</v>
      </c>
      <c r="E54" s="196">
        <v>57</v>
      </c>
      <c r="H54" s="196">
        <v>0</v>
      </c>
    </row>
    <row r="55" spans="1:8">
      <c r="A55" s="202" t="s">
        <v>8329</v>
      </c>
      <c r="B55" s="196">
        <v>20.6</v>
      </c>
      <c r="C55" s="196">
        <v>29.2</v>
      </c>
      <c r="D55" s="196">
        <v>12.5</v>
      </c>
      <c r="E55" s="196">
        <v>66</v>
      </c>
      <c r="H55" s="196">
        <v>0</v>
      </c>
    </row>
    <row r="56" spans="1:8">
      <c r="A56" s="202" t="s">
        <v>8330</v>
      </c>
      <c r="B56" s="196">
        <v>21.1</v>
      </c>
      <c r="C56" s="196">
        <v>30.2</v>
      </c>
      <c r="D56" s="196">
        <v>12.1</v>
      </c>
      <c r="E56" s="196">
        <v>65</v>
      </c>
      <c r="H56" s="196">
        <v>0</v>
      </c>
    </row>
    <row r="57" spans="1:8">
      <c r="A57" s="202" t="s">
        <v>8331</v>
      </c>
      <c r="B57" s="196">
        <v>20.9</v>
      </c>
      <c r="C57" s="196">
        <v>28.9</v>
      </c>
      <c r="D57" s="196">
        <v>12.3</v>
      </c>
      <c r="E57" s="196">
        <v>66</v>
      </c>
      <c r="H57" s="196">
        <v>7</v>
      </c>
    </row>
    <row r="58" spans="1:8">
      <c r="A58" s="202" t="s">
        <v>8332</v>
      </c>
      <c r="B58" s="196">
        <v>16.5</v>
      </c>
      <c r="C58" s="196">
        <v>17.899999999999999</v>
      </c>
      <c r="D58" s="196">
        <v>15</v>
      </c>
      <c r="E58" s="196">
        <v>93</v>
      </c>
      <c r="H58" s="196">
        <v>17.5</v>
      </c>
    </row>
    <row r="59" spans="1:8">
      <c r="A59" s="202" t="s">
        <v>8333</v>
      </c>
      <c r="B59" s="196">
        <v>15.6</v>
      </c>
      <c r="C59" s="196">
        <v>18.2</v>
      </c>
      <c r="D59" s="196">
        <v>14.9</v>
      </c>
      <c r="E59" s="196">
        <v>87</v>
      </c>
      <c r="H59" s="196">
        <v>5</v>
      </c>
    </row>
    <row r="60" spans="1:8">
      <c r="A60" s="202" t="s">
        <v>8334</v>
      </c>
      <c r="B60" s="196">
        <v>15.3</v>
      </c>
      <c r="C60" s="196">
        <v>19.399999999999999</v>
      </c>
      <c r="D60" s="196">
        <v>10.5</v>
      </c>
      <c r="E60" s="196">
        <v>75</v>
      </c>
      <c r="H60" s="196">
        <v>0</v>
      </c>
    </row>
    <row r="61" spans="1:8">
      <c r="A61" s="202" t="s">
        <v>8335</v>
      </c>
      <c r="B61" s="196">
        <v>14.7</v>
      </c>
      <c r="C61" s="196">
        <v>18.899999999999999</v>
      </c>
      <c r="D61" s="196">
        <v>14.1</v>
      </c>
      <c r="E61" s="196">
        <v>74</v>
      </c>
      <c r="H61" s="196">
        <v>0.5</v>
      </c>
    </row>
    <row r="62" spans="1:8">
      <c r="A62" s="202" t="s">
        <v>8336</v>
      </c>
      <c r="B62" s="196">
        <v>11.5</v>
      </c>
      <c r="C62" s="196">
        <v>14.4</v>
      </c>
      <c r="D62" s="196">
        <v>6.6</v>
      </c>
      <c r="E62" s="196">
        <v>88</v>
      </c>
      <c r="H62" s="196">
        <v>2</v>
      </c>
    </row>
    <row r="63" spans="1:8">
      <c r="A63" s="202" t="s">
        <v>8337</v>
      </c>
      <c r="B63" s="196">
        <v>13.5</v>
      </c>
      <c r="C63" s="196">
        <v>17.399999999999999</v>
      </c>
      <c r="D63" s="196">
        <v>10.9</v>
      </c>
      <c r="E63" s="196">
        <v>83</v>
      </c>
      <c r="H63" s="196">
        <v>0</v>
      </c>
    </row>
    <row r="64" spans="1:8">
      <c r="A64" s="202" t="s">
        <v>8338</v>
      </c>
      <c r="B64" s="196">
        <v>15.1</v>
      </c>
      <c r="C64" s="196">
        <v>21.4</v>
      </c>
      <c r="D64" s="196">
        <v>9</v>
      </c>
      <c r="E64" s="196">
        <v>82</v>
      </c>
      <c r="H64" s="196">
        <v>0</v>
      </c>
    </row>
    <row r="65" spans="1:8">
      <c r="A65" s="202" t="s">
        <v>8339</v>
      </c>
      <c r="B65" s="196">
        <v>16.899999999999999</v>
      </c>
      <c r="C65" s="196">
        <v>20.9</v>
      </c>
      <c r="D65" s="196">
        <v>14.9</v>
      </c>
      <c r="E65" s="196">
        <v>88</v>
      </c>
      <c r="H65" s="196">
        <v>19</v>
      </c>
    </row>
    <row r="66" spans="1:8">
      <c r="A66" s="202" t="s">
        <v>8340</v>
      </c>
      <c r="B66" s="196">
        <v>15.2</v>
      </c>
      <c r="C66" s="196">
        <v>18</v>
      </c>
      <c r="D66" s="196">
        <v>14.2</v>
      </c>
      <c r="E66" s="196">
        <v>88</v>
      </c>
      <c r="H66" s="196">
        <v>2.5</v>
      </c>
    </row>
    <row r="67" spans="1:8">
      <c r="A67" s="202" t="s">
        <v>8341</v>
      </c>
      <c r="B67" s="196">
        <v>12.6</v>
      </c>
      <c r="C67" s="196">
        <v>16.2</v>
      </c>
      <c r="D67" s="196">
        <v>11.8</v>
      </c>
      <c r="E67" s="196">
        <v>83</v>
      </c>
      <c r="H67" s="196">
        <v>2</v>
      </c>
    </row>
    <row r="68" spans="1:8">
      <c r="A68" s="202" t="s">
        <v>8342</v>
      </c>
      <c r="B68" s="196">
        <v>11.5</v>
      </c>
      <c r="C68" s="196">
        <v>15.1</v>
      </c>
      <c r="D68" s="196">
        <v>6.6</v>
      </c>
      <c r="E68" s="196">
        <v>80</v>
      </c>
      <c r="H68" s="196">
        <v>3</v>
      </c>
    </row>
    <row r="69" spans="1:8">
      <c r="A69" s="202" t="s">
        <v>8343</v>
      </c>
      <c r="B69" s="196">
        <v>15.9</v>
      </c>
      <c r="C69" s="196">
        <v>20.3</v>
      </c>
      <c r="D69" s="196">
        <v>12</v>
      </c>
      <c r="E69" s="196">
        <v>82</v>
      </c>
      <c r="H69" s="196">
        <v>0</v>
      </c>
    </row>
    <row r="70" spans="1:8">
      <c r="A70" s="202" t="s">
        <v>8344</v>
      </c>
      <c r="B70" s="196">
        <v>13.6</v>
      </c>
      <c r="C70" s="196">
        <v>18.600000000000001</v>
      </c>
      <c r="D70" s="196">
        <v>8.6</v>
      </c>
      <c r="E70" s="196">
        <v>72</v>
      </c>
      <c r="H70" s="196">
        <v>0.5</v>
      </c>
    </row>
    <row r="71" spans="1:8">
      <c r="A71" s="202" t="s">
        <v>8345</v>
      </c>
      <c r="B71" s="196">
        <v>13.9</v>
      </c>
      <c r="C71" s="196">
        <v>18.8</v>
      </c>
      <c r="D71" s="196">
        <v>10.9</v>
      </c>
      <c r="E71" s="196">
        <v>86</v>
      </c>
      <c r="H71" s="196">
        <v>0</v>
      </c>
    </row>
    <row r="72" spans="1:8">
      <c r="A72" s="202" t="s">
        <v>8346</v>
      </c>
      <c r="B72" s="196">
        <v>14.1</v>
      </c>
      <c r="C72" s="196">
        <v>21.1</v>
      </c>
      <c r="D72" s="196">
        <v>7.3</v>
      </c>
      <c r="E72" s="196">
        <v>77</v>
      </c>
      <c r="H72" s="196">
        <v>0</v>
      </c>
    </row>
    <row r="73" spans="1:8">
      <c r="A73" s="202" t="s">
        <v>8347</v>
      </c>
      <c r="B73" s="196">
        <v>16.600000000000001</v>
      </c>
      <c r="C73" s="196">
        <v>23.2</v>
      </c>
      <c r="D73" s="196">
        <v>10.3</v>
      </c>
      <c r="E73" s="196">
        <v>75</v>
      </c>
      <c r="H73" s="196">
        <v>0</v>
      </c>
    </row>
    <row r="74" spans="1:8">
      <c r="A74" s="202" t="s">
        <v>8348</v>
      </c>
      <c r="B74" s="196">
        <v>16.399999999999999</v>
      </c>
      <c r="C74" s="196">
        <v>22.8</v>
      </c>
      <c r="D74" s="196">
        <v>11.7</v>
      </c>
      <c r="E74" s="196">
        <v>78</v>
      </c>
      <c r="H74" s="196">
        <v>0.5</v>
      </c>
    </row>
    <row r="75" spans="1:8">
      <c r="A75" s="202" t="s">
        <v>8349</v>
      </c>
      <c r="B75" s="196">
        <v>15.1</v>
      </c>
      <c r="C75" s="196">
        <v>23</v>
      </c>
      <c r="D75" s="196">
        <v>9.1</v>
      </c>
      <c r="E75" s="196">
        <v>84</v>
      </c>
      <c r="H75" s="196">
        <v>0</v>
      </c>
    </row>
    <row r="76" spans="1:8">
      <c r="A76" s="202" t="s">
        <v>8350</v>
      </c>
      <c r="B76" s="196">
        <v>16.8</v>
      </c>
      <c r="C76" s="196">
        <v>25.1</v>
      </c>
      <c r="D76" s="196">
        <v>8.8000000000000007</v>
      </c>
      <c r="E76" s="196">
        <v>83</v>
      </c>
      <c r="H76" s="196">
        <v>0</v>
      </c>
    </row>
    <row r="77" spans="1:8">
      <c r="A77" s="202" t="s">
        <v>8351</v>
      </c>
      <c r="B77" s="196">
        <v>18.7</v>
      </c>
      <c r="C77" s="196">
        <v>24.9</v>
      </c>
      <c r="D77" s="196">
        <v>13.1</v>
      </c>
      <c r="E77" s="196">
        <v>88</v>
      </c>
      <c r="H77" s="196">
        <v>4</v>
      </c>
    </row>
    <row r="78" spans="1:8">
      <c r="A78" s="202" t="s">
        <v>8352</v>
      </c>
      <c r="B78" s="196">
        <v>18.600000000000001</v>
      </c>
      <c r="C78" s="196">
        <v>23.8</v>
      </c>
      <c r="D78" s="196">
        <v>14.9</v>
      </c>
      <c r="E78" s="196">
        <v>89</v>
      </c>
      <c r="H78" s="196">
        <v>0</v>
      </c>
    </row>
    <row r="79" spans="1:8">
      <c r="A79" s="202" t="s">
        <v>8353</v>
      </c>
      <c r="B79" s="196">
        <v>17.899999999999999</v>
      </c>
      <c r="C79" s="196">
        <v>22.4</v>
      </c>
      <c r="D79" s="196">
        <v>13.5</v>
      </c>
      <c r="E79" s="196">
        <v>87</v>
      </c>
      <c r="H79" s="196">
        <v>0.5</v>
      </c>
    </row>
    <row r="80" spans="1:8">
      <c r="A80" s="202" t="s">
        <v>8354</v>
      </c>
      <c r="B80" s="196">
        <v>16.7</v>
      </c>
      <c r="C80" s="196">
        <v>19.8</v>
      </c>
      <c r="D80" s="196">
        <v>13.4</v>
      </c>
      <c r="E80" s="196">
        <v>92</v>
      </c>
      <c r="H80" s="196">
        <v>5.5</v>
      </c>
    </row>
    <row r="81" spans="1:8">
      <c r="A81" s="202" t="s">
        <v>8355</v>
      </c>
      <c r="B81" s="196">
        <v>16.2</v>
      </c>
      <c r="C81" s="196">
        <v>19</v>
      </c>
      <c r="D81" s="196">
        <v>14.6</v>
      </c>
      <c r="E81" s="196">
        <v>90</v>
      </c>
      <c r="H81" s="196">
        <v>1</v>
      </c>
    </row>
    <row r="82" spans="1:8">
      <c r="A82" s="202" t="s">
        <v>8356</v>
      </c>
      <c r="B82" s="196">
        <v>15.1</v>
      </c>
      <c r="C82" s="196">
        <v>17.600000000000001</v>
      </c>
      <c r="D82" s="196">
        <v>14.7</v>
      </c>
      <c r="E82" s="196">
        <v>93</v>
      </c>
      <c r="H82" s="196">
        <v>0.5</v>
      </c>
    </row>
    <row r="83" spans="1:8">
      <c r="A83" s="202" t="s">
        <v>8357</v>
      </c>
      <c r="B83" s="196">
        <v>15</v>
      </c>
      <c r="C83" s="196">
        <v>19.899999999999999</v>
      </c>
      <c r="D83" s="196">
        <v>10.6</v>
      </c>
      <c r="E83" s="196">
        <v>89</v>
      </c>
      <c r="H83" s="196">
        <v>0</v>
      </c>
    </row>
    <row r="84" spans="1:8">
      <c r="A84" s="202" t="s">
        <v>8358</v>
      </c>
      <c r="B84" s="196">
        <v>17.7</v>
      </c>
      <c r="C84" s="196">
        <v>23.8</v>
      </c>
      <c r="D84" s="196">
        <v>12.7</v>
      </c>
      <c r="E84" s="196">
        <v>77</v>
      </c>
      <c r="H84" s="196">
        <v>1</v>
      </c>
    </row>
    <row r="85" spans="1:8">
      <c r="A85" s="202" t="s">
        <v>8359</v>
      </c>
      <c r="B85" s="196">
        <v>16.8</v>
      </c>
      <c r="C85" s="196">
        <v>19</v>
      </c>
      <c r="D85" s="196">
        <v>15</v>
      </c>
      <c r="E85" s="196">
        <v>91</v>
      </c>
      <c r="H85" s="196">
        <v>10</v>
      </c>
    </row>
    <row r="86" spans="1:8">
      <c r="A86" s="202" t="s">
        <v>8360</v>
      </c>
      <c r="B86" s="196">
        <v>15.4</v>
      </c>
      <c r="C86" s="196">
        <v>18</v>
      </c>
      <c r="D86" s="196">
        <v>14.4</v>
      </c>
      <c r="E86" s="196">
        <v>92</v>
      </c>
      <c r="H86" s="196">
        <v>15.5</v>
      </c>
    </row>
    <row r="87" spans="1:8">
      <c r="A87" s="202" t="s">
        <v>8361</v>
      </c>
      <c r="B87" s="196">
        <v>14.6</v>
      </c>
      <c r="C87" s="196">
        <v>18</v>
      </c>
      <c r="D87" s="196">
        <v>13.3</v>
      </c>
      <c r="E87" s="196">
        <v>86</v>
      </c>
      <c r="H87" s="196">
        <v>1</v>
      </c>
    </row>
    <row r="88" spans="1:8">
      <c r="A88" s="202" t="s">
        <v>8362</v>
      </c>
      <c r="B88" s="196">
        <v>13.9</v>
      </c>
      <c r="C88" s="196">
        <v>16.5</v>
      </c>
      <c r="D88" s="196">
        <v>10.9</v>
      </c>
      <c r="E88" s="196">
        <v>85</v>
      </c>
      <c r="H88" s="196">
        <v>0</v>
      </c>
    </row>
    <row r="89" spans="1:8">
      <c r="A89" s="202" t="s">
        <v>8363</v>
      </c>
      <c r="B89" s="196">
        <v>14.5</v>
      </c>
      <c r="C89" s="196">
        <v>16.8</v>
      </c>
      <c r="D89" s="196">
        <v>13.4</v>
      </c>
      <c r="E89" s="196">
        <v>83</v>
      </c>
      <c r="H89" s="196">
        <v>0</v>
      </c>
    </row>
    <row r="90" spans="1:8">
      <c r="A90" s="202" t="s">
        <v>8364</v>
      </c>
      <c r="B90" s="196">
        <v>14.5</v>
      </c>
      <c r="C90" s="196">
        <v>17</v>
      </c>
      <c r="D90" s="196">
        <v>13.1</v>
      </c>
      <c r="E90" s="196">
        <v>75</v>
      </c>
      <c r="H90" s="196">
        <v>1.5</v>
      </c>
    </row>
    <row r="91" spans="1:8">
      <c r="A91" s="202" t="s">
        <v>8365</v>
      </c>
      <c r="B91" s="196">
        <v>10</v>
      </c>
      <c r="C91" s="196">
        <v>11.9</v>
      </c>
      <c r="D91" s="196">
        <v>8.1999999999999993</v>
      </c>
      <c r="E91" s="196">
        <v>77</v>
      </c>
      <c r="H91" s="196">
        <v>12</v>
      </c>
    </row>
    <row r="92" spans="1:8">
      <c r="A92" s="202" t="s">
        <v>8366</v>
      </c>
      <c r="B92" s="196">
        <v>8.1</v>
      </c>
      <c r="C92" s="196">
        <v>10.7</v>
      </c>
      <c r="D92" s="196">
        <v>7</v>
      </c>
      <c r="E92" s="196">
        <v>87</v>
      </c>
      <c r="H92" s="196">
        <v>1.5</v>
      </c>
    </row>
    <row r="93" spans="1:8">
      <c r="A93" s="202" t="s">
        <v>8367</v>
      </c>
      <c r="B93" s="196">
        <v>7</v>
      </c>
      <c r="C93" s="196">
        <v>11.9</v>
      </c>
      <c r="D93" s="196">
        <v>3.8</v>
      </c>
      <c r="E93" s="196">
        <v>86</v>
      </c>
      <c r="H93" s="196">
        <v>7</v>
      </c>
    </row>
    <row r="94" spans="1:8">
      <c r="A94" s="202" t="s">
        <v>8368</v>
      </c>
      <c r="B94" s="196">
        <v>8.1</v>
      </c>
      <c r="C94" s="196">
        <v>13.8</v>
      </c>
      <c r="D94" s="196">
        <v>1.8</v>
      </c>
      <c r="E94" s="196">
        <v>89</v>
      </c>
      <c r="H94" s="196">
        <v>2</v>
      </c>
    </row>
    <row r="95" spans="1:8">
      <c r="A95" s="202" t="s">
        <v>8369</v>
      </c>
      <c r="B95" s="196">
        <v>13.3</v>
      </c>
      <c r="C95" s="196">
        <v>16.7</v>
      </c>
      <c r="D95" s="196">
        <v>10.9</v>
      </c>
      <c r="E95" s="196">
        <v>89</v>
      </c>
      <c r="H95" s="196">
        <v>0.5</v>
      </c>
    </row>
    <row r="96" spans="1:8">
      <c r="A96" s="202" t="s">
        <v>8370</v>
      </c>
      <c r="B96" s="196">
        <v>13.7</v>
      </c>
      <c r="C96" s="196">
        <v>17</v>
      </c>
      <c r="D96" s="196">
        <v>11</v>
      </c>
      <c r="E96" s="196">
        <v>85</v>
      </c>
      <c r="H96" s="196">
        <v>7</v>
      </c>
    </row>
    <row r="97" spans="1:8">
      <c r="A97" s="202" t="s">
        <v>8371</v>
      </c>
      <c r="B97" s="196">
        <v>11.6</v>
      </c>
      <c r="C97" s="196">
        <v>14.9</v>
      </c>
      <c r="D97" s="196">
        <v>8.3000000000000007</v>
      </c>
      <c r="E97" s="196">
        <v>90</v>
      </c>
      <c r="H97" s="196">
        <v>2.5</v>
      </c>
    </row>
    <row r="98" spans="1:8">
      <c r="A98" s="202" t="s">
        <v>8372</v>
      </c>
      <c r="B98" s="196">
        <v>12.3</v>
      </c>
      <c r="C98" s="196">
        <v>18.8</v>
      </c>
      <c r="D98" s="196">
        <v>7.3</v>
      </c>
      <c r="E98" s="196">
        <v>83</v>
      </c>
      <c r="H98" s="196">
        <v>0.5</v>
      </c>
    </row>
    <row r="99" spans="1:8">
      <c r="A99" s="202" t="s">
        <v>8373</v>
      </c>
      <c r="B99" s="196">
        <v>9.3000000000000007</v>
      </c>
      <c r="C99" s="196">
        <v>14.4</v>
      </c>
      <c r="D99" s="196">
        <v>5.4</v>
      </c>
      <c r="E99" s="196">
        <v>91</v>
      </c>
      <c r="H99" s="196">
        <v>0</v>
      </c>
    </row>
    <row r="100" spans="1:8">
      <c r="A100" s="202" t="s">
        <v>8374</v>
      </c>
      <c r="B100" s="196">
        <v>13.9</v>
      </c>
      <c r="C100" s="196">
        <v>22.4</v>
      </c>
      <c r="D100" s="196">
        <v>4.8</v>
      </c>
      <c r="E100" s="196">
        <v>87</v>
      </c>
      <c r="H100" s="196">
        <v>0.5</v>
      </c>
    </row>
    <row r="101" spans="1:8">
      <c r="A101" s="202" t="s">
        <v>8375</v>
      </c>
      <c r="B101" s="196">
        <v>15</v>
      </c>
      <c r="C101" s="196">
        <v>18.2</v>
      </c>
      <c r="D101" s="196">
        <v>13.9</v>
      </c>
      <c r="E101" s="196">
        <v>90</v>
      </c>
      <c r="H101" s="196">
        <v>5</v>
      </c>
    </row>
    <row r="102" spans="1:8">
      <c r="A102" s="202" t="s">
        <v>8376</v>
      </c>
      <c r="B102" s="196">
        <v>14.5</v>
      </c>
      <c r="C102" s="196">
        <v>19.399999999999999</v>
      </c>
      <c r="D102" s="196">
        <v>9.8000000000000007</v>
      </c>
      <c r="E102" s="196">
        <v>94</v>
      </c>
      <c r="H102" s="196">
        <v>0.5</v>
      </c>
    </row>
    <row r="103" spans="1:8">
      <c r="A103" s="202" t="s">
        <v>8377</v>
      </c>
      <c r="B103" s="196">
        <v>18.5</v>
      </c>
      <c r="C103" s="196">
        <v>24.4</v>
      </c>
      <c r="D103" s="196">
        <v>11.2</v>
      </c>
      <c r="E103" s="196">
        <v>77</v>
      </c>
      <c r="H103" s="196">
        <v>11</v>
      </c>
    </row>
    <row r="104" spans="1:8">
      <c r="A104" s="202" t="s">
        <v>8378</v>
      </c>
      <c r="B104" s="196">
        <v>15.9</v>
      </c>
      <c r="C104" s="196">
        <v>18.600000000000001</v>
      </c>
      <c r="D104" s="196">
        <v>14</v>
      </c>
      <c r="E104" s="196">
        <v>88</v>
      </c>
      <c r="H104" s="196">
        <v>1</v>
      </c>
    </row>
    <row r="105" spans="1:8">
      <c r="A105" s="202" t="s">
        <v>8379</v>
      </c>
      <c r="B105" s="196">
        <v>11.2</v>
      </c>
      <c r="C105" s="196">
        <v>14.9</v>
      </c>
      <c r="D105" s="196">
        <v>9.4</v>
      </c>
      <c r="E105" s="196">
        <v>98</v>
      </c>
      <c r="H105" s="196">
        <v>0.5</v>
      </c>
    </row>
    <row r="106" spans="1:8">
      <c r="A106" s="202" t="s">
        <v>8380</v>
      </c>
      <c r="B106" s="196">
        <v>15.9</v>
      </c>
      <c r="C106" s="196">
        <v>22.1</v>
      </c>
      <c r="D106" s="196">
        <v>9.3000000000000007</v>
      </c>
      <c r="E106" s="196">
        <v>84</v>
      </c>
      <c r="H106" s="196">
        <v>0.5</v>
      </c>
    </row>
    <row r="107" spans="1:8">
      <c r="A107" s="202" t="s">
        <v>8381</v>
      </c>
      <c r="B107" s="196">
        <v>18</v>
      </c>
      <c r="C107" s="196">
        <v>23.5</v>
      </c>
      <c r="D107" s="196">
        <v>13.6</v>
      </c>
      <c r="E107" s="196">
        <v>79</v>
      </c>
      <c r="H107" s="196">
        <v>5</v>
      </c>
    </row>
    <row r="108" spans="1:8">
      <c r="A108" s="202" t="s">
        <v>8382</v>
      </c>
      <c r="B108" s="196">
        <v>15.7</v>
      </c>
      <c r="C108" s="196">
        <v>18.8</v>
      </c>
      <c r="D108" s="196">
        <v>13.4</v>
      </c>
      <c r="E108" s="196">
        <v>77</v>
      </c>
      <c r="H108" s="196">
        <v>0</v>
      </c>
    </row>
    <row r="109" spans="1:8">
      <c r="A109" s="202" t="s">
        <v>8383</v>
      </c>
      <c r="B109" s="196">
        <v>15.6</v>
      </c>
      <c r="C109" s="196">
        <v>20.6</v>
      </c>
      <c r="D109" s="196">
        <v>13.3</v>
      </c>
      <c r="E109" s="196">
        <v>73</v>
      </c>
      <c r="H109" s="196">
        <v>0</v>
      </c>
    </row>
    <row r="110" spans="1:8">
      <c r="A110" s="202" t="s">
        <v>8384</v>
      </c>
      <c r="B110" s="196">
        <v>10.6</v>
      </c>
      <c r="C110" s="196">
        <v>14.5</v>
      </c>
      <c r="D110" s="196">
        <v>9.1999999999999993</v>
      </c>
      <c r="E110" s="196">
        <v>81</v>
      </c>
      <c r="H110" s="196">
        <v>0</v>
      </c>
    </row>
    <row r="111" spans="1:8">
      <c r="A111" s="202" t="s">
        <v>8385</v>
      </c>
      <c r="B111" s="196">
        <v>7.6</v>
      </c>
      <c r="C111" s="196">
        <v>13.3</v>
      </c>
      <c r="D111" s="196">
        <v>3.1</v>
      </c>
      <c r="E111" s="196">
        <v>81</v>
      </c>
      <c r="H111" s="196">
        <v>0</v>
      </c>
    </row>
    <row r="112" spans="1:8">
      <c r="A112" s="202" t="s">
        <v>8386</v>
      </c>
      <c r="B112" s="196">
        <v>6.6</v>
      </c>
      <c r="C112" s="196">
        <v>14.4</v>
      </c>
      <c r="D112" s="196">
        <v>1.6</v>
      </c>
      <c r="E112" s="196">
        <v>82</v>
      </c>
      <c r="H112" s="196">
        <v>0</v>
      </c>
    </row>
    <row r="113" spans="1:8">
      <c r="A113" s="202" t="s">
        <v>8387</v>
      </c>
      <c r="B113" s="196">
        <v>7</v>
      </c>
      <c r="C113" s="196">
        <v>13</v>
      </c>
      <c r="D113" s="196">
        <v>2.5</v>
      </c>
      <c r="E113" s="196">
        <v>93</v>
      </c>
      <c r="H113" s="196">
        <v>2.5</v>
      </c>
    </row>
    <row r="114" spans="1:8">
      <c r="A114" s="202" t="s">
        <v>8388</v>
      </c>
      <c r="B114" s="196">
        <v>13.6</v>
      </c>
      <c r="C114" s="196">
        <v>17.399999999999999</v>
      </c>
      <c r="D114" s="196">
        <v>9</v>
      </c>
      <c r="E114" s="196">
        <v>86</v>
      </c>
      <c r="H114" s="196">
        <v>10</v>
      </c>
    </row>
    <row r="115" spans="1:8">
      <c r="A115" s="202" t="s">
        <v>8389</v>
      </c>
      <c r="B115" s="196">
        <v>10.199999999999999</v>
      </c>
      <c r="C115" s="196">
        <v>12.7</v>
      </c>
      <c r="D115" s="196">
        <v>8.6</v>
      </c>
      <c r="E115" s="196">
        <v>75</v>
      </c>
      <c r="H115" s="196">
        <v>1</v>
      </c>
    </row>
    <row r="116" spans="1:8">
      <c r="A116" s="202" t="s">
        <v>8390</v>
      </c>
      <c r="B116" s="196">
        <v>9.5</v>
      </c>
      <c r="C116" s="196">
        <v>11</v>
      </c>
      <c r="D116" s="196">
        <v>7.8</v>
      </c>
      <c r="E116" s="196">
        <v>86</v>
      </c>
      <c r="H116" s="196">
        <v>8.5</v>
      </c>
    </row>
    <row r="117" spans="1:8">
      <c r="A117" s="202" t="s">
        <v>8391</v>
      </c>
      <c r="B117" s="196">
        <v>6.6</v>
      </c>
      <c r="C117" s="196">
        <v>12</v>
      </c>
      <c r="D117" s="196">
        <v>1.9</v>
      </c>
      <c r="E117" s="196">
        <v>90</v>
      </c>
      <c r="H117" s="196">
        <v>4</v>
      </c>
    </row>
    <row r="118" spans="1:8">
      <c r="A118" s="202" t="s">
        <v>8392</v>
      </c>
      <c r="B118" s="196">
        <v>12.9</v>
      </c>
      <c r="C118" s="196">
        <v>15.8</v>
      </c>
      <c r="D118" s="196">
        <v>7.9</v>
      </c>
      <c r="E118" s="196">
        <v>86</v>
      </c>
      <c r="H118" s="196">
        <v>0</v>
      </c>
    </row>
    <row r="119" spans="1:8">
      <c r="A119" s="202" t="s">
        <v>8393</v>
      </c>
      <c r="B119" s="196">
        <v>14.3</v>
      </c>
      <c r="C119" s="196">
        <v>17.100000000000001</v>
      </c>
      <c r="D119" s="196">
        <v>12.7</v>
      </c>
      <c r="E119" s="196">
        <v>83</v>
      </c>
      <c r="H119" s="196">
        <v>0.5</v>
      </c>
    </row>
    <row r="120" spans="1:8">
      <c r="A120" s="202" t="s">
        <v>8394</v>
      </c>
      <c r="B120" s="196">
        <v>12.4</v>
      </c>
      <c r="C120" s="196">
        <v>13.9</v>
      </c>
      <c r="D120" s="196">
        <v>11.2</v>
      </c>
      <c r="E120" s="196">
        <v>89</v>
      </c>
      <c r="H120" s="196">
        <v>10</v>
      </c>
    </row>
    <row r="121" spans="1:8">
      <c r="A121" s="202" t="s">
        <v>8395</v>
      </c>
      <c r="B121" s="196">
        <v>9.1999999999999993</v>
      </c>
      <c r="C121" s="196">
        <v>12</v>
      </c>
      <c r="D121" s="196">
        <v>6.2</v>
      </c>
      <c r="E121" s="196">
        <v>79</v>
      </c>
      <c r="H121" s="196">
        <v>12</v>
      </c>
    </row>
    <row r="122" spans="1:8">
      <c r="A122" s="202" t="s">
        <v>8396</v>
      </c>
      <c r="B122" s="196">
        <v>7.3</v>
      </c>
      <c r="C122" s="196">
        <v>11.4</v>
      </c>
      <c r="D122" s="196">
        <v>5</v>
      </c>
      <c r="E122" s="196">
        <v>80</v>
      </c>
      <c r="H122" s="196">
        <v>2</v>
      </c>
    </row>
    <row r="123" spans="1:8">
      <c r="A123" s="202" t="s">
        <v>8397</v>
      </c>
      <c r="B123" s="196">
        <v>4.4000000000000004</v>
      </c>
      <c r="C123" s="196">
        <v>9.1999999999999993</v>
      </c>
      <c r="D123" s="196">
        <v>0.7</v>
      </c>
      <c r="E123" s="196">
        <v>83</v>
      </c>
      <c r="H123" s="196">
        <v>0</v>
      </c>
    </row>
    <row r="124" spans="1:8">
      <c r="A124" s="202" t="s">
        <v>8398</v>
      </c>
      <c r="B124" s="196">
        <v>3.6</v>
      </c>
      <c r="C124" s="196">
        <v>7.2</v>
      </c>
      <c r="D124" s="196">
        <v>-0.5</v>
      </c>
      <c r="E124" s="196">
        <v>85</v>
      </c>
      <c r="H124" s="196">
        <v>0</v>
      </c>
    </row>
    <row r="125" spans="1:8">
      <c r="A125" s="202" t="s">
        <v>8399</v>
      </c>
      <c r="B125" s="196">
        <v>7.6</v>
      </c>
      <c r="C125" s="196">
        <v>9.3000000000000007</v>
      </c>
      <c r="D125" s="196">
        <v>5.5</v>
      </c>
      <c r="E125" s="196">
        <v>82</v>
      </c>
      <c r="H125" s="196">
        <v>0</v>
      </c>
    </row>
    <row r="126" spans="1:8">
      <c r="A126" s="202" t="s">
        <v>8400</v>
      </c>
      <c r="B126" s="196">
        <v>5.9</v>
      </c>
      <c r="C126" s="196">
        <v>8.6999999999999993</v>
      </c>
      <c r="D126" s="196">
        <v>4.8</v>
      </c>
      <c r="E126" s="196">
        <v>82</v>
      </c>
      <c r="H126" s="196">
        <v>14</v>
      </c>
    </row>
    <row r="127" spans="1:8">
      <c r="A127" s="202" t="s">
        <v>8401</v>
      </c>
      <c r="B127" s="196">
        <v>5.2</v>
      </c>
      <c r="C127" s="196">
        <v>6.8</v>
      </c>
      <c r="D127" s="196">
        <v>3.7</v>
      </c>
      <c r="E127" s="196">
        <v>82</v>
      </c>
      <c r="H127" s="196">
        <v>0</v>
      </c>
    </row>
    <row r="128" spans="1:8">
      <c r="A128" s="202" t="s">
        <v>8402</v>
      </c>
      <c r="B128" s="196">
        <v>4</v>
      </c>
      <c r="C128" s="196">
        <v>5.8</v>
      </c>
      <c r="D128" s="196">
        <v>1</v>
      </c>
      <c r="E128" s="196">
        <v>83</v>
      </c>
      <c r="H128" s="196">
        <v>0</v>
      </c>
    </row>
    <row r="129" spans="1:8">
      <c r="A129" s="202" t="s">
        <v>8403</v>
      </c>
      <c r="B129" s="196">
        <v>4.5</v>
      </c>
      <c r="C129" s="196">
        <v>5.3</v>
      </c>
      <c r="D129" s="196">
        <v>3.9</v>
      </c>
      <c r="E129" s="196">
        <v>88</v>
      </c>
      <c r="H129" s="196">
        <v>0</v>
      </c>
    </row>
    <row r="130" spans="1:8">
      <c r="A130" s="202" t="s">
        <v>8404</v>
      </c>
      <c r="B130" s="196">
        <v>3.2</v>
      </c>
      <c r="C130" s="196">
        <v>5.2</v>
      </c>
      <c r="D130" s="196">
        <v>2.2000000000000002</v>
      </c>
      <c r="E130" s="196">
        <v>97</v>
      </c>
      <c r="H130" s="196">
        <v>0</v>
      </c>
    </row>
    <row r="131" spans="1:8">
      <c r="A131" s="202" t="s">
        <v>8405</v>
      </c>
      <c r="B131" s="196">
        <v>4.5999999999999996</v>
      </c>
      <c r="C131" s="196">
        <v>5.6</v>
      </c>
      <c r="D131" s="196">
        <v>2.4</v>
      </c>
      <c r="E131" s="196">
        <v>91</v>
      </c>
      <c r="H131" s="196">
        <v>18.5</v>
      </c>
    </row>
    <row r="132" spans="1:8">
      <c r="A132" s="202" t="s">
        <v>8406</v>
      </c>
      <c r="B132" s="196">
        <v>3.2</v>
      </c>
      <c r="C132" s="196">
        <v>5.0999999999999996</v>
      </c>
      <c r="D132" s="196">
        <v>2.2999999999999998</v>
      </c>
      <c r="E132" s="196">
        <v>82</v>
      </c>
      <c r="H132" s="196">
        <v>0</v>
      </c>
    </row>
    <row r="133" spans="1:8">
      <c r="A133" s="202" t="s">
        <v>8407</v>
      </c>
      <c r="B133" s="196">
        <v>0.4</v>
      </c>
      <c r="C133" s="196">
        <v>2.6</v>
      </c>
      <c r="D133" s="196">
        <v>-0.3</v>
      </c>
      <c r="E133" s="196">
        <v>97</v>
      </c>
      <c r="H133" s="196">
        <v>4.5</v>
      </c>
    </row>
    <row r="134" spans="1:8">
      <c r="A134" s="202" t="s">
        <v>8408</v>
      </c>
      <c r="B134" s="196">
        <v>2.4</v>
      </c>
      <c r="C134" s="196">
        <v>3.6</v>
      </c>
      <c r="D134" s="196">
        <v>-0.1</v>
      </c>
      <c r="E134" s="196">
        <v>88</v>
      </c>
      <c r="H134" s="196">
        <v>2.5</v>
      </c>
    </row>
    <row r="135" spans="1:8">
      <c r="A135" s="202" t="s">
        <v>8409</v>
      </c>
      <c r="B135" s="196">
        <v>4.5999999999999996</v>
      </c>
      <c r="C135" s="196">
        <v>6.2</v>
      </c>
      <c r="D135" s="196">
        <v>2.2999999999999998</v>
      </c>
      <c r="E135" s="196">
        <v>84</v>
      </c>
      <c r="H135" s="196">
        <v>0</v>
      </c>
    </row>
    <row r="136" spans="1:8">
      <c r="A136" s="202" t="s">
        <v>8410</v>
      </c>
      <c r="B136" s="196">
        <v>5.9</v>
      </c>
      <c r="C136" s="196">
        <v>7.8</v>
      </c>
      <c r="D136" s="196">
        <v>4.5</v>
      </c>
      <c r="E136" s="196">
        <v>78</v>
      </c>
      <c r="H136" s="196">
        <v>0</v>
      </c>
    </row>
    <row r="137" spans="1:8">
      <c r="A137" s="202" t="s">
        <v>8411</v>
      </c>
      <c r="B137" s="196">
        <v>2.9</v>
      </c>
      <c r="C137" s="196">
        <v>5.0999999999999996</v>
      </c>
      <c r="D137" s="196">
        <v>0.4</v>
      </c>
      <c r="E137" s="196">
        <v>66</v>
      </c>
      <c r="H137" s="196">
        <v>0</v>
      </c>
    </row>
    <row r="138" spans="1:8">
      <c r="A138" s="202" t="s">
        <v>8412</v>
      </c>
      <c r="B138" s="196">
        <v>1.9</v>
      </c>
      <c r="C138" s="196">
        <v>4.5999999999999996</v>
      </c>
      <c r="D138" s="196">
        <v>0.5</v>
      </c>
      <c r="E138" s="196">
        <v>71</v>
      </c>
      <c r="H138" s="196">
        <v>0</v>
      </c>
    </row>
    <row r="139" spans="1:8">
      <c r="A139" s="202" t="s">
        <v>8413</v>
      </c>
      <c r="B139" s="196">
        <v>-0.9</v>
      </c>
      <c r="C139" s="196">
        <v>3</v>
      </c>
      <c r="D139" s="196">
        <v>-3.7</v>
      </c>
      <c r="E139" s="196">
        <v>74</v>
      </c>
      <c r="H139" s="196">
        <v>0</v>
      </c>
    </row>
    <row r="140" spans="1:8">
      <c r="A140" s="202" t="s">
        <v>8414</v>
      </c>
      <c r="B140" s="196">
        <v>0.3</v>
      </c>
      <c r="C140" s="196">
        <v>2.7</v>
      </c>
      <c r="D140" s="196">
        <v>-3.7</v>
      </c>
      <c r="E140" s="196">
        <v>76</v>
      </c>
      <c r="H140" s="196">
        <v>0</v>
      </c>
    </row>
    <row r="141" spans="1:8">
      <c r="A141" s="202" t="s">
        <v>8415</v>
      </c>
      <c r="B141" s="196">
        <v>3.7</v>
      </c>
      <c r="C141" s="196">
        <v>5.9</v>
      </c>
      <c r="D141" s="196">
        <v>1.8</v>
      </c>
      <c r="E141" s="196">
        <v>88</v>
      </c>
      <c r="H141" s="196">
        <v>2</v>
      </c>
    </row>
    <row r="142" spans="1:8">
      <c r="A142" s="202" t="s">
        <v>8416</v>
      </c>
      <c r="B142" s="196">
        <v>3.5</v>
      </c>
      <c r="C142" s="196">
        <v>6.9</v>
      </c>
      <c r="D142" s="196">
        <v>1.8</v>
      </c>
      <c r="E142" s="196">
        <v>85</v>
      </c>
      <c r="H142" s="196">
        <v>0</v>
      </c>
    </row>
    <row r="143" spans="1:8">
      <c r="A143" s="202" t="s">
        <v>8417</v>
      </c>
      <c r="B143" s="196">
        <v>2.7</v>
      </c>
      <c r="C143" s="196">
        <v>6.7</v>
      </c>
      <c r="D143" s="196">
        <v>-0.7</v>
      </c>
      <c r="E143" s="196">
        <v>82</v>
      </c>
      <c r="H143" s="196">
        <v>0.5</v>
      </c>
    </row>
    <row r="144" spans="1:8">
      <c r="A144" s="202" t="s">
        <v>8418</v>
      </c>
      <c r="B144" s="196">
        <v>3.4</v>
      </c>
      <c r="C144" s="196">
        <v>7.7</v>
      </c>
      <c r="D144" s="196">
        <v>1.6</v>
      </c>
      <c r="E144" s="196">
        <v>76</v>
      </c>
      <c r="H144" s="196">
        <v>0</v>
      </c>
    </row>
    <row r="145" spans="1:8">
      <c r="A145" s="202" t="s">
        <v>8419</v>
      </c>
      <c r="B145" s="196">
        <v>-2</v>
      </c>
      <c r="C145" s="196">
        <v>-0.5</v>
      </c>
      <c r="D145" s="196">
        <v>-4.0999999999999996</v>
      </c>
      <c r="E145" s="196">
        <v>96</v>
      </c>
      <c r="H145" s="196">
        <v>0</v>
      </c>
    </row>
    <row r="146" spans="1:8">
      <c r="A146" s="202" t="s">
        <v>8420</v>
      </c>
      <c r="B146" s="196">
        <v>-0.5</v>
      </c>
      <c r="C146" s="196">
        <v>3</v>
      </c>
      <c r="D146" s="196">
        <v>-3.7</v>
      </c>
      <c r="E146" s="196">
        <v>97</v>
      </c>
      <c r="H146" s="196">
        <v>0</v>
      </c>
    </row>
    <row r="147" spans="1:8">
      <c r="A147" s="202" t="s">
        <v>8421</v>
      </c>
      <c r="B147" s="196">
        <v>4</v>
      </c>
      <c r="C147" s="196">
        <v>5.9</v>
      </c>
      <c r="D147" s="196">
        <v>1.4</v>
      </c>
      <c r="E147" s="196">
        <v>91</v>
      </c>
      <c r="H147" s="196">
        <v>0.5</v>
      </c>
    </row>
    <row r="148" spans="1:8">
      <c r="A148" s="202" t="s">
        <v>8422</v>
      </c>
      <c r="B148" s="196">
        <v>4.0999999999999996</v>
      </c>
      <c r="C148" s="196">
        <v>7.5</v>
      </c>
      <c r="D148" s="196">
        <v>2.2999999999999998</v>
      </c>
      <c r="E148" s="196">
        <v>80</v>
      </c>
      <c r="H148" s="196">
        <v>1</v>
      </c>
    </row>
    <row r="149" spans="1:8">
      <c r="A149" s="202" t="s">
        <v>8423</v>
      </c>
      <c r="B149" s="196">
        <v>1.8</v>
      </c>
      <c r="C149" s="196">
        <v>7.7</v>
      </c>
      <c r="D149" s="196">
        <v>-0.9</v>
      </c>
      <c r="E149" s="196">
        <v>81</v>
      </c>
      <c r="H149" s="196">
        <v>0</v>
      </c>
    </row>
    <row r="150" spans="1:8">
      <c r="A150" s="202" t="s">
        <v>8424</v>
      </c>
      <c r="B150" s="196">
        <v>-0.3</v>
      </c>
      <c r="C150" s="196">
        <v>7.8</v>
      </c>
      <c r="D150" s="196">
        <v>-4</v>
      </c>
      <c r="E150" s="196">
        <v>89</v>
      </c>
      <c r="H150" s="196">
        <v>0</v>
      </c>
    </row>
    <row r="151" spans="1:8">
      <c r="A151" s="202" t="s">
        <v>8425</v>
      </c>
      <c r="B151" s="196">
        <v>-2.7</v>
      </c>
      <c r="C151" s="196">
        <v>-0.6</v>
      </c>
      <c r="D151" s="196">
        <v>-4.7</v>
      </c>
      <c r="E151" s="196">
        <v>96</v>
      </c>
      <c r="H151" s="196">
        <v>0</v>
      </c>
    </row>
    <row r="152" spans="1:8">
      <c r="A152" s="202" t="s">
        <v>8426</v>
      </c>
      <c r="B152" s="196">
        <v>-3.2</v>
      </c>
      <c r="C152" s="196">
        <v>-2</v>
      </c>
      <c r="D152" s="196">
        <v>-4.5999999999999996</v>
      </c>
      <c r="E152" s="196">
        <v>95</v>
      </c>
      <c r="H152" s="196">
        <v>0</v>
      </c>
    </row>
    <row r="153" spans="1:8">
      <c r="A153" s="202" t="s">
        <v>8427</v>
      </c>
      <c r="B153" s="196">
        <v>-2.9</v>
      </c>
      <c r="C153" s="196">
        <v>-1.6</v>
      </c>
      <c r="D153" s="196">
        <v>-4.2</v>
      </c>
      <c r="E153" s="196">
        <v>96</v>
      </c>
      <c r="H153" s="196">
        <v>0</v>
      </c>
    </row>
    <row r="154" spans="1:8">
      <c r="A154" s="202" t="s">
        <v>8428</v>
      </c>
      <c r="B154" s="196">
        <v>-2.5</v>
      </c>
      <c r="C154" s="196">
        <v>-1</v>
      </c>
      <c r="D154" s="196">
        <v>-3.7</v>
      </c>
      <c r="E154" s="196">
        <v>96</v>
      </c>
      <c r="H154" s="196">
        <v>0</v>
      </c>
    </row>
    <row r="155" spans="1:8">
      <c r="A155" s="202" t="s">
        <v>8429</v>
      </c>
      <c r="B155" s="196">
        <v>-2.5</v>
      </c>
      <c r="C155" s="196">
        <v>-0.7</v>
      </c>
      <c r="D155" s="196">
        <v>-3.4</v>
      </c>
      <c r="E155" s="196">
        <v>96</v>
      </c>
      <c r="H155" s="196">
        <v>0</v>
      </c>
    </row>
    <row r="156" spans="1:8">
      <c r="A156" s="202" t="s">
        <v>8430</v>
      </c>
      <c r="B156" s="196">
        <v>1</v>
      </c>
      <c r="C156" s="196">
        <v>4.0999999999999996</v>
      </c>
      <c r="D156" s="196">
        <v>-2.7</v>
      </c>
      <c r="E156" s="196">
        <v>99</v>
      </c>
      <c r="H156" s="196">
        <v>1</v>
      </c>
    </row>
    <row r="157" spans="1:8">
      <c r="A157" s="202" t="s">
        <v>8431</v>
      </c>
      <c r="B157" s="196">
        <v>0.7</v>
      </c>
      <c r="C157" s="196">
        <v>1.4</v>
      </c>
      <c r="D157" s="196">
        <v>0.1</v>
      </c>
      <c r="E157" s="196">
        <v>100</v>
      </c>
      <c r="H157" s="196">
        <v>0</v>
      </c>
    </row>
    <row r="158" spans="1:8">
      <c r="A158" s="202" t="s">
        <v>8432</v>
      </c>
      <c r="B158" s="196">
        <v>0.6</v>
      </c>
      <c r="C158" s="196">
        <v>7.8</v>
      </c>
      <c r="D158" s="196">
        <v>-2.7</v>
      </c>
      <c r="E158" s="196">
        <v>100</v>
      </c>
      <c r="H158" s="196">
        <v>0.5</v>
      </c>
    </row>
    <row r="159" spans="1:8">
      <c r="A159" s="202" t="s">
        <v>8433</v>
      </c>
      <c r="B159" s="196">
        <v>3.8</v>
      </c>
      <c r="C159" s="196">
        <v>11.5</v>
      </c>
      <c r="D159" s="196">
        <v>-1.8</v>
      </c>
      <c r="E159" s="196">
        <v>91</v>
      </c>
      <c r="H159" s="196">
        <v>0</v>
      </c>
    </row>
    <row r="160" spans="1:8">
      <c r="A160" s="202" t="s">
        <v>8434</v>
      </c>
      <c r="B160" s="196">
        <v>6.2</v>
      </c>
      <c r="C160" s="196">
        <v>10.9</v>
      </c>
      <c r="D160" s="196">
        <v>0.6</v>
      </c>
      <c r="E160" s="196">
        <v>89</v>
      </c>
      <c r="H160" s="196">
        <v>1.5</v>
      </c>
    </row>
    <row r="161" spans="1:8">
      <c r="A161" s="202" t="s">
        <v>8435</v>
      </c>
      <c r="B161" s="196">
        <v>8.6</v>
      </c>
      <c r="C161" s="196">
        <v>9.9</v>
      </c>
      <c r="D161" s="196">
        <v>4</v>
      </c>
      <c r="E161" s="196">
        <v>91</v>
      </c>
      <c r="H161" s="196">
        <v>4</v>
      </c>
    </row>
    <row r="162" spans="1:8">
      <c r="A162" s="202" t="s">
        <v>8436</v>
      </c>
      <c r="B162" s="196">
        <v>3.4</v>
      </c>
      <c r="C162" s="196">
        <v>7.4</v>
      </c>
      <c r="D162" s="196">
        <v>1.4</v>
      </c>
      <c r="E162" s="196">
        <v>94</v>
      </c>
      <c r="H162" s="196">
        <v>0</v>
      </c>
    </row>
    <row r="163" spans="1:8">
      <c r="A163" s="202" t="s">
        <v>8437</v>
      </c>
      <c r="B163" s="196">
        <v>1.7</v>
      </c>
      <c r="C163" s="196">
        <v>8.6</v>
      </c>
      <c r="D163" s="196">
        <v>-3.3</v>
      </c>
      <c r="E163" s="196">
        <v>96</v>
      </c>
      <c r="H163" s="196">
        <v>0</v>
      </c>
    </row>
    <row r="164" spans="1:8">
      <c r="A164" s="202" t="s">
        <v>8438</v>
      </c>
      <c r="B164" s="196">
        <v>8.5</v>
      </c>
      <c r="C164" s="196">
        <v>10.1</v>
      </c>
      <c r="D164" s="196">
        <v>2.8</v>
      </c>
      <c r="E164" s="196">
        <v>80</v>
      </c>
      <c r="H164" s="196">
        <v>1</v>
      </c>
    </row>
    <row r="165" spans="1:8">
      <c r="A165" s="202" t="s">
        <v>8439</v>
      </c>
      <c r="B165" s="196">
        <v>9.6</v>
      </c>
      <c r="C165" s="196">
        <v>12.5</v>
      </c>
      <c r="D165" s="196">
        <v>8.1</v>
      </c>
      <c r="E165" s="196">
        <v>77</v>
      </c>
      <c r="H165" s="196">
        <v>0</v>
      </c>
    </row>
    <row r="166" spans="1:8">
      <c r="A166" s="202" t="s">
        <v>8440</v>
      </c>
      <c r="B166" s="196">
        <v>12.6</v>
      </c>
      <c r="C166" s="196">
        <v>14.1</v>
      </c>
      <c r="D166" s="196">
        <v>9.3000000000000007</v>
      </c>
      <c r="E166" s="196">
        <v>61</v>
      </c>
      <c r="H166" s="196">
        <v>14</v>
      </c>
    </row>
    <row r="167" spans="1:8">
      <c r="A167" s="202" t="s">
        <v>8441</v>
      </c>
      <c r="B167" s="196">
        <v>7.5</v>
      </c>
      <c r="C167" s="196">
        <v>8.9</v>
      </c>
      <c r="D167" s="196">
        <v>5</v>
      </c>
      <c r="E167" s="196">
        <v>93</v>
      </c>
      <c r="H167" s="196">
        <v>16.5</v>
      </c>
    </row>
    <row r="168" spans="1:8">
      <c r="A168" s="202" t="s">
        <v>8442</v>
      </c>
      <c r="B168" s="196">
        <v>4.9000000000000004</v>
      </c>
      <c r="C168" s="196">
        <v>6.5</v>
      </c>
      <c r="D168" s="196">
        <v>3.7</v>
      </c>
      <c r="E168" s="196">
        <v>88</v>
      </c>
      <c r="H168" s="196">
        <v>0</v>
      </c>
    </row>
    <row r="169" spans="1:8">
      <c r="A169" s="202" t="s">
        <v>8443</v>
      </c>
      <c r="B169" s="196">
        <v>4.5</v>
      </c>
      <c r="C169" s="196">
        <v>10.1</v>
      </c>
      <c r="D169" s="196">
        <v>0</v>
      </c>
      <c r="E169" s="196">
        <v>83</v>
      </c>
      <c r="H169" s="196">
        <v>0.5</v>
      </c>
    </row>
    <row r="170" spans="1:8">
      <c r="A170" s="202" t="s">
        <v>8444</v>
      </c>
      <c r="B170" s="196">
        <v>7.1</v>
      </c>
      <c r="C170" s="196">
        <v>8.6</v>
      </c>
      <c r="D170" s="196">
        <v>6</v>
      </c>
      <c r="E170" s="196">
        <v>83</v>
      </c>
      <c r="H170" s="196">
        <v>14</v>
      </c>
    </row>
    <row r="171" spans="1:8">
      <c r="A171" s="202" t="s">
        <v>8445</v>
      </c>
      <c r="B171" s="196">
        <v>3.6</v>
      </c>
      <c r="C171" s="196">
        <v>7.7</v>
      </c>
      <c r="D171" s="196">
        <v>1.7</v>
      </c>
      <c r="E171" s="196">
        <v>89</v>
      </c>
      <c r="H171" s="196">
        <v>0</v>
      </c>
    </row>
    <row r="172" spans="1:8">
      <c r="A172" s="202" t="s">
        <v>8446</v>
      </c>
      <c r="B172" s="196">
        <v>1.2</v>
      </c>
      <c r="C172" s="196">
        <v>2.6</v>
      </c>
      <c r="D172" s="196">
        <v>-0.7</v>
      </c>
      <c r="E172" s="196">
        <v>100</v>
      </c>
      <c r="H172" s="196">
        <v>0</v>
      </c>
    </row>
    <row r="173" spans="1:8">
      <c r="A173" s="202" t="s">
        <v>8447</v>
      </c>
      <c r="B173" s="196">
        <v>3.3</v>
      </c>
      <c r="C173" s="196">
        <v>7.2</v>
      </c>
      <c r="D173" s="196">
        <v>-0.7</v>
      </c>
      <c r="E173" s="196">
        <v>90</v>
      </c>
      <c r="H173" s="196">
        <v>3</v>
      </c>
    </row>
    <row r="174" spans="1:8">
      <c r="A174" s="202" t="s">
        <v>8448</v>
      </c>
      <c r="B174" s="196">
        <v>7.4</v>
      </c>
      <c r="C174" s="196">
        <v>10.4</v>
      </c>
      <c r="D174" s="196">
        <v>2.2999999999999998</v>
      </c>
      <c r="E174" s="196">
        <v>85</v>
      </c>
      <c r="H174" s="196">
        <v>11</v>
      </c>
    </row>
    <row r="175" spans="1:8">
      <c r="A175" s="202" t="s">
        <v>8449</v>
      </c>
      <c r="B175" s="196">
        <v>8.5</v>
      </c>
      <c r="C175" s="196">
        <v>11.7</v>
      </c>
      <c r="D175" s="196">
        <v>7</v>
      </c>
      <c r="E175" s="196">
        <v>88</v>
      </c>
      <c r="H175" s="196">
        <v>1.5</v>
      </c>
    </row>
    <row r="176" spans="1:8">
      <c r="A176" s="202" t="s">
        <v>8450</v>
      </c>
      <c r="B176" s="196">
        <v>8.1999999999999993</v>
      </c>
      <c r="C176" s="196">
        <v>10.5</v>
      </c>
      <c r="D176" s="196">
        <v>4.0999999999999996</v>
      </c>
      <c r="E176" s="196">
        <v>95</v>
      </c>
      <c r="H176" s="196">
        <v>2</v>
      </c>
    </row>
    <row r="177" spans="1:8">
      <c r="A177" s="202" t="s">
        <v>8451</v>
      </c>
      <c r="B177" s="196">
        <v>7.9</v>
      </c>
      <c r="C177" s="196">
        <v>9.9</v>
      </c>
      <c r="D177" s="196">
        <v>5.0999999999999996</v>
      </c>
      <c r="E177" s="196">
        <v>96</v>
      </c>
      <c r="H177" s="196">
        <v>13</v>
      </c>
    </row>
    <row r="178" spans="1:8">
      <c r="A178" s="202" t="s">
        <v>8452</v>
      </c>
      <c r="B178" s="196">
        <v>6</v>
      </c>
      <c r="C178" s="196">
        <v>8.6</v>
      </c>
      <c r="D178" s="196">
        <v>3.8</v>
      </c>
      <c r="E178" s="196">
        <v>82</v>
      </c>
      <c r="H178" s="196">
        <v>0.5</v>
      </c>
    </row>
    <row r="179" spans="1:8">
      <c r="A179" s="202" t="s">
        <v>8453</v>
      </c>
      <c r="B179" s="196">
        <v>8.6999999999999993</v>
      </c>
      <c r="C179" s="196">
        <v>11.7</v>
      </c>
      <c r="D179" s="196">
        <v>5.0999999999999996</v>
      </c>
      <c r="E179" s="196">
        <v>67</v>
      </c>
      <c r="H179" s="196">
        <v>0</v>
      </c>
    </row>
    <row r="180" spans="1:8">
      <c r="A180" s="202" t="s">
        <v>8454</v>
      </c>
      <c r="B180" s="196">
        <v>11</v>
      </c>
      <c r="C180" s="196">
        <v>13</v>
      </c>
      <c r="D180" s="196">
        <v>8.5</v>
      </c>
      <c r="E180" s="196">
        <v>75</v>
      </c>
      <c r="H180" s="196">
        <v>0</v>
      </c>
    </row>
    <row r="181" spans="1:8">
      <c r="A181" s="202" t="s">
        <v>8455</v>
      </c>
      <c r="B181" s="196">
        <v>10</v>
      </c>
      <c r="C181" s="196">
        <v>13.7</v>
      </c>
      <c r="D181" s="196">
        <v>7</v>
      </c>
      <c r="E181" s="196">
        <v>83</v>
      </c>
      <c r="H181" s="196">
        <v>0</v>
      </c>
    </row>
    <row r="182" spans="1:8">
      <c r="A182" s="202" t="s">
        <v>8456</v>
      </c>
      <c r="B182" s="196">
        <v>10</v>
      </c>
      <c r="C182" s="196">
        <v>11.9</v>
      </c>
      <c r="D182" s="196">
        <v>8.1999999999999993</v>
      </c>
      <c r="E182" s="196">
        <v>76</v>
      </c>
      <c r="H182" s="196">
        <v>0</v>
      </c>
    </row>
    <row r="183" spans="1:8">
      <c r="A183" s="202" t="s">
        <v>8457</v>
      </c>
      <c r="B183" s="196">
        <v>6.2</v>
      </c>
      <c r="C183" s="196">
        <v>10.1</v>
      </c>
      <c r="D183" s="196">
        <v>4.5</v>
      </c>
      <c r="E183" s="196">
        <v>88</v>
      </c>
      <c r="H183" s="196">
        <v>0</v>
      </c>
    </row>
    <row r="184" spans="1:8">
      <c r="A184" s="202" t="s">
        <v>8458</v>
      </c>
      <c r="B184" s="196">
        <v>5.7</v>
      </c>
      <c r="C184" s="196">
        <v>8.9</v>
      </c>
      <c r="D184" s="196">
        <v>1.4</v>
      </c>
      <c r="E184" s="196">
        <v>94</v>
      </c>
      <c r="H184" s="196">
        <v>0</v>
      </c>
    </row>
    <row r="185" spans="1:8">
      <c r="A185" s="202" t="s">
        <v>8459</v>
      </c>
      <c r="B185" s="196">
        <v>5.0999999999999996</v>
      </c>
      <c r="C185" s="196">
        <v>6</v>
      </c>
      <c r="D185" s="196">
        <v>3.7</v>
      </c>
      <c r="E185" s="196">
        <v>99</v>
      </c>
      <c r="H185" s="196">
        <v>0</v>
      </c>
    </row>
    <row r="186" spans="1:8">
      <c r="A186" s="202" t="s">
        <v>8460</v>
      </c>
      <c r="B186" s="196">
        <v>5.6</v>
      </c>
      <c r="C186" s="196">
        <v>6.9</v>
      </c>
      <c r="D186" s="196">
        <v>3.7</v>
      </c>
      <c r="E186" s="196">
        <v>100</v>
      </c>
      <c r="H186" s="196">
        <v>5.5</v>
      </c>
    </row>
    <row r="187" spans="1:8">
      <c r="A187" s="202" t="s">
        <v>8461</v>
      </c>
      <c r="B187" s="196">
        <v>3.9</v>
      </c>
      <c r="C187" s="196">
        <v>7.7</v>
      </c>
      <c r="D187" s="196">
        <v>3</v>
      </c>
      <c r="E187" s="196">
        <v>93</v>
      </c>
      <c r="H187" s="196">
        <v>0.5</v>
      </c>
    </row>
    <row r="188" spans="1:8">
      <c r="A188" s="202" t="s">
        <v>8462</v>
      </c>
      <c r="B188" s="196">
        <v>2</v>
      </c>
      <c r="C188" s="196">
        <v>5.6</v>
      </c>
      <c r="D188" s="196">
        <v>-2.1</v>
      </c>
      <c r="E188" s="196">
        <v>93</v>
      </c>
      <c r="H188" s="196">
        <v>2</v>
      </c>
    </row>
    <row r="189" spans="1:8">
      <c r="A189" s="202" t="s">
        <v>8463</v>
      </c>
      <c r="B189" s="196">
        <v>6.4</v>
      </c>
      <c r="C189" s="196">
        <v>9.6</v>
      </c>
      <c r="D189" s="196">
        <v>3</v>
      </c>
      <c r="E189" s="196">
        <v>87</v>
      </c>
      <c r="H189" s="196">
        <v>1.5</v>
      </c>
    </row>
    <row r="190" spans="1:8">
      <c r="A190" s="202" t="s">
        <v>8464</v>
      </c>
      <c r="B190" s="196">
        <v>4.9000000000000004</v>
      </c>
      <c r="C190" s="196">
        <v>10.7</v>
      </c>
      <c r="D190" s="196">
        <v>2.5</v>
      </c>
      <c r="E190" s="196">
        <v>91</v>
      </c>
      <c r="H190" s="196">
        <v>0</v>
      </c>
    </row>
    <row r="191" spans="1:8">
      <c r="A191" s="202" t="s">
        <v>8465</v>
      </c>
      <c r="B191" s="196">
        <v>4</v>
      </c>
      <c r="C191" s="196">
        <v>10</v>
      </c>
      <c r="D191" s="196">
        <v>-0.7</v>
      </c>
      <c r="E191" s="196">
        <v>91</v>
      </c>
      <c r="H191" s="196">
        <v>12</v>
      </c>
    </row>
    <row r="192" spans="1:8">
      <c r="A192" s="202" t="s">
        <v>8466</v>
      </c>
      <c r="B192" s="196">
        <v>6.1</v>
      </c>
      <c r="C192" s="196">
        <v>8.6999999999999993</v>
      </c>
      <c r="D192" s="196">
        <v>4.2</v>
      </c>
      <c r="E192" s="196">
        <v>97</v>
      </c>
      <c r="H192" s="196">
        <v>13.5</v>
      </c>
    </row>
    <row r="193" spans="1:8">
      <c r="A193" s="202" t="s">
        <v>8467</v>
      </c>
      <c r="B193" s="196">
        <v>5.7</v>
      </c>
      <c r="C193" s="196">
        <v>6.6</v>
      </c>
      <c r="D193" s="196">
        <v>4.5999999999999996</v>
      </c>
      <c r="E193" s="196">
        <v>89</v>
      </c>
      <c r="H193" s="196">
        <v>1</v>
      </c>
    </row>
    <row r="194" spans="1:8">
      <c r="A194" s="202" t="s">
        <v>8468</v>
      </c>
      <c r="B194" s="196">
        <v>3.8</v>
      </c>
      <c r="C194" s="196">
        <v>5.2</v>
      </c>
      <c r="D194" s="196">
        <v>3.5</v>
      </c>
      <c r="E194" s="196">
        <v>87</v>
      </c>
      <c r="H194" s="196">
        <v>0</v>
      </c>
    </row>
    <row r="195" spans="1:8">
      <c r="A195" s="202" t="s">
        <v>8469</v>
      </c>
      <c r="B195" s="196">
        <v>0.6</v>
      </c>
      <c r="C195" s="196">
        <v>2</v>
      </c>
      <c r="D195" s="196">
        <v>-1.1000000000000001</v>
      </c>
      <c r="E195" s="196">
        <v>97</v>
      </c>
      <c r="H195" s="196">
        <v>1.5</v>
      </c>
    </row>
    <row r="196" spans="1:8">
      <c r="A196" s="202" t="s">
        <v>8470</v>
      </c>
      <c r="B196" s="196">
        <v>4.2</v>
      </c>
      <c r="C196" s="196">
        <v>8.4</v>
      </c>
      <c r="D196" s="196">
        <v>1</v>
      </c>
      <c r="E196" s="196">
        <v>90</v>
      </c>
      <c r="H196" s="196">
        <v>2.5</v>
      </c>
    </row>
    <row r="197" spans="1:8">
      <c r="A197" s="202" t="s">
        <v>8471</v>
      </c>
      <c r="B197" s="196">
        <v>2.4</v>
      </c>
      <c r="C197" s="196">
        <v>6.2</v>
      </c>
      <c r="D197" s="196">
        <v>0</v>
      </c>
      <c r="E197" s="196">
        <v>82</v>
      </c>
      <c r="H197" s="196">
        <v>0</v>
      </c>
    </row>
    <row r="198" spans="1:8">
      <c r="A198" s="202" t="s">
        <v>8472</v>
      </c>
      <c r="B198" s="196">
        <v>0.9</v>
      </c>
      <c r="C198" s="196">
        <v>6.8</v>
      </c>
      <c r="D198" s="196">
        <v>-3.3</v>
      </c>
      <c r="E198" s="196">
        <v>87</v>
      </c>
      <c r="H198" s="196">
        <v>0</v>
      </c>
    </row>
    <row r="199" spans="1:8">
      <c r="A199" s="202" t="s">
        <v>8473</v>
      </c>
      <c r="B199" s="196">
        <v>5</v>
      </c>
      <c r="C199" s="196">
        <v>7.5</v>
      </c>
      <c r="D199" s="196">
        <v>0.6</v>
      </c>
      <c r="E199" s="196">
        <v>85</v>
      </c>
      <c r="H199" s="196">
        <v>7.5</v>
      </c>
    </row>
    <row r="200" spans="1:8">
      <c r="A200" s="202" t="s">
        <v>8474</v>
      </c>
      <c r="B200" s="196">
        <v>4.3</v>
      </c>
      <c r="C200" s="196">
        <v>7.5</v>
      </c>
      <c r="D200" s="196">
        <v>2.2000000000000002</v>
      </c>
      <c r="E200" s="196">
        <v>76</v>
      </c>
      <c r="H200" s="196">
        <v>0</v>
      </c>
    </row>
    <row r="201" spans="1:8">
      <c r="A201" s="202" t="s">
        <v>8475</v>
      </c>
      <c r="B201" s="196">
        <v>2.9</v>
      </c>
      <c r="C201" s="196">
        <v>6</v>
      </c>
      <c r="D201" s="196">
        <v>0</v>
      </c>
      <c r="E201" s="196">
        <v>84</v>
      </c>
      <c r="H201" s="196">
        <v>0</v>
      </c>
    </row>
    <row r="202" spans="1:8">
      <c r="A202" s="202" t="s">
        <v>8476</v>
      </c>
      <c r="B202" s="196">
        <v>3.2</v>
      </c>
      <c r="C202" s="196">
        <v>6.9</v>
      </c>
      <c r="D202" s="196">
        <v>-0.9</v>
      </c>
      <c r="E202" s="196">
        <v>87</v>
      </c>
      <c r="H202" s="196">
        <v>2.5</v>
      </c>
    </row>
    <row r="203" spans="1:8">
      <c r="A203" s="202" t="s">
        <v>8477</v>
      </c>
      <c r="B203" s="196">
        <v>4.0999999999999996</v>
      </c>
      <c r="C203" s="196">
        <v>6.4</v>
      </c>
      <c r="D203" s="196">
        <v>1.3</v>
      </c>
      <c r="E203" s="196">
        <v>93</v>
      </c>
      <c r="H203" s="196">
        <v>0.5</v>
      </c>
    </row>
    <row r="204" spans="1:8">
      <c r="A204" s="202" t="s">
        <v>8478</v>
      </c>
      <c r="B204" s="196">
        <v>2.4</v>
      </c>
      <c r="C204" s="196">
        <v>7.2</v>
      </c>
      <c r="D204" s="196">
        <v>-0.7</v>
      </c>
      <c r="E204" s="196">
        <v>96</v>
      </c>
      <c r="H204" s="196">
        <v>0</v>
      </c>
    </row>
    <row r="205" spans="1:8">
      <c r="A205" s="202" t="s">
        <v>8479</v>
      </c>
      <c r="B205" s="196">
        <v>4.5</v>
      </c>
      <c r="C205" s="196">
        <v>5.6</v>
      </c>
      <c r="D205" s="196">
        <v>-0.2</v>
      </c>
      <c r="E205" s="196">
        <v>89</v>
      </c>
      <c r="H205" s="196">
        <v>8</v>
      </c>
    </row>
    <row r="206" spans="1:8">
      <c r="A206" s="202" t="s">
        <v>8480</v>
      </c>
      <c r="B206" s="196">
        <v>4.0999999999999996</v>
      </c>
      <c r="C206" s="196">
        <v>8.3000000000000007</v>
      </c>
      <c r="D206" s="196">
        <v>1.5</v>
      </c>
      <c r="E206" s="196">
        <v>89</v>
      </c>
      <c r="H206" s="196">
        <v>0</v>
      </c>
    </row>
    <row r="207" spans="1:8">
      <c r="A207" s="202" t="s">
        <v>8481</v>
      </c>
      <c r="B207" s="196">
        <v>2.1</v>
      </c>
      <c r="C207" s="196">
        <v>7</v>
      </c>
      <c r="D207" s="196">
        <v>-1.2</v>
      </c>
      <c r="E207" s="196">
        <v>90</v>
      </c>
      <c r="H207" s="196">
        <v>0</v>
      </c>
    </row>
    <row r="208" spans="1:8">
      <c r="A208" s="202" t="s">
        <v>8482</v>
      </c>
      <c r="B208" s="196">
        <v>3.3</v>
      </c>
      <c r="C208" s="196">
        <v>9</v>
      </c>
      <c r="D208" s="196">
        <v>-0.4</v>
      </c>
      <c r="E208" s="196">
        <v>90</v>
      </c>
      <c r="H208" s="196">
        <v>1.5</v>
      </c>
    </row>
    <row r="209" spans="1:8">
      <c r="A209" s="202" t="s">
        <v>8483</v>
      </c>
      <c r="B209" s="196">
        <v>6.3</v>
      </c>
      <c r="C209" s="196">
        <v>8.9</v>
      </c>
      <c r="D209" s="196">
        <v>0.2</v>
      </c>
      <c r="E209" s="196">
        <v>79</v>
      </c>
      <c r="H209" s="196">
        <v>3</v>
      </c>
    </row>
    <row r="210" spans="1:8">
      <c r="A210" s="202" t="s">
        <v>8484</v>
      </c>
      <c r="B210" s="196">
        <v>7.4</v>
      </c>
      <c r="C210" s="196">
        <v>11.7</v>
      </c>
      <c r="D210" s="196">
        <v>2.2999999999999998</v>
      </c>
      <c r="E210" s="196">
        <v>68</v>
      </c>
      <c r="H210" s="196">
        <v>1</v>
      </c>
    </row>
    <row r="211" spans="1:8">
      <c r="A211" s="202" t="s">
        <v>8485</v>
      </c>
      <c r="B211" s="196">
        <v>8.3000000000000007</v>
      </c>
      <c r="C211" s="196">
        <v>10.1</v>
      </c>
      <c r="D211" s="196">
        <v>5.3</v>
      </c>
      <c r="E211" s="196">
        <v>74</v>
      </c>
      <c r="H211" s="196">
        <v>0</v>
      </c>
    </row>
    <row r="212" spans="1:8">
      <c r="A212" s="202" t="s">
        <v>8486</v>
      </c>
      <c r="B212" s="196">
        <v>5.9</v>
      </c>
      <c r="C212" s="196">
        <v>7.4</v>
      </c>
      <c r="D212" s="196">
        <v>3.2</v>
      </c>
      <c r="E212" s="196">
        <v>82</v>
      </c>
      <c r="H212" s="196">
        <v>4.5</v>
      </c>
    </row>
    <row r="213" spans="1:8">
      <c r="A213" s="202" t="s">
        <v>8487</v>
      </c>
      <c r="B213" s="196">
        <v>6.2</v>
      </c>
      <c r="C213" s="196">
        <v>9.6999999999999993</v>
      </c>
      <c r="D213" s="196">
        <v>4.4000000000000004</v>
      </c>
      <c r="E213" s="196">
        <v>66</v>
      </c>
      <c r="H213" s="196">
        <v>0.5</v>
      </c>
    </row>
    <row r="214" spans="1:8">
      <c r="A214" s="202" t="s">
        <v>8488</v>
      </c>
      <c r="B214" s="196">
        <v>5</v>
      </c>
      <c r="C214" s="196">
        <v>6.4</v>
      </c>
      <c r="D214" s="196">
        <v>2.9</v>
      </c>
      <c r="E214" s="196">
        <v>84</v>
      </c>
      <c r="H214" s="196">
        <v>16</v>
      </c>
    </row>
    <row r="215" spans="1:8">
      <c r="A215" s="202" t="s">
        <v>8489</v>
      </c>
      <c r="B215" s="196">
        <v>5.4</v>
      </c>
      <c r="C215" s="196">
        <v>8.5</v>
      </c>
      <c r="D215" s="196">
        <v>1.5</v>
      </c>
      <c r="E215" s="196">
        <v>80</v>
      </c>
      <c r="H215" s="196">
        <v>0.5</v>
      </c>
    </row>
    <row r="216" spans="1:8">
      <c r="A216" s="202" t="s">
        <v>8490</v>
      </c>
      <c r="B216" s="196">
        <v>6</v>
      </c>
      <c r="C216" s="196">
        <v>9.1999999999999993</v>
      </c>
      <c r="D216" s="196">
        <v>1.5</v>
      </c>
      <c r="E216" s="196">
        <v>74</v>
      </c>
      <c r="H216" s="196">
        <v>0</v>
      </c>
    </row>
    <row r="217" spans="1:8">
      <c r="A217" s="202" t="s">
        <v>8491</v>
      </c>
      <c r="B217" s="196">
        <v>6.3</v>
      </c>
      <c r="C217" s="196">
        <v>10.7</v>
      </c>
      <c r="D217" s="196">
        <v>4.5</v>
      </c>
      <c r="E217" s="196">
        <v>76</v>
      </c>
      <c r="H217" s="196">
        <v>10</v>
      </c>
    </row>
    <row r="218" spans="1:8">
      <c r="A218" s="202" t="s">
        <v>8492</v>
      </c>
      <c r="B218" s="196">
        <v>6.4</v>
      </c>
      <c r="C218" s="196">
        <v>10.3</v>
      </c>
      <c r="D218" s="196">
        <v>1.3</v>
      </c>
      <c r="E218" s="196">
        <v>74</v>
      </c>
      <c r="H218" s="196">
        <v>0</v>
      </c>
    </row>
    <row r="219" spans="1:8">
      <c r="A219" s="202" t="s">
        <v>8493</v>
      </c>
      <c r="B219" s="196">
        <v>8</v>
      </c>
      <c r="C219" s="196">
        <v>11</v>
      </c>
      <c r="D219" s="196">
        <v>7.1</v>
      </c>
      <c r="E219" s="196">
        <v>82</v>
      </c>
      <c r="H219" s="196">
        <v>8.5</v>
      </c>
    </row>
    <row r="220" spans="1:8">
      <c r="A220" s="202" t="s">
        <v>8494</v>
      </c>
      <c r="B220" s="196">
        <v>5.5</v>
      </c>
      <c r="C220" s="196">
        <v>9.6999999999999993</v>
      </c>
      <c r="D220" s="196">
        <v>4</v>
      </c>
      <c r="E220" s="196">
        <v>84</v>
      </c>
      <c r="H220" s="196">
        <v>0.5</v>
      </c>
    </row>
    <row r="221" spans="1:8">
      <c r="A221" s="202" t="s">
        <v>8495</v>
      </c>
      <c r="B221" s="196">
        <v>3.5</v>
      </c>
      <c r="C221" s="196">
        <v>10.4</v>
      </c>
      <c r="D221" s="196">
        <v>-0.1</v>
      </c>
      <c r="E221" s="196">
        <v>91</v>
      </c>
      <c r="H221" s="196">
        <v>0</v>
      </c>
    </row>
    <row r="222" spans="1:8">
      <c r="A222" s="202" t="s">
        <v>8496</v>
      </c>
      <c r="B222" s="196">
        <v>5.2</v>
      </c>
      <c r="C222" s="196">
        <v>10.8</v>
      </c>
      <c r="D222" s="196">
        <v>0</v>
      </c>
      <c r="E222" s="196">
        <v>80</v>
      </c>
      <c r="H222" s="196">
        <v>0.5</v>
      </c>
    </row>
    <row r="223" spans="1:8">
      <c r="A223" s="202" t="s">
        <v>8497</v>
      </c>
      <c r="B223" s="196">
        <v>7</v>
      </c>
      <c r="C223" s="196">
        <v>11.1</v>
      </c>
      <c r="D223" s="196">
        <v>1.2</v>
      </c>
      <c r="E223" s="196">
        <v>83</v>
      </c>
      <c r="H223" s="196">
        <v>0</v>
      </c>
    </row>
    <row r="224" spans="1:8">
      <c r="A224" s="202" t="s">
        <v>8498</v>
      </c>
      <c r="B224" s="196">
        <v>7.4</v>
      </c>
      <c r="C224" s="196">
        <v>11.6</v>
      </c>
      <c r="D224" s="196">
        <v>0.7</v>
      </c>
      <c r="E224" s="196">
        <v>82</v>
      </c>
      <c r="H224" s="196">
        <v>2.5</v>
      </c>
    </row>
    <row r="225" spans="1:8">
      <c r="A225" s="202" t="s">
        <v>8499</v>
      </c>
      <c r="B225" s="196">
        <v>7.1</v>
      </c>
      <c r="C225" s="196">
        <v>10.7</v>
      </c>
      <c r="D225" s="196">
        <v>6.3</v>
      </c>
      <c r="E225" s="196">
        <v>72</v>
      </c>
      <c r="H225" s="196">
        <v>0</v>
      </c>
    </row>
    <row r="226" spans="1:8">
      <c r="A226" s="202" t="s">
        <v>8500</v>
      </c>
      <c r="B226" s="196">
        <v>4.8</v>
      </c>
      <c r="C226" s="196">
        <v>7.4</v>
      </c>
      <c r="D226" s="196">
        <v>0.9</v>
      </c>
      <c r="E226" s="196">
        <v>86</v>
      </c>
      <c r="H226" s="196">
        <v>19</v>
      </c>
    </row>
    <row r="227" spans="1:8">
      <c r="A227" s="202" t="s">
        <v>8501</v>
      </c>
      <c r="B227" s="196">
        <v>7.3</v>
      </c>
      <c r="C227" s="196">
        <v>13</v>
      </c>
      <c r="D227" s="196">
        <v>5.2</v>
      </c>
      <c r="E227" s="196">
        <v>86</v>
      </c>
      <c r="H227" s="196">
        <v>0</v>
      </c>
    </row>
    <row r="228" spans="1:8">
      <c r="A228" s="202" t="s">
        <v>8502</v>
      </c>
      <c r="B228" s="196">
        <v>6.9</v>
      </c>
      <c r="C228" s="196">
        <v>15.1</v>
      </c>
      <c r="D228" s="196">
        <v>-0.8</v>
      </c>
      <c r="E228" s="196">
        <v>72</v>
      </c>
      <c r="H228" s="196">
        <v>0</v>
      </c>
    </row>
    <row r="229" spans="1:8">
      <c r="A229" s="202" t="s">
        <v>8503</v>
      </c>
      <c r="B229" s="196">
        <v>6.3</v>
      </c>
      <c r="C229" s="196">
        <v>11.4</v>
      </c>
      <c r="D229" s="196">
        <v>0.6</v>
      </c>
      <c r="E229" s="196">
        <v>80</v>
      </c>
      <c r="H229" s="196">
        <v>2.5</v>
      </c>
    </row>
    <row r="230" spans="1:8">
      <c r="A230" s="202" t="s">
        <v>8504</v>
      </c>
      <c r="B230" s="196">
        <v>6.5</v>
      </c>
      <c r="C230" s="196">
        <v>8.9</v>
      </c>
      <c r="D230" s="196">
        <v>5</v>
      </c>
      <c r="E230" s="196">
        <v>81</v>
      </c>
      <c r="H230" s="196">
        <v>0</v>
      </c>
    </row>
    <row r="231" spans="1:8">
      <c r="A231" s="202" t="s">
        <v>8505</v>
      </c>
      <c r="B231" s="196">
        <v>4.8</v>
      </c>
      <c r="C231" s="196">
        <v>8.3000000000000007</v>
      </c>
      <c r="D231" s="196">
        <v>0.4</v>
      </c>
      <c r="E231" s="196">
        <v>86</v>
      </c>
      <c r="H231" s="196">
        <v>3.5</v>
      </c>
    </row>
    <row r="232" spans="1:8">
      <c r="A232" s="202" t="s">
        <v>8506</v>
      </c>
      <c r="B232" s="196">
        <v>5.0999999999999996</v>
      </c>
      <c r="C232" s="196">
        <v>6.3</v>
      </c>
      <c r="D232" s="196">
        <v>4</v>
      </c>
      <c r="E232" s="196">
        <v>86</v>
      </c>
      <c r="H232" s="196">
        <v>4</v>
      </c>
    </row>
    <row r="233" spans="1:8">
      <c r="A233" s="202" t="s">
        <v>8507</v>
      </c>
      <c r="B233" s="196">
        <v>5</v>
      </c>
      <c r="C233" s="196">
        <v>8.5</v>
      </c>
      <c r="D233" s="196">
        <v>3.3</v>
      </c>
      <c r="E233" s="196">
        <v>80</v>
      </c>
      <c r="H233" s="196">
        <v>0.5</v>
      </c>
    </row>
    <row r="234" spans="1:8">
      <c r="A234" s="202" t="s">
        <v>8508</v>
      </c>
      <c r="B234" s="196">
        <v>4.5999999999999996</v>
      </c>
      <c r="C234" s="196">
        <v>10.5</v>
      </c>
      <c r="D234" s="196">
        <v>1</v>
      </c>
      <c r="E234" s="196">
        <v>77</v>
      </c>
      <c r="H234" s="196">
        <v>2.5</v>
      </c>
    </row>
    <row r="235" spans="1:8">
      <c r="A235" s="202" t="s">
        <v>8509</v>
      </c>
      <c r="B235" s="196">
        <v>6.1</v>
      </c>
      <c r="C235" s="196">
        <v>9.5</v>
      </c>
      <c r="D235" s="196">
        <v>2.7</v>
      </c>
      <c r="E235" s="196">
        <v>76</v>
      </c>
      <c r="H235" s="196">
        <v>1</v>
      </c>
    </row>
    <row r="236" spans="1:8">
      <c r="A236" s="202" t="s">
        <v>8510</v>
      </c>
      <c r="B236" s="196">
        <v>6.1</v>
      </c>
      <c r="C236" s="196">
        <v>9.1999999999999993</v>
      </c>
      <c r="D236" s="196">
        <v>3.4</v>
      </c>
      <c r="E236" s="196">
        <v>77</v>
      </c>
      <c r="H236" s="196">
        <v>0</v>
      </c>
    </row>
    <row r="237" spans="1:8">
      <c r="A237" s="202" t="s">
        <v>8511</v>
      </c>
      <c r="B237" s="196">
        <v>6.3</v>
      </c>
      <c r="C237" s="196">
        <v>12.5</v>
      </c>
      <c r="D237" s="196">
        <v>0.4</v>
      </c>
      <c r="E237" s="196">
        <v>69</v>
      </c>
      <c r="H237" s="196">
        <v>0.5</v>
      </c>
    </row>
    <row r="238" spans="1:8">
      <c r="A238" s="202" t="s">
        <v>8512</v>
      </c>
      <c r="B238" s="196">
        <v>6.5</v>
      </c>
      <c r="C238" s="196">
        <v>13.2</v>
      </c>
      <c r="D238" s="196">
        <v>0.3</v>
      </c>
      <c r="E238" s="196">
        <v>67</v>
      </c>
      <c r="H238" s="196">
        <v>0</v>
      </c>
    </row>
    <row r="239" spans="1:8">
      <c r="A239" s="202" t="s">
        <v>8513</v>
      </c>
      <c r="B239" s="196">
        <v>6.6</v>
      </c>
      <c r="C239" s="196">
        <v>13.8</v>
      </c>
      <c r="D239" s="196">
        <v>-0.1</v>
      </c>
      <c r="E239" s="196">
        <v>69</v>
      </c>
      <c r="H239" s="196">
        <v>0</v>
      </c>
    </row>
    <row r="240" spans="1:8">
      <c r="A240" s="202" t="s">
        <v>8514</v>
      </c>
      <c r="B240" s="196">
        <v>9.6999999999999993</v>
      </c>
      <c r="C240" s="196">
        <v>18.399999999999999</v>
      </c>
      <c r="D240" s="196">
        <v>3.5</v>
      </c>
      <c r="E240" s="196">
        <v>60</v>
      </c>
      <c r="H240" s="196">
        <v>0</v>
      </c>
    </row>
    <row r="241" spans="1:8">
      <c r="A241" s="202" t="s">
        <v>8515</v>
      </c>
      <c r="B241" s="196">
        <v>8.5</v>
      </c>
      <c r="C241" s="196">
        <v>17.399999999999999</v>
      </c>
      <c r="D241" s="196">
        <v>0.7</v>
      </c>
      <c r="E241" s="196">
        <v>69</v>
      </c>
      <c r="H241" s="196">
        <v>0</v>
      </c>
    </row>
    <row r="242" spans="1:8">
      <c r="A242" s="202" t="s">
        <v>8516</v>
      </c>
      <c r="B242" s="196">
        <v>9.6</v>
      </c>
      <c r="C242" s="196">
        <v>18.5</v>
      </c>
      <c r="D242" s="196">
        <v>1.4</v>
      </c>
      <c r="E242" s="196">
        <v>60</v>
      </c>
      <c r="H242" s="196">
        <v>0</v>
      </c>
    </row>
    <row r="243" spans="1:8">
      <c r="A243" s="202" t="s">
        <v>8517</v>
      </c>
      <c r="B243" s="196">
        <v>10</v>
      </c>
      <c r="C243" s="196">
        <v>17.5</v>
      </c>
      <c r="D243" s="196">
        <v>4.0999999999999996</v>
      </c>
      <c r="E243" s="196">
        <v>54</v>
      </c>
      <c r="H243" s="196">
        <v>0</v>
      </c>
    </row>
    <row r="244" spans="1:8">
      <c r="A244" s="202" t="s">
        <v>8518</v>
      </c>
      <c r="B244" s="196">
        <v>8.5</v>
      </c>
      <c r="C244" s="196">
        <v>16.2</v>
      </c>
      <c r="D244" s="196">
        <v>1.8</v>
      </c>
      <c r="E244" s="196">
        <v>62</v>
      </c>
      <c r="H244" s="196">
        <v>0</v>
      </c>
    </row>
    <row r="245" spans="1:8">
      <c r="A245" s="202" t="s">
        <v>8519</v>
      </c>
      <c r="B245" s="196">
        <v>8.5</v>
      </c>
      <c r="C245" s="196">
        <v>17.7</v>
      </c>
      <c r="D245" s="196">
        <v>0.5</v>
      </c>
      <c r="E245" s="196">
        <v>73</v>
      </c>
      <c r="H245" s="196">
        <v>0</v>
      </c>
    </row>
    <row r="246" spans="1:8">
      <c r="A246" s="202" t="s">
        <v>8520</v>
      </c>
      <c r="B246" s="196">
        <v>10.4</v>
      </c>
      <c r="C246" s="196">
        <v>19.899999999999999</v>
      </c>
      <c r="D246" s="196">
        <v>2.1</v>
      </c>
      <c r="E246" s="196">
        <v>67</v>
      </c>
      <c r="H246" s="196">
        <v>0</v>
      </c>
    </row>
    <row r="247" spans="1:8">
      <c r="A247" s="202" t="s">
        <v>8521</v>
      </c>
      <c r="B247" s="196">
        <v>7</v>
      </c>
      <c r="C247" s="196">
        <v>13</v>
      </c>
      <c r="D247" s="196">
        <v>1.8</v>
      </c>
      <c r="E247" s="196">
        <v>83</v>
      </c>
      <c r="H247" s="196">
        <v>0</v>
      </c>
    </row>
    <row r="248" spans="1:8">
      <c r="A248" s="202" t="s">
        <v>8522</v>
      </c>
      <c r="B248" s="196">
        <v>10.6</v>
      </c>
      <c r="C248" s="196">
        <v>19.5</v>
      </c>
      <c r="D248" s="196">
        <v>4.3</v>
      </c>
      <c r="E248" s="196">
        <v>69</v>
      </c>
      <c r="H248" s="196">
        <v>0</v>
      </c>
    </row>
    <row r="249" spans="1:8">
      <c r="A249" s="202" t="s">
        <v>8523</v>
      </c>
      <c r="B249" s="196">
        <v>10.4</v>
      </c>
      <c r="C249" s="196">
        <v>20.6</v>
      </c>
      <c r="D249" s="196">
        <v>1.4</v>
      </c>
      <c r="E249" s="196">
        <v>71</v>
      </c>
      <c r="H249" s="196">
        <v>0</v>
      </c>
    </row>
    <row r="250" spans="1:8">
      <c r="A250" s="202" t="s">
        <v>8524</v>
      </c>
      <c r="B250" s="196">
        <v>11.3</v>
      </c>
      <c r="C250" s="196">
        <v>20.9</v>
      </c>
      <c r="D250" s="196">
        <v>2.2999999999999998</v>
      </c>
      <c r="E250" s="196">
        <v>69</v>
      </c>
      <c r="H250" s="196">
        <v>0</v>
      </c>
    </row>
    <row r="251" spans="1:8">
      <c r="A251" s="202" t="s">
        <v>8525</v>
      </c>
      <c r="B251" s="196">
        <v>11</v>
      </c>
      <c r="C251" s="196">
        <v>16.2</v>
      </c>
      <c r="D251" s="196">
        <v>6.4</v>
      </c>
      <c r="E251" s="196">
        <v>62</v>
      </c>
      <c r="H251" s="196">
        <v>0</v>
      </c>
    </row>
    <row r="252" spans="1:8">
      <c r="A252" s="202" t="s">
        <v>8526</v>
      </c>
      <c r="B252" s="196">
        <v>13</v>
      </c>
      <c r="C252" s="196">
        <v>21.7</v>
      </c>
      <c r="D252" s="196">
        <v>3.4</v>
      </c>
      <c r="E252" s="196">
        <v>61</v>
      </c>
      <c r="H252" s="196">
        <v>0</v>
      </c>
    </row>
    <row r="253" spans="1:8">
      <c r="A253" s="202" t="s">
        <v>8527</v>
      </c>
      <c r="B253" s="196">
        <v>13</v>
      </c>
      <c r="C253" s="196">
        <v>17</v>
      </c>
      <c r="D253" s="196">
        <v>9.4</v>
      </c>
      <c r="E253" s="196">
        <v>69</v>
      </c>
      <c r="H253" s="196">
        <v>9</v>
      </c>
    </row>
    <row r="254" spans="1:8">
      <c r="A254" s="202" t="s">
        <v>8528</v>
      </c>
      <c r="B254" s="196">
        <v>8.9</v>
      </c>
      <c r="C254" s="196">
        <v>12.9</v>
      </c>
      <c r="D254" s="196">
        <v>7.8</v>
      </c>
      <c r="E254" s="196">
        <v>80</v>
      </c>
      <c r="H254" s="196">
        <v>0.5</v>
      </c>
    </row>
    <row r="255" spans="1:8">
      <c r="A255" s="202" t="s">
        <v>8529</v>
      </c>
      <c r="B255" s="196">
        <v>5.4</v>
      </c>
      <c r="C255" s="196">
        <v>10</v>
      </c>
      <c r="D255" s="196">
        <v>1.6</v>
      </c>
      <c r="E255" s="196">
        <v>74</v>
      </c>
      <c r="H255" s="196">
        <v>0.5</v>
      </c>
    </row>
    <row r="256" spans="1:8">
      <c r="A256" s="202" t="s">
        <v>8530</v>
      </c>
      <c r="B256" s="196">
        <v>5</v>
      </c>
      <c r="C256" s="196">
        <v>8.6999999999999993</v>
      </c>
      <c r="D256" s="196">
        <v>2.7</v>
      </c>
      <c r="E256" s="196">
        <v>77</v>
      </c>
      <c r="H256" s="196">
        <v>0.5</v>
      </c>
    </row>
    <row r="257" spans="1:8">
      <c r="A257" s="202" t="s">
        <v>8531</v>
      </c>
      <c r="B257" s="196">
        <v>5.0999999999999996</v>
      </c>
      <c r="C257" s="196">
        <v>9.9</v>
      </c>
      <c r="D257" s="196">
        <v>-0.6</v>
      </c>
      <c r="E257" s="196">
        <v>70</v>
      </c>
      <c r="H257" s="196">
        <v>0</v>
      </c>
    </row>
    <row r="258" spans="1:8">
      <c r="A258" s="202" t="s">
        <v>8532</v>
      </c>
      <c r="B258" s="196">
        <v>6.1</v>
      </c>
      <c r="C258" s="196">
        <v>11.8</v>
      </c>
      <c r="D258" s="196">
        <v>2.2000000000000002</v>
      </c>
      <c r="E258" s="196">
        <v>60</v>
      </c>
      <c r="H258" s="196">
        <v>0</v>
      </c>
    </row>
    <row r="259" spans="1:8">
      <c r="A259" s="196" t="s">
        <v>8533</v>
      </c>
      <c r="B259" s="196">
        <v>6</v>
      </c>
      <c r="C259" s="196">
        <v>12.7</v>
      </c>
      <c r="D259" s="196">
        <v>-2</v>
      </c>
      <c r="E259" s="196">
        <v>63</v>
      </c>
      <c r="H259" s="196">
        <v>0</v>
      </c>
    </row>
    <row r="260" spans="1:8">
      <c r="A260" s="196" t="s">
        <v>8534</v>
      </c>
      <c r="B260" s="196">
        <v>8.4</v>
      </c>
      <c r="C260" s="196">
        <v>17.399999999999999</v>
      </c>
      <c r="D260" s="196">
        <v>-0.3</v>
      </c>
      <c r="E260" s="196">
        <v>60</v>
      </c>
      <c r="H260" s="196">
        <v>0</v>
      </c>
    </row>
    <row r="261" spans="1:8">
      <c r="A261" s="196" t="s">
        <v>8535</v>
      </c>
      <c r="B261" s="196">
        <v>10.3</v>
      </c>
      <c r="C261" s="196">
        <v>19.2</v>
      </c>
      <c r="D261" s="196">
        <v>0.5</v>
      </c>
      <c r="E261" s="196">
        <v>61</v>
      </c>
      <c r="H261" s="196">
        <v>0</v>
      </c>
    </row>
    <row r="262" spans="1:8">
      <c r="A262" s="196" t="s">
        <v>8536</v>
      </c>
      <c r="B262" s="196">
        <v>13.1</v>
      </c>
      <c r="C262" s="196">
        <v>19.5</v>
      </c>
      <c r="D262" s="196">
        <v>7</v>
      </c>
      <c r="E262" s="196">
        <v>59</v>
      </c>
      <c r="H262" s="196">
        <v>0</v>
      </c>
    </row>
    <row r="263" spans="1:8">
      <c r="A263" s="196" t="s">
        <v>8537</v>
      </c>
      <c r="B263" s="196">
        <v>12.4</v>
      </c>
      <c r="C263" s="196">
        <v>20.7</v>
      </c>
      <c r="D263" s="196">
        <v>5.4</v>
      </c>
      <c r="E263" s="196">
        <v>64</v>
      </c>
      <c r="H263" s="196">
        <v>0</v>
      </c>
    </row>
    <row r="264" spans="1:8">
      <c r="A264" s="196" t="s">
        <v>8538</v>
      </c>
      <c r="B264" s="196">
        <v>12.1</v>
      </c>
      <c r="C264" s="196">
        <v>19.8</v>
      </c>
      <c r="D264" s="196">
        <v>3</v>
      </c>
      <c r="E264" s="196">
        <v>68</v>
      </c>
      <c r="H264" s="196">
        <v>0</v>
      </c>
    </row>
    <row r="265" spans="1:8">
      <c r="A265" s="196" t="s">
        <v>8539</v>
      </c>
      <c r="B265" s="196">
        <v>13.7</v>
      </c>
      <c r="C265" s="196">
        <v>21.8</v>
      </c>
      <c r="D265" s="196">
        <v>5.2</v>
      </c>
      <c r="E265" s="196">
        <v>63</v>
      </c>
      <c r="H265" s="196">
        <v>0</v>
      </c>
    </row>
    <row r="266" spans="1:8">
      <c r="A266" s="196" t="s">
        <v>8540</v>
      </c>
      <c r="B266" s="196">
        <v>14.3</v>
      </c>
      <c r="C266" s="196">
        <v>17.5</v>
      </c>
      <c r="D266" s="196">
        <v>10.6</v>
      </c>
      <c r="E266" s="196">
        <v>63</v>
      </c>
      <c r="H266" s="196">
        <v>0</v>
      </c>
    </row>
    <row r="267" spans="1:8">
      <c r="A267" s="196" t="s">
        <v>8541</v>
      </c>
      <c r="B267" s="196">
        <v>13.5</v>
      </c>
      <c r="C267" s="196">
        <v>15.4</v>
      </c>
      <c r="D267" s="196">
        <v>12</v>
      </c>
      <c r="E267" s="196">
        <v>74</v>
      </c>
      <c r="H267" s="196">
        <v>0.5</v>
      </c>
    </row>
    <row r="268" spans="1:8">
      <c r="A268" s="196" t="s">
        <v>8542</v>
      </c>
      <c r="B268" s="196">
        <v>12.5</v>
      </c>
      <c r="C268" s="196">
        <v>16.899999999999999</v>
      </c>
      <c r="D268" s="196">
        <v>10.3</v>
      </c>
      <c r="E268" s="196">
        <v>70</v>
      </c>
      <c r="H268" s="196">
        <v>0</v>
      </c>
    </row>
    <row r="269" spans="1:8">
      <c r="A269" s="196" t="s">
        <v>8543</v>
      </c>
      <c r="B269" s="196">
        <v>13.2</v>
      </c>
      <c r="C269" s="196">
        <v>20.7</v>
      </c>
      <c r="D269" s="196">
        <v>4.9000000000000004</v>
      </c>
      <c r="E269" s="196">
        <v>65</v>
      </c>
      <c r="H269" s="196">
        <v>0</v>
      </c>
    </row>
    <row r="270" spans="1:8">
      <c r="A270" s="196" t="s">
        <v>8544</v>
      </c>
      <c r="B270" s="196">
        <v>15.2</v>
      </c>
      <c r="C270" s="196">
        <v>22.9</v>
      </c>
      <c r="D270" s="196">
        <v>6.5</v>
      </c>
      <c r="E270" s="196">
        <v>67</v>
      </c>
      <c r="H270" s="196">
        <v>0</v>
      </c>
    </row>
    <row r="271" spans="1:8">
      <c r="A271" s="196" t="s">
        <v>8545</v>
      </c>
      <c r="B271" s="196">
        <v>12.7</v>
      </c>
      <c r="C271" s="196">
        <v>15.9</v>
      </c>
      <c r="D271" s="196">
        <v>11.4</v>
      </c>
      <c r="E271" s="196">
        <v>56</v>
      </c>
      <c r="H271" s="196">
        <v>0</v>
      </c>
    </row>
    <row r="272" spans="1:8">
      <c r="A272" s="196" t="s">
        <v>8546</v>
      </c>
      <c r="B272" s="196">
        <v>10</v>
      </c>
      <c r="C272" s="196">
        <v>16.899999999999999</v>
      </c>
      <c r="D272" s="196">
        <v>3.4</v>
      </c>
      <c r="E272" s="196">
        <v>57</v>
      </c>
      <c r="H272" s="196">
        <v>0</v>
      </c>
    </row>
    <row r="273" spans="1:8">
      <c r="A273" s="196" t="s">
        <v>8547</v>
      </c>
      <c r="B273" s="196">
        <v>12.6</v>
      </c>
      <c r="C273" s="196">
        <v>21.3</v>
      </c>
      <c r="D273" s="196">
        <v>4.0999999999999996</v>
      </c>
      <c r="E273" s="196">
        <v>53</v>
      </c>
      <c r="H273" s="196">
        <v>0</v>
      </c>
    </row>
    <row r="274" spans="1:8">
      <c r="A274" s="196" t="s">
        <v>8548</v>
      </c>
      <c r="B274" s="196">
        <v>14.5</v>
      </c>
      <c r="C274" s="196">
        <v>22.3</v>
      </c>
      <c r="D274" s="196">
        <v>5.3</v>
      </c>
      <c r="E274" s="196">
        <v>55</v>
      </c>
      <c r="H274" s="196">
        <v>0</v>
      </c>
    </row>
    <row r="275" spans="1:8">
      <c r="A275" s="196" t="s">
        <v>8549</v>
      </c>
      <c r="B275" s="196">
        <v>14.6</v>
      </c>
      <c r="C275" s="196">
        <v>21.2</v>
      </c>
      <c r="D275" s="196">
        <v>8.5</v>
      </c>
      <c r="E275" s="196">
        <v>58</v>
      </c>
      <c r="H275" s="196">
        <v>0</v>
      </c>
    </row>
    <row r="276" spans="1:8">
      <c r="A276" s="196" t="s">
        <v>8550</v>
      </c>
      <c r="B276" s="196">
        <v>13</v>
      </c>
      <c r="C276" s="196">
        <v>19.5</v>
      </c>
      <c r="D276" s="196">
        <v>8.1</v>
      </c>
      <c r="E276" s="196">
        <v>57</v>
      </c>
      <c r="H276" s="196">
        <v>0</v>
      </c>
    </row>
    <row r="277" spans="1:8">
      <c r="A277" s="196" t="s">
        <v>8551</v>
      </c>
      <c r="B277" s="196">
        <v>11.2</v>
      </c>
      <c r="C277" s="196">
        <v>18.899999999999999</v>
      </c>
      <c r="D277" s="196">
        <v>2.9</v>
      </c>
      <c r="E277" s="196">
        <v>59</v>
      </c>
      <c r="H277" s="196">
        <v>0</v>
      </c>
    </row>
    <row r="278" spans="1:8">
      <c r="A278" s="196" t="s">
        <v>8552</v>
      </c>
      <c r="B278" s="196">
        <v>8.1</v>
      </c>
      <c r="C278" s="196">
        <v>14.1</v>
      </c>
      <c r="D278" s="196">
        <v>2.6</v>
      </c>
      <c r="E278" s="196">
        <v>53</v>
      </c>
      <c r="H278" s="196">
        <v>0</v>
      </c>
    </row>
    <row r="279" spans="1:8">
      <c r="A279" s="196" t="s">
        <v>8553</v>
      </c>
      <c r="B279" s="196">
        <v>8.9</v>
      </c>
      <c r="C279" s="196">
        <v>15.9</v>
      </c>
      <c r="D279" s="196">
        <v>1.4</v>
      </c>
      <c r="E279" s="196">
        <v>47</v>
      </c>
      <c r="H279" s="196">
        <v>0</v>
      </c>
    </row>
    <row r="280" spans="1:8">
      <c r="A280" s="196" t="s">
        <v>8554</v>
      </c>
      <c r="B280" s="196">
        <v>9.9</v>
      </c>
      <c r="C280" s="196">
        <v>18.8</v>
      </c>
      <c r="D280" s="196">
        <v>0.7</v>
      </c>
      <c r="E280" s="196">
        <v>49</v>
      </c>
      <c r="H280" s="196">
        <v>0.5</v>
      </c>
    </row>
    <row r="281" spans="1:8">
      <c r="A281" s="196" t="s">
        <v>8555</v>
      </c>
      <c r="B281" s="196">
        <v>8.9</v>
      </c>
      <c r="C281" s="196">
        <v>13.2</v>
      </c>
      <c r="D281" s="196">
        <v>4.0999999999999996</v>
      </c>
      <c r="E281" s="196">
        <v>65</v>
      </c>
      <c r="H281" s="196">
        <v>0.5</v>
      </c>
    </row>
    <row r="282" spans="1:8">
      <c r="A282" s="196" t="s">
        <v>8556</v>
      </c>
      <c r="B282" s="196">
        <v>7</v>
      </c>
      <c r="C282" s="196">
        <v>12</v>
      </c>
      <c r="D282" s="196">
        <v>0.4</v>
      </c>
      <c r="E282" s="196">
        <v>65</v>
      </c>
      <c r="H282" s="196">
        <v>0</v>
      </c>
    </row>
    <row r="283" spans="1:8">
      <c r="A283" s="196" t="s">
        <v>8557</v>
      </c>
      <c r="B283" s="196">
        <v>9.9</v>
      </c>
      <c r="C283" s="196">
        <v>17.7</v>
      </c>
      <c r="D283" s="196">
        <v>-0.1</v>
      </c>
      <c r="E283" s="196">
        <v>69</v>
      </c>
      <c r="H283" s="196">
        <v>5</v>
      </c>
    </row>
    <row r="284" spans="1:8">
      <c r="A284" s="196" t="s">
        <v>8558</v>
      </c>
      <c r="B284" s="196">
        <v>10.4</v>
      </c>
      <c r="C284" s="196">
        <v>13.7</v>
      </c>
      <c r="D284" s="196">
        <v>8.4</v>
      </c>
      <c r="E284" s="196">
        <v>89</v>
      </c>
      <c r="H284" s="196">
        <v>1</v>
      </c>
    </row>
    <row r="285" spans="1:8">
      <c r="A285" s="196" t="s">
        <v>8559</v>
      </c>
      <c r="B285" s="196">
        <v>13.2</v>
      </c>
      <c r="C285" s="196">
        <v>20.399999999999999</v>
      </c>
      <c r="D285" s="196">
        <v>6.2</v>
      </c>
      <c r="E285" s="196">
        <v>75</v>
      </c>
      <c r="H285" s="196">
        <v>0</v>
      </c>
    </row>
    <row r="286" spans="1:8">
      <c r="A286" s="196" t="s">
        <v>8560</v>
      </c>
      <c r="B286" s="196">
        <v>15.3</v>
      </c>
      <c r="C286" s="196">
        <v>21.8</v>
      </c>
      <c r="D286" s="196">
        <v>8.1999999999999993</v>
      </c>
      <c r="E286" s="196">
        <v>66</v>
      </c>
      <c r="H286" s="196">
        <v>0</v>
      </c>
    </row>
    <row r="287" spans="1:8">
      <c r="A287" s="196" t="s">
        <v>8561</v>
      </c>
      <c r="B287" s="196">
        <v>15.1</v>
      </c>
      <c r="C287" s="196">
        <v>22.3</v>
      </c>
      <c r="D287" s="196">
        <v>7</v>
      </c>
      <c r="E287" s="196">
        <v>69</v>
      </c>
      <c r="H287" s="196">
        <v>0</v>
      </c>
    </row>
    <row r="288" spans="1:8">
      <c r="A288" s="196" t="s">
        <v>8562</v>
      </c>
      <c r="B288" s="196">
        <v>14.4</v>
      </c>
      <c r="C288" s="196">
        <v>19.3</v>
      </c>
      <c r="D288" s="196">
        <v>8.6999999999999993</v>
      </c>
      <c r="E288" s="196">
        <v>68</v>
      </c>
      <c r="H288" s="196">
        <v>0</v>
      </c>
    </row>
    <row r="289" spans="1:8">
      <c r="A289" s="196" t="s">
        <v>8563</v>
      </c>
      <c r="B289" s="196">
        <v>12.1</v>
      </c>
      <c r="C289" s="196">
        <v>17.899999999999999</v>
      </c>
      <c r="D289" s="196">
        <v>5.8</v>
      </c>
      <c r="E289" s="196">
        <v>75</v>
      </c>
      <c r="H289" s="196">
        <v>2</v>
      </c>
    </row>
    <row r="290" spans="1:8">
      <c r="A290" s="196" t="s">
        <v>8564</v>
      </c>
      <c r="B290" s="196">
        <v>10.8</v>
      </c>
      <c r="C290" s="196">
        <v>15.9</v>
      </c>
      <c r="D290" s="196">
        <v>5.3</v>
      </c>
      <c r="E290" s="196">
        <v>77</v>
      </c>
      <c r="H290" s="196">
        <v>0.5</v>
      </c>
    </row>
    <row r="291" spans="1:8">
      <c r="A291" s="196" t="s">
        <v>8565</v>
      </c>
      <c r="B291" s="196">
        <v>10.9</v>
      </c>
      <c r="C291" s="196">
        <v>15.1</v>
      </c>
      <c r="D291" s="196">
        <v>7.6</v>
      </c>
      <c r="E291" s="196">
        <v>75</v>
      </c>
      <c r="H291" s="196">
        <v>0</v>
      </c>
    </row>
    <row r="292" spans="1:8">
      <c r="A292" s="196" t="s">
        <v>8566</v>
      </c>
      <c r="B292" s="196">
        <v>11.4</v>
      </c>
      <c r="C292" s="196">
        <v>17.399999999999999</v>
      </c>
      <c r="D292" s="196">
        <v>3.2</v>
      </c>
      <c r="E292" s="196">
        <v>74</v>
      </c>
      <c r="H292" s="196">
        <v>7</v>
      </c>
    </row>
    <row r="293" spans="1:8">
      <c r="A293" s="196" t="s">
        <v>8567</v>
      </c>
      <c r="B293" s="196">
        <v>12.1</v>
      </c>
      <c r="C293" s="196">
        <v>16.100000000000001</v>
      </c>
      <c r="D293" s="196">
        <v>9.3000000000000007</v>
      </c>
      <c r="E293" s="196">
        <v>83</v>
      </c>
      <c r="H293" s="196">
        <v>2.5</v>
      </c>
    </row>
    <row r="294" spans="1:8">
      <c r="A294" s="196" t="s">
        <v>8568</v>
      </c>
      <c r="B294" s="196">
        <v>13.1</v>
      </c>
      <c r="C294" s="196">
        <v>18.100000000000001</v>
      </c>
      <c r="D294" s="196">
        <v>10.6</v>
      </c>
      <c r="E294" s="196">
        <v>83</v>
      </c>
      <c r="H294" s="196">
        <v>6.5</v>
      </c>
    </row>
    <row r="295" spans="1:8">
      <c r="A295" s="196" t="s">
        <v>8569</v>
      </c>
      <c r="B295" s="196">
        <v>12.7</v>
      </c>
      <c r="C295" s="196">
        <v>18</v>
      </c>
      <c r="D295" s="196">
        <v>9.5</v>
      </c>
      <c r="E295" s="196">
        <v>80</v>
      </c>
      <c r="H295" s="196">
        <v>0</v>
      </c>
    </row>
    <row r="296" spans="1:8">
      <c r="A296" s="196" t="s">
        <v>8570</v>
      </c>
      <c r="B296" s="196">
        <v>8.9</v>
      </c>
      <c r="C296" s="196">
        <v>12</v>
      </c>
      <c r="D296" s="196">
        <v>7.7</v>
      </c>
      <c r="E296" s="196">
        <v>73</v>
      </c>
      <c r="H296" s="196">
        <v>0</v>
      </c>
    </row>
    <row r="297" spans="1:8">
      <c r="A297" s="196" t="s">
        <v>8571</v>
      </c>
      <c r="B297" s="196">
        <v>10.1</v>
      </c>
      <c r="C297" s="196">
        <v>17.2</v>
      </c>
      <c r="D297" s="196">
        <v>2.2999999999999998</v>
      </c>
      <c r="E297" s="196">
        <v>60</v>
      </c>
      <c r="H297" s="196">
        <v>0</v>
      </c>
    </row>
    <row r="298" spans="1:8">
      <c r="A298" s="196" t="s">
        <v>8572</v>
      </c>
      <c r="B298" s="196">
        <v>12.7</v>
      </c>
      <c r="C298" s="196">
        <v>21.5</v>
      </c>
      <c r="D298" s="196">
        <v>3.8</v>
      </c>
      <c r="E298" s="196">
        <v>63</v>
      </c>
      <c r="H298" s="196">
        <v>0</v>
      </c>
    </row>
    <row r="299" spans="1:8">
      <c r="A299" s="196" t="s">
        <v>8573</v>
      </c>
      <c r="B299" s="196">
        <v>13.9</v>
      </c>
      <c r="C299" s="196">
        <v>18.8</v>
      </c>
      <c r="D299" s="196">
        <v>8.8000000000000007</v>
      </c>
      <c r="E299" s="196">
        <v>68</v>
      </c>
      <c r="H299" s="196">
        <v>1</v>
      </c>
    </row>
    <row r="300" spans="1:8">
      <c r="A300" s="196" t="s">
        <v>8574</v>
      </c>
      <c r="B300" s="196">
        <v>15</v>
      </c>
      <c r="C300" s="196">
        <v>19.5</v>
      </c>
      <c r="D300" s="196">
        <v>12.1</v>
      </c>
      <c r="E300" s="196">
        <v>65</v>
      </c>
      <c r="H300" s="196">
        <v>0</v>
      </c>
    </row>
    <row r="301" spans="1:8">
      <c r="A301" s="196" t="s">
        <v>8575</v>
      </c>
      <c r="B301" s="196">
        <v>15</v>
      </c>
      <c r="C301" s="196">
        <v>20.2</v>
      </c>
      <c r="D301" s="196">
        <v>8.4</v>
      </c>
      <c r="E301" s="196">
        <v>66</v>
      </c>
      <c r="H301" s="196">
        <v>0.5</v>
      </c>
    </row>
    <row r="302" spans="1:8">
      <c r="A302" s="196" t="s">
        <v>8576</v>
      </c>
      <c r="B302" s="196">
        <v>16.600000000000001</v>
      </c>
      <c r="C302" s="196">
        <v>21.9</v>
      </c>
      <c r="D302" s="196">
        <v>13.3</v>
      </c>
      <c r="E302" s="196">
        <v>67</v>
      </c>
      <c r="H302" s="196">
        <v>0</v>
      </c>
    </row>
    <row r="303" spans="1:8">
      <c r="A303" s="196" t="s">
        <v>8577</v>
      </c>
      <c r="B303" s="196">
        <v>16.399999999999999</v>
      </c>
      <c r="C303" s="196">
        <v>20.7</v>
      </c>
      <c r="D303" s="196">
        <v>11.5</v>
      </c>
      <c r="E303" s="196">
        <v>66</v>
      </c>
      <c r="H303" s="196">
        <v>0</v>
      </c>
    </row>
    <row r="304" spans="1:8">
      <c r="A304" s="196" t="s">
        <v>8578</v>
      </c>
      <c r="B304" s="196">
        <v>11.5</v>
      </c>
      <c r="C304" s="196">
        <v>15.5</v>
      </c>
      <c r="D304" s="196">
        <v>9.9</v>
      </c>
      <c r="E304" s="196">
        <v>70</v>
      </c>
      <c r="H304" s="196">
        <v>3.5</v>
      </c>
    </row>
    <row r="305" spans="1:8">
      <c r="A305" s="196" t="s">
        <v>8579</v>
      </c>
      <c r="B305" s="196">
        <v>9.8000000000000007</v>
      </c>
      <c r="C305" s="196">
        <v>13.4</v>
      </c>
      <c r="D305" s="196">
        <v>6.7</v>
      </c>
      <c r="E305" s="196">
        <v>75</v>
      </c>
      <c r="H305" s="196">
        <v>1.5</v>
      </c>
    </row>
    <row r="306" spans="1:8">
      <c r="A306" s="196" t="s">
        <v>8580</v>
      </c>
      <c r="B306" s="196">
        <v>10</v>
      </c>
      <c r="C306" s="196">
        <v>15.7</v>
      </c>
      <c r="D306" s="196">
        <v>6.8</v>
      </c>
      <c r="E306" s="196">
        <v>75</v>
      </c>
      <c r="H306" s="196">
        <v>1.5</v>
      </c>
    </row>
    <row r="307" spans="1:8">
      <c r="A307" s="196" t="s">
        <v>8581</v>
      </c>
      <c r="B307" s="196">
        <v>10.5</v>
      </c>
      <c r="C307" s="196">
        <v>15.8</v>
      </c>
      <c r="D307" s="196">
        <v>6.3</v>
      </c>
      <c r="E307" s="196">
        <v>74</v>
      </c>
      <c r="H307" s="196">
        <v>2.5</v>
      </c>
    </row>
    <row r="308" spans="1:8">
      <c r="A308" s="196" t="s">
        <v>8582</v>
      </c>
      <c r="B308" s="196">
        <v>10.4</v>
      </c>
      <c r="C308" s="196">
        <v>16.100000000000001</v>
      </c>
      <c r="D308" s="196">
        <v>6</v>
      </c>
      <c r="E308" s="196">
        <v>64</v>
      </c>
      <c r="H308" s="196">
        <v>0</v>
      </c>
    </row>
    <row r="309" spans="1:8">
      <c r="A309" s="196" t="s">
        <v>8583</v>
      </c>
      <c r="B309" s="196">
        <v>12.7</v>
      </c>
      <c r="C309" s="196">
        <v>19</v>
      </c>
      <c r="D309" s="196">
        <v>5.0999999999999996</v>
      </c>
      <c r="E309" s="196">
        <v>57</v>
      </c>
      <c r="H309" s="196">
        <v>0</v>
      </c>
    </row>
    <row r="310" spans="1:8">
      <c r="A310" s="196" t="s">
        <v>8584</v>
      </c>
      <c r="B310" s="196">
        <v>14.9</v>
      </c>
      <c r="C310" s="196">
        <v>21.5</v>
      </c>
      <c r="D310" s="196">
        <v>7.7</v>
      </c>
      <c r="E310" s="196">
        <v>53</v>
      </c>
      <c r="H310" s="196">
        <v>0</v>
      </c>
    </row>
    <row r="311" spans="1:8">
      <c r="A311" s="196" t="s">
        <v>8585</v>
      </c>
      <c r="B311" s="196">
        <v>15.1</v>
      </c>
      <c r="C311" s="196">
        <v>22.6</v>
      </c>
      <c r="D311" s="196">
        <v>6</v>
      </c>
      <c r="E311" s="196">
        <v>59</v>
      </c>
      <c r="H311" s="196">
        <v>0</v>
      </c>
    </row>
    <row r="312" spans="1:8">
      <c r="A312" s="196" t="s">
        <v>8586</v>
      </c>
      <c r="B312" s="196">
        <v>16.600000000000001</v>
      </c>
      <c r="C312" s="196">
        <v>24.4</v>
      </c>
      <c r="D312" s="196">
        <v>7.8</v>
      </c>
      <c r="E312" s="196">
        <v>60</v>
      </c>
      <c r="H312" s="196">
        <v>0</v>
      </c>
    </row>
    <row r="313" spans="1:8">
      <c r="A313" s="196" t="s">
        <v>8587</v>
      </c>
      <c r="B313" s="196">
        <v>18.3</v>
      </c>
      <c r="C313" s="196">
        <v>24.5</v>
      </c>
      <c r="D313" s="196">
        <v>12.1</v>
      </c>
      <c r="E313" s="196">
        <v>61</v>
      </c>
      <c r="H313" s="196">
        <v>0</v>
      </c>
    </row>
    <row r="314" spans="1:8">
      <c r="A314" s="196" t="s">
        <v>8588</v>
      </c>
      <c r="B314" s="196">
        <v>18.899999999999999</v>
      </c>
      <c r="C314" s="196">
        <v>24.7</v>
      </c>
      <c r="D314" s="196">
        <v>12.4</v>
      </c>
      <c r="E314" s="196">
        <v>66</v>
      </c>
      <c r="H314" s="196">
        <v>1</v>
      </c>
    </row>
    <row r="315" spans="1:8">
      <c r="A315" s="196" t="s">
        <v>8589</v>
      </c>
      <c r="B315" s="196">
        <v>15.9</v>
      </c>
      <c r="C315" s="196">
        <v>23.5</v>
      </c>
      <c r="D315" s="196">
        <v>10.3</v>
      </c>
      <c r="E315" s="196">
        <v>70</v>
      </c>
      <c r="H315" s="196">
        <v>2.5</v>
      </c>
    </row>
    <row r="316" spans="1:8">
      <c r="A316" s="196" t="s">
        <v>8590</v>
      </c>
      <c r="B316" s="196">
        <v>16</v>
      </c>
      <c r="C316" s="196">
        <v>23.4</v>
      </c>
      <c r="D316" s="196">
        <v>11.6</v>
      </c>
      <c r="E316" s="196">
        <v>65</v>
      </c>
      <c r="H316" s="196">
        <v>0</v>
      </c>
    </row>
    <row r="317" spans="1:8">
      <c r="A317" s="196" t="s">
        <v>8591</v>
      </c>
      <c r="B317" s="196">
        <v>12.7</v>
      </c>
      <c r="C317" s="196">
        <v>20.100000000000001</v>
      </c>
      <c r="D317" s="196">
        <v>6</v>
      </c>
      <c r="E317" s="196">
        <v>64</v>
      </c>
      <c r="H317" s="196">
        <v>0</v>
      </c>
    </row>
    <row r="318" spans="1:8">
      <c r="A318" s="196" t="s">
        <v>8592</v>
      </c>
      <c r="B318" s="196">
        <v>15.5</v>
      </c>
      <c r="C318" s="196">
        <v>23.5</v>
      </c>
      <c r="D318" s="196">
        <v>5.5</v>
      </c>
      <c r="E318" s="196">
        <v>61</v>
      </c>
      <c r="H318" s="196">
        <v>0</v>
      </c>
    </row>
    <row r="319" spans="1:8">
      <c r="A319" s="196" t="s">
        <v>8593</v>
      </c>
      <c r="B319" s="196">
        <v>14.8</v>
      </c>
      <c r="C319" s="196">
        <v>18.899999999999999</v>
      </c>
      <c r="D319" s="196">
        <v>12.5</v>
      </c>
      <c r="E319" s="196">
        <v>80</v>
      </c>
      <c r="H319" s="196">
        <v>1</v>
      </c>
    </row>
    <row r="320" spans="1:8">
      <c r="A320" s="196" t="s">
        <v>8594</v>
      </c>
      <c r="B320" s="196">
        <v>13.8</v>
      </c>
      <c r="C320" s="196">
        <v>16.600000000000001</v>
      </c>
      <c r="D320" s="196">
        <v>12.2</v>
      </c>
      <c r="E320" s="196">
        <v>77</v>
      </c>
      <c r="H320" s="196">
        <v>0.5</v>
      </c>
    </row>
    <row r="321" spans="1:8">
      <c r="A321" s="196" t="s">
        <v>8595</v>
      </c>
      <c r="B321" s="196">
        <v>13.4</v>
      </c>
      <c r="C321" s="196">
        <v>19.600000000000001</v>
      </c>
      <c r="D321" s="196">
        <v>7.1</v>
      </c>
      <c r="E321" s="196">
        <v>74</v>
      </c>
      <c r="H321" s="196">
        <v>5</v>
      </c>
    </row>
    <row r="322" spans="1:8">
      <c r="A322" s="196" t="s">
        <v>8596</v>
      </c>
      <c r="B322" s="196">
        <v>14.7</v>
      </c>
      <c r="C322" s="196">
        <v>20.9</v>
      </c>
      <c r="D322" s="196">
        <v>6.3</v>
      </c>
      <c r="E322" s="196">
        <v>65</v>
      </c>
      <c r="H322" s="196">
        <v>0</v>
      </c>
    </row>
    <row r="323" spans="1:8">
      <c r="A323" s="196" t="s">
        <v>8597</v>
      </c>
      <c r="B323" s="196">
        <v>15.9</v>
      </c>
      <c r="C323" s="196">
        <v>23.1</v>
      </c>
      <c r="D323" s="196">
        <v>8.1999999999999993</v>
      </c>
      <c r="E323" s="196">
        <v>63</v>
      </c>
      <c r="H323" s="196">
        <v>0</v>
      </c>
    </row>
    <row r="324" spans="1:8">
      <c r="A324" s="196" t="s">
        <v>8598</v>
      </c>
      <c r="B324" s="196">
        <v>15.1</v>
      </c>
      <c r="C324" s="196">
        <v>22</v>
      </c>
      <c r="D324" s="196">
        <v>7.6</v>
      </c>
      <c r="E324" s="196">
        <v>57</v>
      </c>
      <c r="H324" s="196">
        <v>0</v>
      </c>
    </row>
    <row r="325" spans="1:8">
      <c r="A325" s="196" t="s">
        <v>8599</v>
      </c>
      <c r="B325" s="196">
        <v>16.7</v>
      </c>
      <c r="C325" s="196">
        <v>22.6</v>
      </c>
      <c r="D325" s="196">
        <v>10.1</v>
      </c>
      <c r="E325" s="196">
        <v>54</v>
      </c>
      <c r="H325" s="196">
        <v>0</v>
      </c>
    </row>
    <row r="326" spans="1:8">
      <c r="A326" s="196" t="s">
        <v>8600</v>
      </c>
      <c r="B326" s="196">
        <v>16.8</v>
      </c>
      <c r="C326" s="196">
        <v>22.5</v>
      </c>
      <c r="D326" s="196">
        <v>12.4</v>
      </c>
      <c r="E326" s="196">
        <v>54</v>
      </c>
      <c r="H326" s="196">
        <v>0</v>
      </c>
    </row>
    <row r="327" spans="1:8">
      <c r="A327" s="196" t="s">
        <v>8601</v>
      </c>
      <c r="B327" s="196">
        <v>16.399999999999999</v>
      </c>
      <c r="C327" s="196">
        <v>22.6</v>
      </c>
      <c r="D327" s="196">
        <v>10.5</v>
      </c>
      <c r="E327" s="196">
        <v>66</v>
      </c>
      <c r="H327" s="196">
        <v>1</v>
      </c>
    </row>
    <row r="328" spans="1:8">
      <c r="A328" s="196" t="s">
        <v>8602</v>
      </c>
      <c r="B328" s="196">
        <v>14.2</v>
      </c>
      <c r="C328" s="196">
        <v>18.7</v>
      </c>
      <c r="D328" s="196">
        <v>11.7</v>
      </c>
      <c r="E328" s="196">
        <v>82</v>
      </c>
      <c r="H328" s="196">
        <v>5.5</v>
      </c>
    </row>
    <row r="329" spans="1:8">
      <c r="A329" s="196" t="s">
        <v>8603</v>
      </c>
      <c r="B329" s="196">
        <v>14.4</v>
      </c>
      <c r="C329" s="196">
        <v>21.5</v>
      </c>
      <c r="D329" s="196">
        <v>7.2</v>
      </c>
      <c r="E329" s="196">
        <v>65</v>
      </c>
      <c r="H329" s="196">
        <v>0</v>
      </c>
    </row>
    <row r="330" spans="1:8">
      <c r="A330" s="196" t="s">
        <v>8604</v>
      </c>
      <c r="B330" s="196">
        <v>18.7</v>
      </c>
      <c r="C330" s="196">
        <v>27.8</v>
      </c>
      <c r="D330" s="196">
        <v>7.7</v>
      </c>
      <c r="E330" s="196">
        <v>61</v>
      </c>
      <c r="H330" s="196">
        <v>0</v>
      </c>
    </row>
    <row r="331" spans="1:8">
      <c r="A331" s="196" t="s">
        <v>8605</v>
      </c>
      <c r="B331" s="196">
        <v>21.7</v>
      </c>
      <c r="C331" s="196">
        <v>29.7</v>
      </c>
      <c r="D331" s="196">
        <v>10.8</v>
      </c>
      <c r="E331" s="196">
        <v>59</v>
      </c>
      <c r="H331" s="196">
        <v>0</v>
      </c>
    </row>
    <row r="332" spans="1:8">
      <c r="A332" s="196" t="s">
        <v>8606</v>
      </c>
      <c r="B332" s="196">
        <v>23.6</v>
      </c>
      <c r="C332" s="196">
        <v>32.299999999999997</v>
      </c>
      <c r="D332" s="196">
        <v>13.3</v>
      </c>
      <c r="E332" s="196">
        <v>56</v>
      </c>
      <c r="H332" s="196">
        <v>0</v>
      </c>
    </row>
    <row r="333" spans="1:8">
      <c r="A333" s="196" t="s">
        <v>8607</v>
      </c>
      <c r="B333" s="196">
        <v>25</v>
      </c>
      <c r="C333" s="196">
        <v>35.1</v>
      </c>
      <c r="D333" s="196">
        <v>15.3</v>
      </c>
      <c r="E333" s="196">
        <v>50</v>
      </c>
      <c r="H333" s="196">
        <v>0</v>
      </c>
    </row>
    <row r="334" spans="1:8">
      <c r="A334" s="196" t="s">
        <v>8608</v>
      </c>
      <c r="B334" s="196">
        <v>24.3</v>
      </c>
      <c r="C334" s="196">
        <v>33.5</v>
      </c>
      <c r="D334" s="196">
        <v>17.3</v>
      </c>
      <c r="E334" s="196">
        <v>56</v>
      </c>
      <c r="H334" s="196">
        <v>1</v>
      </c>
    </row>
    <row r="335" spans="1:8">
      <c r="A335" s="196" t="s">
        <v>8609</v>
      </c>
      <c r="B335" s="196">
        <v>23.2</v>
      </c>
      <c r="C335" s="196">
        <v>31.5</v>
      </c>
      <c r="D335" s="196">
        <v>14.8</v>
      </c>
      <c r="E335" s="196">
        <v>64</v>
      </c>
      <c r="H335" s="196">
        <v>0</v>
      </c>
    </row>
    <row r="336" spans="1:8">
      <c r="A336" s="196" t="s">
        <v>8610</v>
      </c>
      <c r="B336" s="196">
        <v>23.7</v>
      </c>
      <c r="C336" s="196">
        <v>31.8</v>
      </c>
      <c r="D336" s="196">
        <v>18.8</v>
      </c>
      <c r="E336" s="196">
        <v>64</v>
      </c>
      <c r="H336" s="196">
        <v>1</v>
      </c>
    </row>
    <row r="337" spans="1:8">
      <c r="A337" s="196" t="s">
        <v>8611</v>
      </c>
      <c r="B337" s="196">
        <v>23.4</v>
      </c>
      <c r="C337" s="196">
        <v>30.5</v>
      </c>
      <c r="D337" s="196">
        <v>16.899999999999999</v>
      </c>
      <c r="E337" s="196">
        <v>55</v>
      </c>
      <c r="H337" s="196">
        <v>0</v>
      </c>
    </row>
    <row r="338" spans="1:8">
      <c r="A338" s="196" t="s">
        <v>8612</v>
      </c>
      <c r="B338" s="196">
        <v>19.600000000000001</v>
      </c>
      <c r="C338" s="196">
        <v>25.3</v>
      </c>
      <c r="D338" s="196">
        <v>15</v>
      </c>
      <c r="E338" s="196">
        <v>51</v>
      </c>
      <c r="H338" s="196">
        <v>0</v>
      </c>
    </row>
    <row r="339" spans="1:8">
      <c r="A339" s="196" t="s">
        <v>8613</v>
      </c>
      <c r="B339" s="196">
        <v>18.600000000000001</v>
      </c>
      <c r="C339" s="196">
        <v>24.4</v>
      </c>
      <c r="D339" s="196">
        <v>12.4</v>
      </c>
      <c r="E339" s="196">
        <v>46</v>
      </c>
      <c r="H339" s="196">
        <v>0</v>
      </c>
    </row>
    <row r="340" spans="1:8">
      <c r="A340" s="196" t="s">
        <v>8614</v>
      </c>
      <c r="B340" s="196">
        <v>19.7</v>
      </c>
      <c r="C340" s="196">
        <v>25.6</v>
      </c>
      <c r="D340" s="196">
        <v>13</v>
      </c>
      <c r="E340" s="196">
        <v>44</v>
      </c>
      <c r="H340" s="196">
        <v>0</v>
      </c>
    </row>
    <row r="341" spans="1:8">
      <c r="A341" s="196" t="s">
        <v>8615</v>
      </c>
      <c r="B341" s="196">
        <v>18.2</v>
      </c>
      <c r="C341" s="196">
        <v>23.9</v>
      </c>
      <c r="D341" s="196">
        <v>12.2</v>
      </c>
      <c r="E341" s="196">
        <v>52</v>
      </c>
      <c r="H341" s="196">
        <v>0</v>
      </c>
    </row>
    <row r="342" spans="1:8">
      <c r="A342" s="196" t="s">
        <v>8616</v>
      </c>
      <c r="B342" s="196">
        <v>19.600000000000001</v>
      </c>
      <c r="C342" s="196">
        <v>26.2</v>
      </c>
      <c r="D342" s="196">
        <v>13.2</v>
      </c>
      <c r="E342" s="196">
        <v>51</v>
      </c>
      <c r="H342" s="196">
        <v>0</v>
      </c>
    </row>
    <row r="343" spans="1:8">
      <c r="A343" s="196" t="s">
        <v>8617</v>
      </c>
      <c r="B343" s="196">
        <v>20.7</v>
      </c>
      <c r="C343" s="196">
        <v>28.3</v>
      </c>
      <c r="D343" s="196">
        <v>13.4</v>
      </c>
      <c r="E343" s="196">
        <v>48</v>
      </c>
      <c r="H343" s="196">
        <v>0</v>
      </c>
    </row>
    <row r="344" spans="1:8">
      <c r="A344" s="196" t="s">
        <v>8618</v>
      </c>
      <c r="B344" s="196">
        <v>18.7</v>
      </c>
      <c r="C344" s="196">
        <v>25.6</v>
      </c>
      <c r="D344" s="196">
        <v>11.2</v>
      </c>
      <c r="E344" s="196">
        <v>53</v>
      </c>
      <c r="H344" s="196">
        <v>0</v>
      </c>
    </row>
    <row r="345" spans="1:8">
      <c r="A345" s="196" t="s">
        <v>8619</v>
      </c>
      <c r="B345" s="196">
        <v>19.399999999999999</v>
      </c>
      <c r="C345" s="196">
        <v>27.3</v>
      </c>
      <c r="D345" s="196">
        <v>10.9</v>
      </c>
      <c r="E345" s="196">
        <v>46</v>
      </c>
      <c r="H345" s="196">
        <v>0</v>
      </c>
    </row>
    <row r="346" spans="1:8">
      <c r="A346" s="196" t="s">
        <v>8620</v>
      </c>
      <c r="B346" s="196">
        <v>22.3</v>
      </c>
      <c r="C346" s="196">
        <v>30.1</v>
      </c>
      <c r="D346" s="196">
        <v>13.6</v>
      </c>
      <c r="E346" s="196">
        <v>44</v>
      </c>
      <c r="H346" s="196">
        <v>0</v>
      </c>
    </row>
    <row r="347" spans="1:8">
      <c r="A347" s="196" t="s">
        <v>8621</v>
      </c>
      <c r="B347" s="196">
        <v>18.8</v>
      </c>
      <c r="C347" s="196">
        <v>23.7</v>
      </c>
      <c r="D347" s="196">
        <v>15.7</v>
      </c>
      <c r="E347" s="196">
        <v>67</v>
      </c>
      <c r="H347" s="196">
        <v>2.5</v>
      </c>
    </row>
    <row r="348" spans="1:8">
      <c r="A348" s="196" t="s">
        <v>8622</v>
      </c>
      <c r="B348" s="196">
        <v>20.2</v>
      </c>
      <c r="C348" s="196">
        <v>27.1</v>
      </c>
      <c r="D348" s="196">
        <v>15.2</v>
      </c>
      <c r="E348" s="196">
        <v>61</v>
      </c>
      <c r="H348" s="196">
        <v>0</v>
      </c>
    </row>
    <row r="349" spans="1:8">
      <c r="A349" s="196" t="s">
        <v>8623</v>
      </c>
      <c r="B349" s="196">
        <v>20.3</v>
      </c>
      <c r="C349" s="196">
        <v>26.1</v>
      </c>
      <c r="D349" s="196">
        <v>14.8</v>
      </c>
      <c r="E349" s="196">
        <v>45</v>
      </c>
      <c r="H349" s="196">
        <v>0</v>
      </c>
    </row>
    <row r="350" spans="1:8">
      <c r="A350" s="196" t="s">
        <v>8624</v>
      </c>
      <c r="B350" s="196">
        <v>20.3</v>
      </c>
      <c r="C350" s="196">
        <v>27.4</v>
      </c>
      <c r="D350" s="196">
        <v>10.4</v>
      </c>
      <c r="E350" s="196">
        <v>39</v>
      </c>
      <c r="H350" s="196">
        <v>0</v>
      </c>
    </row>
    <row r="351" spans="1:8">
      <c r="A351" s="196" t="s">
        <v>8625</v>
      </c>
      <c r="B351" s="196">
        <v>20.6</v>
      </c>
      <c r="C351" s="196">
        <v>26.2</v>
      </c>
      <c r="D351" s="196">
        <v>14.3</v>
      </c>
      <c r="E351" s="196">
        <v>49</v>
      </c>
      <c r="H351" s="196">
        <v>2</v>
      </c>
    </row>
    <row r="352" spans="1:8">
      <c r="A352" s="196" t="s">
        <v>8626</v>
      </c>
      <c r="B352" s="196">
        <v>18</v>
      </c>
      <c r="C352" s="196">
        <v>24.4</v>
      </c>
      <c r="D352" s="196">
        <v>14.9</v>
      </c>
      <c r="E352" s="196">
        <v>83</v>
      </c>
      <c r="H352" s="196">
        <v>20.5</v>
      </c>
    </row>
    <row r="353" spans="1:8">
      <c r="A353" s="196" t="s">
        <v>8627</v>
      </c>
      <c r="B353" s="196">
        <v>16</v>
      </c>
      <c r="C353" s="196">
        <v>20.100000000000001</v>
      </c>
      <c r="D353" s="196">
        <v>14.3</v>
      </c>
      <c r="E353" s="196">
        <v>76</v>
      </c>
      <c r="H353" s="196">
        <v>7.5</v>
      </c>
    </row>
    <row r="354" spans="1:8">
      <c r="A354" s="196" t="s">
        <v>8628</v>
      </c>
      <c r="B354" s="196">
        <v>15.9</v>
      </c>
      <c r="C354" s="196">
        <v>21.7</v>
      </c>
      <c r="D354" s="196">
        <v>10.4</v>
      </c>
      <c r="E354" s="196">
        <v>68</v>
      </c>
      <c r="H354" s="196">
        <v>0</v>
      </c>
    </row>
    <row r="355" spans="1:8">
      <c r="A355" s="196" t="s">
        <v>8629</v>
      </c>
      <c r="B355" s="196">
        <v>18.8</v>
      </c>
      <c r="C355" s="196">
        <v>25.8</v>
      </c>
      <c r="D355" s="196">
        <v>9</v>
      </c>
      <c r="E355" s="196">
        <v>55</v>
      </c>
      <c r="H355" s="196">
        <v>0</v>
      </c>
    </row>
    <row r="356" spans="1:8">
      <c r="A356" s="196" t="s">
        <v>8630</v>
      </c>
      <c r="B356" s="196">
        <v>19.5</v>
      </c>
      <c r="C356" s="196">
        <v>25.4</v>
      </c>
      <c r="D356" s="196">
        <v>15.8</v>
      </c>
      <c r="E356" s="196">
        <v>64</v>
      </c>
      <c r="H356" s="196">
        <v>0.5</v>
      </c>
    </row>
    <row r="357" spans="1:8">
      <c r="A357" s="196" t="s">
        <v>8631</v>
      </c>
      <c r="B357" s="196">
        <v>21.9</v>
      </c>
      <c r="C357" s="196">
        <v>30.1</v>
      </c>
      <c r="D357" s="196">
        <v>12.8</v>
      </c>
      <c r="E357" s="196">
        <v>57</v>
      </c>
      <c r="H357" s="196">
        <v>0</v>
      </c>
    </row>
    <row r="358" spans="1:8">
      <c r="A358" s="196" t="s">
        <v>8632</v>
      </c>
      <c r="B358" s="196">
        <v>20.7</v>
      </c>
      <c r="C358" s="196">
        <v>29.2</v>
      </c>
      <c r="D358" s="196">
        <v>16.3</v>
      </c>
      <c r="E358" s="196">
        <v>67</v>
      </c>
      <c r="H358" s="196">
        <v>9.5</v>
      </c>
    </row>
    <row r="359" spans="1:8">
      <c r="A359" s="196" t="s">
        <v>8633</v>
      </c>
      <c r="B359" s="196">
        <v>19.7</v>
      </c>
      <c r="C359" s="196">
        <v>25.1</v>
      </c>
      <c r="D359" s="196">
        <v>16.899999999999999</v>
      </c>
      <c r="E359" s="196">
        <v>80</v>
      </c>
      <c r="H359" s="196">
        <v>2.5</v>
      </c>
    </row>
    <row r="360" spans="1:8">
      <c r="A360" s="196" t="s">
        <v>8634</v>
      </c>
      <c r="B360" s="196">
        <v>19.2</v>
      </c>
      <c r="C360" s="196">
        <v>29.3</v>
      </c>
      <c r="D360" s="196">
        <v>14.1</v>
      </c>
      <c r="E360" s="196">
        <v>84</v>
      </c>
      <c r="H360" s="196">
        <v>13.5</v>
      </c>
    </row>
    <row r="361" spans="1:8">
      <c r="A361" s="196" t="s">
        <v>8635</v>
      </c>
      <c r="B361" s="196">
        <v>17</v>
      </c>
      <c r="C361" s="196">
        <v>21.3</v>
      </c>
      <c r="D361" s="196">
        <v>14.5</v>
      </c>
      <c r="E361" s="196">
        <v>86</v>
      </c>
      <c r="H361" s="196">
        <v>9</v>
      </c>
    </row>
    <row r="362" spans="1:8">
      <c r="A362" s="196" t="s">
        <v>8636</v>
      </c>
      <c r="B362" s="196">
        <v>15.6</v>
      </c>
      <c r="C362" s="196">
        <v>19.7</v>
      </c>
      <c r="D362" s="196">
        <v>13.8</v>
      </c>
      <c r="E362" s="196">
        <v>77</v>
      </c>
      <c r="H362" s="196">
        <v>0.5</v>
      </c>
    </row>
    <row r="363" spans="1:8">
      <c r="A363" s="196" t="s">
        <v>8637</v>
      </c>
      <c r="B363" s="196">
        <v>14.2</v>
      </c>
      <c r="C363" s="196">
        <v>19.399999999999999</v>
      </c>
      <c r="D363" s="196">
        <v>12.4</v>
      </c>
      <c r="E363" s="196">
        <v>78</v>
      </c>
      <c r="H363" s="196">
        <v>8</v>
      </c>
    </row>
    <row r="364" spans="1:8">
      <c r="A364" s="196" t="s">
        <v>8638</v>
      </c>
      <c r="B364" s="196">
        <v>15.3</v>
      </c>
      <c r="C364" s="196">
        <v>18.100000000000001</v>
      </c>
      <c r="D364" s="196">
        <v>11.5</v>
      </c>
      <c r="E364" s="196">
        <v>83</v>
      </c>
      <c r="H364" s="196">
        <v>1</v>
      </c>
    </row>
    <row r="365" spans="1:8">
      <c r="A365" s="196" t="s">
        <v>8639</v>
      </c>
      <c r="B365" s="196">
        <v>16.2</v>
      </c>
      <c r="C365" s="196">
        <v>17.7</v>
      </c>
      <c r="D365" s="196">
        <v>14.8</v>
      </c>
      <c r="E365" s="196">
        <v>84</v>
      </c>
      <c r="H365" s="196">
        <v>2.5</v>
      </c>
    </row>
    <row r="366" spans="1:8">
      <c r="A366" s="196" t="s">
        <v>8640</v>
      </c>
      <c r="B366" s="196">
        <v>17.100000000000001</v>
      </c>
      <c r="C366" s="196">
        <v>20.9</v>
      </c>
      <c r="D366" s="196">
        <v>14.6</v>
      </c>
      <c r="E366" s="196">
        <v>78</v>
      </c>
      <c r="H366" s="196">
        <v>0</v>
      </c>
    </row>
    <row r="367" spans="1:8">
      <c r="A367" s="196" t="s">
        <v>8641</v>
      </c>
      <c r="B367" s="196">
        <v>18</v>
      </c>
      <c r="C367" s="196">
        <v>22.5</v>
      </c>
      <c r="D367" s="196">
        <v>12.8</v>
      </c>
      <c r="E367" s="196">
        <v>79</v>
      </c>
      <c r="H367" s="196">
        <v>0.5</v>
      </c>
    </row>
    <row r="368" spans="1:8">
      <c r="A368" s="196" t="s">
        <v>8642</v>
      </c>
      <c r="B368" s="196">
        <v>18.399999999999999</v>
      </c>
      <c r="C368" s="196">
        <v>23.7</v>
      </c>
      <c r="D368" s="196">
        <v>15.4</v>
      </c>
      <c r="E368" s="196">
        <v>68</v>
      </c>
      <c r="H368" s="196">
        <v>0.5</v>
      </c>
    </row>
    <row r="369" spans="1:8">
      <c r="A369" s="196" t="s">
        <v>8643</v>
      </c>
      <c r="B369" s="196">
        <v>18.899999999999999</v>
      </c>
      <c r="C369" s="196">
        <v>26.4</v>
      </c>
      <c r="D369" s="196">
        <v>9.5</v>
      </c>
      <c r="E369" s="196">
        <v>63</v>
      </c>
      <c r="H369" s="196">
        <v>0</v>
      </c>
    </row>
    <row r="370" spans="1:8">
      <c r="A370" s="196" t="s">
        <v>8644</v>
      </c>
      <c r="B370" s="196">
        <v>22.1</v>
      </c>
      <c r="C370" s="196">
        <v>29.8</v>
      </c>
      <c r="D370" s="196">
        <v>13.6</v>
      </c>
      <c r="E370" s="196">
        <v>61</v>
      </c>
      <c r="H370" s="196">
        <v>0</v>
      </c>
    </row>
    <row r="371" spans="1:8">
      <c r="A371" s="196" t="s">
        <v>8645</v>
      </c>
      <c r="B371" s="196">
        <v>24.4</v>
      </c>
      <c r="C371" s="196">
        <v>32.4</v>
      </c>
      <c r="D371" s="196">
        <v>15</v>
      </c>
      <c r="E371" s="196">
        <v>57</v>
      </c>
      <c r="H371" s="196">
        <v>0</v>
      </c>
    </row>
  </sheetData>
  <sheetProtection selectLockedCells="1" selectUnlockedCells="1"/>
  <mergeCells count="13">
    <mergeCell ref="B19:D19"/>
    <mergeCell ref="C11:G11"/>
    <mergeCell ref="C12:G12"/>
    <mergeCell ref="C13:G13"/>
    <mergeCell ref="C14:G14"/>
    <mergeCell ref="C15:G15"/>
    <mergeCell ref="C16:G16"/>
    <mergeCell ref="C10:G10"/>
    <mergeCell ref="A6:A8"/>
    <mergeCell ref="C6:G6"/>
    <mergeCell ref="C7:G7"/>
    <mergeCell ref="C8:G8"/>
    <mergeCell ref="C9:G9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1"/>
  <sheetViews>
    <sheetView zoomScale="70" zoomScaleNormal="70" workbookViewId="0">
      <pane ySplit="1" topLeftCell="A2" activePane="bottomLeft" state="frozen"/>
      <selection pane="bottomLeft" activeCell="Y3" sqref="Y3"/>
    </sheetView>
  </sheetViews>
  <sheetFormatPr baseColWidth="10" defaultRowHeight="15"/>
  <cols>
    <col min="1" max="1" width="24.7109375" style="205" customWidth="1"/>
    <col min="2" max="6" width="11.42578125" style="205"/>
    <col min="7" max="7" width="24.7109375" style="204" customWidth="1"/>
    <col min="8" max="12" width="11.42578125" style="204"/>
    <col min="13" max="13" width="24.7109375" style="204" customWidth="1"/>
    <col min="14" max="18" width="11.42578125" style="204"/>
    <col min="19" max="19" width="24.7109375" style="204" customWidth="1"/>
    <col min="20" max="24" width="11.42578125" style="204"/>
    <col min="25" max="25" width="24.7109375" style="204" customWidth="1"/>
    <col min="26" max="16384" width="11.42578125" style="204"/>
  </cols>
  <sheetData>
    <row r="2" spans="1:25" s="380" customFormat="1" ht="15.75" thickBot="1">
      <c r="A2" s="379" t="s">
        <v>8697</v>
      </c>
      <c r="B2" s="379"/>
      <c r="C2" s="379"/>
      <c r="D2" s="379"/>
      <c r="E2" s="379"/>
      <c r="F2" s="379"/>
      <c r="G2" s="380" t="s">
        <v>8698</v>
      </c>
      <c r="M2" s="380" t="s">
        <v>8719</v>
      </c>
      <c r="S2" s="380" t="s">
        <v>8736</v>
      </c>
      <c r="Y2" s="380" t="s">
        <v>8815</v>
      </c>
    </row>
    <row r="3" spans="1:25" ht="32.25" thickBot="1">
      <c r="A3" s="366" t="s">
        <v>8652</v>
      </c>
      <c r="B3" s="367" t="s">
        <v>8653</v>
      </c>
      <c r="C3" s="367" t="s">
        <v>8654</v>
      </c>
      <c r="D3" s="367" t="s">
        <v>8655</v>
      </c>
      <c r="E3" s="367" t="s">
        <v>8656</v>
      </c>
      <c r="G3" s="366" t="s">
        <v>8652</v>
      </c>
      <c r="H3" s="367" t="s">
        <v>8653</v>
      </c>
      <c r="I3" s="367" t="s">
        <v>8654</v>
      </c>
      <c r="J3" s="367" t="s">
        <v>8655</v>
      </c>
      <c r="K3" s="367" t="s">
        <v>8656</v>
      </c>
      <c r="M3" s="366" t="s">
        <v>8652</v>
      </c>
      <c r="N3" s="367" t="s">
        <v>8653</v>
      </c>
      <c r="O3" s="367" t="s">
        <v>8654</v>
      </c>
      <c r="P3" s="367" t="s">
        <v>8655</v>
      </c>
      <c r="Q3" s="367" t="s">
        <v>8656</v>
      </c>
      <c r="S3" s="366" t="s">
        <v>8652</v>
      </c>
      <c r="T3" s="367" t="s">
        <v>8653</v>
      </c>
      <c r="U3" s="367" t="s">
        <v>8654</v>
      </c>
      <c r="V3" s="367" t="s">
        <v>8655</v>
      </c>
      <c r="W3" s="367" t="s">
        <v>8656</v>
      </c>
    </row>
    <row r="4" spans="1:25" ht="16.5" customHeight="1" thickBot="1">
      <c r="A4" s="421" t="s">
        <v>8657</v>
      </c>
      <c r="B4" s="368" t="s">
        <v>8658</v>
      </c>
      <c r="C4" s="368" t="s">
        <v>8659</v>
      </c>
      <c r="D4" s="368" t="s">
        <v>8660</v>
      </c>
      <c r="E4" s="368" t="s">
        <v>8661</v>
      </c>
      <c r="G4" s="421" t="s">
        <v>8657</v>
      </c>
      <c r="H4" s="368" t="s">
        <v>8658</v>
      </c>
      <c r="I4" s="368" t="s">
        <v>8699</v>
      </c>
      <c r="J4" s="368" t="s">
        <v>8700</v>
      </c>
      <c r="K4" s="368" t="s">
        <v>8701</v>
      </c>
      <c r="M4" s="421" t="s">
        <v>8657</v>
      </c>
      <c r="N4" s="368" t="s">
        <v>8658</v>
      </c>
      <c r="O4" s="368" t="s">
        <v>8720</v>
      </c>
      <c r="P4" s="368" t="s">
        <v>8721</v>
      </c>
      <c r="Q4" s="368" t="s">
        <v>8722</v>
      </c>
      <c r="S4" s="421" t="s">
        <v>8657</v>
      </c>
      <c r="T4" s="368" t="s">
        <v>8658</v>
      </c>
      <c r="U4" s="368" t="s">
        <v>8737</v>
      </c>
      <c r="V4" s="368" t="s">
        <v>8738</v>
      </c>
      <c r="W4" s="368" t="s">
        <v>8739</v>
      </c>
    </row>
    <row r="5" spans="1:25" ht="16.5" thickBot="1">
      <c r="A5" s="422"/>
      <c r="B5" s="368" t="s">
        <v>8662</v>
      </c>
      <c r="C5" s="368" t="s">
        <v>8663</v>
      </c>
      <c r="D5" s="368" t="s">
        <v>8664</v>
      </c>
      <c r="E5" s="368" t="s">
        <v>8665</v>
      </c>
      <c r="G5" s="422"/>
      <c r="H5" s="368" t="s">
        <v>8662</v>
      </c>
      <c r="I5" s="368" t="s">
        <v>8702</v>
      </c>
      <c r="J5" s="368" t="s">
        <v>8703</v>
      </c>
      <c r="K5" s="368" t="s">
        <v>8665</v>
      </c>
      <c r="M5" s="422"/>
      <c r="N5" s="368" t="s">
        <v>8662</v>
      </c>
      <c r="O5" s="368" t="s">
        <v>8723</v>
      </c>
      <c r="P5" s="368" t="s">
        <v>8724</v>
      </c>
      <c r="Q5" s="368" t="s">
        <v>8725</v>
      </c>
      <c r="S5" s="422"/>
      <c r="T5" s="368" t="s">
        <v>8662</v>
      </c>
      <c r="U5" s="368" t="s">
        <v>8740</v>
      </c>
      <c r="V5" s="368" t="s">
        <v>8741</v>
      </c>
      <c r="W5" s="368" t="s">
        <v>8742</v>
      </c>
    </row>
    <row r="6" spans="1:25" ht="32.25" thickBot="1">
      <c r="A6" s="422"/>
      <c r="B6" s="368" t="s">
        <v>8648</v>
      </c>
      <c r="C6" s="368" t="s">
        <v>8666</v>
      </c>
      <c r="D6" s="368" t="s">
        <v>8667</v>
      </c>
      <c r="E6" s="368" t="s">
        <v>8668</v>
      </c>
      <c r="G6" s="422"/>
      <c r="H6" s="368" t="s">
        <v>8648</v>
      </c>
      <c r="I6" s="368" t="s">
        <v>8704</v>
      </c>
      <c r="J6" s="368" t="s">
        <v>8705</v>
      </c>
      <c r="K6" s="368" t="s">
        <v>8706</v>
      </c>
      <c r="M6" s="422"/>
      <c r="N6" s="368" t="s">
        <v>8648</v>
      </c>
      <c r="O6" s="368" t="s">
        <v>8668</v>
      </c>
      <c r="P6" s="368" t="s">
        <v>8678</v>
      </c>
      <c r="Q6" s="368" t="s">
        <v>8726</v>
      </c>
      <c r="S6" s="422"/>
      <c r="T6" s="368" t="s">
        <v>8648</v>
      </c>
      <c r="U6" s="368" t="s">
        <v>8743</v>
      </c>
      <c r="V6" s="368" t="s">
        <v>8744</v>
      </c>
      <c r="W6" s="368" t="s">
        <v>8745</v>
      </c>
    </row>
    <row r="7" spans="1:25" ht="16.5" thickBot="1">
      <c r="A7" s="422"/>
      <c r="B7" s="368" t="s">
        <v>8649</v>
      </c>
      <c r="C7" s="368" t="s">
        <v>8669</v>
      </c>
      <c r="D7" s="368" t="s">
        <v>8670</v>
      </c>
      <c r="E7" s="368" t="s">
        <v>8671</v>
      </c>
      <c r="G7" s="422"/>
      <c r="H7" s="368" t="s">
        <v>8649</v>
      </c>
      <c r="I7" s="368" t="s">
        <v>8707</v>
      </c>
      <c r="J7" s="368" t="s">
        <v>8707</v>
      </c>
      <c r="K7" s="368" t="s">
        <v>8708</v>
      </c>
      <c r="M7" s="422"/>
      <c r="N7" s="368" t="s">
        <v>8649</v>
      </c>
      <c r="O7" s="368" t="s">
        <v>8727</v>
      </c>
      <c r="P7" s="368" t="s">
        <v>8728</v>
      </c>
      <c r="Q7" s="368" t="s">
        <v>8728</v>
      </c>
      <c r="S7" s="422"/>
      <c r="T7" s="368" t="s">
        <v>8649</v>
      </c>
      <c r="U7" s="368" t="s">
        <v>8746</v>
      </c>
      <c r="V7" s="368" t="s">
        <v>8716</v>
      </c>
      <c r="W7" s="368" t="s">
        <v>8708</v>
      </c>
    </row>
    <row r="8" spans="1:25" ht="32.25" thickBot="1">
      <c r="A8" s="422"/>
      <c r="B8" s="368" t="s">
        <v>8650</v>
      </c>
      <c r="C8" s="368" t="s">
        <v>8672</v>
      </c>
      <c r="D8" s="368" t="s">
        <v>8673</v>
      </c>
      <c r="E8" s="368" t="s">
        <v>8674</v>
      </c>
      <c r="G8" s="422"/>
      <c r="H8" s="368" t="s">
        <v>8650</v>
      </c>
      <c r="I8" s="368" t="s">
        <v>8693</v>
      </c>
      <c r="J8" s="368" t="s">
        <v>8709</v>
      </c>
      <c r="K8" s="368" t="s">
        <v>8670</v>
      </c>
      <c r="M8" s="422"/>
      <c r="N8" s="368" t="s">
        <v>8650</v>
      </c>
      <c r="O8" s="368" t="s">
        <v>8670</v>
      </c>
      <c r="P8" s="368" t="s">
        <v>8672</v>
      </c>
      <c r="Q8" s="368" t="s">
        <v>8708</v>
      </c>
      <c r="S8" s="422"/>
      <c r="T8" s="368" t="s">
        <v>8650</v>
      </c>
      <c r="U8" s="368" t="s">
        <v>8747</v>
      </c>
      <c r="V8" s="368" t="s">
        <v>8748</v>
      </c>
      <c r="W8" s="368" t="s">
        <v>8727</v>
      </c>
    </row>
    <row r="9" spans="1:25" ht="16.5" thickBot="1">
      <c r="A9" s="423"/>
      <c r="B9" s="368" t="s">
        <v>8651</v>
      </c>
      <c r="C9" s="368">
        <v>81</v>
      </c>
      <c r="D9" s="368">
        <v>81</v>
      </c>
      <c r="E9" s="368">
        <v>78</v>
      </c>
      <c r="G9" s="423"/>
      <c r="H9" s="368" t="s">
        <v>8651</v>
      </c>
      <c r="I9" s="368">
        <v>82</v>
      </c>
      <c r="J9" s="368">
        <v>79</v>
      </c>
      <c r="K9" s="368">
        <v>76</v>
      </c>
      <c r="M9" s="423"/>
      <c r="N9" s="368" t="s">
        <v>8651</v>
      </c>
      <c r="O9" s="368">
        <v>81</v>
      </c>
      <c r="P9" s="368">
        <v>79</v>
      </c>
      <c r="Q9" s="368">
        <v>75</v>
      </c>
      <c r="S9" s="423"/>
      <c r="T9" s="368" t="s">
        <v>8651</v>
      </c>
      <c r="U9" s="368">
        <v>82</v>
      </c>
      <c r="V9" s="368">
        <v>78</v>
      </c>
      <c r="W9" s="368">
        <v>75</v>
      </c>
    </row>
    <row r="10" spans="1:25" ht="16.5" thickBot="1">
      <c r="A10" s="418" t="s">
        <v>8675</v>
      </c>
      <c r="B10" s="368" t="s">
        <v>8676</v>
      </c>
      <c r="C10" s="368" t="s">
        <v>8677</v>
      </c>
      <c r="D10" s="368" t="s">
        <v>8678</v>
      </c>
      <c r="E10" s="368" t="s">
        <v>8679</v>
      </c>
      <c r="G10" s="418" t="s">
        <v>8675</v>
      </c>
      <c r="H10" s="368" t="s">
        <v>8676</v>
      </c>
      <c r="I10" s="368" t="s">
        <v>8710</v>
      </c>
      <c r="J10" s="368" t="s">
        <v>8711</v>
      </c>
      <c r="K10" s="368" t="s">
        <v>8679</v>
      </c>
      <c r="M10" s="418" t="s">
        <v>8675</v>
      </c>
      <c r="N10" s="368" t="s">
        <v>8676</v>
      </c>
      <c r="O10" s="368" t="s">
        <v>8668</v>
      </c>
      <c r="P10" s="368" t="s">
        <v>8729</v>
      </c>
      <c r="Q10" s="368" t="s">
        <v>8679</v>
      </c>
      <c r="S10" s="418" t="s">
        <v>8675</v>
      </c>
      <c r="T10" s="368" t="s">
        <v>8676</v>
      </c>
      <c r="U10" s="368" t="s">
        <v>8667</v>
      </c>
      <c r="V10" s="368" t="s">
        <v>8729</v>
      </c>
      <c r="W10" s="368" t="s">
        <v>8679</v>
      </c>
    </row>
    <row r="11" spans="1:25" ht="16.5" thickBot="1">
      <c r="A11" s="419"/>
      <c r="B11" s="368" t="s">
        <v>8680</v>
      </c>
      <c r="C11" s="368" t="s">
        <v>8681</v>
      </c>
      <c r="D11" s="368" t="s">
        <v>8682</v>
      </c>
      <c r="E11" s="368" t="s">
        <v>8683</v>
      </c>
      <c r="G11" s="419"/>
      <c r="H11" s="368" t="s">
        <v>8680</v>
      </c>
      <c r="I11" s="368" t="s">
        <v>8681</v>
      </c>
      <c r="J11" s="368" t="s">
        <v>8712</v>
      </c>
      <c r="K11" s="368" t="s">
        <v>8713</v>
      </c>
      <c r="M11" s="419"/>
      <c r="N11" s="368" t="s">
        <v>8680</v>
      </c>
      <c r="O11" s="368" t="s">
        <v>8713</v>
      </c>
      <c r="P11" s="368" t="s">
        <v>8713</v>
      </c>
      <c r="Q11" s="368" t="s">
        <v>8730</v>
      </c>
      <c r="S11" s="419"/>
      <c r="T11" s="368" t="s">
        <v>8680</v>
      </c>
      <c r="U11" s="368" t="s">
        <v>8749</v>
      </c>
      <c r="V11" s="368" t="s">
        <v>8749</v>
      </c>
      <c r="W11" s="368" t="s">
        <v>8730</v>
      </c>
    </row>
    <row r="12" spans="1:25" ht="16.5" thickBot="1">
      <c r="A12" s="419"/>
      <c r="B12" s="368" t="s">
        <v>8684</v>
      </c>
      <c r="C12" s="368" t="s">
        <v>8685</v>
      </c>
      <c r="D12" s="368" t="s">
        <v>8686</v>
      </c>
      <c r="E12" s="368" t="s">
        <v>8687</v>
      </c>
      <c r="G12" s="419"/>
      <c r="H12" s="368" t="s">
        <v>8684</v>
      </c>
      <c r="I12" s="368" t="s">
        <v>8685</v>
      </c>
      <c r="J12" s="368" t="s">
        <v>8714</v>
      </c>
      <c r="K12" s="368" t="s">
        <v>8681</v>
      </c>
      <c r="M12" s="419"/>
      <c r="N12" s="368" t="s">
        <v>8684</v>
      </c>
      <c r="O12" s="368" t="s">
        <v>8682</v>
      </c>
      <c r="P12" s="368" t="s">
        <v>8731</v>
      </c>
      <c r="Q12" s="368" t="s">
        <v>8732</v>
      </c>
      <c r="S12" s="419"/>
      <c r="T12" s="368" t="s">
        <v>8684</v>
      </c>
      <c r="U12" s="368" t="s">
        <v>8687</v>
      </c>
      <c r="V12" s="368" t="s">
        <v>8687</v>
      </c>
      <c r="W12" s="368" t="s">
        <v>8750</v>
      </c>
    </row>
    <row r="13" spans="1:25" ht="32.25" thickBot="1">
      <c r="A13" s="419"/>
      <c r="B13" s="368" t="s">
        <v>8688</v>
      </c>
      <c r="C13" s="368">
        <v>1</v>
      </c>
      <c r="D13" s="368" t="s">
        <v>8689</v>
      </c>
      <c r="E13" s="368" t="s">
        <v>8672</v>
      </c>
      <c r="G13" s="419"/>
      <c r="H13" s="368" t="s">
        <v>8688</v>
      </c>
      <c r="I13" s="368">
        <v>1</v>
      </c>
      <c r="J13" s="368" t="s">
        <v>8715</v>
      </c>
      <c r="K13" s="368" t="s">
        <v>8716</v>
      </c>
      <c r="M13" s="419"/>
      <c r="N13" s="368" t="s">
        <v>8688</v>
      </c>
      <c r="O13" s="368" t="s">
        <v>8733</v>
      </c>
      <c r="P13" s="368" t="s">
        <v>8734</v>
      </c>
      <c r="Q13" s="368">
        <v>12</v>
      </c>
      <c r="S13" s="419"/>
      <c r="T13" s="368" t="s">
        <v>8688</v>
      </c>
      <c r="U13" s="368" t="s">
        <v>8751</v>
      </c>
      <c r="V13" s="368" t="s">
        <v>8752</v>
      </c>
      <c r="W13" s="368">
        <v>12</v>
      </c>
    </row>
    <row r="14" spans="1:25" ht="32.25" thickBot="1">
      <c r="A14" s="419"/>
      <c r="B14" s="368" t="s">
        <v>8690</v>
      </c>
      <c r="C14" s="368">
        <v>10123</v>
      </c>
      <c r="D14" s="368">
        <v>8424</v>
      </c>
      <c r="E14" s="368" t="s">
        <v>8679</v>
      </c>
      <c r="G14" s="419"/>
      <c r="H14" s="368" t="s">
        <v>8690</v>
      </c>
      <c r="I14" s="368">
        <v>9198</v>
      </c>
      <c r="J14" s="368">
        <v>8725</v>
      </c>
      <c r="K14" s="368" t="s">
        <v>8679</v>
      </c>
      <c r="M14" s="419"/>
      <c r="N14" s="368" t="s">
        <v>8690</v>
      </c>
      <c r="O14" s="368">
        <v>14137</v>
      </c>
      <c r="P14" s="368">
        <v>10501</v>
      </c>
      <c r="Q14" s="368" t="s">
        <v>8679</v>
      </c>
      <c r="S14" s="419"/>
      <c r="T14" s="368" t="s">
        <v>8690</v>
      </c>
      <c r="U14" s="368">
        <v>11528</v>
      </c>
      <c r="V14" s="368">
        <v>13071</v>
      </c>
      <c r="W14" s="368" t="s">
        <v>8679</v>
      </c>
    </row>
    <row r="15" spans="1:25" ht="16.5" thickBot="1">
      <c r="A15" s="419"/>
      <c r="B15" s="368" t="s">
        <v>8691</v>
      </c>
      <c r="C15" s="368" t="s">
        <v>8670</v>
      </c>
      <c r="D15" s="368" t="s">
        <v>8692</v>
      </c>
      <c r="E15" s="368" t="s">
        <v>8693</v>
      </c>
      <c r="G15" s="419"/>
      <c r="H15" s="368" t="s">
        <v>8691</v>
      </c>
      <c r="I15" s="368" t="s">
        <v>8717</v>
      </c>
      <c r="J15" s="368" t="s">
        <v>8693</v>
      </c>
      <c r="K15" s="368" t="s">
        <v>8718</v>
      </c>
      <c r="M15" s="419"/>
      <c r="N15" s="368" t="s">
        <v>8691</v>
      </c>
      <c r="O15" s="368" t="s">
        <v>8735</v>
      </c>
      <c r="P15" s="368" t="s">
        <v>8692</v>
      </c>
      <c r="Q15" s="368" t="s">
        <v>8718</v>
      </c>
      <c r="S15" s="419"/>
      <c r="T15" s="368" t="s">
        <v>8691</v>
      </c>
      <c r="U15" s="368" t="s">
        <v>8748</v>
      </c>
      <c r="V15" s="368" t="s">
        <v>8692</v>
      </c>
      <c r="W15" s="368" t="s">
        <v>8753</v>
      </c>
    </row>
    <row r="16" spans="1:25" ht="32.25" thickBot="1">
      <c r="A16" s="419"/>
      <c r="B16" s="368" t="s">
        <v>8694</v>
      </c>
      <c r="C16" s="368">
        <v>53</v>
      </c>
      <c r="D16" s="368">
        <v>46</v>
      </c>
      <c r="E16" s="368" t="s">
        <v>8679</v>
      </c>
      <c r="G16" s="419"/>
      <c r="H16" s="368" t="s">
        <v>8694</v>
      </c>
      <c r="I16" s="368">
        <v>39</v>
      </c>
      <c r="J16" s="368">
        <v>22</v>
      </c>
      <c r="K16" s="368" t="s">
        <v>8679</v>
      </c>
      <c r="M16" s="419"/>
      <c r="N16" s="368" t="s">
        <v>8694</v>
      </c>
      <c r="O16" s="368">
        <v>57</v>
      </c>
      <c r="P16" s="368">
        <v>30</v>
      </c>
      <c r="Q16" s="368" t="s">
        <v>8679</v>
      </c>
      <c r="S16" s="419"/>
      <c r="T16" s="368" t="s">
        <v>8694</v>
      </c>
      <c r="U16" s="368">
        <v>70</v>
      </c>
      <c r="V16" s="368">
        <v>35</v>
      </c>
      <c r="W16" s="368" t="s">
        <v>8679</v>
      </c>
    </row>
    <row r="17" spans="1:29" ht="32.25" thickBot="1">
      <c r="A17" s="419"/>
      <c r="B17" s="368" t="s">
        <v>8695</v>
      </c>
      <c r="C17" s="368">
        <v>251</v>
      </c>
      <c r="D17" s="368">
        <v>225</v>
      </c>
      <c r="E17" s="368" t="s">
        <v>8679</v>
      </c>
      <c r="G17" s="419"/>
      <c r="H17" s="368" t="s">
        <v>8695</v>
      </c>
      <c r="I17" s="368">
        <v>245</v>
      </c>
      <c r="J17" s="368">
        <v>228</v>
      </c>
      <c r="K17" s="368" t="s">
        <v>8679</v>
      </c>
      <c r="M17" s="419"/>
      <c r="N17" s="368" t="s">
        <v>8695</v>
      </c>
      <c r="O17" s="368">
        <v>241</v>
      </c>
      <c r="P17" s="368">
        <v>203</v>
      </c>
      <c r="Q17" s="368" t="s">
        <v>8679</v>
      </c>
      <c r="S17" s="419"/>
      <c r="T17" s="368" t="s">
        <v>8695</v>
      </c>
      <c r="U17" s="368">
        <v>242</v>
      </c>
      <c r="V17" s="368">
        <v>176</v>
      </c>
      <c r="W17" s="368" t="s">
        <v>8679</v>
      </c>
    </row>
    <row r="18" spans="1:29" ht="32.25" thickBot="1">
      <c r="A18" s="420"/>
      <c r="B18" s="368" t="s">
        <v>8696</v>
      </c>
      <c r="C18" s="368">
        <v>364</v>
      </c>
      <c r="D18" s="368">
        <v>332</v>
      </c>
      <c r="E18" s="368" t="s">
        <v>8679</v>
      </c>
      <c r="G18" s="420"/>
      <c r="H18" s="368" t="s">
        <v>8696</v>
      </c>
      <c r="I18" s="368">
        <v>373</v>
      </c>
      <c r="J18" s="368">
        <v>313</v>
      </c>
      <c r="K18" s="368" t="s">
        <v>8679</v>
      </c>
      <c r="M18" s="420"/>
      <c r="N18" s="368" t="s">
        <v>8696</v>
      </c>
      <c r="O18" s="368">
        <v>327</v>
      </c>
      <c r="P18" s="368">
        <v>295</v>
      </c>
      <c r="Q18" s="368" t="s">
        <v>8679</v>
      </c>
      <c r="S18" s="420"/>
      <c r="T18" s="368" t="s">
        <v>8696</v>
      </c>
      <c r="U18" s="368">
        <v>293</v>
      </c>
      <c r="V18" s="368">
        <v>250</v>
      </c>
      <c r="W18" s="368" t="s">
        <v>8679</v>
      </c>
    </row>
    <row r="21" spans="1:29" ht="15.75" thickBot="1">
      <c r="A21" s="378" t="s">
        <v>8774</v>
      </c>
      <c r="G21" s="378" t="s">
        <v>8774</v>
      </c>
      <c r="M21" s="378" t="s">
        <v>8774</v>
      </c>
      <c r="S21" s="378" t="s">
        <v>8774</v>
      </c>
      <c r="Y21" s="378" t="s">
        <v>8816</v>
      </c>
      <c r="Z21" s="205"/>
      <c r="AA21" s="205"/>
      <c r="AB21" s="205"/>
      <c r="AC21" s="205"/>
    </row>
    <row r="22" spans="1:29" ht="15.75" thickBot="1">
      <c r="A22" s="369" t="s">
        <v>8812</v>
      </c>
      <c r="B22" s="370" t="s">
        <v>8754</v>
      </c>
      <c r="C22" s="370" t="s">
        <v>8755</v>
      </c>
      <c r="D22" s="371" t="s">
        <v>8756</v>
      </c>
      <c r="E22" s="370" t="s">
        <v>8204</v>
      </c>
      <c r="G22" s="369" t="s">
        <v>8812</v>
      </c>
      <c r="H22" s="370" t="s">
        <v>8754</v>
      </c>
      <c r="I22" s="370" t="s">
        <v>8755</v>
      </c>
      <c r="J22" s="371" t="s">
        <v>8756</v>
      </c>
      <c r="K22" s="370" t="s">
        <v>8204</v>
      </c>
      <c r="M22" s="369" t="s">
        <v>8812</v>
      </c>
      <c r="N22" s="370" t="s">
        <v>8754</v>
      </c>
      <c r="O22" s="370" t="s">
        <v>8755</v>
      </c>
      <c r="P22" s="371" t="s">
        <v>8756</v>
      </c>
      <c r="Q22" s="370" t="s">
        <v>8204</v>
      </c>
      <c r="S22" s="369" t="s">
        <v>8812</v>
      </c>
      <c r="T22" s="370" t="s">
        <v>8754</v>
      </c>
      <c r="U22" s="370" t="s">
        <v>8755</v>
      </c>
      <c r="V22" s="371" t="s">
        <v>8756</v>
      </c>
      <c r="W22" s="370" t="s">
        <v>8204</v>
      </c>
      <c r="Y22" s="369" t="s">
        <v>8811</v>
      </c>
      <c r="Z22" s="370" t="s">
        <v>8754</v>
      </c>
      <c r="AA22" s="370" t="s">
        <v>8755</v>
      </c>
      <c r="AB22" s="371" t="s">
        <v>8756</v>
      </c>
      <c r="AC22" s="370" t="s">
        <v>8204</v>
      </c>
    </row>
    <row r="23" spans="1:29" ht="15.75" thickBot="1">
      <c r="A23" s="372" t="s">
        <v>8757</v>
      </c>
      <c r="B23" s="373" t="s">
        <v>8758</v>
      </c>
      <c r="C23" s="373" t="s">
        <v>8759</v>
      </c>
      <c r="D23" s="374" t="s">
        <v>8758</v>
      </c>
      <c r="E23" s="375" t="s">
        <v>8679</v>
      </c>
      <c r="G23" s="372" t="s">
        <v>8757</v>
      </c>
      <c r="H23" s="373" t="s">
        <v>8775</v>
      </c>
      <c r="I23" s="373" t="s">
        <v>8776</v>
      </c>
      <c r="J23" s="374" t="s">
        <v>8777</v>
      </c>
      <c r="K23" s="375" t="s">
        <v>8679</v>
      </c>
      <c r="M23" s="372" t="s">
        <v>8757</v>
      </c>
      <c r="N23" s="373" t="s">
        <v>8788</v>
      </c>
      <c r="O23" s="373" t="s">
        <v>8789</v>
      </c>
      <c r="P23" s="374" t="s">
        <v>8790</v>
      </c>
      <c r="Q23" s="375" t="s">
        <v>8679</v>
      </c>
      <c r="S23" s="372" t="s">
        <v>8757</v>
      </c>
      <c r="T23" s="373" t="s">
        <v>8798</v>
      </c>
      <c r="U23" s="373" t="s">
        <v>8788</v>
      </c>
      <c r="V23" s="374" t="s">
        <v>8799</v>
      </c>
      <c r="W23" s="375" t="s">
        <v>8679</v>
      </c>
      <c r="Y23" s="372" t="s">
        <v>8757</v>
      </c>
      <c r="Z23" s="373">
        <v>24.3</v>
      </c>
      <c r="AA23" s="373">
        <v>22.8</v>
      </c>
      <c r="AB23" s="374">
        <v>21.3</v>
      </c>
      <c r="AC23" s="375" t="s">
        <v>8679</v>
      </c>
    </row>
    <row r="24" spans="1:29">
      <c r="A24" s="376" t="s">
        <v>8760</v>
      </c>
      <c r="B24" s="412" t="s">
        <v>8673</v>
      </c>
      <c r="C24" s="412" t="s">
        <v>8753</v>
      </c>
      <c r="D24" s="414" t="s">
        <v>8762</v>
      </c>
      <c r="E24" s="408" t="s">
        <v>8708</v>
      </c>
      <c r="G24" s="376" t="s">
        <v>8760</v>
      </c>
      <c r="H24" s="412" t="s">
        <v>8778</v>
      </c>
      <c r="I24" s="412" t="s">
        <v>8753</v>
      </c>
      <c r="J24" s="414" t="s">
        <v>8753</v>
      </c>
      <c r="K24" s="408" t="s">
        <v>8779</v>
      </c>
      <c r="M24" s="376" t="s">
        <v>8760</v>
      </c>
      <c r="N24" s="412" t="s">
        <v>8734</v>
      </c>
      <c r="O24" s="412" t="s">
        <v>8753</v>
      </c>
      <c r="P24" s="414" t="s">
        <v>8778</v>
      </c>
      <c r="Q24" s="408" t="s">
        <v>8708</v>
      </c>
      <c r="S24" s="376" t="s">
        <v>8760</v>
      </c>
      <c r="T24" s="412" t="s">
        <v>8778</v>
      </c>
      <c r="U24" s="412" t="s">
        <v>8753</v>
      </c>
      <c r="V24" s="414" t="s">
        <v>8693</v>
      </c>
      <c r="W24" s="408" t="s">
        <v>8800</v>
      </c>
      <c r="Y24" s="376" t="s">
        <v>8760</v>
      </c>
      <c r="Z24" s="412">
        <v>1.5</v>
      </c>
      <c r="AA24" s="412">
        <v>1.6</v>
      </c>
      <c r="AB24" s="414">
        <v>0.3</v>
      </c>
      <c r="AC24" s="408">
        <f>SUM(Z24:AB25)</f>
        <v>3.4</v>
      </c>
    </row>
    <row r="25" spans="1:29" ht="15.75" thickBot="1">
      <c r="A25" s="377" t="s">
        <v>8761</v>
      </c>
      <c r="B25" s="413"/>
      <c r="C25" s="413"/>
      <c r="D25" s="415"/>
      <c r="E25" s="409"/>
      <c r="G25" s="377" t="s">
        <v>8761</v>
      </c>
      <c r="H25" s="413"/>
      <c r="I25" s="413"/>
      <c r="J25" s="415"/>
      <c r="K25" s="409"/>
      <c r="M25" s="377" t="s">
        <v>8761</v>
      </c>
      <c r="N25" s="413"/>
      <c r="O25" s="413"/>
      <c r="P25" s="415"/>
      <c r="Q25" s="409"/>
      <c r="S25" s="377" t="s">
        <v>8761</v>
      </c>
      <c r="T25" s="413"/>
      <c r="U25" s="413"/>
      <c r="V25" s="415"/>
      <c r="W25" s="409"/>
      <c r="Y25" s="377" t="s">
        <v>8761</v>
      </c>
      <c r="Z25" s="413"/>
      <c r="AA25" s="413"/>
      <c r="AB25" s="415"/>
      <c r="AC25" s="409"/>
    </row>
    <row r="26" spans="1:29">
      <c r="A26" s="376" t="s">
        <v>8763</v>
      </c>
      <c r="B26" s="412" t="s">
        <v>8660</v>
      </c>
      <c r="C26" s="412" t="s">
        <v>8765</v>
      </c>
      <c r="D26" s="414" t="s">
        <v>8766</v>
      </c>
      <c r="E26" s="408" t="s">
        <v>8767</v>
      </c>
      <c r="G26" s="376" t="s">
        <v>8763</v>
      </c>
      <c r="H26" s="412" t="s">
        <v>8780</v>
      </c>
      <c r="I26" s="412" t="s">
        <v>8781</v>
      </c>
      <c r="J26" s="414" t="s">
        <v>8782</v>
      </c>
      <c r="K26" s="408" t="s">
        <v>8783</v>
      </c>
      <c r="M26" s="376" t="s">
        <v>8763</v>
      </c>
      <c r="N26" s="412" t="s">
        <v>8791</v>
      </c>
      <c r="O26" s="412" t="s">
        <v>8792</v>
      </c>
      <c r="P26" s="414" t="s">
        <v>8793</v>
      </c>
      <c r="Q26" s="408" t="s">
        <v>8794</v>
      </c>
      <c r="S26" s="376" t="s">
        <v>8763</v>
      </c>
      <c r="T26" s="412" t="s">
        <v>8801</v>
      </c>
      <c r="U26" s="412" t="s">
        <v>8802</v>
      </c>
      <c r="V26" s="414" t="s">
        <v>8803</v>
      </c>
      <c r="W26" s="408" t="s">
        <v>8804</v>
      </c>
      <c r="Y26" s="376" t="s">
        <v>8763</v>
      </c>
      <c r="Z26" s="412">
        <v>7.5</v>
      </c>
      <c r="AA26" s="412">
        <v>13.8</v>
      </c>
      <c r="AB26" s="414">
        <v>14.1</v>
      </c>
      <c r="AC26" s="408">
        <f>SUM(Z26:AB27)</f>
        <v>35.4</v>
      </c>
    </row>
    <row r="27" spans="1:29" ht="15.75" thickBot="1">
      <c r="A27" s="377" t="s">
        <v>8764</v>
      </c>
      <c r="B27" s="413"/>
      <c r="C27" s="413"/>
      <c r="D27" s="415"/>
      <c r="E27" s="409"/>
      <c r="G27" s="377" t="s">
        <v>8764</v>
      </c>
      <c r="H27" s="413"/>
      <c r="I27" s="413"/>
      <c r="J27" s="415"/>
      <c r="K27" s="409"/>
      <c r="M27" s="377" t="s">
        <v>8764</v>
      </c>
      <c r="N27" s="413"/>
      <c r="O27" s="413"/>
      <c r="P27" s="415"/>
      <c r="Q27" s="409"/>
      <c r="S27" s="377" t="s">
        <v>8764</v>
      </c>
      <c r="T27" s="413"/>
      <c r="U27" s="413"/>
      <c r="V27" s="415"/>
      <c r="W27" s="409"/>
      <c r="Y27" s="377" t="s">
        <v>8764</v>
      </c>
      <c r="Z27" s="413"/>
      <c r="AA27" s="413"/>
      <c r="AB27" s="415"/>
      <c r="AC27" s="409"/>
    </row>
    <row r="28" spans="1:29">
      <c r="A28" s="376" t="s">
        <v>8768</v>
      </c>
      <c r="B28" s="408" t="s">
        <v>8770</v>
      </c>
      <c r="C28" s="408" t="s">
        <v>8771</v>
      </c>
      <c r="D28" s="416" t="s">
        <v>8772</v>
      </c>
      <c r="E28" s="410" t="s">
        <v>8773</v>
      </c>
      <c r="G28" s="376" t="s">
        <v>8768</v>
      </c>
      <c r="H28" s="408" t="s">
        <v>8784</v>
      </c>
      <c r="I28" s="408" t="s">
        <v>8785</v>
      </c>
      <c r="J28" s="416" t="s">
        <v>8786</v>
      </c>
      <c r="K28" s="410" t="s">
        <v>8787</v>
      </c>
      <c r="M28" s="376" t="s">
        <v>8768</v>
      </c>
      <c r="N28" s="408" t="s">
        <v>8795</v>
      </c>
      <c r="O28" s="408" t="s">
        <v>8722</v>
      </c>
      <c r="P28" s="416" t="s">
        <v>8796</v>
      </c>
      <c r="Q28" s="410" t="s">
        <v>8797</v>
      </c>
      <c r="S28" s="376" t="s">
        <v>8768</v>
      </c>
      <c r="T28" s="408" t="s">
        <v>8805</v>
      </c>
      <c r="U28" s="408" t="s">
        <v>8806</v>
      </c>
      <c r="V28" s="416" t="s">
        <v>8807</v>
      </c>
      <c r="W28" s="410" t="s">
        <v>8808</v>
      </c>
      <c r="Y28" s="376" t="s">
        <v>8768</v>
      </c>
      <c r="Z28" s="408">
        <f>SUM(Z24:Z27)</f>
        <v>9</v>
      </c>
      <c r="AA28" s="408">
        <f t="shared" ref="AA28" si="0">SUM(AA24:AA27)</f>
        <v>15.4</v>
      </c>
      <c r="AB28" s="408">
        <f t="shared" ref="AB28" si="1">SUM(AB24:AB27)</f>
        <v>14.4</v>
      </c>
      <c r="AC28" s="410">
        <f t="shared" ref="AC28" si="2">SUM(AC24:AC27)</f>
        <v>38.799999999999997</v>
      </c>
    </row>
    <row r="29" spans="1:29" ht="15.75" thickBot="1">
      <c r="A29" s="377" t="s">
        <v>8769</v>
      </c>
      <c r="B29" s="409"/>
      <c r="C29" s="409"/>
      <c r="D29" s="417"/>
      <c r="E29" s="411"/>
      <c r="G29" s="377" t="s">
        <v>8769</v>
      </c>
      <c r="H29" s="409"/>
      <c r="I29" s="409"/>
      <c r="J29" s="417"/>
      <c r="K29" s="411"/>
      <c r="M29" s="377" t="s">
        <v>8769</v>
      </c>
      <c r="N29" s="409"/>
      <c r="O29" s="409"/>
      <c r="P29" s="417"/>
      <c r="Q29" s="411"/>
      <c r="S29" s="377" t="s">
        <v>8769</v>
      </c>
      <c r="T29" s="409"/>
      <c r="U29" s="409"/>
      <c r="V29" s="417"/>
      <c r="W29" s="411"/>
      <c r="Y29" s="377" t="s">
        <v>8769</v>
      </c>
      <c r="Z29" s="409"/>
      <c r="AA29" s="409"/>
      <c r="AB29" s="409"/>
      <c r="AC29" s="411"/>
    </row>
    <row r="32" spans="1:29" ht="15.75" thickBot="1">
      <c r="A32" s="378" t="s">
        <v>8810</v>
      </c>
      <c r="G32" s="378" t="s">
        <v>8810</v>
      </c>
      <c r="H32" s="205"/>
      <c r="I32" s="205"/>
      <c r="J32" s="205"/>
      <c r="K32" s="205"/>
      <c r="M32" s="378" t="s">
        <v>8810</v>
      </c>
      <c r="N32" s="205"/>
      <c r="O32" s="205"/>
      <c r="P32" s="205"/>
      <c r="Q32" s="205"/>
      <c r="S32" s="378" t="s">
        <v>8810</v>
      </c>
      <c r="T32" s="205"/>
      <c r="U32" s="205"/>
      <c r="V32" s="205"/>
      <c r="W32" s="205"/>
      <c r="Y32" s="378" t="s">
        <v>8817</v>
      </c>
      <c r="Z32" s="205"/>
      <c r="AA32" s="205"/>
      <c r="AB32" s="205"/>
      <c r="AC32" s="205"/>
    </row>
    <row r="33" spans="1:29" ht="15.75" thickBot="1">
      <c r="A33" s="369" t="s">
        <v>8811</v>
      </c>
      <c r="B33" s="370" t="s">
        <v>8754</v>
      </c>
      <c r="C33" s="370" t="s">
        <v>8755</v>
      </c>
      <c r="D33" s="371" t="s">
        <v>8756</v>
      </c>
      <c r="E33" s="370" t="s">
        <v>8204</v>
      </c>
      <c r="G33" s="369" t="s">
        <v>8811</v>
      </c>
      <c r="H33" s="370" t="s">
        <v>8754</v>
      </c>
      <c r="I33" s="370" t="s">
        <v>8755</v>
      </c>
      <c r="J33" s="371" t="s">
        <v>8756</v>
      </c>
      <c r="K33" s="370" t="s">
        <v>8204</v>
      </c>
      <c r="M33" s="369" t="s">
        <v>8811</v>
      </c>
      <c r="N33" s="370" t="s">
        <v>8754</v>
      </c>
      <c r="O33" s="370" t="s">
        <v>8755</v>
      </c>
      <c r="P33" s="371" t="s">
        <v>8756</v>
      </c>
      <c r="Q33" s="370" t="s">
        <v>8204</v>
      </c>
      <c r="S33" s="369" t="s">
        <v>8811</v>
      </c>
      <c r="T33" s="370" t="s">
        <v>8754</v>
      </c>
      <c r="U33" s="370" t="s">
        <v>8755</v>
      </c>
      <c r="V33" s="371" t="s">
        <v>8756</v>
      </c>
      <c r="W33" s="370" t="s">
        <v>8204</v>
      </c>
      <c r="Y33" s="369" t="s">
        <v>8811</v>
      </c>
      <c r="Z33" s="370" t="s">
        <v>8754</v>
      </c>
      <c r="AA33" s="370" t="s">
        <v>8755</v>
      </c>
      <c r="AB33" s="371" t="s">
        <v>8756</v>
      </c>
      <c r="AC33" s="370" t="s">
        <v>8204</v>
      </c>
    </row>
    <row r="34" spans="1:29" ht="15.75" thickBot="1">
      <c r="A34" s="372" t="s">
        <v>8757</v>
      </c>
      <c r="B34" s="373">
        <v>23.9</v>
      </c>
      <c r="C34" s="373">
        <v>24.3</v>
      </c>
      <c r="D34" s="374">
        <v>22.8</v>
      </c>
      <c r="E34" s="375" t="s">
        <v>8679</v>
      </c>
      <c r="G34" s="372" t="s">
        <v>8757</v>
      </c>
      <c r="H34" s="373">
        <v>23.7</v>
      </c>
      <c r="I34" s="373">
        <v>23.6</v>
      </c>
      <c r="J34" s="374">
        <v>25.7</v>
      </c>
      <c r="K34" s="375" t="s">
        <v>8679</v>
      </c>
      <c r="M34" s="372" t="s">
        <v>8757</v>
      </c>
      <c r="N34" s="373">
        <v>24</v>
      </c>
      <c r="O34" s="373">
        <v>23.4</v>
      </c>
      <c r="P34" s="374">
        <v>20.6</v>
      </c>
      <c r="Q34" s="375" t="s">
        <v>8679</v>
      </c>
      <c r="S34" s="372" t="s">
        <v>8757</v>
      </c>
      <c r="T34" s="373">
        <v>25.5</v>
      </c>
      <c r="U34" s="373">
        <v>24.7</v>
      </c>
      <c r="V34" s="374">
        <v>22.5</v>
      </c>
      <c r="W34" s="375" t="s">
        <v>8679</v>
      </c>
      <c r="Y34" s="372" t="s">
        <v>8757</v>
      </c>
      <c r="Z34" s="373">
        <v>23.5</v>
      </c>
      <c r="AA34" s="373">
        <v>24.5</v>
      </c>
      <c r="AB34" s="374">
        <v>21</v>
      </c>
      <c r="AC34" s="375" t="s">
        <v>8679</v>
      </c>
    </row>
    <row r="35" spans="1:29">
      <c r="A35" s="376" t="s">
        <v>8760</v>
      </c>
      <c r="B35" s="412">
        <v>7.5</v>
      </c>
      <c r="C35" s="412">
        <v>4</v>
      </c>
      <c r="D35" s="414">
        <v>1.3</v>
      </c>
      <c r="E35" s="408">
        <f>SUM(B35:D36)</f>
        <v>12.8</v>
      </c>
      <c r="G35" s="376" t="s">
        <v>8760</v>
      </c>
      <c r="H35" s="412">
        <v>2.1</v>
      </c>
      <c r="I35" s="412">
        <v>4.5999999999999996</v>
      </c>
      <c r="J35" s="414">
        <v>2.7</v>
      </c>
      <c r="K35" s="408">
        <f>SUM(H35:J36)</f>
        <v>9.3999999999999986</v>
      </c>
      <c r="M35" s="376" t="s">
        <v>8760</v>
      </c>
      <c r="N35" s="412">
        <v>1.2</v>
      </c>
      <c r="O35" s="412">
        <v>3</v>
      </c>
      <c r="P35" s="414">
        <v>1.6</v>
      </c>
      <c r="Q35" s="408">
        <f>SUM(N35:P36)</f>
        <v>5.8000000000000007</v>
      </c>
      <c r="S35" s="376" t="s">
        <v>8760</v>
      </c>
      <c r="T35" s="412">
        <v>0.6</v>
      </c>
      <c r="U35" s="412">
        <v>3.7</v>
      </c>
      <c r="V35" s="414">
        <v>1.3</v>
      </c>
      <c r="W35" s="408">
        <f>SUM(T35:V36)</f>
        <v>5.6</v>
      </c>
      <c r="Y35" s="376" t="s">
        <v>8760</v>
      </c>
      <c r="Z35" s="412">
        <v>1.5</v>
      </c>
      <c r="AA35" s="412">
        <v>4.7</v>
      </c>
      <c r="AB35" s="414">
        <v>0.6</v>
      </c>
      <c r="AC35" s="408">
        <f>SUM(Z35:AB36)</f>
        <v>6.8</v>
      </c>
    </row>
    <row r="36" spans="1:29" ht="15.75" thickBot="1">
      <c r="A36" s="377" t="s">
        <v>8761</v>
      </c>
      <c r="B36" s="413"/>
      <c r="C36" s="413"/>
      <c r="D36" s="415"/>
      <c r="E36" s="409"/>
      <c r="G36" s="377" t="s">
        <v>8761</v>
      </c>
      <c r="H36" s="413"/>
      <c r="I36" s="413"/>
      <c r="J36" s="415"/>
      <c r="K36" s="409"/>
      <c r="M36" s="377" t="s">
        <v>8761</v>
      </c>
      <c r="N36" s="413"/>
      <c r="O36" s="413"/>
      <c r="P36" s="415"/>
      <c r="Q36" s="409"/>
      <c r="S36" s="377" t="s">
        <v>8761</v>
      </c>
      <c r="T36" s="413"/>
      <c r="U36" s="413"/>
      <c r="V36" s="415"/>
      <c r="W36" s="409"/>
      <c r="Y36" s="377" t="s">
        <v>8761</v>
      </c>
      <c r="Z36" s="413"/>
      <c r="AA36" s="413"/>
      <c r="AB36" s="415"/>
      <c r="AC36" s="409"/>
    </row>
    <row r="37" spans="1:29">
      <c r="A37" s="376" t="s">
        <v>8763</v>
      </c>
      <c r="B37" s="412">
        <v>7.5</v>
      </c>
      <c r="C37" s="412">
        <v>5.7</v>
      </c>
      <c r="D37" s="414">
        <v>2.2999999999999998</v>
      </c>
      <c r="E37" s="408">
        <f>SUM(B37:D38)</f>
        <v>15.5</v>
      </c>
      <c r="G37" s="376" t="s">
        <v>8763</v>
      </c>
      <c r="H37" s="412">
        <v>10.199999999999999</v>
      </c>
      <c r="I37" s="412">
        <v>6.3</v>
      </c>
      <c r="J37" s="414">
        <v>4.0999999999999996</v>
      </c>
      <c r="K37" s="408">
        <f>SUM(H37:J38)</f>
        <v>20.6</v>
      </c>
      <c r="M37" s="376" t="s">
        <v>8763</v>
      </c>
      <c r="N37" s="412">
        <v>9</v>
      </c>
      <c r="O37" s="412">
        <v>11.2</v>
      </c>
      <c r="P37" s="414">
        <v>6</v>
      </c>
      <c r="Q37" s="408">
        <f>SUM(N37:P38)</f>
        <v>26.2</v>
      </c>
      <c r="S37" s="376" t="s">
        <v>8763</v>
      </c>
      <c r="T37" s="412">
        <v>10.4</v>
      </c>
      <c r="U37" s="412">
        <v>8.6999999999999993</v>
      </c>
      <c r="V37" s="414">
        <v>6.2</v>
      </c>
      <c r="W37" s="408">
        <f>SUM(T37:V38)</f>
        <v>25.3</v>
      </c>
      <c r="Y37" s="376" t="s">
        <v>8763</v>
      </c>
      <c r="Z37" s="412">
        <v>12.2</v>
      </c>
      <c r="AA37" s="412">
        <v>21.4</v>
      </c>
      <c r="AB37" s="414">
        <v>16.899999999999999</v>
      </c>
      <c r="AC37" s="408">
        <f>SUM(Z37:AB38)</f>
        <v>50.499999999999993</v>
      </c>
    </row>
    <row r="38" spans="1:29" ht="15.75" thickBot="1">
      <c r="A38" s="377" t="s">
        <v>8764</v>
      </c>
      <c r="B38" s="413"/>
      <c r="C38" s="413"/>
      <c r="D38" s="415"/>
      <c r="E38" s="409"/>
      <c r="G38" s="377" t="s">
        <v>8764</v>
      </c>
      <c r="H38" s="413"/>
      <c r="I38" s="413"/>
      <c r="J38" s="415"/>
      <c r="K38" s="409"/>
      <c r="M38" s="377" t="s">
        <v>8764</v>
      </c>
      <c r="N38" s="413"/>
      <c r="O38" s="413"/>
      <c r="P38" s="415"/>
      <c r="Q38" s="409"/>
      <c r="S38" s="377" t="s">
        <v>8764</v>
      </c>
      <c r="T38" s="413"/>
      <c r="U38" s="413"/>
      <c r="V38" s="415"/>
      <c r="W38" s="409"/>
      <c r="Y38" s="377" t="s">
        <v>8764</v>
      </c>
      <c r="Z38" s="413"/>
      <c r="AA38" s="413"/>
      <c r="AB38" s="415"/>
      <c r="AC38" s="409"/>
    </row>
    <row r="39" spans="1:29">
      <c r="A39" s="376" t="s">
        <v>8768</v>
      </c>
      <c r="B39" s="408">
        <f>SUM(B35:B38)</f>
        <v>15</v>
      </c>
      <c r="C39" s="408">
        <f t="shared" ref="C39:E39" si="3">SUM(C35:C38)</f>
        <v>9.6999999999999993</v>
      </c>
      <c r="D39" s="408">
        <f t="shared" si="3"/>
        <v>3.5999999999999996</v>
      </c>
      <c r="E39" s="410">
        <f t="shared" si="3"/>
        <v>28.3</v>
      </c>
      <c r="G39" s="376" t="s">
        <v>8768</v>
      </c>
      <c r="H39" s="408">
        <f>SUM(H35:H38)</f>
        <v>12.299999999999999</v>
      </c>
      <c r="I39" s="408">
        <f t="shared" ref="I39" si="4">SUM(I35:I38)</f>
        <v>10.899999999999999</v>
      </c>
      <c r="J39" s="408">
        <f t="shared" ref="J39" si="5">SUM(J35:J38)</f>
        <v>6.8</v>
      </c>
      <c r="K39" s="410">
        <f t="shared" ref="K39" si="6">SUM(K35:K38)</f>
        <v>30</v>
      </c>
      <c r="M39" s="376" t="s">
        <v>8768</v>
      </c>
      <c r="N39" s="408">
        <f>SUM(N35:N38)</f>
        <v>10.199999999999999</v>
      </c>
      <c r="O39" s="408">
        <f t="shared" ref="O39" si="7">SUM(O35:O38)</f>
        <v>14.2</v>
      </c>
      <c r="P39" s="408">
        <f t="shared" ref="P39" si="8">SUM(P35:P38)</f>
        <v>7.6</v>
      </c>
      <c r="Q39" s="410">
        <f t="shared" ref="Q39" si="9">SUM(Q35:Q38)</f>
        <v>32</v>
      </c>
      <c r="S39" s="376" t="s">
        <v>8768</v>
      </c>
      <c r="T39" s="408">
        <f>SUM(T35:T38)</f>
        <v>11</v>
      </c>
      <c r="U39" s="408">
        <f t="shared" ref="U39" si="10">SUM(U35:U38)</f>
        <v>12.399999999999999</v>
      </c>
      <c r="V39" s="408">
        <f t="shared" ref="V39" si="11">SUM(V35:V38)</f>
        <v>7.5</v>
      </c>
      <c r="W39" s="410">
        <f t="shared" ref="W39" si="12">SUM(W35:W38)</f>
        <v>30.9</v>
      </c>
      <c r="Y39" s="376" t="s">
        <v>8768</v>
      </c>
      <c r="Z39" s="408">
        <f>SUM(Z35:Z38)</f>
        <v>13.7</v>
      </c>
      <c r="AA39" s="408">
        <f t="shared" ref="AA39" si="13">SUM(AA35:AA38)</f>
        <v>26.099999999999998</v>
      </c>
      <c r="AB39" s="408">
        <f t="shared" ref="AB39" si="14">SUM(AB35:AB38)</f>
        <v>17.5</v>
      </c>
      <c r="AC39" s="410">
        <f t="shared" ref="AC39" si="15">SUM(AC35:AC38)</f>
        <v>57.29999999999999</v>
      </c>
    </row>
    <row r="40" spans="1:29" ht="15.75" thickBot="1">
      <c r="A40" s="377" t="s">
        <v>8769</v>
      </c>
      <c r="B40" s="409"/>
      <c r="C40" s="409"/>
      <c r="D40" s="409"/>
      <c r="E40" s="411"/>
      <c r="G40" s="377" t="s">
        <v>8769</v>
      </c>
      <c r="H40" s="409"/>
      <c r="I40" s="409"/>
      <c r="J40" s="409"/>
      <c r="K40" s="411"/>
      <c r="M40" s="377" t="s">
        <v>8769</v>
      </c>
      <c r="N40" s="409"/>
      <c r="O40" s="409"/>
      <c r="P40" s="409"/>
      <c r="Q40" s="411"/>
      <c r="S40" s="377" t="s">
        <v>8769</v>
      </c>
      <c r="T40" s="409"/>
      <c r="U40" s="409"/>
      <c r="V40" s="409"/>
      <c r="W40" s="411"/>
      <c r="Y40" s="377" t="s">
        <v>8769</v>
      </c>
      <c r="Z40" s="409"/>
      <c r="AA40" s="409"/>
      <c r="AB40" s="409"/>
      <c r="AC40" s="411"/>
    </row>
    <row r="43" spans="1:29" ht="15.75" thickBot="1">
      <c r="A43" s="378" t="s">
        <v>8809</v>
      </c>
      <c r="G43" s="378" t="s">
        <v>8809</v>
      </c>
      <c r="H43" s="205"/>
      <c r="I43" s="205"/>
      <c r="J43" s="205"/>
      <c r="K43" s="205"/>
      <c r="M43" s="378" t="s">
        <v>8809</v>
      </c>
      <c r="N43" s="205"/>
      <c r="O43" s="205"/>
      <c r="P43" s="205"/>
      <c r="Q43" s="205"/>
      <c r="S43" s="378" t="s">
        <v>8809</v>
      </c>
      <c r="T43" s="205"/>
      <c r="U43" s="205"/>
      <c r="V43" s="205"/>
      <c r="W43" s="205"/>
      <c r="Y43" s="378" t="s">
        <v>8818</v>
      </c>
      <c r="Z43" s="205"/>
      <c r="AA43" s="205"/>
      <c r="AB43" s="205"/>
      <c r="AC43" s="205"/>
    </row>
    <row r="44" spans="1:29" ht="15.75" thickBot="1">
      <c r="A44" s="369" t="s">
        <v>8813</v>
      </c>
      <c r="B44" s="370" t="s">
        <v>8754</v>
      </c>
      <c r="C44" s="370" t="s">
        <v>8755</v>
      </c>
      <c r="D44" s="371" t="s">
        <v>8756</v>
      </c>
      <c r="E44" s="370" t="s">
        <v>8204</v>
      </c>
      <c r="G44" s="369" t="s">
        <v>8813</v>
      </c>
      <c r="H44" s="370" t="s">
        <v>8754</v>
      </c>
      <c r="I44" s="370" t="s">
        <v>8755</v>
      </c>
      <c r="J44" s="371" t="s">
        <v>8756</v>
      </c>
      <c r="K44" s="370" t="s">
        <v>8204</v>
      </c>
      <c r="M44" s="369" t="s">
        <v>8813</v>
      </c>
      <c r="N44" s="370" t="s">
        <v>8754</v>
      </c>
      <c r="O44" s="370" t="s">
        <v>8755</v>
      </c>
      <c r="P44" s="371" t="s">
        <v>8756</v>
      </c>
      <c r="Q44" s="370" t="s">
        <v>8204</v>
      </c>
      <c r="S44" s="369" t="s">
        <v>8813</v>
      </c>
      <c r="T44" s="370" t="s">
        <v>8754</v>
      </c>
      <c r="U44" s="370" t="s">
        <v>8755</v>
      </c>
      <c r="V44" s="371" t="s">
        <v>8756</v>
      </c>
      <c r="W44" s="370" t="s">
        <v>8204</v>
      </c>
      <c r="Y44" s="369" t="s">
        <v>8813</v>
      </c>
      <c r="Z44" s="370" t="s">
        <v>8754</v>
      </c>
      <c r="AA44" s="370" t="s">
        <v>8755</v>
      </c>
      <c r="AB44" s="371" t="s">
        <v>8756</v>
      </c>
      <c r="AC44" s="370" t="s">
        <v>8204</v>
      </c>
    </row>
    <row r="45" spans="1:29" ht="15.75" thickBot="1">
      <c r="A45" s="372" t="s">
        <v>8757</v>
      </c>
      <c r="B45" s="373">
        <v>19.399999999999999</v>
      </c>
      <c r="C45" s="373">
        <v>20</v>
      </c>
      <c r="D45" s="374">
        <v>18.3</v>
      </c>
      <c r="E45" s="375" t="s">
        <v>8679</v>
      </c>
      <c r="G45" s="372" t="s">
        <v>8757</v>
      </c>
      <c r="H45" s="373">
        <v>19.2</v>
      </c>
      <c r="I45" s="373">
        <v>18.8</v>
      </c>
      <c r="J45" s="374">
        <v>17.100000000000001</v>
      </c>
      <c r="K45" s="375" t="s">
        <v>8679</v>
      </c>
      <c r="M45" s="372" t="s">
        <v>8757</v>
      </c>
      <c r="N45" s="373">
        <v>18.399999999999999</v>
      </c>
      <c r="O45" s="373">
        <v>19.100000000000001</v>
      </c>
      <c r="P45" s="374">
        <v>17.3</v>
      </c>
      <c r="Q45" s="375" t="s">
        <v>8679</v>
      </c>
      <c r="S45" s="372" t="s">
        <v>8757</v>
      </c>
      <c r="T45" s="373">
        <v>19.899999999999999</v>
      </c>
      <c r="U45" s="373">
        <v>14.6</v>
      </c>
      <c r="V45" s="374">
        <v>18.899999999999999</v>
      </c>
      <c r="W45" s="375" t="s">
        <v>8679</v>
      </c>
      <c r="Y45" s="372" t="s">
        <v>8757</v>
      </c>
      <c r="Z45" s="373">
        <v>19.5</v>
      </c>
      <c r="AA45" s="373">
        <v>19.899999999999999</v>
      </c>
      <c r="AB45" s="374">
        <v>19</v>
      </c>
      <c r="AC45" s="375" t="s">
        <v>8679</v>
      </c>
    </row>
    <row r="46" spans="1:29">
      <c r="A46" s="376" t="s">
        <v>8760</v>
      </c>
      <c r="B46" s="412">
        <v>1.4</v>
      </c>
      <c r="C46" s="412">
        <v>1.6</v>
      </c>
      <c r="D46" s="414">
        <v>0.3</v>
      </c>
      <c r="E46" s="408">
        <f>SUM(B46:D47)</f>
        <v>3.3</v>
      </c>
      <c r="G46" s="376" t="s">
        <v>8760</v>
      </c>
      <c r="H46" s="412">
        <v>0.6</v>
      </c>
      <c r="I46" s="412">
        <v>0.3</v>
      </c>
      <c r="J46" s="414">
        <v>0.6</v>
      </c>
      <c r="K46" s="408">
        <f>SUM(H46:J47)</f>
        <v>1.5</v>
      </c>
      <c r="M46" s="376" t="s">
        <v>8760</v>
      </c>
      <c r="N46" s="412">
        <v>0.3</v>
      </c>
      <c r="O46" s="412">
        <v>0.3</v>
      </c>
      <c r="P46" s="414">
        <v>1.5</v>
      </c>
      <c r="Q46" s="408">
        <f>SUM(N46:P47)</f>
        <v>2.1</v>
      </c>
      <c r="S46" s="376" t="s">
        <v>8760</v>
      </c>
      <c r="T46" s="412">
        <v>1.4</v>
      </c>
      <c r="U46" s="412">
        <v>1.4</v>
      </c>
      <c r="V46" s="414">
        <v>1.5</v>
      </c>
      <c r="W46" s="408">
        <f>SUM(T46:V47)</f>
        <v>4.3</v>
      </c>
      <c r="Y46" s="376" t="s">
        <v>8760</v>
      </c>
      <c r="Z46" s="412">
        <v>1.4</v>
      </c>
      <c r="AA46" s="412">
        <v>0.6</v>
      </c>
      <c r="AB46" s="414">
        <v>0.6</v>
      </c>
      <c r="AC46" s="381">
        <f>SUM(Z46:AB47)</f>
        <v>2.6</v>
      </c>
    </row>
    <row r="47" spans="1:29" ht="15.75" thickBot="1">
      <c r="A47" s="377" t="s">
        <v>8761</v>
      </c>
      <c r="B47" s="413"/>
      <c r="C47" s="413"/>
      <c r="D47" s="415"/>
      <c r="E47" s="409"/>
      <c r="G47" s="377" t="s">
        <v>8761</v>
      </c>
      <c r="H47" s="413"/>
      <c r="I47" s="413"/>
      <c r="J47" s="415"/>
      <c r="K47" s="409"/>
      <c r="M47" s="377" t="s">
        <v>8761</v>
      </c>
      <c r="N47" s="413"/>
      <c r="O47" s="413"/>
      <c r="P47" s="415"/>
      <c r="Q47" s="409"/>
      <c r="S47" s="377" t="s">
        <v>8761</v>
      </c>
      <c r="T47" s="413"/>
      <c r="U47" s="413"/>
      <c r="V47" s="415"/>
      <c r="W47" s="409"/>
      <c r="Y47" s="377" t="s">
        <v>8761</v>
      </c>
      <c r="Z47" s="413"/>
      <c r="AA47" s="413"/>
      <c r="AB47" s="415"/>
      <c r="AC47" s="382"/>
    </row>
    <row r="48" spans="1:29">
      <c r="A48" s="376" t="s">
        <v>8763</v>
      </c>
      <c r="B48" s="412">
        <v>19.7</v>
      </c>
      <c r="C48" s="412">
        <v>17.3</v>
      </c>
      <c r="D48" s="414">
        <v>10.4</v>
      </c>
      <c r="E48" s="408">
        <f>SUM(B48:D49)</f>
        <v>47.4</v>
      </c>
      <c r="G48" s="376" t="s">
        <v>8763</v>
      </c>
      <c r="H48" s="412">
        <v>20.7</v>
      </c>
      <c r="I48" s="412">
        <v>14.9</v>
      </c>
      <c r="J48" s="414">
        <v>9.6999999999999993</v>
      </c>
      <c r="K48" s="408">
        <f>SUM(H48:J49)</f>
        <v>45.3</v>
      </c>
      <c r="M48" s="376" t="s">
        <v>8763</v>
      </c>
      <c r="N48" s="412">
        <v>20.2</v>
      </c>
      <c r="O48" s="412">
        <v>17.399999999999999</v>
      </c>
      <c r="P48" s="414">
        <v>9.6999999999999993</v>
      </c>
      <c r="Q48" s="408">
        <f>SUM(N48:P49)</f>
        <v>47.3</v>
      </c>
      <c r="S48" s="376" t="s">
        <v>8763</v>
      </c>
      <c r="T48" s="412">
        <v>29.4</v>
      </c>
      <c r="U48" s="412">
        <v>9</v>
      </c>
      <c r="V48" s="414">
        <v>20.5</v>
      </c>
      <c r="W48" s="408">
        <f>SUM(T48:V49)</f>
        <v>58.9</v>
      </c>
      <c r="Y48" s="376" t="s">
        <v>8763</v>
      </c>
      <c r="Z48" s="412">
        <v>23.7</v>
      </c>
      <c r="AA48" s="412">
        <v>23</v>
      </c>
      <c r="AB48" s="414">
        <v>15.2</v>
      </c>
      <c r="AC48" s="381">
        <f>SUM(Z48:AB49)</f>
        <v>61.900000000000006</v>
      </c>
    </row>
    <row r="49" spans="1:29" ht="15.75" thickBot="1">
      <c r="A49" s="377" t="s">
        <v>8764</v>
      </c>
      <c r="B49" s="413"/>
      <c r="C49" s="413"/>
      <c r="D49" s="415"/>
      <c r="E49" s="409"/>
      <c r="G49" s="377" t="s">
        <v>8764</v>
      </c>
      <c r="H49" s="413"/>
      <c r="I49" s="413"/>
      <c r="J49" s="415"/>
      <c r="K49" s="409"/>
      <c r="M49" s="377" t="s">
        <v>8764</v>
      </c>
      <c r="N49" s="413"/>
      <c r="O49" s="413"/>
      <c r="P49" s="415"/>
      <c r="Q49" s="409"/>
      <c r="S49" s="377" t="s">
        <v>8764</v>
      </c>
      <c r="T49" s="413"/>
      <c r="U49" s="413"/>
      <c r="V49" s="415"/>
      <c r="W49" s="409"/>
      <c r="Y49" s="377" t="s">
        <v>8764</v>
      </c>
      <c r="Z49" s="413"/>
      <c r="AA49" s="413"/>
      <c r="AB49" s="415"/>
      <c r="AC49" s="382"/>
    </row>
    <row r="50" spans="1:29">
      <c r="A50" s="376" t="s">
        <v>8768</v>
      </c>
      <c r="B50" s="408">
        <f>SUM(B46:B49)</f>
        <v>21.099999999999998</v>
      </c>
      <c r="C50" s="408">
        <f t="shared" ref="C50" si="16">SUM(C46:C49)</f>
        <v>18.900000000000002</v>
      </c>
      <c r="D50" s="408">
        <f t="shared" ref="D50" si="17">SUM(D46:D49)</f>
        <v>10.700000000000001</v>
      </c>
      <c r="E50" s="410">
        <f t="shared" ref="E50" si="18">SUM(E46:E49)</f>
        <v>50.699999999999996</v>
      </c>
      <c r="G50" s="376" t="s">
        <v>8768</v>
      </c>
      <c r="H50" s="408">
        <f>SUM(H46:H49)</f>
        <v>21.3</v>
      </c>
      <c r="I50" s="408">
        <f t="shared" ref="I50" si="19">SUM(I46:I49)</f>
        <v>15.200000000000001</v>
      </c>
      <c r="J50" s="408">
        <f t="shared" ref="J50" si="20">SUM(J46:J49)</f>
        <v>10.299999999999999</v>
      </c>
      <c r="K50" s="410">
        <f t="shared" ref="K50" si="21">SUM(K46:K49)</f>
        <v>46.8</v>
      </c>
      <c r="M50" s="376" t="s">
        <v>8768</v>
      </c>
      <c r="N50" s="408">
        <f>SUM(N46:N49)</f>
        <v>20.5</v>
      </c>
      <c r="O50" s="408">
        <f t="shared" ref="O50" si="22">SUM(O46:O49)</f>
        <v>17.7</v>
      </c>
      <c r="P50" s="408">
        <f t="shared" ref="P50" si="23">SUM(P46:P49)</f>
        <v>11.2</v>
      </c>
      <c r="Q50" s="410">
        <f t="shared" ref="Q50" si="24">SUM(Q46:Q49)</f>
        <v>49.4</v>
      </c>
      <c r="S50" s="376" t="s">
        <v>8768</v>
      </c>
      <c r="T50" s="408">
        <f>SUM(T46:T49)</f>
        <v>30.799999999999997</v>
      </c>
      <c r="U50" s="408">
        <f t="shared" ref="U50" si="25">SUM(U46:U49)</f>
        <v>10.4</v>
      </c>
      <c r="V50" s="408">
        <f t="shared" ref="V50" si="26">SUM(V46:V49)</f>
        <v>22</v>
      </c>
      <c r="W50" s="410">
        <f t="shared" ref="W50" si="27">SUM(W46:W49)</f>
        <v>63.199999999999996</v>
      </c>
      <c r="Y50" s="376" t="s">
        <v>8768</v>
      </c>
      <c r="Z50" s="381">
        <f>SUM(Z46:Z49)</f>
        <v>25.099999999999998</v>
      </c>
      <c r="AA50" s="381">
        <f t="shared" ref="AA50" si="28">SUM(AA46:AA49)</f>
        <v>23.6</v>
      </c>
      <c r="AB50" s="381">
        <f t="shared" ref="AB50" si="29">SUM(AB46:AB49)</f>
        <v>15.799999999999999</v>
      </c>
      <c r="AC50" s="388">
        <f t="shared" ref="AC50" si="30">SUM(AC46:AC49)</f>
        <v>64.5</v>
      </c>
    </row>
    <row r="51" spans="1:29" ht="15.75" thickBot="1">
      <c r="A51" s="377" t="s">
        <v>8769</v>
      </c>
      <c r="B51" s="409"/>
      <c r="C51" s="409"/>
      <c r="D51" s="409"/>
      <c r="E51" s="411"/>
      <c r="G51" s="377" t="s">
        <v>8769</v>
      </c>
      <c r="H51" s="409"/>
      <c r="I51" s="409"/>
      <c r="J51" s="409"/>
      <c r="K51" s="411"/>
      <c r="M51" s="377" t="s">
        <v>8769</v>
      </c>
      <c r="N51" s="409"/>
      <c r="O51" s="409"/>
      <c r="P51" s="409"/>
      <c r="Q51" s="411"/>
      <c r="S51" s="377" t="s">
        <v>8769</v>
      </c>
      <c r="T51" s="409"/>
      <c r="U51" s="409"/>
      <c r="V51" s="409"/>
      <c r="W51" s="411"/>
      <c r="Y51" s="377" t="s">
        <v>8769</v>
      </c>
      <c r="Z51" s="382"/>
      <c r="AA51" s="382"/>
      <c r="AB51" s="382"/>
      <c r="AC51" s="389"/>
    </row>
  </sheetData>
  <mergeCells count="182">
    <mergeCell ref="S10:S18"/>
    <mergeCell ref="A4:A9"/>
    <mergeCell ref="G4:G9"/>
    <mergeCell ref="M4:M9"/>
    <mergeCell ref="S4:S9"/>
    <mergeCell ref="A10:A18"/>
    <mergeCell ref="G10:G18"/>
    <mergeCell ref="M10:M18"/>
    <mergeCell ref="J24:J25"/>
    <mergeCell ref="K24:K25"/>
    <mergeCell ref="H26:H27"/>
    <mergeCell ref="I26:I27"/>
    <mergeCell ref="J26:J27"/>
    <mergeCell ref="K26:K27"/>
    <mergeCell ref="B28:B29"/>
    <mergeCell ref="C28:C29"/>
    <mergeCell ref="D28:D29"/>
    <mergeCell ref="E28:E29"/>
    <mergeCell ref="H24:H25"/>
    <mergeCell ref="I24:I25"/>
    <mergeCell ref="H28:H29"/>
    <mergeCell ref="I28:I29"/>
    <mergeCell ref="B24:B25"/>
    <mergeCell ref="C24:C25"/>
    <mergeCell ref="D24:D25"/>
    <mergeCell ref="E24:E25"/>
    <mergeCell ref="B26:B27"/>
    <mergeCell ref="C26:C27"/>
    <mergeCell ref="D26:D27"/>
    <mergeCell ref="E26:E27"/>
    <mergeCell ref="T26:T27"/>
    <mergeCell ref="U26:U27"/>
    <mergeCell ref="V26:V27"/>
    <mergeCell ref="W26:W27"/>
    <mergeCell ref="N28:N29"/>
    <mergeCell ref="O28:O29"/>
    <mergeCell ref="P28:P29"/>
    <mergeCell ref="Q28:Q29"/>
    <mergeCell ref="T24:T25"/>
    <mergeCell ref="U24:U25"/>
    <mergeCell ref="T28:T29"/>
    <mergeCell ref="U28:U29"/>
    <mergeCell ref="N24:N25"/>
    <mergeCell ref="O24:O25"/>
    <mergeCell ref="P24:P25"/>
    <mergeCell ref="Q24:Q25"/>
    <mergeCell ref="N26:N27"/>
    <mergeCell ref="O26:O27"/>
    <mergeCell ref="P26:P27"/>
    <mergeCell ref="Q26:Q27"/>
    <mergeCell ref="V28:V29"/>
    <mergeCell ref="B35:B36"/>
    <mergeCell ref="C35:C36"/>
    <mergeCell ref="D35:D36"/>
    <mergeCell ref="E35:E36"/>
    <mergeCell ref="H35:H36"/>
    <mergeCell ref="I35:I36"/>
    <mergeCell ref="J35:J36"/>
    <mergeCell ref="K35:K36"/>
    <mergeCell ref="J28:J29"/>
    <mergeCell ref="K28:K29"/>
    <mergeCell ref="I37:I38"/>
    <mergeCell ref="J37:J38"/>
    <mergeCell ref="K37:K38"/>
    <mergeCell ref="H39:H40"/>
    <mergeCell ref="I39:I40"/>
    <mergeCell ref="J39:J40"/>
    <mergeCell ref="K39:K40"/>
    <mergeCell ref="B46:B47"/>
    <mergeCell ref="C46:C47"/>
    <mergeCell ref="D46:D47"/>
    <mergeCell ref="E46:E47"/>
    <mergeCell ref="H46:H47"/>
    <mergeCell ref="I46:I47"/>
    <mergeCell ref="J46:J47"/>
    <mergeCell ref="K46:K47"/>
    <mergeCell ref="B37:B38"/>
    <mergeCell ref="C37:C38"/>
    <mergeCell ref="D37:D38"/>
    <mergeCell ref="E37:E38"/>
    <mergeCell ref="B39:B40"/>
    <mergeCell ref="C39:C40"/>
    <mergeCell ref="D39:D40"/>
    <mergeCell ref="E39:E40"/>
    <mergeCell ref="H37:H38"/>
    <mergeCell ref="V35:V36"/>
    <mergeCell ref="T37:T38"/>
    <mergeCell ref="U37:U38"/>
    <mergeCell ref="V37:V38"/>
    <mergeCell ref="N39:N40"/>
    <mergeCell ref="O39:O40"/>
    <mergeCell ref="P39:P40"/>
    <mergeCell ref="Q39:Q40"/>
    <mergeCell ref="T35:T36"/>
    <mergeCell ref="U35:U36"/>
    <mergeCell ref="T39:T40"/>
    <mergeCell ref="U39:U40"/>
    <mergeCell ref="N35:N36"/>
    <mergeCell ref="O35:O36"/>
    <mergeCell ref="P35:P36"/>
    <mergeCell ref="Q35:Q36"/>
    <mergeCell ref="N37:N38"/>
    <mergeCell ref="O37:O38"/>
    <mergeCell ref="P37:P38"/>
    <mergeCell ref="Q37:Q38"/>
    <mergeCell ref="H48:H49"/>
    <mergeCell ref="I48:I49"/>
    <mergeCell ref="J48:J49"/>
    <mergeCell ref="K48:K49"/>
    <mergeCell ref="H50:H51"/>
    <mergeCell ref="I50:I51"/>
    <mergeCell ref="J50:J51"/>
    <mergeCell ref="K50:K51"/>
    <mergeCell ref="B48:B49"/>
    <mergeCell ref="C48:C49"/>
    <mergeCell ref="D48:D49"/>
    <mergeCell ref="E48:E49"/>
    <mergeCell ref="B50:B51"/>
    <mergeCell ref="C50:C51"/>
    <mergeCell ref="D50:D51"/>
    <mergeCell ref="E50:E51"/>
    <mergeCell ref="T48:T49"/>
    <mergeCell ref="U48:U49"/>
    <mergeCell ref="V48:V49"/>
    <mergeCell ref="W48:W49"/>
    <mergeCell ref="N50:N51"/>
    <mergeCell ref="O50:O51"/>
    <mergeCell ref="P50:P51"/>
    <mergeCell ref="Q50:Q51"/>
    <mergeCell ref="T46:T47"/>
    <mergeCell ref="U46:U47"/>
    <mergeCell ref="T50:T51"/>
    <mergeCell ref="U50:U51"/>
    <mergeCell ref="N46:N47"/>
    <mergeCell ref="O46:O47"/>
    <mergeCell ref="P46:P47"/>
    <mergeCell ref="Q46:Q47"/>
    <mergeCell ref="N48:N49"/>
    <mergeCell ref="O48:O49"/>
    <mergeCell ref="P48:P49"/>
    <mergeCell ref="Q48:Q49"/>
    <mergeCell ref="V50:V51"/>
    <mergeCell ref="W50:W51"/>
    <mergeCell ref="Z24:Z25"/>
    <mergeCell ref="AA24:AA25"/>
    <mergeCell ref="AB24:AB25"/>
    <mergeCell ref="AC24:AC25"/>
    <mergeCell ref="Z26:Z27"/>
    <mergeCell ref="AA26:AA27"/>
    <mergeCell ref="AB26:AB27"/>
    <mergeCell ref="AC26:AC27"/>
    <mergeCell ref="V46:V47"/>
    <mergeCell ref="W46:W47"/>
    <mergeCell ref="V39:V40"/>
    <mergeCell ref="W39:W40"/>
    <mergeCell ref="W35:W36"/>
    <mergeCell ref="W37:W38"/>
    <mergeCell ref="W28:W29"/>
    <mergeCell ref="V24:V25"/>
    <mergeCell ref="W24:W25"/>
    <mergeCell ref="AC37:AC38"/>
    <mergeCell ref="Z39:Z40"/>
    <mergeCell ref="AA39:AA40"/>
    <mergeCell ref="AB39:AB40"/>
    <mergeCell ref="AC39:AC40"/>
    <mergeCell ref="Z28:Z29"/>
    <mergeCell ref="AA28:AA29"/>
    <mergeCell ref="AB28:AB29"/>
    <mergeCell ref="AC28:AC29"/>
    <mergeCell ref="Z35:Z36"/>
    <mergeCell ref="AA35:AA36"/>
    <mergeCell ref="AB35:AB36"/>
    <mergeCell ref="AC35:AC36"/>
    <mergeCell ref="Z46:Z47"/>
    <mergeCell ref="Z48:Z49"/>
    <mergeCell ref="AA46:AA47"/>
    <mergeCell ref="AB46:AB47"/>
    <mergeCell ref="AB48:AB49"/>
    <mergeCell ref="AA48:AA49"/>
    <mergeCell ref="Z37:Z38"/>
    <mergeCell ref="AA37:AA38"/>
    <mergeCell ref="AB37:AB38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4"/>
  <sheetViews>
    <sheetView tabSelected="1" zoomScaleNormal="100" workbookViewId="0">
      <selection activeCell="AA33" sqref="AA33"/>
    </sheetView>
  </sheetViews>
  <sheetFormatPr baseColWidth="10" defaultRowHeight="12.75"/>
  <cols>
    <col min="1" max="1" width="11.7109375" style="206" customWidth="1"/>
    <col min="2" max="2" width="10.140625" style="206" bestFit="1" customWidth="1"/>
    <col min="3" max="4" width="3" style="206" bestFit="1" customWidth="1"/>
    <col min="5" max="5" width="8.85546875" style="206" bestFit="1" customWidth="1"/>
    <col min="6" max="6" width="17" style="206" bestFit="1" customWidth="1"/>
    <col min="7" max="7" width="6.28515625" style="206" bestFit="1" customWidth="1"/>
    <col min="8" max="8" width="4.140625" style="206" bestFit="1" customWidth="1"/>
    <col min="9" max="9" width="6.5703125" style="206" bestFit="1" customWidth="1"/>
    <col min="10" max="10" width="12" style="206" bestFit="1" customWidth="1"/>
    <col min="11" max="11" width="4.140625" style="206" bestFit="1" customWidth="1"/>
    <col min="12" max="12" width="12" style="206" bestFit="1" customWidth="1"/>
    <col min="13" max="13" width="14.28515625" style="206" bestFit="1" customWidth="1"/>
    <col min="14" max="14" width="11.140625" style="206" bestFit="1" customWidth="1"/>
    <col min="15" max="15" width="7.42578125" style="206" bestFit="1" customWidth="1"/>
    <col min="16" max="16" width="14.42578125" style="206" bestFit="1" customWidth="1"/>
    <col min="17" max="17" width="11.28515625" style="206" bestFit="1" customWidth="1"/>
    <col min="18" max="18" width="10.42578125" style="206" bestFit="1" customWidth="1"/>
    <col min="19" max="19" width="13" style="197" bestFit="1" customWidth="1"/>
    <col min="20" max="20" width="11.42578125" style="197"/>
    <col min="21" max="21" width="12.42578125" style="206" customWidth="1"/>
    <col min="22" max="22" width="11.85546875" style="206" customWidth="1"/>
    <col min="23" max="23" width="11.42578125" style="197"/>
    <col min="24" max="24" width="15.85546875" style="197" bestFit="1" customWidth="1"/>
    <col min="25" max="16384" width="11.42578125" style="197"/>
  </cols>
  <sheetData>
    <row r="1" spans="1:25" ht="15.75">
      <c r="C1" s="215"/>
      <c r="D1" s="215"/>
      <c r="E1" s="215"/>
      <c r="F1" s="215"/>
      <c r="G1" s="215"/>
      <c r="H1" s="427" t="s">
        <v>8184</v>
      </c>
      <c r="I1" s="425"/>
      <c r="J1" s="426"/>
      <c r="K1" s="424" t="s">
        <v>8183</v>
      </c>
      <c r="L1" s="425"/>
      <c r="M1" s="425"/>
      <c r="N1" s="425"/>
      <c r="O1" s="425"/>
      <c r="P1" s="425"/>
      <c r="Q1" s="425"/>
      <c r="R1" s="426"/>
      <c r="S1" s="430" t="s">
        <v>8204</v>
      </c>
      <c r="T1" s="431"/>
      <c r="U1" s="432" t="s">
        <v>8182</v>
      </c>
      <c r="V1" s="432"/>
      <c r="W1" s="433"/>
      <c r="X1" s="256"/>
    </row>
    <row r="2" spans="1:25">
      <c r="A2" s="214" t="s">
        <v>8181</v>
      </c>
      <c r="B2" s="214" t="s">
        <v>213</v>
      </c>
      <c r="C2" s="214" t="s">
        <v>22</v>
      </c>
      <c r="D2" s="214" t="s">
        <v>21</v>
      </c>
      <c r="E2" s="214" t="s">
        <v>8180</v>
      </c>
      <c r="F2" s="214" t="s">
        <v>8179</v>
      </c>
      <c r="G2" s="214" t="s">
        <v>8178</v>
      </c>
      <c r="H2" s="214" t="s">
        <v>8176</v>
      </c>
      <c r="I2" s="214" t="s">
        <v>8177</v>
      </c>
      <c r="J2" s="247" t="s">
        <v>8200</v>
      </c>
      <c r="K2" s="252" t="s">
        <v>8176</v>
      </c>
      <c r="L2" s="214" t="s">
        <v>8197</v>
      </c>
      <c r="M2" s="244" t="s">
        <v>8175</v>
      </c>
      <c r="N2" s="244" t="s">
        <v>8174</v>
      </c>
      <c r="O2" s="214" t="s">
        <v>8199</v>
      </c>
      <c r="P2" s="244" t="s">
        <v>8173</v>
      </c>
      <c r="Q2" s="244" t="s">
        <v>8172</v>
      </c>
      <c r="R2" s="253" t="s">
        <v>8198</v>
      </c>
      <c r="S2" s="250" t="s">
        <v>8202</v>
      </c>
      <c r="T2" s="244" t="s">
        <v>8203</v>
      </c>
      <c r="U2" s="213" t="s">
        <v>8171</v>
      </c>
      <c r="V2" s="213" t="s">
        <v>8170</v>
      </c>
      <c r="W2" s="255" t="s">
        <v>8205</v>
      </c>
      <c r="X2" s="257" t="s">
        <v>8206</v>
      </c>
      <c r="Y2" s="258" t="s">
        <v>8207</v>
      </c>
    </row>
    <row r="3" spans="1:25" s="279" customFormat="1">
      <c r="A3" s="212" t="s">
        <v>8169</v>
      </c>
      <c r="B3" s="264">
        <v>41627</v>
      </c>
      <c r="C3" s="278">
        <v>1</v>
      </c>
      <c r="D3" s="259">
        <v>70</v>
      </c>
      <c r="E3" s="266" t="s">
        <v>413</v>
      </c>
      <c r="F3" s="265" t="s">
        <v>8214</v>
      </c>
      <c r="G3" s="211"/>
      <c r="H3" s="260">
        <v>0</v>
      </c>
      <c r="I3" s="260">
        <v>0</v>
      </c>
      <c r="J3" s="248">
        <f>I3*L3</f>
        <v>0</v>
      </c>
      <c r="K3" s="254">
        <v>51</v>
      </c>
      <c r="L3" s="260">
        <f>R3/O3</f>
        <v>0.28505658929599081</v>
      </c>
      <c r="M3" s="428">
        <v>521.29999999999995</v>
      </c>
      <c r="N3" s="434"/>
      <c r="O3" s="246">
        <f t="shared" ref="O3:O10" si="0">M3+N3</f>
        <v>521.29999999999995</v>
      </c>
      <c r="P3" s="428">
        <v>148.6</v>
      </c>
      <c r="Q3" s="429"/>
      <c r="R3" s="248">
        <f t="shared" ref="R3:R10" si="1">P3+Q3</f>
        <v>148.6</v>
      </c>
      <c r="S3" s="251">
        <f>(R3+J3)/100</f>
        <v>1.486</v>
      </c>
      <c r="T3" s="249">
        <f>MIN(4.63,4.48*S3^(-0.25))</f>
        <v>4.057638117404446</v>
      </c>
      <c r="U3" s="428">
        <v>3.5234000000000001</v>
      </c>
      <c r="V3" s="429"/>
      <c r="W3" s="210">
        <f>(U3*P3)</f>
        <v>523.57723999999996</v>
      </c>
      <c r="X3" s="210">
        <f>W3/R3</f>
        <v>3.5234000000000001</v>
      </c>
      <c r="Y3" s="210">
        <f>U3/T3</f>
        <v>0.8683376629589179</v>
      </c>
    </row>
    <row r="4" spans="1:25" s="279" customFormat="1">
      <c r="A4" s="212" t="s">
        <v>8169</v>
      </c>
      <c r="B4" s="264">
        <v>41627</v>
      </c>
      <c r="C4" s="278">
        <v>2</v>
      </c>
      <c r="D4" s="259">
        <v>66</v>
      </c>
      <c r="E4" s="266" t="s">
        <v>413</v>
      </c>
      <c r="F4" s="265" t="s">
        <v>8215</v>
      </c>
      <c r="G4" s="211"/>
      <c r="H4" s="260">
        <v>0</v>
      </c>
      <c r="I4" s="260">
        <v>0</v>
      </c>
      <c r="J4" s="248">
        <f t="shared" ref="J4:J38" si="2">I4*L4</f>
        <v>0</v>
      </c>
      <c r="K4" s="254">
        <v>52</v>
      </c>
      <c r="L4" s="260">
        <f t="shared" ref="L4:L38" si="3">R4/O4</f>
        <v>0.17641509433962266</v>
      </c>
      <c r="M4" s="428">
        <v>636</v>
      </c>
      <c r="N4" s="434"/>
      <c r="O4" s="246">
        <f t="shared" si="0"/>
        <v>636</v>
      </c>
      <c r="P4" s="428">
        <v>112.2</v>
      </c>
      <c r="Q4" s="429"/>
      <c r="R4" s="248">
        <f t="shared" si="1"/>
        <v>112.2</v>
      </c>
      <c r="S4" s="251">
        <f t="shared" ref="S4:S38" si="4">(R4+J4)/100</f>
        <v>1.1220000000000001</v>
      </c>
      <c r="T4" s="249">
        <f t="shared" ref="T4:T38" si="5">MIN(4.63,4.48*S4^(-0.25))</f>
        <v>4.3529111217085941</v>
      </c>
      <c r="U4" s="428">
        <v>3.5525000000000002</v>
      </c>
      <c r="V4" s="429"/>
      <c r="W4" s="210">
        <f t="shared" ref="W4:W10" si="6">(U4*P4)</f>
        <v>398.59050000000002</v>
      </c>
      <c r="X4" s="210">
        <f t="shared" ref="X4:X8" si="7">W4/R4</f>
        <v>3.5525000000000002</v>
      </c>
      <c r="Y4" s="210">
        <f t="shared" ref="Y4:Y8" si="8">U4/T4</f>
        <v>0.81612049974628964</v>
      </c>
    </row>
    <row r="5" spans="1:25" s="279" customFormat="1">
      <c r="A5" s="212" t="s">
        <v>8169</v>
      </c>
      <c r="B5" s="264">
        <v>41627</v>
      </c>
      <c r="C5" s="278">
        <v>5</v>
      </c>
      <c r="D5" s="259">
        <v>46</v>
      </c>
      <c r="E5" s="266" t="s">
        <v>413</v>
      </c>
      <c r="F5" s="265" t="s">
        <v>8216</v>
      </c>
      <c r="G5" s="211"/>
      <c r="H5" s="260">
        <v>0</v>
      </c>
      <c r="I5" s="260">
        <v>0</v>
      </c>
      <c r="J5" s="248">
        <f t="shared" si="2"/>
        <v>0</v>
      </c>
      <c r="K5" s="254">
        <v>51</v>
      </c>
      <c r="L5" s="260">
        <f t="shared" si="3"/>
        <v>0.18222778473091364</v>
      </c>
      <c r="M5" s="428">
        <v>799</v>
      </c>
      <c r="N5" s="434"/>
      <c r="O5" s="246">
        <f t="shared" si="0"/>
        <v>799</v>
      </c>
      <c r="P5" s="428">
        <v>145.6</v>
      </c>
      <c r="Q5" s="429"/>
      <c r="R5" s="248">
        <f t="shared" si="1"/>
        <v>145.6</v>
      </c>
      <c r="S5" s="251">
        <f t="shared" si="4"/>
        <v>1.456</v>
      </c>
      <c r="T5" s="249">
        <f t="shared" si="5"/>
        <v>4.0783798296846383</v>
      </c>
      <c r="U5" s="428">
        <v>3.2946</v>
      </c>
      <c r="V5" s="429"/>
      <c r="W5" s="210">
        <f t="shared" si="6"/>
        <v>479.69376</v>
      </c>
      <c r="X5" s="210">
        <f t="shared" si="7"/>
        <v>3.2946</v>
      </c>
      <c r="Y5" s="210">
        <f t="shared" si="8"/>
        <v>0.80782078609258812</v>
      </c>
    </row>
    <row r="6" spans="1:25" s="279" customFormat="1">
      <c r="A6" s="212" t="s">
        <v>8169</v>
      </c>
      <c r="B6" s="264">
        <v>41627</v>
      </c>
      <c r="C6" s="278">
        <v>12</v>
      </c>
      <c r="D6" s="259">
        <v>32</v>
      </c>
      <c r="E6" s="266" t="s">
        <v>8213</v>
      </c>
      <c r="F6" s="265" t="s">
        <v>8214</v>
      </c>
      <c r="G6" s="211"/>
      <c r="H6" s="260">
        <v>0</v>
      </c>
      <c r="I6" s="260">
        <v>0</v>
      </c>
      <c r="J6" s="248">
        <f t="shared" si="2"/>
        <v>0</v>
      </c>
      <c r="K6" s="254">
        <v>65</v>
      </c>
      <c r="L6" s="260">
        <f t="shared" si="3"/>
        <v>0.2604303908651735</v>
      </c>
      <c r="M6" s="428">
        <v>455.4</v>
      </c>
      <c r="N6" s="434"/>
      <c r="O6" s="246">
        <f t="shared" si="0"/>
        <v>455.4</v>
      </c>
      <c r="P6" s="428">
        <v>118.6</v>
      </c>
      <c r="Q6" s="429"/>
      <c r="R6" s="248">
        <f t="shared" si="1"/>
        <v>118.6</v>
      </c>
      <c r="S6" s="251">
        <f t="shared" si="4"/>
        <v>1.1859999999999999</v>
      </c>
      <c r="T6" s="249">
        <f t="shared" si="5"/>
        <v>4.2929599981866078</v>
      </c>
      <c r="U6" s="428">
        <v>2.8887</v>
      </c>
      <c r="V6" s="429"/>
      <c r="W6" s="210">
        <f t="shared" si="6"/>
        <v>342.59981999999997</v>
      </c>
      <c r="X6" s="210">
        <f t="shared" si="7"/>
        <v>2.8887</v>
      </c>
      <c r="Y6" s="210">
        <f t="shared" si="8"/>
        <v>0.67289236359533233</v>
      </c>
    </row>
    <row r="7" spans="1:25" s="279" customFormat="1">
      <c r="A7" s="212" t="s">
        <v>8169</v>
      </c>
      <c r="B7" s="264">
        <v>41627</v>
      </c>
      <c r="C7" s="278">
        <v>12</v>
      </c>
      <c r="D7" s="259">
        <v>30</v>
      </c>
      <c r="E7" s="266" t="s">
        <v>8213</v>
      </c>
      <c r="F7" s="265" t="s">
        <v>8215</v>
      </c>
      <c r="G7" s="211"/>
      <c r="H7" s="260">
        <v>0</v>
      </c>
      <c r="I7" s="260">
        <v>0</v>
      </c>
      <c r="J7" s="248">
        <f t="shared" si="2"/>
        <v>0</v>
      </c>
      <c r="K7" s="254">
        <v>79</v>
      </c>
      <c r="L7" s="260">
        <f>R7/O7</f>
        <v>0.23345011985985617</v>
      </c>
      <c r="M7" s="428">
        <v>542.29999999999995</v>
      </c>
      <c r="N7" s="434"/>
      <c r="O7" s="246">
        <f t="shared" si="0"/>
        <v>542.29999999999995</v>
      </c>
      <c r="P7" s="428">
        <v>126.6</v>
      </c>
      <c r="Q7" s="429"/>
      <c r="R7" s="248">
        <f t="shared" si="1"/>
        <v>126.6</v>
      </c>
      <c r="S7" s="251">
        <f t="shared" si="4"/>
        <v>1.266</v>
      </c>
      <c r="T7" s="249">
        <f t="shared" si="5"/>
        <v>4.223471691287811</v>
      </c>
      <c r="U7" s="428">
        <v>2.9967000000000001</v>
      </c>
      <c r="V7" s="429"/>
      <c r="W7" s="210">
        <f t="shared" si="6"/>
        <v>379.38222000000002</v>
      </c>
      <c r="X7" s="210">
        <f t="shared" si="7"/>
        <v>2.9967000000000001</v>
      </c>
      <c r="Y7" s="210">
        <f t="shared" si="8"/>
        <v>0.70953476642961788</v>
      </c>
    </row>
    <row r="8" spans="1:25" s="294" customFormat="1" ht="13.5" thickBot="1">
      <c r="A8" s="280" t="s">
        <v>8169</v>
      </c>
      <c r="B8" s="281">
        <v>41627</v>
      </c>
      <c r="C8" s="282">
        <v>11</v>
      </c>
      <c r="D8" s="283">
        <v>27</v>
      </c>
      <c r="E8" s="284" t="s">
        <v>8213</v>
      </c>
      <c r="F8" s="285" t="s">
        <v>8216</v>
      </c>
      <c r="G8" s="286"/>
      <c r="H8" s="287">
        <v>0</v>
      </c>
      <c r="I8" s="287">
        <v>0</v>
      </c>
      <c r="J8" s="288">
        <f t="shared" si="2"/>
        <v>0</v>
      </c>
      <c r="K8" s="289">
        <v>51</v>
      </c>
      <c r="L8" s="287">
        <f t="shared" si="3"/>
        <v>0.18100215884558574</v>
      </c>
      <c r="M8" s="439">
        <v>880.1</v>
      </c>
      <c r="N8" s="437"/>
      <c r="O8" s="290">
        <f t="shared" si="0"/>
        <v>880.1</v>
      </c>
      <c r="P8" s="439">
        <v>159.30000000000001</v>
      </c>
      <c r="Q8" s="440"/>
      <c r="R8" s="288">
        <f t="shared" si="1"/>
        <v>159.30000000000001</v>
      </c>
      <c r="S8" s="291">
        <f t="shared" si="4"/>
        <v>1.5930000000000002</v>
      </c>
      <c r="T8" s="292">
        <f t="shared" si="5"/>
        <v>3.9877146153538225</v>
      </c>
      <c r="U8" s="436">
        <v>3.0769000000000002</v>
      </c>
      <c r="V8" s="437"/>
      <c r="W8" s="293">
        <f t="shared" si="6"/>
        <v>490.15017000000006</v>
      </c>
      <c r="X8" s="293">
        <f t="shared" si="7"/>
        <v>3.0769000000000002</v>
      </c>
      <c r="Y8" s="293">
        <f t="shared" si="8"/>
        <v>0.77159483483423563</v>
      </c>
    </row>
    <row r="9" spans="1:25" s="307" customFormat="1" ht="13.5" thickTop="1">
      <c r="A9" s="295" t="s">
        <v>8168</v>
      </c>
      <c r="B9" s="296">
        <v>41703</v>
      </c>
      <c r="C9" s="297">
        <v>12</v>
      </c>
      <c r="D9" s="298">
        <v>57</v>
      </c>
      <c r="E9" s="266" t="s">
        <v>8213</v>
      </c>
      <c r="F9" s="299" t="s">
        <v>8214</v>
      </c>
      <c r="G9" s="300"/>
      <c r="H9" s="300"/>
      <c r="I9" s="301"/>
      <c r="J9" s="302">
        <f t="shared" si="2"/>
        <v>0</v>
      </c>
      <c r="K9" s="303">
        <v>66</v>
      </c>
      <c r="L9" s="301">
        <f t="shared" si="3"/>
        <v>0.16283497884344147</v>
      </c>
      <c r="M9" s="260">
        <v>1060.8</v>
      </c>
      <c r="N9" s="246">
        <v>357.2</v>
      </c>
      <c r="O9" s="304">
        <f t="shared" si="0"/>
        <v>1418</v>
      </c>
      <c r="P9" s="245">
        <v>163.9</v>
      </c>
      <c r="Q9" s="245">
        <v>67</v>
      </c>
      <c r="R9" s="302">
        <f t="shared" si="1"/>
        <v>230.9</v>
      </c>
      <c r="S9" s="305">
        <f>(R9+J9)/100</f>
        <v>2.3090000000000002</v>
      </c>
      <c r="T9" s="309">
        <f t="shared" si="5"/>
        <v>3.6343105162522682</v>
      </c>
      <c r="U9" s="438">
        <v>3.9857999999999998</v>
      </c>
      <c r="V9" s="438"/>
      <c r="W9" s="306">
        <f t="shared" si="6"/>
        <v>653.27261999999996</v>
      </c>
      <c r="X9" s="306">
        <v>3.9857999999999998</v>
      </c>
      <c r="Y9" s="325">
        <f>X9/T9</f>
        <v>1.09671421365233</v>
      </c>
    </row>
    <row r="10" spans="1:25" s="279" customFormat="1">
      <c r="A10" s="212" t="s">
        <v>8168</v>
      </c>
      <c r="B10" s="264">
        <v>41703</v>
      </c>
      <c r="C10" s="278">
        <v>11</v>
      </c>
      <c r="D10" s="259">
        <v>54</v>
      </c>
      <c r="E10" s="266" t="s">
        <v>8213</v>
      </c>
      <c r="F10" s="265" t="s">
        <v>8215</v>
      </c>
      <c r="G10" s="211"/>
      <c r="H10" s="211">
        <v>47</v>
      </c>
      <c r="I10" s="260">
        <v>804</v>
      </c>
      <c r="J10" s="248">
        <f t="shared" si="2"/>
        <v>138.62068965517241</v>
      </c>
      <c r="K10" s="254">
        <v>12</v>
      </c>
      <c r="L10" s="260">
        <f t="shared" si="3"/>
        <v>0.17241379310344829</v>
      </c>
      <c r="M10" s="260">
        <v>328.5</v>
      </c>
      <c r="N10" s="246">
        <v>71.7</v>
      </c>
      <c r="O10" s="246">
        <f t="shared" si="0"/>
        <v>400.2</v>
      </c>
      <c r="P10" s="245">
        <v>53.2</v>
      </c>
      <c r="Q10" s="245">
        <v>15.8</v>
      </c>
      <c r="R10" s="248">
        <f t="shared" si="1"/>
        <v>69</v>
      </c>
      <c r="S10" s="251">
        <f t="shared" si="4"/>
        <v>2.076206896551724</v>
      </c>
      <c r="T10" s="310">
        <f t="shared" si="5"/>
        <v>3.7321608827823725</v>
      </c>
      <c r="U10" s="435">
        <v>3.8169</v>
      </c>
      <c r="V10" s="435">
        <v>3.8169</v>
      </c>
      <c r="W10" s="210">
        <f t="shared" si="6"/>
        <v>203.05908000000002</v>
      </c>
      <c r="X10" s="210">
        <v>3.8169</v>
      </c>
      <c r="Y10" s="326">
        <f t="shared" ref="Y10:Y38" si="9">X10/T10</f>
        <v>1.0227051083485055</v>
      </c>
    </row>
    <row r="11" spans="1:25" s="279" customFormat="1">
      <c r="A11" s="212" t="s">
        <v>8168</v>
      </c>
      <c r="B11" s="264">
        <v>41703</v>
      </c>
      <c r="C11" s="278">
        <v>10</v>
      </c>
      <c r="D11" s="259">
        <v>41</v>
      </c>
      <c r="E11" s="266" t="s">
        <v>8213</v>
      </c>
      <c r="F11" s="265" t="s">
        <v>8216</v>
      </c>
      <c r="G11" s="211"/>
      <c r="H11" s="211">
        <v>57</v>
      </c>
      <c r="I11" s="260">
        <v>1011.8</v>
      </c>
      <c r="J11" s="248">
        <f t="shared" si="2"/>
        <v>167.38110561056104</v>
      </c>
      <c r="K11" s="254">
        <v>16</v>
      </c>
      <c r="L11" s="260">
        <f t="shared" si="3"/>
        <v>0.16542904290429042</v>
      </c>
      <c r="M11" s="260">
        <v>375.3</v>
      </c>
      <c r="N11" s="246">
        <v>109.5</v>
      </c>
      <c r="O11" s="246">
        <f>M11+N11</f>
        <v>484.8</v>
      </c>
      <c r="P11" s="245">
        <v>59.9</v>
      </c>
      <c r="Q11" s="245">
        <v>20.3</v>
      </c>
      <c r="R11" s="248">
        <f>P11+Q11</f>
        <v>80.2</v>
      </c>
      <c r="S11" s="251">
        <f t="shared" si="4"/>
        <v>2.4758110561056106</v>
      </c>
      <c r="T11" s="310">
        <f t="shared" si="5"/>
        <v>3.5714834296003279</v>
      </c>
      <c r="U11" s="435">
        <v>3.6768000000000001</v>
      </c>
      <c r="V11" s="435">
        <v>3.6768000000000001</v>
      </c>
      <c r="W11" s="210">
        <f>(U11*P11)+(V11*Q11)</f>
        <v>294.87936000000002</v>
      </c>
      <c r="X11" s="210">
        <v>3.6768000000000001</v>
      </c>
      <c r="Y11" s="326">
        <f t="shared" si="9"/>
        <v>1.0294881867648642</v>
      </c>
    </row>
    <row r="12" spans="1:25" s="279" customFormat="1">
      <c r="A12" s="212" t="s">
        <v>8168</v>
      </c>
      <c r="B12" s="264">
        <v>41703</v>
      </c>
      <c r="C12" s="278">
        <v>4</v>
      </c>
      <c r="D12" s="259">
        <v>11</v>
      </c>
      <c r="E12" s="266" t="s">
        <v>413</v>
      </c>
      <c r="F12" s="265" t="s">
        <v>8214</v>
      </c>
      <c r="G12" s="211"/>
      <c r="H12" s="211">
        <v>36</v>
      </c>
      <c r="I12" s="260">
        <v>873.7</v>
      </c>
      <c r="J12" s="248">
        <f t="shared" si="2"/>
        <v>135.9088888888889</v>
      </c>
      <c r="K12" s="254">
        <v>9</v>
      </c>
      <c r="L12" s="260">
        <f t="shared" si="3"/>
        <v>0.15555555555555556</v>
      </c>
      <c r="M12" s="211">
        <v>342.8</v>
      </c>
      <c r="N12" s="245">
        <v>102.7</v>
      </c>
      <c r="O12" s="246">
        <f t="shared" ref="O12:O38" si="10">M12+N12</f>
        <v>445.5</v>
      </c>
      <c r="P12" s="211">
        <v>51.3</v>
      </c>
      <c r="Q12" s="211">
        <v>18</v>
      </c>
      <c r="R12" s="248">
        <f t="shared" ref="R12:R38" si="11">P12+Q12</f>
        <v>69.3</v>
      </c>
      <c r="S12" s="251">
        <f t="shared" si="4"/>
        <v>2.0520888888888891</v>
      </c>
      <c r="T12" s="310">
        <f t="shared" si="5"/>
        <v>3.7430788148190501</v>
      </c>
      <c r="U12" s="435">
        <v>4.1581999999999999</v>
      </c>
      <c r="V12" s="435">
        <v>4.1581999999999999</v>
      </c>
      <c r="W12" s="210">
        <f t="shared" ref="W12:W38" si="12">(U12*P12)+(V12*Q12)</f>
        <v>288.16325999999998</v>
      </c>
      <c r="X12" s="210">
        <v>4.1581999999999999</v>
      </c>
      <c r="Y12" s="326">
        <f t="shared" si="9"/>
        <v>1.1109036720085783</v>
      </c>
    </row>
    <row r="13" spans="1:25" s="279" customFormat="1">
      <c r="A13" s="212" t="s">
        <v>8168</v>
      </c>
      <c r="B13" s="264">
        <v>41703</v>
      </c>
      <c r="C13" s="278">
        <v>1</v>
      </c>
      <c r="D13" s="259">
        <v>5</v>
      </c>
      <c r="E13" s="266" t="s">
        <v>413</v>
      </c>
      <c r="F13" s="265" t="s">
        <v>8215</v>
      </c>
      <c r="G13" s="211"/>
      <c r="H13" s="211">
        <v>37</v>
      </c>
      <c r="I13" s="260">
        <v>1113.3</v>
      </c>
      <c r="J13" s="248">
        <f t="shared" si="2"/>
        <v>181.09596159277038</v>
      </c>
      <c r="K13" s="254">
        <v>9</v>
      </c>
      <c r="L13" s="260">
        <f t="shared" si="3"/>
        <v>0.16266591358373339</v>
      </c>
      <c r="M13" s="211">
        <v>295.3</v>
      </c>
      <c r="N13" s="211">
        <v>58.8</v>
      </c>
      <c r="O13" s="246">
        <f t="shared" si="10"/>
        <v>354.1</v>
      </c>
      <c r="P13" s="211">
        <v>45.4</v>
      </c>
      <c r="Q13" s="211">
        <v>12.2</v>
      </c>
      <c r="R13" s="248">
        <f t="shared" si="11"/>
        <v>57.599999999999994</v>
      </c>
      <c r="S13" s="251">
        <f t="shared" si="4"/>
        <v>2.3869596159277036</v>
      </c>
      <c r="T13" s="310">
        <f t="shared" si="5"/>
        <v>3.604265262221984</v>
      </c>
      <c r="U13" s="435">
        <v>3.5125999999999999</v>
      </c>
      <c r="V13" s="435">
        <v>3.5125999999999999</v>
      </c>
      <c r="W13" s="210">
        <f t="shared" si="12"/>
        <v>202.32576</v>
      </c>
      <c r="X13" s="210">
        <v>3.5125999999999999</v>
      </c>
      <c r="Y13" s="326">
        <f t="shared" si="9"/>
        <v>0.97456755939060002</v>
      </c>
    </row>
    <row r="14" spans="1:25" s="294" customFormat="1" ht="13.5" thickBot="1">
      <c r="A14" s="280" t="s">
        <v>8168</v>
      </c>
      <c r="B14" s="281">
        <v>41703</v>
      </c>
      <c r="C14" s="282">
        <v>3</v>
      </c>
      <c r="D14" s="283">
        <v>5</v>
      </c>
      <c r="E14" s="308" t="s">
        <v>413</v>
      </c>
      <c r="F14" s="285" t="s">
        <v>8216</v>
      </c>
      <c r="G14" s="286"/>
      <c r="H14" s="286">
        <v>32</v>
      </c>
      <c r="I14" s="287">
        <v>1041.4000000000001</v>
      </c>
      <c r="J14" s="288">
        <f t="shared" si="2"/>
        <v>164.83724137931037</v>
      </c>
      <c r="K14" s="289">
        <v>9</v>
      </c>
      <c r="L14" s="287">
        <f t="shared" si="3"/>
        <v>0.15828427249789739</v>
      </c>
      <c r="M14" s="286">
        <v>481</v>
      </c>
      <c r="N14" s="286">
        <v>113.5</v>
      </c>
      <c r="O14" s="290">
        <f t="shared" si="10"/>
        <v>594.5</v>
      </c>
      <c r="P14" s="286">
        <v>74.099999999999994</v>
      </c>
      <c r="Q14" s="286">
        <v>20</v>
      </c>
      <c r="R14" s="288">
        <f t="shared" si="11"/>
        <v>94.1</v>
      </c>
      <c r="S14" s="291">
        <f t="shared" si="4"/>
        <v>2.5893724137931038</v>
      </c>
      <c r="T14" s="311">
        <f t="shared" si="5"/>
        <v>3.5316640518449729</v>
      </c>
      <c r="U14" s="441">
        <v>3.4748000000000001</v>
      </c>
      <c r="V14" s="441">
        <v>3.4748000000000001</v>
      </c>
      <c r="W14" s="293">
        <f t="shared" si="12"/>
        <v>326.97868000000005</v>
      </c>
      <c r="X14" s="293">
        <v>3.4748000000000001</v>
      </c>
      <c r="Y14" s="327">
        <f t="shared" si="9"/>
        <v>0.9838987935969542</v>
      </c>
    </row>
    <row r="15" spans="1:25" ht="13.5" thickTop="1">
      <c r="A15" s="451" t="s">
        <v>8167</v>
      </c>
      <c r="B15" s="264">
        <v>41722</v>
      </c>
      <c r="C15" s="197">
        <v>4</v>
      </c>
      <c r="D15" s="312">
        <v>11</v>
      </c>
      <c r="E15" s="321" t="s">
        <v>8217</v>
      </c>
      <c r="F15" s="299" t="s">
        <v>8214</v>
      </c>
      <c r="G15" s="245"/>
      <c r="H15" s="245">
        <v>19</v>
      </c>
      <c r="I15" s="271">
        <v>1539.7</v>
      </c>
      <c r="J15" s="272">
        <f t="shared" si="2"/>
        <v>191.17689587426327</v>
      </c>
      <c r="K15" s="273">
        <v>5</v>
      </c>
      <c r="L15" s="271">
        <f t="shared" si="3"/>
        <v>0.12416502946954813</v>
      </c>
      <c r="M15" s="245">
        <v>210.6</v>
      </c>
      <c r="N15" s="245">
        <v>298.39999999999998</v>
      </c>
      <c r="O15" s="274">
        <f t="shared" si="10"/>
        <v>509</v>
      </c>
      <c r="P15" s="245">
        <v>27.3</v>
      </c>
      <c r="Q15" s="245">
        <v>35.9</v>
      </c>
      <c r="R15" s="272">
        <f t="shared" si="11"/>
        <v>63.2</v>
      </c>
      <c r="S15" s="275">
        <f t="shared" si="4"/>
        <v>2.5437689587426324</v>
      </c>
      <c r="T15" s="276">
        <f t="shared" si="5"/>
        <v>3.54738722876293</v>
      </c>
      <c r="U15" s="446">
        <v>2.8163</v>
      </c>
      <c r="V15" s="447"/>
      <c r="W15" s="277">
        <f t="shared" si="12"/>
        <v>76.884990000000002</v>
      </c>
      <c r="X15" s="277">
        <v>2.8163</v>
      </c>
      <c r="Y15" s="277">
        <f t="shared" si="9"/>
        <v>0.79390825370426787</v>
      </c>
    </row>
    <row r="16" spans="1:25">
      <c r="A16" s="452" t="s">
        <v>8167</v>
      </c>
      <c r="B16" s="264">
        <v>41722</v>
      </c>
      <c r="C16" s="206">
        <v>1</v>
      </c>
      <c r="D16" s="246">
        <v>5</v>
      </c>
      <c r="E16" s="321" t="s">
        <v>8217</v>
      </c>
      <c r="F16" s="265" t="s">
        <v>8215</v>
      </c>
      <c r="G16" s="211"/>
      <c r="H16" s="211">
        <v>36</v>
      </c>
      <c r="I16" s="230">
        <v>1662</v>
      </c>
      <c r="J16" s="248">
        <f t="shared" si="2"/>
        <v>204.77419354838707</v>
      </c>
      <c r="K16" s="254">
        <v>9</v>
      </c>
      <c r="L16" s="230">
        <f t="shared" si="3"/>
        <v>0.123209502736695</v>
      </c>
      <c r="M16" s="211">
        <v>383.1</v>
      </c>
      <c r="N16" s="211">
        <v>475.6</v>
      </c>
      <c r="O16" s="246">
        <f t="shared" si="10"/>
        <v>858.7</v>
      </c>
      <c r="P16" s="211">
        <v>50.9</v>
      </c>
      <c r="Q16" s="211">
        <v>54.9</v>
      </c>
      <c r="R16" s="248">
        <f t="shared" si="11"/>
        <v>105.8</v>
      </c>
      <c r="S16" s="251">
        <f t="shared" si="4"/>
        <v>3.1057419354838709</v>
      </c>
      <c r="T16" s="310">
        <f t="shared" si="5"/>
        <v>3.3747116632370924</v>
      </c>
      <c r="U16" s="435">
        <v>2.6613000000000002</v>
      </c>
      <c r="V16" s="435">
        <v>2.6613000000000002</v>
      </c>
      <c r="W16" s="210">
        <f t="shared" si="12"/>
        <v>281.56554000000006</v>
      </c>
      <c r="X16" s="210">
        <v>2.6613000000000002</v>
      </c>
      <c r="Y16" s="210">
        <f t="shared" si="9"/>
        <v>0.78860070594808296</v>
      </c>
    </row>
    <row r="17" spans="1:25">
      <c r="A17" s="452" t="s">
        <v>8167</v>
      </c>
      <c r="B17" s="264">
        <v>41722</v>
      </c>
      <c r="C17" s="206">
        <v>3</v>
      </c>
      <c r="D17" s="267">
        <v>5</v>
      </c>
      <c r="E17" s="321" t="s">
        <v>8217</v>
      </c>
      <c r="F17" s="265" t="s">
        <v>8216</v>
      </c>
      <c r="G17" s="211"/>
      <c r="H17" s="211">
        <v>41</v>
      </c>
      <c r="I17" s="230">
        <v>2106.6999999999998</v>
      </c>
      <c r="J17" s="248">
        <f t="shared" si="2"/>
        <v>270.35681427343076</v>
      </c>
      <c r="K17" s="254">
        <v>11</v>
      </c>
      <c r="L17" s="230">
        <f t="shared" si="3"/>
        <v>0.12833190025795357</v>
      </c>
      <c r="M17" s="211">
        <v>416.1</v>
      </c>
      <c r="N17" s="211">
        <v>514.29999999999995</v>
      </c>
      <c r="O17" s="246">
        <f t="shared" si="10"/>
        <v>930.4</v>
      </c>
      <c r="P17" s="211">
        <v>56.9</v>
      </c>
      <c r="Q17" s="211">
        <v>62.5</v>
      </c>
      <c r="R17" s="248">
        <f t="shared" si="11"/>
        <v>119.4</v>
      </c>
      <c r="S17" s="251">
        <f t="shared" si="4"/>
        <v>3.8975681427343081</v>
      </c>
      <c r="T17" s="310">
        <f t="shared" si="5"/>
        <v>3.188449807916359</v>
      </c>
      <c r="U17" s="435">
        <v>2.3952</v>
      </c>
      <c r="V17" s="435">
        <v>2.3952</v>
      </c>
      <c r="W17" s="210">
        <f t="shared" si="12"/>
        <v>285.98687999999999</v>
      </c>
      <c r="X17" s="210">
        <v>2.3952</v>
      </c>
      <c r="Y17" s="210">
        <f t="shared" si="9"/>
        <v>0.7512114489157522</v>
      </c>
    </row>
    <row r="18" spans="1:25">
      <c r="A18" s="452" t="s">
        <v>8167</v>
      </c>
      <c r="B18" s="264">
        <v>41722</v>
      </c>
      <c r="C18" s="206">
        <v>1</v>
      </c>
      <c r="D18" s="320">
        <v>70</v>
      </c>
      <c r="E18" s="321" t="s">
        <v>8218</v>
      </c>
      <c r="F18" s="265" t="s">
        <v>8214</v>
      </c>
      <c r="G18" s="211"/>
      <c r="H18" s="211">
        <v>35</v>
      </c>
      <c r="I18" s="230">
        <v>2340.8000000000002</v>
      </c>
      <c r="J18" s="248">
        <f t="shared" si="2"/>
        <v>277.39390198740898</v>
      </c>
      <c r="K18" s="254">
        <v>10</v>
      </c>
      <c r="L18" s="230">
        <f t="shared" si="3"/>
        <v>0.11850388840883841</v>
      </c>
      <c r="M18" s="211">
        <v>313.3</v>
      </c>
      <c r="N18" s="211">
        <v>496.8</v>
      </c>
      <c r="O18" s="246">
        <f t="shared" si="10"/>
        <v>810.1</v>
      </c>
      <c r="P18" s="211">
        <v>38.6</v>
      </c>
      <c r="Q18" s="211">
        <v>57.4</v>
      </c>
      <c r="R18" s="248">
        <f t="shared" si="11"/>
        <v>96</v>
      </c>
      <c r="S18" s="251">
        <f t="shared" si="4"/>
        <v>3.7339390198740898</v>
      </c>
      <c r="T18" s="310">
        <f t="shared" si="5"/>
        <v>3.2228211771559128</v>
      </c>
      <c r="U18" s="435">
        <v>2.9980000000000002</v>
      </c>
      <c r="V18" s="435">
        <v>2.9980000000000002</v>
      </c>
      <c r="W18" s="210">
        <f t="shared" si="12"/>
        <v>287.80799999999999</v>
      </c>
      <c r="X18" s="210">
        <v>2.9980000000000002</v>
      </c>
      <c r="Y18" s="210">
        <f t="shared" si="9"/>
        <v>0.93024087754247864</v>
      </c>
    </row>
    <row r="19" spans="1:25">
      <c r="A19" s="452" t="s">
        <v>8167</v>
      </c>
      <c r="B19" s="264">
        <v>41722</v>
      </c>
      <c r="C19" s="206">
        <v>2</v>
      </c>
      <c r="D19" s="246">
        <v>66</v>
      </c>
      <c r="E19" s="321" t="s">
        <v>8218</v>
      </c>
      <c r="F19" s="265" t="s">
        <v>8215</v>
      </c>
      <c r="G19" s="211"/>
      <c r="H19" s="211">
        <v>30</v>
      </c>
      <c r="I19" s="230">
        <v>1932</v>
      </c>
      <c r="J19" s="248">
        <f t="shared" si="2"/>
        <v>239.88612670408983</v>
      </c>
      <c r="K19" s="254">
        <v>8</v>
      </c>
      <c r="L19" s="230">
        <f t="shared" si="3"/>
        <v>0.12416466185511896</v>
      </c>
      <c r="M19" s="211">
        <v>384.4</v>
      </c>
      <c r="N19" s="211">
        <v>363.8</v>
      </c>
      <c r="O19" s="246">
        <f t="shared" si="10"/>
        <v>748.2</v>
      </c>
      <c r="P19" s="211">
        <v>50.4</v>
      </c>
      <c r="Q19" s="211">
        <v>42.5</v>
      </c>
      <c r="R19" s="248">
        <f t="shared" si="11"/>
        <v>92.9</v>
      </c>
      <c r="S19" s="251">
        <f t="shared" si="4"/>
        <v>3.3278612670408982</v>
      </c>
      <c r="T19" s="310">
        <f t="shared" si="5"/>
        <v>3.3169330887777528</v>
      </c>
      <c r="U19" s="435">
        <v>3.4620000000000002</v>
      </c>
      <c r="V19" s="435">
        <v>3.4620000000000002</v>
      </c>
      <c r="W19" s="210">
        <f t="shared" si="12"/>
        <v>321.61980000000005</v>
      </c>
      <c r="X19" s="210">
        <v>3.4620000000000002</v>
      </c>
      <c r="Y19" s="210">
        <f t="shared" si="9"/>
        <v>1.0437352540251883</v>
      </c>
    </row>
    <row r="20" spans="1:25">
      <c r="A20" s="452" t="s">
        <v>8167</v>
      </c>
      <c r="B20" s="264">
        <v>41722</v>
      </c>
      <c r="C20" s="206">
        <v>5</v>
      </c>
      <c r="D20" s="320">
        <v>46</v>
      </c>
      <c r="E20" s="321" t="s">
        <v>8218</v>
      </c>
      <c r="F20" s="265" t="s">
        <v>8216</v>
      </c>
      <c r="G20" s="319"/>
      <c r="H20" s="211">
        <v>28</v>
      </c>
      <c r="I20" s="230">
        <v>2158.6999999999998</v>
      </c>
      <c r="J20" s="248">
        <f t="shared" si="2"/>
        <v>262.86022373005687</v>
      </c>
      <c r="K20" s="254">
        <v>7</v>
      </c>
      <c r="L20" s="230">
        <f t="shared" si="3"/>
        <v>0.1217678342196956</v>
      </c>
      <c r="M20" s="211">
        <v>509.5</v>
      </c>
      <c r="N20" s="211">
        <v>581.1</v>
      </c>
      <c r="O20" s="246">
        <f t="shared" si="10"/>
        <v>1090.5999999999999</v>
      </c>
      <c r="P20" s="211">
        <v>66.099999999999994</v>
      </c>
      <c r="Q20" s="211">
        <v>66.7</v>
      </c>
      <c r="R20" s="248">
        <f t="shared" si="11"/>
        <v>132.80000000000001</v>
      </c>
      <c r="S20" s="251">
        <f t="shared" si="4"/>
        <v>3.9566022373005687</v>
      </c>
      <c r="T20" s="310">
        <f t="shared" si="5"/>
        <v>3.17648944032912</v>
      </c>
      <c r="U20" s="435">
        <v>3.0411000000000001</v>
      </c>
      <c r="V20" s="435">
        <v>3.0411000000000001</v>
      </c>
      <c r="W20" s="210">
        <f t="shared" si="12"/>
        <v>403.85807999999997</v>
      </c>
      <c r="X20" s="210">
        <v>3.0411000000000001</v>
      </c>
      <c r="Y20" s="210">
        <f t="shared" si="9"/>
        <v>0.95737765137506892</v>
      </c>
    </row>
    <row r="21" spans="1:25">
      <c r="A21" s="452" t="s">
        <v>8167</v>
      </c>
      <c r="B21" s="264">
        <v>41722</v>
      </c>
      <c r="C21" s="206">
        <v>12</v>
      </c>
      <c r="D21" s="320">
        <v>57</v>
      </c>
      <c r="E21" s="321" t="s">
        <v>8219</v>
      </c>
      <c r="F21" s="270" t="s">
        <v>8214</v>
      </c>
      <c r="G21" s="211"/>
      <c r="H21" s="211">
        <v>28</v>
      </c>
      <c r="I21" s="230">
        <v>2123.5</v>
      </c>
      <c r="J21" s="248">
        <f t="shared" si="2"/>
        <v>260.26861397479956</v>
      </c>
      <c r="K21" s="254">
        <v>8</v>
      </c>
      <c r="L21" s="230">
        <f t="shared" si="3"/>
        <v>0.12256586483390608</v>
      </c>
      <c r="M21" s="211">
        <v>454.8</v>
      </c>
      <c r="N21" s="211">
        <v>767.4</v>
      </c>
      <c r="O21" s="246">
        <f t="shared" si="10"/>
        <v>1222.2</v>
      </c>
      <c r="P21" s="211">
        <v>56.3</v>
      </c>
      <c r="Q21" s="211">
        <v>93.5</v>
      </c>
      <c r="R21" s="248">
        <f t="shared" si="11"/>
        <v>149.80000000000001</v>
      </c>
      <c r="S21" s="251">
        <f t="shared" si="4"/>
        <v>4.1006861397479959</v>
      </c>
      <c r="T21" s="310">
        <f t="shared" si="5"/>
        <v>3.1482113580071758</v>
      </c>
      <c r="U21" s="435">
        <v>2.6091000000000002</v>
      </c>
      <c r="V21" s="435">
        <v>2.6091000000000002</v>
      </c>
      <c r="W21" s="210">
        <f t="shared" si="12"/>
        <v>390.84318000000007</v>
      </c>
      <c r="X21" s="210">
        <v>2.6091000000000002</v>
      </c>
      <c r="Y21" s="210">
        <f t="shared" si="9"/>
        <v>0.82875630105456632</v>
      </c>
    </row>
    <row r="22" spans="1:25">
      <c r="A22" s="452" t="s">
        <v>8167</v>
      </c>
      <c r="B22" s="264">
        <v>41722</v>
      </c>
      <c r="C22" s="206">
        <v>11</v>
      </c>
      <c r="D22" s="320">
        <v>54</v>
      </c>
      <c r="E22" s="321" t="s">
        <v>8219</v>
      </c>
      <c r="F22" s="265" t="s">
        <v>8215</v>
      </c>
      <c r="G22" s="211"/>
      <c r="H22" s="211">
        <v>34</v>
      </c>
      <c r="I22" s="230">
        <v>2317.8000000000002</v>
      </c>
      <c r="J22" s="248">
        <f t="shared" si="2"/>
        <v>286.40191557289819</v>
      </c>
      <c r="K22" s="254">
        <v>9</v>
      </c>
      <c r="L22" s="230">
        <f t="shared" si="3"/>
        <v>0.12356627645737259</v>
      </c>
      <c r="M22" s="211">
        <v>396.5</v>
      </c>
      <c r="N22" s="211">
        <v>449.2</v>
      </c>
      <c r="O22" s="246">
        <f t="shared" si="10"/>
        <v>845.7</v>
      </c>
      <c r="P22" s="211">
        <v>52.1</v>
      </c>
      <c r="Q22" s="211">
        <v>52.4</v>
      </c>
      <c r="R22" s="248">
        <f t="shared" si="11"/>
        <v>104.5</v>
      </c>
      <c r="S22" s="251">
        <f t="shared" si="4"/>
        <v>3.909019155728982</v>
      </c>
      <c r="T22" s="310">
        <f t="shared" si="5"/>
        <v>3.1861121910238843</v>
      </c>
      <c r="U22" s="435">
        <v>2.7113</v>
      </c>
      <c r="V22" s="435">
        <v>2.7113</v>
      </c>
      <c r="W22" s="210">
        <f t="shared" si="12"/>
        <v>283.33085000000005</v>
      </c>
      <c r="X22" s="210">
        <v>2.7113</v>
      </c>
      <c r="Y22" s="210">
        <f t="shared" si="9"/>
        <v>0.85097442821958524</v>
      </c>
    </row>
    <row r="23" spans="1:25">
      <c r="A23" s="452" t="s">
        <v>8167</v>
      </c>
      <c r="B23" s="264">
        <v>41719</v>
      </c>
      <c r="C23" s="206">
        <v>10</v>
      </c>
      <c r="D23" s="320">
        <v>41</v>
      </c>
      <c r="E23" s="321" t="s">
        <v>8219</v>
      </c>
      <c r="F23" s="265" t="s">
        <v>8216</v>
      </c>
      <c r="G23" s="211"/>
      <c r="H23" s="211">
        <v>34</v>
      </c>
      <c r="I23" s="230">
        <v>2170.6999999999998</v>
      </c>
      <c r="J23" s="248">
        <f t="shared" si="2"/>
        <v>276.56070648938282</v>
      </c>
      <c r="K23" s="254">
        <v>9</v>
      </c>
      <c r="L23" s="230">
        <f t="shared" si="3"/>
        <v>0.12740623139511809</v>
      </c>
      <c r="M23" s="211">
        <v>512.6</v>
      </c>
      <c r="N23" s="211">
        <v>495.2</v>
      </c>
      <c r="O23" s="246">
        <f t="shared" si="10"/>
        <v>1007.8</v>
      </c>
      <c r="P23" s="211">
        <v>68.7</v>
      </c>
      <c r="Q23" s="211">
        <v>59.7</v>
      </c>
      <c r="R23" s="248">
        <f t="shared" si="11"/>
        <v>128.4</v>
      </c>
      <c r="S23" s="251">
        <f t="shared" si="4"/>
        <v>4.049607064893828</v>
      </c>
      <c r="T23" s="310">
        <f t="shared" si="5"/>
        <v>3.1580921099208492</v>
      </c>
      <c r="U23" s="435">
        <v>2.6311</v>
      </c>
      <c r="V23" s="435">
        <v>2.6311</v>
      </c>
      <c r="W23" s="210">
        <f t="shared" si="12"/>
        <v>337.83324000000005</v>
      </c>
      <c r="X23" s="210">
        <v>2.6311</v>
      </c>
      <c r="Y23" s="210">
        <f t="shared" si="9"/>
        <v>0.83312959483817683</v>
      </c>
    </row>
    <row r="24" spans="1:25">
      <c r="A24" s="452" t="s">
        <v>8167</v>
      </c>
      <c r="B24" s="264">
        <v>41719</v>
      </c>
      <c r="C24" s="206">
        <v>12</v>
      </c>
      <c r="D24" s="320">
        <v>32</v>
      </c>
      <c r="E24" s="321" t="s">
        <v>8220</v>
      </c>
      <c r="F24" s="265" t="s">
        <v>8214</v>
      </c>
      <c r="G24" s="211"/>
      <c r="H24" s="211">
        <v>45</v>
      </c>
      <c r="I24" s="230">
        <v>1450.5</v>
      </c>
      <c r="J24" s="248">
        <f t="shared" si="2"/>
        <v>185.93657718120807</v>
      </c>
      <c r="K24" s="254">
        <v>14</v>
      </c>
      <c r="L24" s="230">
        <f t="shared" si="3"/>
        <v>0.12818791946308725</v>
      </c>
      <c r="M24" s="211">
        <v>421.4</v>
      </c>
      <c r="N24" s="211">
        <v>472.6</v>
      </c>
      <c r="O24" s="246">
        <f t="shared" si="10"/>
        <v>894</v>
      </c>
      <c r="P24" s="211">
        <v>57.5</v>
      </c>
      <c r="Q24" s="211">
        <v>57.1</v>
      </c>
      <c r="R24" s="248">
        <f t="shared" si="11"/>
        <v>114.6</v>
      </c>
      <c r="S24" s="251">
        <f t="shared" si="4"/>
        <v>3.0053657718120803</v>
      </c>
      <c r="T24" s="310">
        <f t="shared" si="5"/>
        <v>3.4025434518058475</v>
      </c>
      <c r="U24" s="435">
        <v>3.1307</v>
      </c>
      <c r="V24" s="435">
        <v>3.1307</v>
      </c>
      <c r="W24" s="210">
        <f t="shared" si="12"/>
        <v>358.77822000000003</v>
      </c>
      <c r="X24" s="210">
        <v>3.1307</v>
      </c>
      <c r="Y24" s="210">
        <f t="shared" si="9"/>
        <v>0.92010581035737526</v>
      </c>
    </row>
    <row r="25" spans="1:25">
      <c r="A25" s="452" t="s">
        <v>8167</v>
      </c>
      <c r="B25" s="264">
        <v>41719</v>
      </c>
      <c r="C25" s="206">
        <v>12</v>
      </c>
      <c r="D25" s="320">
        <v>30</v>
      </c>
      <c r="E25" s="321" t="s">
        <v>8220</v>
      </c>
      <c r="F25" s="265" t="s">
        <v>8215</v>
      </c>
      <c r="G25" s="211"/>
      <c r="H25" s="211">
        <v>45</v>
      </c>
      <c r="I25" s="230">
        <v>1887.2</v>
      </c>
      <c r="J25" s="248">
        <f t="shared" si="2"/>
        <v>236.2918103998978</v>
      </c>
      <c r="K25" s="254">
        <v>12</v>
      </c>
      <c r="L25" s="230">
        <f t="shared" si="3"/>
        <v>0.12520761466717772</v>
      </c>
      <c r="M25" s="211">
        <v>443.8</v>
      </c>
      <c r="N25" s="211">
        <v>338.9</v>
      </c>
      <c r="O25" s="246">
        <f t="shared" si="10"/>
        <v>782.7</v>
      </c>
      <c r="P25" s="211">
        <v>60.1</v>
      </c>
      <c r="Q25" s="211">
        <v>37.9</v>
      </c>
      <c r="R25" s="248">
        <f t="shared" si="11"/>
        <v>98</v>
      </c>
      <c r="S25" s="251">
        <f t="shared" si="4"/>
        <v>3.3429181039989784</v>
      </c>
      <c r="T25" s="310">
        <f t="shared" si="5"/>
        <v>3.3131918142182508</v>
      </c>
      <c r="U25" s="435">
        <v>2.9512999999999998</v>
      </c>
      <c r="V25" s="435">
        <v>2.9512999999999998</v>
      </c>
      <c r="W25" s="210">
        <f t="shared" si="12"/>
        <v>289.22739999999999</v>
      </c>
      <c r="X25" s="210">
        <v>2.9512999999999998</v>
      </c>
      <c r="Y25" s="210">
        <f t="shared" si="9"/>
        <v>0.89077245311749642</v>
      </c>
    </row>
    <row r="26" spans="1:25" ht="13.5" thickBot="1">
      <c r="A26" s="453" t="s">
        <v>8167</v>
      </c>
      <c r="B26" s="281">
        <v>41719</v>
      </c>
      <c r="C26" s="206">
        <v>11</v>
      </c>
      <c r="D26" s="320">
        <v>27</v>
      </c>
      <c r="E26" s="322" t="s">
        <v>8220</v>
      </c>
      <c r="F26" s="285" t="s">
        <v>8216</v>
      </c>
      <c r="G26" s="324"/>
      <c r="H26" s="211">
        <v>33</v>
      </c>
      <c r="I26" s="230">
        <v>2113.5</v>
      </c>
      <c r="J26" s="288">
        <f t="shared" si="2"/>
        <v>263.19842364532019</v>
      </c>
      <c r="K26" s="254">
        <v>8</v>
      </c>
      <c r="L26" s="286">
        <f t="shared" si="3"/>
        <v>0.12453201970443351</v>
      </c>
      <c r="M26" s="286">
        <v>539.29999999999995</v>
      </c>
      <c r="N26" s="323">
        <v>475.7</v>
      </c>
      <c r="O26" s="246">
        <f t="shared" si="10"/>
        <v>1015</v>
      </c>
      <c r="P26" s="324">
        <v>73.2</v>
      </c>
      <c r="Q26" s="286">
        <v>53.2</v>
      </c>
      <c r="R26" s="288">
        <f t="shared" si="11"/>
        <v>126.4</v>
      </c>
      <c r="S26" s="291">
        <f t="shared" si="4"/>
        <v>3.8959842364532018</v>
      </c>
      <c r="T26" s="342">
        <f t="shared" si="5"/>
        <v>3.1887738233397656</v>
      </c>
      <c r="U26" s="441">
        <v>2.6071</v>
      </c>
      <c r="V26" s="441">
        <v>2.6071</v>
      </c>
      <c r="W26" s="293">
        <f t="shared" si="12"/>
        <v>329.53744</v>
      </c>
      <c r="X26" s="210">
        <v>2.6071</v>
      </c>
      <c r="Y26" s="293">
        <f t="shared" si="9"/>
        <v>0.81758699250405009</v>
      </c>
    </row>
    <row r="27" spans="1:25" s="307" customFormat="1" ht="13.5" thickTop="1">
      <c r="A27" s="330" t="s">
        <v>8166</v>
      </c>
      <c r="B27" s="269">
        <v>41746</v>
      </c>
      <c r="C27" s="297">
        <v>4</v>
      </c>
      <c r="D27" s="265">
        <v>11</v>
      </c>
      <c r="E27" s="333" t="s">
        <v>8217</v>
      </c>
      <c r="F27" s="337" t="s">
        <v>8214</v>
      </c>
      <c r="G27" s="274"/>
      <c r="H27" s="333">
        <v>17</v>
      </c>
      <c r="I27" s="301">
        <v>2930</v>
      </c>
      <c r="J27" s="272">
        <f t="shared" si="2"/>
        <v>574.60753341433781</v>
      </c>
      <c r="K27" s="303">
        <v>4</v>
      </c>
      <c r="L27" s="271">
        <f t="shared" si="3"/>
        <v>0.19611178614823815</v>
      </c>
      <c r="M27" s="271">
        <v>150.69999999999999</v>
      </c>
      <c r="N27" s="274">
        <v>672.3</v>
      </c>
      <c r="O27" s="246">
        <f t="shared" si="10"/>
        <v>823</v>
      </c>
      <c r="P27" s="245">
        <v>23.4</v>
      </c>
      <c r="Q27" s="245">
        <v>138</v>
      </c>
      <c r="R27" s="272">
        <f t="shared" si="11"/>
        <v>161.4</v>
      </c>
      <c r="S27" s="275">
        <f t="shared" si="4"/>
        <v>7.360075334143378</v>
      </c>
      <c r="T27" s="316">
        <f t="shared" si="5"/>
        <v>2.7199282583418976</v>
      </c>
      <c r="U27" s="442">
        <v>1.7157</v>
      </c>
      <c r="V27" s="443"/>
      <c r="W27" s="277">
        <f t="shared" si="12"/>
        <v>40.147379999999998</v>
      </c>
      <c r="X27" s="306">
        <v>1.7157</v>
      </c>
      <c r="Y27" s="277">
        <f t="shared" si="9"/>
        <v>0.63078869625991985</v>
      </c>
    </row>
    <row r="28" spans="1:25" s="279" customFormat="1">
      <c r="A28" s="317" t="s">
        <v>8166</v>
      </c>
      <c r="B28" s="264">
        <v>41745</v>
      </c>
      <c r="C28" s="278">
        <v>1</v>
      </c>
      <c r="D28" s="265">
        <v>5</v>
      </c>
      <c r="E28" s="319" t="s">
        <v>8217</v>
      </c>
      <c r="F28" s="338" t="s">
        <v>8215</v>
      </c>
      <c r="G28" s="246"/>
      <c r="H28" s="319">
        <v>36</v>
      </c>
      <c r="I28" s="260">
        <v>1876.1</v>
      </c>
      <c r="J28" s="248">
        <f>I28*L28</f>
        <v>412.79846179568631</v>
      </c>
      <c r="K28" s="254">
        <v>9</v>
      </c>
      <c r="L28" s="260">
        <f t="shared" si="3"/>
        <v>0.22003009530178899</v>
      </c>
      <c r="M28" s="260">
        <v>108.1</v>
      </c>
      <c r="N28" s="246">
        <v>490</v>
      </c>
      <c r="O28" s="246">
        <f t="shared" si="10"/>
        <v>598.1</v>
      </c>
      <c r="P28" s="245">
        <v>22.7</v>
      </c>
      <c r="Q28" s="245">
        <v>108.9</v>
      </c>
      <c r="R28" s="248">
        <f t="shared" si="11"/>
        <v>131.6</v>
      </c>
      <c r="S28" s="251">
        <f t="shared" si="4"/>
        <v>5.4439846179568629</v>
      </c>
      <c r="T28" s="310">
        <f t="shared" si="5"/>
        <v>2.9329103736152038</v>
      </c>
      <c r="U28" s="444">
        <v>1.3459000000000001</v>
      </c>
      <c r="V28" s="444">
        <v>1.3459000000000001</v>
      </c>
      <c r="W28" s="210">
        <f t="shared" si="12"/>
        <v>177.12044000000003</v>
      </c>
      <c r="X28" s="210">
        <v>1.3459000000000001</v>
      </c>
      <c r="Y28" s="210">
        <f t="shared" si="9"/>
        <v>0.45889571400062884</v>
      </c>
    </row>
    <row r="29" spans="1:25" s="279" customFormat="1">
      <c r="A29" s="317" t="s">
        <v>8166</v>
      </c>
      <c r="B29" s="264">
        <v>41746</v>
      </c>
      <c r="C29" s="278">
        <v>3</v>
      </c>
      <c r="D29" s="265">
        <v>5</v>
      </c>
      <c r="E29" s="319" t="s">
        <v>8217</v>
      </c>
      <c r="F29" s="338" t="s">
        <v>8216</v>
      </c>
      <c r="G29" s="246"/>
      <c r="H29" s="319">
        <v>35</v>
      </c>
      <c r="I29" s="260">
        <v>2760</v>
      </c>
      <c r="J29" s="248">
        <f t="shared" si="2"/>
        <v>540.48</v>
      </c>
      <c r="K29" s="254">
        <v>8</v>
      </c>
      <c r="L29" s="260">
        <f t="shared" si="3"/>
        <v>0.19582608695652173</v>
      </c>
      <c r="M29" s="260">
        <v>126.6</v>
      </c>
      <c r="N29" s="246">
        <v>448.4</v>
      </c>
      <c r="O29" s="246">
        <f t="shared" si="10"/>
        <v>575</v>
      </c>
      <c r="P29" s="245">
        <v>22.4</v>
      </c>
      <c r="Q29" s="245">
        <v>90.2</v>
      </c>
      <c r="R29" s="248">
        <f t="shared" si="11"/>
        <v>112.6</v>
      </c>
      <c r="S29" s="251">
        <f t="shared" si="4"/>
        <v>6.5308000000000002</v>
      </c>
      <c r="T29" s="310">
        <f t="shared" si="5"/>
        <v>2.8024406118575667</v>
      </c>
      <c r="U29" s="444">
        <v>1.161</v>
      </c>
      <c r="V29" s="444">
        <v>1.161</v>
      </c>
      <c r="W29" s="210">
        <f t="shared" si="12"/>
        <v>130.7286</v>
      </c>
      <c r="X29" s="210">
        <v>1.161</v>
      </c>
      <c r="Y29" s="210">
        <f t="shared" si="9"/>
        <v>0.41428174966050185</v>
      </c>
    </row>
    <row r="30" spans="1:25" s="279" customFormat="1">
      <c r="A30" s="317" t="s">
        <v>8166</v>
      </c>
      <c r="B30" s="328">
        <v>41751</v>
      </c>
      <c r="C30" s="278">
        <v>1</v>
      </c>
      <c r="D30" s="318">
        <v>70</v>
      </c>
      <c r="E30" s="319" t="s">
        <v>8218</v>
      </c>
      <c r="F30" s="338" t="s">
        <v>8214</v>
      </c>
      <c r="G30" s="246"/>
      <c r="H30" s="319">
        <v>32</v>
      </c>
      <c r="I30" s="260">
        <v>2080</v>
      </c>
      <c r="J30" s="248">
        <f t="shared" si="2"/>
        <v>416.43265730629224</v>
      </c>
      <c r="K30" s="254">
        <v>7</v>
      </c>
      <c r="L30" s="260">
        <f t="shared" si="3"/>
        <v>0.20020800832033281</v>
      </c>
      <c r="M30" s="211">
        <v>122.5</v>
      </c>
      <c r="N30" s="245">
        <v>646.70000000000005</v>
      </c>
      <c r="O30" s="246">
        <f t="shared" si="10"/>
        <v>769.2</v>
      </c>
      <c r="P30" s="211">
        <v>20.399999999999999</v>
      </c>
      <c r="Q30" s="211">
        <v>133.6</v>
      </c>
      <c r="R30" s="248">
        <f t="shared" si="11"/>
        <v>154</v>
      </c>
      <c r="S30" s="251">
        <f t="shared" si="4"/>
        <v>5.7043265730629216</v>
      </c>
      <c r="T30" s="310">
        <f t="shared" si="5"/>
        <v>2.8988578445951307</v>
      </c>
      <c r="U30" s="444">
        <v>1.8524</v>
      </c>
      <c r="V30" s="444">
        <v>1.8524</v>
      </c>
      <c r="W30" s="210">
        <f t="shared" si="12"/>
        <v>285.26959999999997</v>
      </c>
      <c r="X30" s="210">
        <v>1.8524</v>
      </c>
      <c r="Y30" s="210">
        <f t="shared" si="9"/>
        <v>0.63901029277919474</v>
      </c>
    </row>
    <row r="31" spans="1:25" s="279" customFormat="1">
      <c r="A31" s="317" t="s">
        <v>8166</v>
      </c>
      <c r="B31" s="328">
        <v>41751</v>
      </c>
      <c r="C31" s="278">
        <v>2</v>
      </c>
      <c r="D31" s="331">
        <v>66</v>
      </c>
      <c r="E31" s="334" t="s">
        <v>8218</v>
      </c>
      <c r="F31" s="339" t="s">
        <v>8215</v>
      </c>
      <c r="G31" s="246"/>
      <c r="H31" s="334">
        <v>47</v>
      </c>
      <c r="I31" s="261">
        <v>4310</v>
      </c>
      <c r="J31" s="248">
        <f t="shared" si="2"/>
        <v>757.60957975598728</v>
      </c>
      <c r="K31" s="314">
        <v>11</v>
      </c>
      <c r="L31" s="260">
        <f t="shared" si="3"/>
        <v>0.17577948486217804</v>
      </c>
      <c r="M31" s="313">
        <v>217</v>
      </c>
      <c r="N31" s="313">
        <v>889.5</v>
      </c>
      <c r="O31" s="246">
        <f t="shared" si="10"/>
        <v>1106.5</v>
      </c>
      <c r="P31" s="313">
        <v>31.3</v>
      </c>
      <c r="Q31" s="313">
        <v>163.19999999999999</v>
      </c>
      <c r="R31" s="248">
        <f t="shared" si="11"/>
        <v>194.5</v>
      </c>
      <c r="S31" s="251">
        <f t="shared" si="4"/>
        <v>9.5210957975598731</v>
      </c>
      <c r="T31" s="310">
        <f t="shared" si="5"/>
        <v>2.5503881408509539</v>
      </c>
      <c r="U31" s="444">
        <v>2.0815999999999999</v>
      </c>
      <c r="V31" s="444">
        <v>2.0815999999999999</v>
      </c>
      <c r="W31" s="210">
        <f t="shared" si="12"/>
        <v>404.87119999999993</v>
      </c>
      <c r="X31" s="315">
        <v>2.0815999999999999</v>
      </c>
      <c r="Y31" s="210">
        <f t="shared" si="9"/>
        <v>0.81618949157498055</v>
      </c>
    </row>
    <row r="32" spans="1:25" s="256" customFormat="1">
      <c r="A32" s="317" t="s">
        <v>8166</v>
      </c>
      <c r="B32" s="328">
        <v>41751</v>
      </c>
      <c r="C32" s="318">
        <v>5</v>
      </c>
      <c r="D32" s="332">
        <v>46</v>
      </c>
      <c r="E32" s="262" t="s">
        <v>8218</v>
      </c>
      <c r="F32" s="338" t="s">
        <v>8216</v>
      </c>
      <c r="G32" s="246"/>
      <c r="H32" s="262">
        <v>24</v>
      </c>
      <c r="I32" s="246">
        <v>3400</v>
      </c>
      <c r="J32" s="248">
        <f t="shared" si="2"/>
        <v>603.86727142516122</v>
      </c>
      <c r="K32" s="246">
        <v>6</v>
      </c>
      <c r="L32" s="260">
        <f t="shared" si="3"/>
        <v>0.17760802100740036</v>
      </c>
      <c r="M32" s="246">
        <v>164.8</v>
      </c>
      <c r="N32" s="246">
        <v>673</v>
      </c>
      <c r="O32" s="246">
        <f t="shared" si="10"/>
        <v>837.8</v>
      </c>
      <c r="P32" s="246">
        <v>23.6</v>
      </c>
      <c r="Q32" s="246">
        <v>125.2</v>
      </c>
      <c r="R32" s="248">
        <f t="shared" si="11"/>
        <v>148.80000000000001</v>
      </c>
      <c r="S32" s="251">
        <f t="shared" si="4"/>
        <v>7.526672714251613</v>
      </c>
      <c r="T32" s="310">
        <f t="shared" si="5"/>
        <v>2.704750788316066</v>
      </c>
      <c r="U32" s="444">
        <v>1.8908</v>
      </c>
      <c r="V32" s="444">
        <v>1.8908</v>
      </c>
      <c r="W32" s="210">
        <f t="shared" si="12"/>
        <v>281.35104000000001</v>
      </c>
      <c r="X32" s="210">
        <v>1.8908</v>
      </c>
      <c r="Y32" s="210">
        <f t="shared" si="9"/>
        <v>0.69906625341153206</v>
      </c>
    </row>
    <row r="33" spans="1:25" s="279" customFormat="1">
      <c r="A33" s="317" t="s">
        <v>8166</v>
      </c>
      <c r="B33" s="264">
        <v>41747</v>
      </c>
      <c r="C33" s="278">
        <v>12</v>
      </c>
      <c r="D33" s="318">
        <v>57</v>
      </c>
      <c r="E33" s="335" t="s">
        <v>8219</v>
      </c>
      <c r="F33" s="340" t="s">
        <v>8214</v>
      </c>
      <c r="G33" s="246"/>
      <c r="H33" s="335">
        <v>28</v>
      </c>
      <c r="I33" s="271">
        <v>3280</v>
      </c>
      <c r="J33" s="248">
        <f t="shared" si="2"/>
        <v>639.50189232083994</v>
      </c>
      <c r="K33" s="273">
        <v>7</v>
      </c>
      <c r="L33" s="260">
        <f t="shared" si="3"/>
        <v>0.19497008912220729</v>
      </c>
      <c r="M33" s="271">
        <v>138.9</v>
      </c>
      <c r="N33" s="274">
        <v>680.2</v>
      </c>
      <c r="O33" s="246">
        <f t="shared" si="10"/>
        <v>819.1</v>
      </c>
      <c r="P33" s="245">
        <v>21.6</v>
      </c>
      <c r="Q33" s="245">
        <v>138.1</v>
      </c>
      <c r="R33" s="248">
        <f t="shared" si="11"/>
        <v>159.69999999999999</v>
      </c>
      <c r="S33" s="251">
        <f t="shared" si="4"/>
        <v>7.9920189232084002</v>
      </c>
      <c r="T33" s="310">
        <f t="shared" si="5"/>
        <v>2.664488732903473</v>
      </c>
      <c r="U33" s="444">
        <v>1.2453000000000001</v>
      </c>
      <c r="V33" s="444">
        <v>1.2453000000000001</v>
      </c>
      <c r="W33" s="210">
        <f t="shared" si="12"/>
        <v>198.87441000000001</v>
      </c>
      <c r="X33" s="277">
        <v>1.2453000000000001</v>
      </c>
      <c r="Y33" s="210">
        <f t="shared" si="9"/>
        <v>0.46736921219516891</v>
      </c>
    </row>
    <row r="34" spans="1:25" s="279" customFormat="1">
      <c r="A34" s="317" t="s">
        <v>8166</v>
      </c>
      <c r="B34" s="264">
        <v>41747</v>
      </c>
      <c r="C34" s="278">
        <v>11</v>
      </c>
      <c r="D34" s="265">
        <v>54</v>
      </c>
      <c r="E34" s="319" t="s">
        <v>8219</v>
      </c>
      <c r="F34" s="338" t="s">
        <v>8215</v>
      </c>
      <c r="G34" s="246"/>
      <c r="H34" s="319">
        <v>34</v>
      </c>
      <c r="I34" s="260">
        <v>3380</v>
      </c>
      <c r="J34" s="248">
        <f t="shared" si="2"/>
        <v>650.11282273812117</v>
      </c>
      <c r="K34" s="254">
        <v>8</v>
      </c>
      <c r="L34" s="260">
        <f t="shared" si="3"/>
        <v>0.19234107181601218</v>
      </c>
      <c r="M34" s="260">
        <v>192.8</v>
      </c>
      <c r="N34" s="246">
        <v>729</v>
      </c>
      <c r="O34" s="246">
        <f t="shared" si="10"/>
        <v>921.8</v>
      </c>
      <c r="P34" s="245">
        <v>31.8</v>
      </c>
      <c r="Q34" s="245">
        <v>145.5</v>
      </c>
      <c r="R34" s="248">
        <f t="shared" si="11"/>
        <v>177.3</v>
      </c>
      <c r="S34" s="251">
        <f t="shared" si="4"/>
        <v>8.2741282273812118</v>
      </c>
      <c r="T34" s="310">
        <f t="shared" si="5"/>
        <v>2.6414807631288002</v>
      </c>
      <c r="U34" s="444">
        <v>1.3665</v>
      </c>
      <c r="V34" s="444">
        <v>1.3665</v>
      </c>
      <c r="W34" s="210">
        <f t="shared" si="12"/>
        <v>242.28045</v>
      </c>
      <c r="X34" s="210">
        <v>1.3665</v>
      </c>
      <c r="Y34" s="210">
        <f t="shared" si="9"/>
        <v>0.51732347215029428</v>
      </c>
    </row>
    <row r="35" spans="1:25" s="279" customFormat="1">
      <c r="A35" s="317" t="s">
        <v>8166</v>
      </c>
      <c r="B35" s="264">
        <v>41747</v>
      </c>
      <c r="C35" s="278">
        <v>10</v>
      </c>
      <c r="D35" s="265">
        <v>41</v>
      </c>
      <c r="E35" s="319" t="s">
        <v>8219</v>
      </c>
      <c r="F35" s="338" t="s">
        <v>8216</v>
      </c>
      <c r="G35" s="246"/>
      <c r="H35" s="319">
        <v>31</v>
      </c>
      <c r="I35" s="260">
        <v>3590</v>
      </c>
      <c r="J35" s="248">
        <f t="shared" si="2"/>
        <v>686.63582587592907</v>
      </c>
      <c r="K35" s="254">
        <v>6</v>
      </c>
      <c r="L35" s="260">
        <f t="shared" si="3"/>
        <v>0.1912634612467769</v>
      </c>
      <c r="M35" s="260">
        <v>125.5</v>
      </c>
      <c r="N35" s="246">
        <v>533.79999999999995</v>
      </c>
      <c r="O35" s="246">
        <f t="shared" si="10"/>
        <v>659.3</v>
      </c>
      <c r="P35" s="245">
        <v>20.3</v>
      </c>
      <c r="Q35" s="245">
        <v>105.8</v>
      </c>
      <c r="R35" s="248">
        <f t="shared" si="11"/>
        <v>126.1</v>
      </c>
      <c r="S35" s="251">
        <f t="shared" si="4"/>
        <v>8.1273582587592905</v>
      </c>
      <c r="T35" s="310">
        <f t="shared" si="5"/>
        <v>2.6533263070643764</v>
      </c>
      <c r="U35" s="444">
        <v>1.3976999999999999</v>
      </c>
      <c r="V35" s="444">
        <v>1.3976999999999999</v>
      </c>
      <c r="W35" s="210">
        <f t="shared" si="12"/>
        <v>176.24996999999999</v>
      </c>
      <c r="X35" s="210">
        <v>1.3976999999999999</v>
      </c>
      <c r="Y35" s="210">
        <f t="shared" si="9"/>
        <v>0.52677275172626858</v>
      </c>
    </row>
    <row r="36" spans="1:25" s="279" customFormat="1">
      <c r="A36" s="317" t="s">
        <v>8166</v>
      </c>
      <c r="B36" s="264">
        <v>41746</v>
      </c>
      <c r="C36" s="278">
        <v>12</v>
      </c>
      <c r="D36" s="265">
        <v>32</v>
      </c>
      <c r="E36" s="319" t="s">
        <v>8220</v>
      </c>
      <c r="F36" s="338" t="s">
        <v>8214</v>
      </c>
      <c r="G36" s="246"/>
      <c r="H36" s="319">
        <v>39</v>
      </c>
      <c r="I36" s="260">
        <v>2440</v>
      </c>
      <c r="J36" s="248">
        <f t="shared" si="2"/>
        <v>492.49811888638072</v>
      </c>
      <c r="K36" s="254">
        <v>9</v>
      </c>
      <c r="L36" s="260">
        <f t="shared" si="3"/>
        <v>0.20184349134687735</v>
      </c>
      <c r="M36" s="211">
        <v>94.8</v>
      </c>
      <c r="N36" s="245">
        <v>436.8</v>
      </c>
      <c r="O36" s="246">
        <f t="shared" si="10"/>
        <v>531.6</v>
      </c>
      <c r="P36" s="211">
        <v>16.2</v>
      </c>
      <c r="Q36" s="211">
        <v>91.1</v>
      </c>
      <c r="R36" s="248">
        <f t="shared" si="11"/>
        <v>107.3</v>
      </c>
      <c r="S36" s="251">
        <f t="shared" si="4"/>
        <v>5.9979811888638075</v>
      </c>
      <c r="T36" s="310">
        <f t="shared" si="5"/>
        <v>2.8627059400223427</v>
      </c>
      <c r="U36" s="444">
        <v>1.6838</v>
      </c>
      <c r="V36" s="444">
        <v>1.6838</v>
      </c>
      <c r="W36" s="210">
        <f t="shared" si="12"/>
        <v>180.67173999999997</v>
      </c>
      <c r="X36" s="210">
        <v>1.6838</v>
      </c>
      <c r="Y36" s="210">
        <f t="shared" si="9"/>
        <v>0.58818475780535751</v>
      </c>
    </row>
    <row r="37" spans="1:25" s="279" customFormat="1">
      <c r="A37" s="317" t="s">
        <v>8166</v>
      </c>
      <c r="B37" s="264">
        <v>41746</v>
      </c>
      <c r="C37" s="278">
        <v>12</v>
      </c>
      <c r="D37" s="265">
        <v>30</v>
      </c>
      <c r="E37" s="319" t="s">
        <v>8220</v>
      </c>
      <c r="F37" s="338" t="s">
        <v>8215</v>
      </c>
      <c r="G37" s="246"/>
      <c r="H37" s="319">
        <v>38</v>
      </c>
      <c r="I37" s="260">
        <v>3060</v>
      </c>
      <c r="J37" s="248">
        <f t="shared" si="2"/>
        <v>592.76024002087149</v>
      </c>
      <c r="K37" s="254">
        <v>9</v>
      </c>
      <c r="L37" s="260">
        <f t="shared" si="3"/>
        <v>0.19371249673884688</v>
      </c>
      <c r="M37" s="211">
        <v>164.2</v>
      </c>
      <c r="N37" s="211">
        <v>602.4</v>
      </c>
      <c r="O37" s="246">
        <f t="shared" si="10"/>
        <v>766.59999999999991</v>
      </c>
      <c r="P37" s="211">
        <v>27.7</v>
      </c>
      <c r="Q37" s="211">
        <v>120.8</v>
      </c>
      <c r="R37" s="248">
        <f t="shared" si="11"/>
        <v>148.5</v>
      </c>
      <c r="S37" s="251">
        <f t="shared" si="4"/>
        <v>7.4126024002087147</v>
      </c>
      <c r="T37" s="310">
        <f t="shared" si="5"/>
        <v>2.7150969227535362</v>
      </c>
      <c r="U37" s="444">
        <v>1.9825999999999999</v>
      </c>
      <c r="V37" s="444">
        <v>1.9825999999999999</v>
      </c>
      <c r="W37" s="210">
        <f t="shared" si="12"/>
        <v>294.41609999999997</v>
      </c>
      <c r="X37" s="210">
        <v>1.9825999999999999</v>
      </c>
      <c r="Y37" s="210">
        <f t="shared" si="9"/>
        <v>0.73021334280373718</v>
      </c>
    </row>
    <row r="38" spans="1:25" s="294" customFormat="1" ht="13.5" thickBot="1">
      <c r="A38" s="329" t="s">
        <v>8166</v>
      </c>
      <c r="B38" s="264">
        <v>41747</v>
      </c>
      <c r="C38" s="282">
        <v>11</v>
      </c>
      <c r="D38" s="265">
        <v>27</v>
      </c>
      <c r="E38" s="336" t="s">
        <v>8220</v>
      </c>
      <c r="F38" s="341" t="s">
        <v>8216</v>
      </c>
      <c r="G38" s="290"/>
      <c r="H38" s="336">
        <v>28</v>
      </c>
      <c r="I38" s="287">
        <v>3960</v>
      </c>
      <c r="J38" s="248">
        <f t="shared" si="2"/>
        <v>695.36518771331055</v>
      </c>
      <c r="K38" s="289">
        <v>6</v>
      </c>
      <c r="L38" s="260">
        <f t="shared" si="3"/>
        <v>0.17559726962457337</v>
      </c>
      <c r="M38" s="286">
        <v>131.69999999999999</v>
      </c>
      <c r="N38" s="286">
        <v>454.3</v>
      </c>
      <c r="O38" s="246">
        <f t="shared" si="10"/>
        <v>586</v>
      </c>
      <c r="P38" s="286">
        <v>18.3</v>
      </c>
      <c r="Q38" s="286">
        <v>84.6</v>
      </c>
      <c r="R38" s="248">
        <f t="shared" si="11"/>
        <v>102.89999999999999</v>
      </c>
      <c r="S38" s="251">
        <f t="shared" si="4"/>
        <v>7.9826518771331054</v>
      </c>
      <c r="T38" s="310">
        <f t="shared" si="5"/>
        <v>2.665270033844295</v>
      </c>
      <c r="U38" s="445">
        <v>1.8843000000000001</v>
      </c>
      <c r="V38" s="445">
        <v>1.8843000000000001</v>
      </c>
      <c r="W38" s="210">
        <f t="shared" si="12"/>
        <v>193.89447000000001</v>
      </c>
      <c r="X38" s="293">
        <v>1.8843000000000001</v>
      </c>
      <c r="Y38" s="210">
        <f t="shared" si="9"/>
        <v>0.70698277325474213</v>
      </c>
    </row>
    <row r="39" spans="1:25" s="307" customFormat="1" ht="13.5" thickTop="1">
      <c r="A39" s="268"/>
      <c r="B39" s="296"/>
      <c r="C39" s="297"/>
      <c r="D39" s="298"/>
      <c r="E39" s="266"/>
      <c r="F39" s="299"/>
      <c r="G39" s="245"/>
      <c r="H39" s="300"/>
      <c r="I39" s="301"/>
      <c r="J39" s="302"/>
      <c r="K39" s="303"/>
      <c r="L39" s="301"/>
      <c r="M39" s="260"/>
      <c r="N39" s="246"/>
      <c r="O39" s="304"/>
      <c r="P39" s="245"/>
      <c r="Q39" s="245"/>
      <c r="R39" s="302"/>
      <c r="S39" s="305"/>
      <c r="T39" s="309"/>
      <c r="U39" s="438"/>
      <c r="V39" s="438"/>
      <c r="W39" s="306"/>
      <c r="X39" s="306"/>
      <c r="Y39" s="306"/>
    </row>
    <row r="40" spans="1:25" s="279" customFormat="1">
      <c r="A40" s="212"/>
      <c r="B40" s="264"/>
      <c r="C40" s="278"/>
      <c r="D40" s="259"/>
      <c r="E40" s="266"/>
      <c r="F40" s="265"/>
      <c r="G40" s="211"/>
      <c r="H40" s="211"/>
      <c r="I40" s="260"/>
      <c r="J40" s="248"/>
      <c r="K40" s="254"/>
      <c r="L40" s="260"/>
      <c r="M40" s="260"/>
      <c r="N40" s="246"/>
      <c r="O40" s="246"/>
      <c r="P40" s="245"/>
      <c r="Q40" s="245"/>
      <c r="R40" s="248"/>
      <c r="S40" s="251"/>
      <c r="T40" s="310"/>
      <c r="U40" s="435"/>
      <c r="V40" s="435"/>
      <c r="W40" s="210"/>
      <c r="X40" s="210"/>
      <c r="Y40" s="210"/>
    </row>
    <row r="41" spans="1:25">
      <c r="P41" s="209"/>
      <c r="Q41" s="209"/>
    </row>
    <row r="42" spans="1:25">
      <c r="A42" s="208" t="s">
        <v>8165</v>
      </c>
      <c r="L42" s="393"/>
      <c r="P42" s="209"/>
      <c r="Q42" s="209"/>
    </row>
    <row r="43" spans="1:25">
      <c r="A43" s="207" t="s">
        <v>8164</v>
      </c>
      <c r="P43" s="209"/>
      <c r="Q43" s="209"/>
    </row>
    <row r="44" spans="1:25">
      <c r="A44" s="207" t="s">
        <v>8163</v>
      </c>
      <c r="L44" s="394"/>
    </row>
    <row r="45" spans="1:25">
      <c r="A45" s="207" t="s">
        <v>8162</v>
      </c>
    </row>
    <row r="46" spans="1:25">
      <c r="A46" s="208" t="s">
        <v>8161</v>
      </c>
      <c r="P46" s="209"/>
      <c r="Q46" s="209"/>
    </row>
    <row r="47" spans="1:25">
      <c r="A47" s="208" t="s">
        <v>8160</v>
      </c>
      <c r="P47" s="209"/>
      <c r="Q47" s="209"/>
    </row>
    <row r="48" spans="1:25">
      <c r="A48" s="208" t="s">
        <v>8159</v>
      </c>
    </row>
    <row r="49" spans="1:1">
      <c r="A49" s="207" t="s">
        <v>8158</v>
      </c>
    </row>
    <row r="50" spans="1:1">
      <c r="A50" s="207" t="s">
        <v>8157</v>
      </c>
    </row>
    <row r="51" spans="1:1">
      <c r="A51" s="207" t="s">
        <v>8156</v>
      </c>
    </row>
    <row r="52" spans="1:1">
      <c r="A52" s="207" t="s">
        <v>8155</v>
      </c>
    </row>
    <row r="54" spans="1:1">
      <c r="A54" s="206" t="s">
        <v>8201</v>
      </c>
    </row>
  </sheetData>
  <sheetProtection selectLockedCells="1" selectUnlockedCells="1"/>
  <mergeCells count="54">
    <mergeCell ref="U38:V38"/>
    <mergeCell ref="U39:V39"/>
    <mergeCell ref="U40:V40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33:V33"/>
    <mergeCell ref="U34:V34"/>
    <mergeCell ref="U35:V35"/>
    <mergeCell ref="U36:V36"/>
    <mergeCell ref="U37:V37"/>
    <mergeCell ref="U28:V28"/>
    <mergeCell ref="U29:V29"/>
    <mergeCell ref="U30:V30"/>
    <mergeCell ref="U31:V31"/>
    <mergeCell ref="U32:V32"/>
    <mergeCell ref="U11:V11"/>
    <mergeCell ref="U12:V12"/>
    <mergeCell ref="U13:V13"/>
    <mergeCell ref="U14:V14"/>
    <mergeCell ref="U27:V27"/>
    <mergeCell ref="M4:N4"/>
    <mergeCell ref="M5:N5"/>
    <mergeCell ref="M6:N6"/>
    <mergeCell ref="M7:N7"/>
    <mergeCell ref="M8:N8"/>
    <mergeCell ref="U10:V10"/>
    <mergeCell ref="U8:V8"/>
    <mergeCell ref="U9:V9"/>
    <mergeCell ref="P3:Q3"/>
    <mergeCell ref="P4:Q4"/>
    <mergeCell ref="P5:Q5"/>
    <mergeCell ref="P6:Q6"/>
    <mergeCell ref="P7:Q7"/>
    <mergeCell ref="P8:Q8"/>
    <mergeCell ref="U4:V4"/>
    <mergeCell ref="U5:V5"/>
    <mergeCell ref="U7:V7"/>
    <mergeCell ref="U6:V6"/>
    <mergeCell ref="K1:R1"/>
    <mergeCell ref="H1:J1"/>
    <mergeCell ref="U3:V3"/>
    <mergeCell ref="S1:T1"/>
    <mergeCell ref="U1:W1"/>
    <mergeCell ref="M3:N3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7"/>
  <sheetViews>
    <sheetView zoomScale="60" zoomScaleNormal="60" workbookViewId="0">
      <selection activeCell="AL25" sqref="AL25"/>
    </sheetView>
  </sheetViews>
  <sheetFormatPr baseColWidth="10" defaultRowHeight="12"/>
  <cols>
    <col min="1" max="1" width="5.5703125" style="197" bestFit="1" customWidth="1"/>
    <col min="2" max="2" width="3" style="197" bestFit="1" customWidth="1"/>
    <col min="3" max="3" width="3.28515625" style="197" bestFit="1" customWidth="1"/>
    <col min="4" max="39" width="5.140625" style="197" bestFit="1" customWidth="1"/>
    <col min="40" max="40" width="3.28515625" style="197" bestFit="1" customWidth="1"/>
    <col min="41" max="42" width="5.140625" style="197" bestFit="1" customWidth="1"/>
    <col min="43" max="43" width="5.28515625" style="197" customWidth="1"/>
    <col min="44" max="44" width="5.140625" style="197" customWidth="1"/>
    <col min="45" max="48" width="5.140625" style="197" bestFit="1" customWidth="1"/>
    <col min="49" max="49" width="7.140625" style="197" bestFit="1" customWidth="1"/>
    <col min="50" max="76" width="5.140625" style="197" bestFit="1" customWidth="1"/>
    <col min="77" max="77" width="3.28515625" style="197" bestFit="1" customWidth="1"/>
    <col min="78" max="16384" width="11.42578125" style="197"/>
  </cols>
  <sheetData>
    <row r="1" spans="1:78" ht="15">
      <c r="A1" s="346"/>
      <c r="B1" s="346"/>
      <c r="C1" s="346"/>
      <c r="D1" s="347"/>
      <c r="E1" s="449" t="s">
        <v>8252</v>
      </c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49"/>
      <c r="BD1" s="449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49"/>
      <c r="BQ1" s="449"/>
      <c r="BR1" s="449"/>
      <c r="BS1" s="449"/>
      <c r="BT1" s="449"/>
      <c r="BU1" s="449"/>
      <c r="BV1" s="449"/>
      <c r="BW1" s="449"/>
      <c r="BX1" s="449"/>
      <c r="BY1" s="449"/>
      <c r="BZ1" s="449"/>
    </row>
    <row r="2" spans="1:78" ht="15">
      <c r="A2" s="346" t="s">
        <v>8253</v>
      </c>
      <c r="B2" s="346"/>
      <c r="C2" s="346"/>
      <c r="D2" s="347">
        <v>1</v>
      </c>
      <c r="E2" s="347">
        <v>2</v>
      </c>
      <c r="F2" s="347">
        <v>3</v>
      </c>
      <c r="G2" s="347">
        <v>4</v>
      </c>
      <c r="H2" s="347">
        <v>5</v>
      </c>
      <c r="I2" s="347">
        <v>6</v>
      </c>
      <c r="J2" s="347">
        <v>7</v>
      </c>
      <c r="K2" s="347">
        <v>8</v>
      </c>
      <c r="L2" s="347">
        <v>9</v>
      </c>
      <c r="M2" s="347">
        <v>10</v>
      </c>
      <c r="N2" s="347">
        <v>11</v>
      </c>
      <c r="O2" s="347">
        <v>12</v>
      </c>
      <c r="P2" s="347">
        <v>13</v>
      </c>
      <c r="Q2" s="347">
        <v>14</v>
      </c>
      <c r="R2" s="347">
        <v>15</v>
      </c>
      <c r="S2" s="347">
        <v>16</v>
      </c>
      <c r="T2" s="347">
        <v>17</v>
      </c>
      <c r="U2" s="347">
        <v>18</v>
      </c>
      <c r="V2" s="347">
        <v>19</v>
      </c>
      <c r="W2" s="347">
        <v>20</v>
      </c>
      <c r="X2" s="347">
        <v>21</v>
      </c>
      <c r="Y2" s="347">
        <v>22</v>
      </c>
      <c r="Z2" s="347">
        <v>23</v>
      </c>
      <c r="AA2" s="347">
        <v>24</v>
      </c>
      <c r="AB2" s="347">
        <v>25</v>
      </c>
      <c r="AC2" s="347">
        <v>26</v>
      </c>
      <c r="AD2" s="347">
        <v>27</v>
      </c>
      <c r="AE2" s="347">
        <v>28</v>
      </c>
      <c r="AF2" s="347">
        <v>29</v>
      </c>
      <c r="AG2" s="347">
        <v>30</v>
      </c>
      <c r="AH2" s="347">
        <v>31</v>
      </c>
      <c r="AI2" s="347">
        <v>32</v>
      </c>
      <c r="AJ2" s="347">
        <v>33</v>
      </c>
      <c r="AK2" s="347">
        <v>34</v>
      </c>
      <c r="AL2" s="347">
        <v>35</v>
      </c>
      <c r="AM2" s="347">
        <v>36</v>
      </c>
      <c r="AN2" s="347"/>
      <c r="AO2" s="347">
        <v>37</v>
      </c>
      <c r="AP2" s="347">
        <v>38</v>
      </c>
      <c r="AQ2" s="347">
        <v>39</v>
      </c>
      <c r="AR2" s="347">
        <v>40</v>
      </c>
      <c r="AS2" s="347">
        <v>41</v>
      </c>
      <c r="AT2" s="347">
        <v>42</v>
      </c>
      <c r="AU2" s="347">
        <v>43</v>
      </c>
      <c r="AV2" s="347">
        <v>44</v>
      </c>
      <c r="AW2" s="347">
        <v>45</v>
      </c>
      <c r="AX2" s="347">
        <v>46</v>
      </c>
      <c r="AY2" s="347">
        <v>47</v>
      </c>
      <c r="AZ2" s="347">
        <v>48</v>
      </c>
      <c r="BA2" s="347">
        <v>49</v>
      </c>
      <c r="BB2" s="347">
        <v>50</v>
      </c>
      <c r="BC2" s="347">
        <v>51</v>
      </c>
      <c r="BD2" s="347">
        <v>52</v>
      </c>
      <c r="BE2" s="347">
        <v>53</v>
      </c>
      <c r="BF2" s="347">
        <v>54</v>
      </c>
      <c r="BG2" s="347">
        <v>55</v>
      </c>
      <c r="BH2" s="347">
        <v>56</v>
      </c>
      <c r="BI2" s="347">
        <v>57</v>
      </c>
      <c r="BJ2" s="347">
        <v>58</v>
      </c>
      <c r="BK2" s="347">
        <v>59</v>
      </c>
      <c r="BL2" s="347">
        <v>60</v>
      </c>
      <c r="BM2" s="347">
        <v>61</v>
      </c>
      <c r="BN2" s="347">
        <v>62</v>
      </c>
      <c r="BO2" s="347">
        <v>63</v>
      </c>
      <c r="BP2" s="347">
        <v>64</v>
      </c>
      <c r="BQ2" s="347">
        <v>65</v>
      </c>
      <c r="BR2" s="347">
        <v>66</v>
      </c>
      <c r="BS2" s="347">
        <v>67</v>
      </c>
      <c r="BT2" s="347">
        <v>68</v>
      </c>
      <c r="BU2" s="347">
        <v>69</v>
      </c>
      <c r="BV2" s="347">
        <v>70</v>
      </c>
      <c r="BW2" s="347">
        <v>71</v>
      </c>
      <c r="BX2" s="347">
        <v>72</v>
      </c>
      <c r="BY2" s="347"/>
      <c r="BZ2" s="347"/>
    </row>
    <row r="3" spans="1:78" ht="15">
      <c r="A3" s="346" t="s">
        <v>270</v>
      </c>
      <c r="B3" s="346"/>
      <c r="C3" s="346"/>
      <c r="D3" s="450" t="s">
        <v>8254</v>
      </c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  <c r="AJ3" s="450"/>
      <c r="AK3" s="450"/>
      <c r="AL3" s="450"/>
      <c r="AM3" s="450"/>
      <c r="AN3" s="347"/>
      <c r="AO3" s="450" t="s">
        <v>8255</v>
      </c>
      <c r="AP3" s="450"/>
      <c r="AQ3" s="450"/>
      <c r="AR3" s="450"/>
      <c r="AS3" s="450"/>
      <c r="AT3" s="450"/>
      <c r="AU3" s="450"/>
      <c r="AV3" s="450"/>
      <c r="AW3" s="450"/>
      <c r="AX3" s="450"/>
      <c r="AY3" s="450"/>
      <c r="AZ3" s="450"/>
      <c r="BA3" s="450"/>
      <c r="BB3" s="450"/>
      <c r="BC3" s="450"/>
      <c r="BD3" s="450"/>
      <c r="BE3" s="450"/>
      <c r="BF3" s="450"/>
      <c r="BG3" s="450"/>
      <c r="BH3" s="450"/>
      <c r="BI3" s="450"/>
      <c r="BJ3" s="450"/>
      <c r="BK3" s="450"/>
      <c r="BL3" s="450"/>
      <c r="BM3" s="450"/>
      <c r="BN3" s="450"/>
      <c r="BO3" s="450"/>
      <c r="BP3" s="450"/>
      <c r="BQ3" s="450"/>
      <c r="BR3" s="450"/>
      <c r="BS3" s="450"/>
      <c r="BT3" s="450"/>
      <c r="BU3" s="450"/>
      <c r="BV3" s="450"/>
      <c r="BW3" s="450"/>
      <c r="BX3" s="450"/>
      <c r="BY3" s="347"/>
      <c r="BZ3" s="347"/>
    </row>
    <row r="4" spans="1:78" ht="15">
      <c r="A4" s="346">
        <v>1</v>
      </c>
      <c r="B4" s="346" t="s">
        <v>8256</v>
      </c>
      <c r="C4" s="347" t="s">
        <v>8257</v>
      </c>
      <c r="D4" s="348">
        <v>119</v>
      </c>
      <c r="E4" s="354">
        <v>26</v>
      </c>
      <c r="F4" s="348">
        <v>134</v>
      </c>
      <c r="G4" s="348">
        <v>187</v>
      </c>
      <c r="H4" s="355">
        <v>212</v>
      </c>
      <c r="I4" s="348">
        <v>86</v>
      </c>
      <c r="J4" s="348">
        <v>56</v>
      </c>
      <c r="K4" s="348">
        <v>34</v>
      </c>
      <c r="L4" s="348">
        <v>167</v>
      </c>
      <c r="M4" s="348">
        <v>178</v>
      </c>
      <c r="N4" s="348">
        <v>7</v>
      </c>
      <c r="O4" s="348">
        <v>188</v>
      </c>
      <c r="P4" s="348">
        <v>84</v>
      </c>
      <c r="Q4" s="348">
        <v>99</v>
      </c>
      <c r="R4" s="348">
        <v>161</v>
      </c>
      <c r="S4" s="348">
        <v>194</v>
      </c>
      <c r="T4" s="348">
        <v>83</v>
      </c>
      <c r="U4" s="348">
        <v>22</v>
      </c>
      <c r="V4" s="348">
        <v>91</v>
      </c>
      <c r="W4" s="354">
        <v>144</v>
      </c>
      <c r="X4" s="348">
        <v>100</v>
      </c>
      <c r="Y4" s="348">
        <v>48</v>
      </c>
      <c r="Z4" s="348">
        <v>94</v>
      </c>
      <c r="AA4" s="348">
        <v>3</v>
      </c>
      <c r="AB4" s="354">
        <v>143</v>
      </c>
      <c r="AC4" s="348">
        <v>31</v>
      </c>
      <c r="AD4" s="348">
        <v>166</v>
      </c>
      <c r="AE4" s="348">
        <v>147</v>
      </c>
      <c r="AF4" s="348">
        <v>182</v>
      </c>
      <c r="AG4" s="356">
        <v>209</v>
      </c>
      <c r="AH4" s="348">
        <v>38</v>
      </c>
      <c r="AI4" s="348">
        <v>80</v>
      </c>
      <c r="AJ4" s="348">
        <v>111</v>
      </c>
      <c r="AK4" s="348">
        <v>107</v>
      </c>
      <c r="AL4" s="348">
        <v>27</v>
      </c>
      <c r="AM4" s="348">
        <v>150</v>
      </c>
      <c r="AN4" s="347" t="s">
        <v>8257</v>
      </c>
      <c r="AO4" s="347">
        <v>125</v>
      </c>
      <c r="AP4" s="347">
        <v>77</v>
      </c>
      <c r="AQ4" s="357">
        <v>215</v>
      </c>
      <c r="AR4" s="347">
        <v>134</v>
      </c>
      <c r="AS4" s="347">
        <v>71</v>
      </c>
      <c r="AT4" s="356">
        <v>209</v>
      </c>
      <c r="AU4" s="347">
        <v>187</v>
      </c>
      <c r="AV4" s="347">
        <v>62</v>
      </c>
      <c r="AW4" s="349">
        <v>12</v>
      </c>
      <c r="AX4" s="347">
        <v>37</v>
      </c>
      <c r="AY4" s="354">
        <v>143</v>
      </c>
      <c r="AZ4" s="347">
        <v>32</v>
      </c>
      <c r="BA4" s="347">
        <v>5</v>
      </c>
      <c r="BB4" s="347">
        <v>94</v>
      </c>
      <c r="BC4" s="347">
        <v>97</v>
      </c>
      <c r="BD4" s="347">
        <v>177</v>
      </c>
      <c r="BE4" s="347">
        <v>33</v>
      </c>
      <c r="BF4" s="347">
        <v>194</v>
      </c>
      <c r="BG4" s="347">
        <v>148</v>
      </c>
      <c r="BH4" s="347">
        <v>193</v>
      </c>
      <c r="BI4" s="347">
        <v>146</v>
      </c>
      <c r="BJ4" s="347">
        <v>206</v>
      </c>
      <c r="BK4" s="347">
        <v>84</v>
      </c>
      <c r="BL4" s="347">
        <v>108</v>
      </c>
      <c r="BM4" s="347">
        <v>85</v>
      </c>
      <c r="BN4" s="347">
        <v>167</v>
      </c>
      <c r="BO4" s="347">
        <v>202</v>
      </c>
      <c r="BP4" s="347">
        <v>87</v>
      </c>
      <c r="BQ4" s="347">
        <v>173</v>
      </c>
      <c r="BR4" s="347">
        <v>111</v>
      </c>
      <c r="BS4" s="347">
        <v>164</v>
      </c>
      <c r="BT4" s="354">
        <v>144</v>
      </c>
      <c r="BU4" s="347">
        <v>131</v>
      </c>
      <c r="BV4" s="356">
        <v>208</v>
      </c>
      <c r="BW4" s="347">
        <v>35</v>
      </c>
      <c r="BX4" s="347">
        <v>122</v>
      </c>
      <c r="BY4" s="347" t="s">
        <v>8257</v>
      </c>
      <c r="BZ4" s="347"/>
    </row>
    <row r="5" spans="1:78" ht="15">
      <c r="A5" s="346">
        <v>2</v>
      </c>
      <c r="B5" s="346" t="s">
        <v>8256</v>
      </c>
      <c r="C5" s="347" t="s">
        <v>8257</v>
      </c>
      <c r="D5" s="348">
        <v>79</v>
      </c>
      <c r="E5" s="348">
        <v>32</v>
      </c>
      <c r="F5" s="348">
        <v>117</v>
      </c>
      <c r="G5" s="348">
        <v>102</v>
      </c>
      <c r="H5" s="348">
        <v>46</v>
      </c>
      <c r="I5" s="348">
        <v>105</v>
      </c>
      <c r="J5" s="348">
        <v>133</v>
      </c>
      <c r="K5" s="348">
        <v>110</v>
      </c>
      <c r="L5" s="348">
        <v>43</v>
      </c>
      <c r="M5" s="348">
        <v>70</v>
      </c>
      <c r="N5" s="348">
        <v>63</v>
      </c>
      <c r="O5" s="348">
        <v>73</v>
      </c>
      <c r="P5" s="348">
        <v>17</v>
      </c>
      <c r="Q5" s="348">
        <v>65</v>
      </c>
      <c r="R5" s="348">
        <v>183</v>
      </c>
      <c r="S5" s="348">
        <v>122</v>
      </c>
      <c r="T5" s="354">
        <v>176</v>
      </c>
      <c r="U5" s="348">
        <v>192</v>
      </c>
      <c r="V5" s="348">
        <v>204</v>
      </c>
      <c r="W5" s="348">
        <v>112</v>
      </c>
      <c r="X5" s="348">
        <v>9</v>
      </c>
      <c r="Y5" s="348">
        <v>132</v>
      </c>
      <c r="Z5" s="348">
        <v>44</v>
      </c>
      <c r="AA5" s="348">
        <v>139</v>
      </c>
      <c r="AB5" s="348">
        <v>160</v>
      </c>
      <c r="AC5" s="348">
        <v>5</v>
      </c>
      <c r="AD5" s="348">
        <v>6</v>
      </c>
      <c r="AE5" s="348">
        <v>45</v>
      </c>
      <c r="AF5" s="348">
        <v>196</v>
      </c>
      <c r="AG5" s="348">
        <v>51</v>
      </c>
      <c r="AH5" s="348">
        <v>95</v>
      </c>
      <c r="AI5" s="348">
        <v>87</v>
      </c>
      <c r="AJ5" s="348">
        <v>14</v>
      </c>
      <c r="AK5" s="348">
        <v>157</v>
      </c>
      <c r="AL5" s="348">
        <v>21</v>
      </c>
      <c r="AM5" s="348">
        <v>120</v>
      </c>
      <c r="AN5" s="347" t="s">
        <v>8257</v>
      </c>
      <c r="AO5" s="347">
        <v>171</v>
      </c>
      <c r="AP5" s="354">
        <v>26</v>
      </c>
      <c r="AQ5" s="347">
        <v>48</v>
      </c>
      <c r="AR5" s="347">
        <v>79</v>
      </c>
      <c r="AS5" s="347">
        <v>34</v>
      </c>
      <c r="AT5" s="355">
        <v>213</v>
      </c>
      <c r="AU5" s="347">
        <v>113</v>
      </c>
      <c r="AV5" s="347">
        <v>179</v>
      </c>
      <c r="AW5" s="354">
        <v>16</v>
      </c>
      <c r="AX5" s="347">
        <v>120</v>
      </c>
      <c r="AY5" s="347">
        <v>145</v>
      </c>
      <c r="AZ5" s="347">
        <v>66</v>
      </c>
      <c r="BA5" s="347">
        <v>53</v>
      </c>
      <c r="BB5" s="347">
        <v>10</v>
      </c>
      <c r="BC5" s="347">
        <v>197</v>
      </c>
      <c r="BD5" s="354">
        <v>176</v>
      </c>
      <c r="BE5" s="347">
        <v>204</v>
      </c>
      <c r="BF5" s="347">
        <v>29</v>
      </c>
      <c r="BG5" s="347">
        <v>45</v>
      </c>
      <c r="BH5" s="347">
        <v>190</v>
      </c>
      <c r="BI5" s="347">
        <v>201</v>
      </c>
      <c r="BJ5" s="347">
        <v>180</v>
      </c>
      <c r="BK5" s="347">
        <v>22</v>
      </c>
      <c r="BL5" s="347">
        <v>38</v>
      </c>
      <c r="BM5" s="347">
        <v>196</v>
      </c>
      <c r="BN5" s="347">
        <v>195</v>
      </c>
      <c r="BO5" s="347">
        <v>169</v>
      </c>
      <c r="BP5" s="347">
        <v>24</v>
      </c>
      <c r="BQ5" s="347">
        <v>50</v>
      </c>
      <c r="BR5" s="355">
        <v>212</v>
      </c>
      <c r="BS5" s="347">
        <v>172</v>
      </c>
      <c r="BT5" s="347">
        <v>110</v>
      </c>
      <c r="BU5" s="347">
        <v>161</v>
      </c>
      <c r="BV5" s="347">
        <v>89</v>
      </c>
      <c r="BW5" s="347">
        <v>105</v>
      </c>
      <c r="BX5" s="347">
        <v>73</v>
      </c>
      <c r="BY5" s="347" t="s">
        <v>8257</v>
      </c>
      <c r="BZ5" s="347"/>
    </row>
    <row r="6" spans="1:78" ht="15">
      <c r="A6" s="346">
        <v>3</v>
      </c>
      <c r="B6" s="346" t="s">
        <v>8256</v>
      </c>
      <c r="C6" s="347" t="s">
        <v>8257</v>
      </c>
      <c r="D6" s="348">
        <v>36</v>
      </c>
      <c r="E6" s="348">
        <v>137</v>
      </c>
      <c r="F6" s="348">
        <v>169</v>
      </c>
      <c r="G6" s="348">
        <v>104</v>
      </c>
      <c r="H6" s="357">
        <v>216</v>
      </c>
      <c r="I6" s="348">
        <v>181</v>
      </c>
      <c r="J6" s="348">
        <v>116</v>
      </c>
      <c r="K6" s="348">
        <v>106</v>
      </c>
      <c r="L6" s="348">
        <v>189</v>
      </c>
      <c r="M6" s="348">
        <v>195</v>
      </c>
      <c r="N6" s="348">
        <v>162</v>
      </c>
      <c r="O6" s="348">
        <v>41</v>
      </c>
      <c r="P6" s="348">
        <v>29</v>
      </c>
      <c r="Q6" s="348">
        <v>179</v>
      </c>
      <c r="R6" s="355">
        <v>213</v>
      </c>
      <c r="S6" s="348">
        <v>164</v>
      </c>
      <c r="T6" s="348">
        <v>175</v>
      </c>
      <c r="U6" s="348">
        <v>190</v>
      </c>
      <c r="V6" s="356">
        <v>211</v>
      </c>
      <c r="W6" s="348">
        <v>125</v>
      </c>
      <c r="X6" s="348">
        <v>75</v>
      </c>
      <c r="Y6" s="356">
        <v>210</v>
      </c>
      <c r="Z6" s="348">
        <v>66</v>
      </c>
      <c r="AA6" s="348">
        <v>60</v>
      </c>
      <c r="AB6" s="348">
        <v>92</v>
      </c>
      <c r="AC6" s="348">
        <v>200</v>
      </c>
      <c r="AD6" s="348">
        <v>172</v>
      </c>
      <c r="AE6" s="348">
        <v>4</v>
      </c>
      <c r="AF6" s="348">
        <v>20</v>
      </c>
      <c r="AG6" s="348">
        <v>121</v>
      </c>
      <c r="AH6" s="348">
        <v>10</v>
      </c>
      <c r="AI6" s="348">
        <v>130</v>
      </c>
      <c r="AJ6" s="348">
        <v>203</v>
      </c>
      <c r="AK6" s="354">
        <v>18</v>
      </c>
      <c r="AL6" s="348">
        <v>191</v>
      </c>
      <c r="AM6" s="348">
        <v>153</v>
      </c>
      <c r="AN6" s="347" t="s">
        <v>8257</v>
      </c>
      <c r="AO6" s="355">
        <v>214</v>
      </c>
      <c r="AP6" s="347">
        <v>3</v>
      </c>
      <c r="AQ6" s="347">
        <v>104</v>
      </c>
      <c r="AR6" s="347">
        <v>1</v>
      </c>
      <c r="AS6" s="347">
        <v>130</v>
      </c>
      <c r="AT6" s="347">
        <v>129</v>
      </c>
      <c r="AU6" s="347">
        <v>49</v>
      </c>
      <c r="AV6" s="347">
        <v>56</v>
      </c>
      <c r="AW6" s="347">
        <v>95</v>
      </c>
      <c r="AX6" s="347">
        <v>86</v>
      </c>
      <c r="AY6" s="347">
        <v>191</v>
      </c>
      <c r="AZ6" s="347">
        <v>192</v>
      </c>
      <c r="BA6" s="347">
        <v>78</v>
      </c>
      <c r="BB6" s="347">
        <v>15</v>
      </c>
      <c r="BC6" s="354">
        <v>136</v>
      </c>
      <c r="BD6" s="347">
        <v>199</v>
      </c>
      <c r="BE6" s="347">
        <v>83</v>
      </c>
      <c r="BF6" s="347">
        <v>6</v>
      </c>
      <c r="BG6" s="347">
        <v>157</v>
      </c>
      <c r="BH6" s="347">
        <v>93</v>
      </c>
      <c r="BI6" s="347">
        <v>92</v>
      </c>
      <c r="BJ6" s="347">
        <v>27</v>
      </c>
      <c r="BK6" s="347">
        <v>181</v>
      </c>
      <c r="BL6" s="347">
        <v>162</v>
      </c>
      <c r="BM6" s="347">
        <v>43</v>
      </c>
      <c r="BN6" s="347">
        <v>149</v>
      </c>
      <c r="BO6" s="347">
        <v>140</v>
      </c>
      <c r="BP6" s="347">
        <v>11</v>
      </c>
      <c r="BQ6" s="354">
        <v>42</v>
      </c>
      <c r="BR6" s="347">
        <v>147</v>
      </c>
      <c r="BS6" s="347">
        <v>142</v>
      </c>
      <c r="BT6" s="347">
        <v>114</v>
      </c>
      <c r="BU6" s="347">
        <v>55</v>
      </c>
      <c r="BV6" s="347">
        <v>159</v>
      </c>
      <c r="BW6" s="347">
        <v>200</v>
      </c>
      <c r="BX6" s="347">
        <v>30</v>
      </c>
      <c r="BY6" s="347" t="s">
        <v>8257</v>
      </c>
      <c r="BZ6" s="347"/>
    </row>
    <row r="7" spans="1:78" ht="15">
      <c r="A7" s="346"/>
      <c r="B7" s="350" t="s">
        <v>8256</v>
      </c>
      <c r="C7" s="351" t="s">
        <v>8257</v>
      </c>
      <c r="D7" s="351" t="s">
        <v>8258</v>
      </c>
      <c r="E7" s="351" t="s">
        <v>8259</v>
      </c>
      <c r="F7" s="351" t="s">
        <v>8258</v>
      </c>
      <c r="G7" s="351" t="s">
        <v>8259</v>
      </c>
      <c r="H7" s="351" t="s">
        <v>8258</v>
      </c>
      <c r="I7" s="351" t="s">
        <v>8259</v>
      </c>
      <c r="J7" s="351" t="s">
        <v>8258</v>
      </c>
      <c r="K7" s="351" t="s">
        <v>8259</v>
      </c>
      <c r="L7" s="351" t="s">
        <v>8258</v>
      </c>
      <c r="M7" s="351" t="s">
        <v>8259</v>
      </c>
      <c r="N7" s="351" t="s">
        <v>8258</v>
      </c>
      <c r="O7" s="351" t="s">
        <v>8259</v>
      </c>
      <c r="P7" s="351" t="s">
        <v>8258</v>
      </c>
      <c r="Q7" s="351" t="s">
        <v>8259</v>
      </c>
      <c r="R7" s="351" t="s">
        <v>8258</v>
      </c>
      <c r="S7" s="351" t="s">
        <v>8259</v>
      </c>
      <c r="T7" s="351" t="s">
        <v>8258</v>
      </c>
      <c r="U7" s="351" t="s">
        <v>8259</v>
      </c>
      <c r="V7" s="351" t="s">
        <v>8258</v>
      </c>
      <c r="W7" s="351" t="s">
        <v>8259</v>
      </c>
      <c r="X7" s="351" t="s">
        <v>8258</v>
      </c>
      <c r="Y7" s="351" t="s">
        <v>8259</v>
      </c>
      <c r="Z7" s="351" t="s">
        <v>8258</v>
      </c>
      <c r="AA7" s="351" t="s">
        <v>8259</v>
      </c>
      <c r="AB7" s="351" t="s">
        <v>8258</v>
      </c>
      <c r="AC7" s="351" t="s">
        <v>8259</v>
      </c>
      <c r="AD7" s="351" t="s">
        <v>8258</v>
      </c>
      <c r="AE7" s="351" t="s">
        <v>8259</v>
      </c>
      <c r="AF7" s="351" t="s">
        <v>8258</v>
      </c>
      <c r="AG7" s="351" t="s">
        <v>8259</v>
      </c>
      <c r="AH7" s="351" t="s">
        <v>8258</v>
      </c>
      <c r="AI7" s="351" t="s">
        <v>8259</v>
      </c>
      <c r="AJ7" s="351" t="s">
        <v>8258</v>
      </c>
      <c r="AK7" s="351" t="s">
        <v>8259</v>
      </c>
      <c r="AL7" s="351" t="s">
        <v>8258</v>
      </c>
      <c r="AM7" s="351" t="s">
        <v>8259</v>
      </c>
      <c r="AN7" s="351" t="s">
        <v>8257</v>
      </c>
      <c r="AO7" s="351" t="s">
        <v>8258</v>
      </c>
      <c r="AP7" s="351" t="s">
        <v>8259</v>
      </c>
      <c r="AQ7" s="351" t="s">
        <v>8258</v>
      </c>
      <c r="AR7" s="351" t="s">
        <v>8259</v>
      </c>
      <c r="AS7" s="351" t="s">
        <v>8258</v>
      </c>
      <c r="AT7" s="351" t="s">
        <v>8259</v>
      </c>
      <c r="AU7" s="351" t="s">
        <v>8258</v>
      </c>
      <c r="AV7" s="351" t="s">
        <v>8258</v>
      </c>
      <c r="AW7" s="351" t="s">
        <v>8259</v>
      </c>
      <c r="AX7" s="351" t="s">
        <v>8259</v>
      </c>
      <c r="AY7" s="351" t="s">
        <v>8258</v>
      </c>
      <c r="AZ7" s="351" t="s">
        <v>8259</v>
      </c>
      <c r="BA7" s="351" t="s">
        <v>8258</v>
      </c>
      <c r="BB7" s="351" t="s">
        <v>8259</v>
      </c>
      <c r="BC7" s="351" t="s">
        <v>8258</v>
      </c>
      <c r="BD7" s="351" t="s">
        <v>8259</v>
      </c>
      <c r="BE7" s="351" t="s">
        <v>8258</v>
      </c>
      <c r="BF7" s="351" t="s">
        <v>8259</v>
      </c>
      <c r="BG7" s="351" t="s">
        <v>8258</v>
      </c>
      <c r="BH7" s="351" t="s">
        <v>8259</v>
      </c>
      <c r="BI7" s="351" t="s">
        <v>8258</v>
      </c>
      <c r="BJ7" s="351" t="s">
        <v>8259</v>
      </c>
      <c r="BK7" s="351" t="s">
        <v>8258</v>
      </c>
      <c r="BL7" s="351" t="s">
        <v>8259</v>
      </c>
      <c r="BM7" s="351" t="s">
        <v>8258</v>
      </c>
      <c r="BN7" s="351" t="s">
        <v>8259</v>
      </c>
      <c r="BO7" s="351" t="s">
        <v>8258</v>
      </c>
      <c r="BP7" s="351" t="s">
        <v>8259</v>
      </c>
      <c r="BQ7" s="351" t="s">
        <v>8258</v>
      </c>
      <c r="BR7" s="351" t="s">
        <v>8259</v>
      </c>
      <c r="BS7" s="351" t="s">
        <v>8258</v>
      </c>
      <c r="BT7" s="351" t="s">
        <v>8259</v>
      </c>
      <c r="BU7" s="351" t="s">
        <v>8258</v>
      </c>
      <c r="BV7" s="351" t="s">
        <v>8259</v>
      </c>
      <c r="BW7" s="351" t="s">
        <v>8258</v>
      </c>
      <c r="BX7" s="351" t="s">
        <v>8259</v>
      </c>
      <c r="BY7" s="351" t="s">
        <v>8257</v>
      </c>
      <c r="BZ7" s="347"/>
    </row>
    <row r="8" spans="1:78" ht="15">
      <c r="A8" s="346">
        <v>4</v>
      </c>
      <c r="B8" s="346" t="s">
        <v>8256</v>
      </c>
      <c r="C8" s="347" t="s">
        <v>8257</v>
      </c>
      <c r="D8" s="348">
        <v>98</v>
      </c>
      <c r="E8" s="348">
        <v>53</v>
      </c>
      <c r="F8" s="348">
        <v>61</v>
      </c>
      <c r="G8" s="348">
        <v>85</v>
      </c>
      <c r="H8" s="348">
        <v>118</v>
      </c>
      <c r="I8" s="348">
        <v>28</v>
      </c>
      <c r="J8" s="348">
        <v>124</v>
      </c>
      <c r="K8" s="348">
        <v>154</v>
      </c>
      <c r="L8" s="348">
        <v>123</v>
      </c>
      <c r="M8" s="348">
        <v>35</v>
      </c>
      <c r="N8" s="356">
        <v>208</v>
      </c>
      <c r="O8" s="348">
        <v>128</v>
      </c>
      <c r="P8" s="348">
        <v>76</v>
      </c>
      <c r="Q8" s="348">
        <v>15</v>
      </c>
      <c r="R8" s="348">
        <v>90</v>
      </c>
      <c r="S8" s="348">
        <v>39</v>
      </c>
      <c r="T8" s="348">
        <v>202</v>
      </c>
      <c r="U8" s="348">
        <v>97</v>
      </c>
      <c r="V8" s="348">
        <v>103</v>
      </c>
      <c r="W8" s="348">
        <v>199</v>
      </c>
      <c r="X8" s="348">
        <v>78</v>
      </c>
      <c r="Y8" s="348">
        <v>62</v>
      </c>
      <c r="Z8" s="348">
        <v>88</v>
      </c>
      <c r="AA8" s="348">
        <v>146</v>
      </c>
      <c r="AB8" s="348">
        <v>72</v>
      </c>
      <c r="AC8" s="348">
        <v>24</v>
      </c>
      <c r="AD8" s="357">
        <v>215</v>
      </c>
      <c r="AE8" s="348">
        <v>89</v>
      </c>
      <c r="AF8" s="348">
        <v>151</v>
      </c>
      <c r="AG8" s="348">
        <v>25</v>
      </c>
      <c r="AH8" s="348">
        <v>168</v>
      </c>
      <c r="AI8" s="348">
        <v>158</v>
      </c>
      <c r="AJ8" s="348">
        <v>177</v>
      </c>
      <c r="AK8" s="348">
        <v>30</v>
      </c>
      <c r="AL8" s="348">
        <v>127</v>
      </c>
      <c r="AM8" s="348">
        <v>113</v>
      </c>
      <c r="AN8" s="347" t="s">
        <v>8257</v>
      </c>
      <c r="AO8" s="347">
        <v>124</v>
      </c>
      <c r="AP8" s="347">
        <v>70</v>
      </c>
      <c r="AQ8" s="347">
        <v>57</v>
      </c>
      <c r="AR8" s="347">
        <v>28</v>
      </c>
      <c r="AS8" s="356">
        <v>211</v>
      </c>
      <c r="AT8" s="347">
        <v>158</v>
      </c>
      <c r="AU8" s="347">
        <v>152</v>
      </c>
      <c r="AV8" s="347">
        <v>25</v>
      </c>
      <c r="AW8" s="347">
        <v>23</v>
      </c>
      <c r="AX8" s="347">
        <v>109</v>
      </c>
      <c r="AY8" s="347">
        <v>90</v>
      </c>
      <c r="AZ8" s="347">
        <v>96</v>
      </c>
      <c r="BA8" s="347">
        <v>198</v>
      </c>
      <c r="BB8" s="347">
        <v>8</v>
      </c>
      <c r="BC8" s="347">
        <v>118</v>
      </c>
      <c r="BD8" s="356">
        <v>210</v>
      </c>
      <c r="BE8" s="347">
        <v>156</v>
      </c>
      <c r="BF8" s="347">
        <v>98</v>
      </c>
      <c r="BG8" s="347">
        <v>188</v>
      </c>
      <c r="BH8" s="354">
        <v>18</v>
      </c>
      <c r="BI8" s="347">
        <v>123</v>
      </c>
      <c r="BJ8" s="347">
        <v>39</v>
      </c>
      <c r="BK8" s="347">
        <v>117</v>
      </c>
      <c r="BL8" s="347">
        <v>72</v>
      </c>
      <c r="BM8" s="347">
        <v>154</v>
      </c>
      <c r="BN8" s="347">
        <v>36</v>
      </c>
      <c r="BO8" s="347">
        <v>13</v>
      </c>
      <c r="BP8" s="347">
        <v>82</v>
      </c>
      <c r="BQ8" s="347">
        <v>119</v>
      </c>
      <c r="BR8" s="347">
        <v>106</v>
      </c>
      <c r="BS8" s="347">
        <v>102</v>
      </c>
      <c r="BT8" s="347">
        <v>150</v>
      </c>
      <c r="BU8" s="347">
        <v>178</v>
      </c>
      <c r="BV8" s="347">
        <v>155</v>
      </c>
      <c r="BW8" s="347">
        <v>19</v>
      </c>
      <c r="BX8" s="347">
        <v>165</v>
      </c>
      <c r="BY8" s="347" t="s">
        <v>8257</v>
      </c>
      <c r="BZ8" s="347"/>
    </row>
    <row r="9" spans="1:78" ht="15">
      <c r="A9" s="346">
        <v>5</v>
      </c>
      <c r="B9" s="346" t="s">
        <v>8256</v>
      </c>
      <c r="C9" s="347" t="s">
        <v>8257</v>
      </c>
      <c r="D9" s="348">
        <v>50</v>
      </c>
      <c r="E9" s="354">
        <v>16</v>
      </c>
      <c r="F9" s="348">
        <v>93</v>
      </c>
      <c r="G9" s="348">
        <v>69</v>
      </c>
      <c r="H9" s="354">
        <v>136</v>
      </c>
      <c r="I9" s="348">
        <v>108</v>
      </c>
      <c r="J9" s="348">
        <v>40</v>
      </c>
      <c r="K9" s="348">
        <v>142</v>
      </c>
      <c r="L9" s="348">
        <v>55</v>
      </c>
      <c r="M9" s="355">
        <v>214</v>
      </c>
      <c r="N9" s="348">
        <v>163</v>
      </c>
      <c r="O9" s="348">
        <v>11</v>
      </c>
      <c r="P9" s="348">
        <v>59</v>
      </c>
      <c r="Q9" s="348">
        <v>170</v>
      </c>
      <c r="R9" s="348">
        <v>185</v>
      </c>
      <c r="S9" s="348">
        <v>180</v>
      </c>
      <c r="T9" s="348">
        <v>115</v>
      </c>
      <c r="U9" s="348">
        <v>114</v>
      </c>
      <c r="V9" s="348">
        <v>13</v>
      </c>
      <c r="W9" s="348">
        <v>138</v>
      </c>
      <c r="X9" s="348">
        <v>68</v>
      </c>
      <c r="Y9" s="348">
        <v>145</v>
      </c>
      <c r="Z9" s="348">
        <v>206</v>
      </c>
      <c r="AA9" s="348">
        <v>12</v>
      </c>
      <c r="AB9" s="348">
        <v>193</v>
      </c>
      <c r="AC9" s="348">
        <v>47</v>
      </c>
      <c r="AD9" s="348">
        <v>109</v>
      </c>
      <c r="AE9" s="348">
        <v>54</v>
      </c>
      <c r="AF9" s="348">
        <v>67</v>
      </c>
      <c r="AG9" s="348">
        <v>129</v>
      </c>
      <c r="AH9" s="348">
        <v>77</v>
      </c>
      <c r="AI9" s="348">
        <v>149</v>
      </c>
      <c r="AJ9" s="348">
        <v>131</v>
      </c>
      <c r="AK9" s="354">
        <v>42</v>
      </c>
      <c r="AL9" s="348">
        <v>156</v>
      </c>
      <c r="AM9" s="348">
        <v>71</v>
      </c>
      <c r="AN9" s="347" t="s">
        <v>8257</v>
      </c>
      <c r="AO9" s="347">
        <v>41</v>
      </c>
      <c r="AP9" s="347">
        <v>135</v>
      </c>
      <c r="AQ9" s="347">
        <v>20</v>
      </c>
      <c r="AR9" s="347">
        <v>153</v>
      </c>
      <c r="AS9" s="347">
        <v>46</v>
      </c>
      <c r="AT9" s="347">
        <v>76</v>
      </c>
      <c r="AU9" s="347">
        <v>21</v>
      </c>
      <c r="AV9" s="347">
        <v>17</v>
      </c>
      <c r="AW9" s="349">
        <v>160</v>
      </c>
      <c r="AX9" s="357">
        <v>216</v>
      </c>
      <c r="AY9" s="347">
        <v>182</v>
      </c>
      <c r="AZ9" s="347">
        <v>205</v>
      </c>
      <c r="BA9" s="347">
        <v>115</v>
      </c>
      <c r="BB9" s="347">
        <v>54</v>
      </c>
      <c r="BC9" s="347">
        <v>7</v>
      </c>
      <c r="BD9" s="347">
        <v>40</v>
      </c>
      <c r="BE9" s="347">
        <v>137</v>
      </c>
      <c r="BF9" s="347">
        <v>64</v>
      </c>
      <c r="BG9" s="347">
        <v>121</v>
      </c>
      <c r="BH9" s="347">
        <v>61</v>
      </c>
      <c r="BI9" s="347">
        <v>116</v>
      </c>
      <c r="BJ9" s="347">
        <v>69</v>
      </c>
      <c r="BK9" s="347">
        <v>65</v>
      </c>
      <c r="BL9" s="347">
        <v>151</v>
      </c>
      <c r="BM9" s="347">
        <v>166</v>
      </c>
      <c r="BN9" s="347">
        <v>14</v>
      </c>
      <c r="BO9" s="347">
        <v>112</v>
      </c>
      <c r="BP9" s="347">
        <v>47</v>
      </c>
      <c r="BQ9" s="347">
        <v>81</v>
      </c>
      <c r="BR9" s="347">
        <v>88</v>
      </c>
      <c r="BS9" s="356">
        <v>207</v>
      </c>
      <c r="BT9" s="347">
        <v>100</v>
      </c>
      <c r="BU9" s="347">
        <v>183</v>
      </c>
      <c r="BV9" s="347">
        <v>170</v>
      </c>
      <c r="BW9" s="347">
        <v>2</v>
      </c>
      <c r="BX9" s="347">
        <v>101</v>
      </c>
      <c r="BY9" s="347" t="s">
        <v>8257</v>
      </c>
      <c r="BZ9" s="347"/>
    </row>
    <row r="10" spans="1:78" ht="15">
      <c r="A10" s="346">
        <v>6</v>
      </c>
      <c r="B10" s="383" t="s">
        <v>8256</v>
      </c>
      <c r="C10" s="384" t="s">
        <v>8257</v>
      </c>
      <c r="D10" s="385">
        <v>74</v>
      </c>
      <c r="E10" s="385">
        <v>126</v>
      </c>
      <c r="F10" s="385">
        <v>19</v>
      </c>
      <c r="G10" s="385">
        <v>171</v>
      </c>
      <c r="H10" s="385">
        <v>152</v>
      </c>
      <c r="I10" s="385">
        <v>33</v>
      </c>
      <c r="J10" s="385">
        <v>37</v>
      </c>
      <c r="K10" s="385">
        <v>141</v>
      </c>
      <c r="L10" s="385">
        <v>8</v>
      </c>
      <c r="M10" s="385">
        <v>197</v>
      </c>
      <c r="N10" s="385">
        <v>186</v>
      </c>
      <c r="O10" s="385">
        <v>201</v>
      </c>
      <c r="P10" s="386">
        <v>174</v>
      </c>
      <c r="Q10" s="385">
        <v>155</v>
      </c>
      <c r="R10" s="385">
        <v>101</v>
      </c>
      <c r="S10" s="385">
        <v>159</v>
      </c>
      <c r="T10" s="385">
        <v>81</v>
      </c>
      <c r="U10" s="385">
        <v>198</v>
      </c>
      <c r="V10" s="385">
        <v>64</v>
      </c>
      <c r="W10" s="385">
        <v>2</v>
      </c>
      <c r="X10" s="385">
        <v>165</v>
      </c>
      <c r="Y10" s="385">
        <v>135</v>
      </c>
      <c r="Z10" s="385">
        <v>57</v>
      </c>
      <c r="AA10" s="385">
        <v>140</v>
      </c>
      <c r="AB10" s="387">
        <v>207</v>
      </c>
      <c r="AC10" s="385">
        <v>184</v>
      </c>
      <c r="AD10" s="385">
        <v>49</v>
      </c>
      <c r="AE10" s="385">
        <v>148</v>
      </c>
      <c r="AF10" s="385">
        <v>173</v>
      </c>
      <c r="AG10" s="385">
        <v>58</v>
      </c>
      <c r="AH10" s="385">
        <v>23</v>
      </c>
      <c r="AI10" s="385">
        <v>82</v>
      </c>
      <c r="AJ10" s="385">
        <v>96</v>
      </c>
      <c r="AK10" s="385">
        <v>1</v>
      </c>
      <c r="AL10" s="385">
        <v>205</v>
      </c>
      <c r="AM10" s="386">
        <v>52</v>
      </c>
      <c r="AN10" s="384" t="s">
        <v>8257</v>
      </c>
      <c r="AO10" s="384">
        <v>51</v>
      </c>
      <c r="AP10" s="386">
        <v>52</v>
      </c>
      <c r="AQ10" s="384">
        <v>186</v>
      </c>
      <c r="AR10" s="386">
        <v>174</v>
      </c>
      <c r="AS10" s="384">
        <v>67</v>
      </c>
      <c r="AT10" s="384">
        <v>58</v>
      </c>
      <c r="AU10" s="384">
        <v>44</v>
      </c>
      <c r="AV10" s="384">
        <v>175</v>
      </c>
      <c r="AW10" s="384">
        <v>168</v>
      </c>
      <c r="AX10" s="384">
        <v>63</v>
      </c>
      <c r="AY10" s="384">
        <v>80</v>
      </c>
      <c r="AZ10" s="384">
        <v>107</v>
      </c>
      <c r="BA10" s="384">
        <v>189</v>
      </c>
      <c r="BB10" s="384">
        <v>203</v>
      </c>
      <c r="BC10" s="384">
        <v>4</v>
      </c>
      <c r="BD10" s="384">
        <v>126</v>
      </c>
      <c r="BE10" s="384">
        <v>141</v>
      </c>
      <c r="BF10" s="384">
        <v>68</v>
      </c>
      <c r="BG10" s="384">
        <v>139</v>
      </c>
      <c r="BH10" s="384">
        <v>138</v>
      </c>
      <c r="BI10" s="384">
        <v>59</v>
      </c>
      <c r="BJ10" s="384">
        <v>133</v>
      </c>
      <c r="BK10" s="384">
        <v>99</v>
      </c>
      <c r="BL10" s="384">
        <v>75</v>
      </c>
      <c r="BM10" s="384">
        <v>132</v>
      </c>
      <c r="BN10" s="384">
        <v>127</v>
      </c>
      <c r="BO10" s="384">
        <v>163</v>
      </c>
      <c r="BP10" s="384">
        <v>31</v>
      </c>
      <c r="BQ10" s="384">
        <v>91</v>
      </c>
      <c r="BR10" s="384">
        <v>74</v>
      </c>
      <c r="BS10" s="384">
        <v>9</v>
      </c>
      <c r="BT10" s="384">
        <v>185</v>
      </c>
      <c r="BU10" s="384">
        <v>60</v>
      </c>
      <c r="BV10" s="384">
        <v>128</v>
      </c>
      <c r="BW10" s="384">
        <v>184</v>
      </c>
      <c r="BX10" s="384">
        <v>103</v>
      </c>
      <c r="BY10" s="384" t="s">
        <v>8257</v>
      </c>
      <c r="BZ10" s="347" t="s">
        <v>272</v>
      </c>
    </row>
    <row r="11" spans="1:78" ht="15">
      <c r="A11" s="346">
        <v>7</v>
      </c>
      <c r="B11" s="346" t="s">
        <v>8256</v>
      </c>
      <c r="C11" s="347" t="s">
        <v>8257</v>
      </c>
      <c r="D11" s="347">
        <v>38</v>
      </c>
      <c r="E11" s="347">
        <v>166</v>
      </c>
      <c r="F11" s="347">
        <v>192</v>
      </c>
      <c r="G11" s="347">
        <v>149</v>
      </c>
      <c r="H11" s="347">
        <v>94</v>
      </c>
      <c r="I11" s="347">
        <v>140</v>
      </c>
      <c r="J11" s="347">
        <v>122</v>
      </c>
      <c r="K11" s="347">
        <v>190</v>
      </c>
      <c r="L11" s="347">
        <v>83</v>
      </c>
      <c r="M11" s="347">
        <v>206</v>
      </c>
      <c r="N11" s="347">
        <v>61</v>
      </c>
      <c r="O11" s="347">
        <v>110</v>
      </c>
      <c r="P11" s="347">
        <v>157</v>
      </c>
      <c r="Q11" s="347">
        <v>53</v>
      </c>
      <c r="R11" s="347">
        <v>24</v>
      </c>
      <c r="S11" s="347">
        <v>124</v>
      </c>
      <c r="T11" s="347">
        <v>33</v>
      </c>
      <c r="U11" s="347">
        <v>21</v>
      </c>
      <c r="V11" s="347">
        <v>59</v>
      </c>
      <c r="W11" s="347">
        <v>45</v>
      </c>
      <c r="X11" s="347">
        <v>102</v>
      </c>
      <c r="Y11" s="347">
        <v>197</v>
      </c>
      <c r="Z11" s="354">
        <v>18</v>
      </c>
      <c r="AA11" s="347">
        <v>121</v>
      </c>
      <c r="AB11" s="347">
        <v>37</v>
      </c>
      <c r="AC11" s="347">
        <v>85</v>
      </c>
      <c r="AD11" s="347">
        <v>119</v>
      </c>
      <c r="AE11" s="347">
        <v>179</v>
      </c>
      <c r="AF11" s="347">
        <v>139</v>
      </c>
      <c r="AG11" s="347">
        <v>155</v>
      </c>
      <c r="AH11" s="354">
        <v>176</v>
      </c>
      <c r="AI11" s="347">
        <v>180</v>
      </c>
      <c r="AJ11" s="347">
        <v>8</v>
      </c>
      <c r="AK11" s="347">
        <v>100</v>
      </c>
      <c r="AL11" s="347">
        <v>188</v>
      </c>
      <c r="AM11" s="347">
        <v>125</v>
      </c>
      <c r="AN11" s="347" t="s">
        <v>8257</v>
      </c>
      <c r="AO11" s="348">
        <v>203</v>
      </c>
      <c r="AP11" s="348">
        <v>50</v>
      </c>
      <c r="AQ11" s="348">
        <v>22</v>
      </c>
      <c r="AR11" s="348">
        <v>204</v>
      </c>
      <c r="AS11" s="348">
        <v>206</v>
      </c>
      <c r="AT11" s="348">
        <v>35</v>
      </c>
      <c r="AU11" s="348">
        <v>78</v>
      </c>
      <c r="AV11" s="356">
        <v>210</v>
      </c>
      <c r="AW11" s="348">
        <v>148</v>
      </c>
      <c r="AX11" s="348">
        <v>188</v>
      </c>
      <c r="AY11" s="348">
        <v>150</v>
      </c>
      <c r="AZ11" s="348">
        <v>19</v>
      </c>
      <c r="BA11" s="348">
        <v>165</v>
      </c>
      <c r="BB11" s="348">
        <v>110</v>
      </c>
      <c r="BC11" s="348">
        <v>168</v>
      </c>
      <c r="BD11" s="348">
        <v>73</v>
      </c>
      <c r="BE11" s="348">
        <v>36</v>
      </c>
      <c r="BF11" s="348">
        <v>47</v>
      </c>
      <c r="BG11" s="348">
        <v>77</v>
      </c>
      <c r="BH11" s="348">
        <v>32</v>
      </c>
      <c r="BI11" s="348">
        <v>153</v>
      </c>
      <c r="BJ11" s="348">
        <v>135</v>
      </c>
      <c r="BK11" s="348">
        <v>109</v>
      </c>
      <c r="BL11" s="348">
        <v>66</v>
      </c>
      <c r="BM11" s="348">
        <v>98</v>
      </c>
      <c r="BN11" s="348">
        <v>17</v>
      </c>
      <c r="BO11" s="348">
        <v>200</v>
      </c>
      <c r="BP11" s="348">
        <v>58</v>
      </c>
      <c r="BQ11" s="348">
        <v>64</v>
      </c>
      <c r="BR11" s="348">
        <v>23</v>
      </c>
      <c r="BS11" s="348">
        <v>140</v>
      </c>
      <c r="BT11" s="348">
        <v>187</v>
      </c>
      <c r="BU11" s="348">
        <v>169</v>
      </c>
      <c r="BV11" s="354">
        <v>176</v>
      </c>
      <c r="BW11" s="348">
        <v>45</v>
      </c>
      <c r="BX11" s="348">
        <v>167</v>
      </c>
      <c r="BY11" s="347" t="s">
        <v>8257</v>
      </c>
      <c r="BZ11" s="347" t="s">
        <v>8260</v>
      </c>
    </row>
    <row r="12" spans="1:78" ht="15">
      <c r="A12" s="346">
        <v>8</v>
      </c>
      <c r="B12" s="346" t="s">
        <v>8256</v>
      </c>
      <c r="C12" s="347" t="s">
        <v>8257</v>
      </c>
      <c r="D12" s="347">
        <v>165</v>
      </c>
      <c r="E12" s="347">
        <v>129</v>
      </c>
      <c r="F12" s="347">
        <v>11</v>
      </c>
      <c r="G12" s="354">
        <v>52</v>
      </c>
      <c r="H12" s="347">
        <v>151</v>
      </c>
      <c r="I12" s="347">
        <v>27</v>
      </c>
      <c r="J12" s="347">
        <v>30</v>
      </c>
      <c r="K12" s="347">
        <v>72</v>
      </c>
      <c r="L12" s="356">
        <v>209</v>
      </c>
      <c r="M12" s="347">
        <v>40</v>
      </c>
      <c r="N12" s="347">
        <v>58</v>
      </c>
      <c r="O12" s="347">
        <v>48</v>
      </c>
      <c r="P12" s="347">
        <v>3</v>
      </c>
      <c r="Q12" s="347">
        <v>200</v>
      </c>
      <c r="R12" s="347">
        <v>9</v>
      </c>
      <c r="S12" s="347">
        <v>193</v>
      </c>
      <c r="T12" s="347">
        <v>31</v>
      </c>
      <c r="U12" s="347">
        <v>137</v>
      </c>
      <c r="V12" s="347">
        <v>86</v>
      </c>
      <c r="W12" s="347">
        <v>77</v>
      </c>
      <c r="X12" s="347">
        <v>159</v>
      </c>
      <c r="Y12" s="354">
        <v>42</v>
      </c>
      <c r="Z12" s="347">
        <v>105</v>
      </c>
      <c r="AA12" s="347">
        <v>177</v>
      </c>
      <c r="AB12" s="347">
        <v>127</v>
      </c>
      <c r="AC12" s="347">
        <v>117</v>
      </c>
      <c r="AD12" s="347">
        <v>63</v>
      </c>
      <c r="AE12" s="347">
        <v>162</v>
      </c>
      <c r="AF12" s="347">
        <v>97</v>
      </c>
      <c r="AG12" s="347">
        <v>194</v>
      </c>
      <c r="AH12" s="347">
        <v>88</v>
      </c>
      <c r="AI12" s="354">
        <v>16</v>
      </c>
      <c r="AJ12" s="347">
        <v>70</v>
      </c>
      <c r="AK12" s="347">
        <v>145</v>
      </c>
      <c r="AL12" s="347">
        <v>160</v>
      </c>
      <c r="AM12" s="347">
        <v>108</v>
      </c>
      <c r="AN12" s="347" t="s">
        <v>8257</v>
      </c>
      <c r="AO12" s="348">
        <v>83</v>
      </c>
      <c r="AP12" s="348">
        <v>90</v>
      </c>
      <c r="AQ12" s="348">
        <v>53</v>
      </c>
      <c r="AR12" s="348">
        <v>183</v>
      </c>
      <c r="AS12" s="348">
        <v>192</v>
      </c>
      <c r="AT12" s="348">
        <v>177</v>
      </c>
      <c r="AU12" s="348">
        <v>100</v>
      </c>
      <c r="AV12" s="348">
        <v>197</v>
      </c>
      <c r="AW12" s="348">
        <v>111</v>
      </c>
      <c r="AX12" s="348">
        <v>59</v>
      </c>
      <c r="AY12" s="348">
        <v>39</v>
      </c>
      <c r="AZ12" s="348">
        <v>154</v>
      </c>
      <c r="BA12" s="348">
        <v>139</v>
      </c>
      <c r="BB12" s="348">
        <v>79</v>
      </c>
      <c r="BC12" s="348">
        <v>87</v>
      </c>
      <c r="BD12" s="348">
        <v>67</v>
      </c>
      <c r="BE12" s="348">
        <v>69</v>
      </c>
      <c r="BF12" s="348">
        <v>84</v>
      </c>
      <c r="BG12" s="355">
        <v>214</v>
      </c>
      <c r="BH12" s="348">
        <v>7</v>
      </c>
      <c r="BI12" s="348">
        <v>20</v>
      </c>
      <c r="BJ12" s="348">
        <v>101</v>
      </c>
      <c r="BK12" s="348">
        <v>25</v>
      </c>
      <c r="BL12" s="348">
        <v>126</v>
      </c>
      <c r="BM12" s="348">
        <v>11</v>
      </c>
      <c r="BN12" s="348">
        <v>145</v>
      </c>
      <c r="BO12" s="348">
        <v>29</v>
      </c>
      <c r="BP12" s="348">
        <v>71</v>
      </c>
      <c r="BQ12" s="348">
        <v>61</v>
      </c>
      <c r="BR12" s="348">
        <v>5</v>
      </c>
      <c r="BS12" s="348">
        <v>57</v>
      </c>
      <c r="BT12" s="348">
        <v>117</v>
      </c>
      <c r="BU12" s="348">
        <v>70</v>
      </c>
      <c r="BV12" s="348">
        <v>72</v>
      </c>
      <c r="BW12" s="348">
        <v>28</v>
      </c>
      <c r="BX12" s="348">
        <v>65</v>
      </c>
      <c r="BY12" s="347" t="s">
        <v>8257</v>
      </c>
      <c r="BZ12" s="347"/>
    </row>
    <row r="13" spans="1:78" ht="15">
      <c r="A13" s="346">
        <v>9</v>
      </c>
      <c r="B13" s="346" t="s">
        <v>8256</v>
      </c>
      <c r="C13" s="347" t="s">
        <v>8257</v>
      </c>
      <c r="D13" s="347">
        <v>81</v>
      </c>
      <c r="E13" s="347">
        <v>168</v>
      </c>
      <c r="F13" s="347">
        <v>64</v>
      </c>
      <c r="G13" s="355">
        <v>214</v>
      </c>
      <c r="H13" s="347">
        <v>185</v>
      </c>
      <c r="I13" s="347">
        <v>73</v>
      </c>
      <c r="J13" s="347">
        <v>183</v>
      </c>
      <c r="K13" s="347">
        <v>170</v>
      </c>
      <c r="L13" s="347">
        <v>87</v>
      </c>
      <c r="M13" s="347">
        <v>172</v>
      </c>
      <c r="N13" s="347">
        <v>57</v>
      </c>
      <c r="O13" s="347">
        <v>60</v>
      </c>
      <c r="P13" s="347">
        <v>98</v>
      </c>
      <c r="Q13" s="347">
        <v>146</v>
      </c>
      <c r="R13" s="347">
        <v>130</v>
      </c>
      <c r="S13" s="356">
        <v>210</v>
      </c>
      <c r="T13" s="347">
        <v>20</v>
      </c>
      <c r="U13" s="347">
        <v>34</v>
      </c>
      <c r="V13" s="347">
        <v>191</v>
      </c>
      <c r="W13" s="347">
        <v>181</v>
      </c>
      <c r="X13" s="347">
        <v>154</v>
      </c>
      <c r="Y13" s="347">
        <v>173</v>
      </c>
      <c r="Z13" s="347">
        <v>99</v>
      </c>
      <c r="AA13" s="347">
        <v>126</v>
      </c>
      <c r="AB13" s="347">
        <v>153</v>
      </c>
      <c r="AC13" s="347">
        <v>10</v>
      </c>
      <c r="AD13" s="347">
        <v>141</v>
      </c>
      <c r="AE13" s="347">
        <v>2</v>
      </c>
      <c r="AF13" s="354">
        <v>174</v>
      </c>
      <c r="AG13" s="347">
        <v>12</v>
      </c>
      <c r="AH13" s="347">
        <v>178</v>
      </c>
      <c r="AI13" s="347">
        <v>114</v>
      </c>
      <c r="AJ13" s="347">
        <v>92</v>
      </c>
      <c r="AK13" s="347">
        <v>41</v>
      </c>
      <c r="AL13" s="347">
        <v>84</v>
      </c>
      <c r="AM13" s="347">
        <v>198</v>
      </c>
      <c r="AN13" s="347" t="s">
        <v>8257</v>
      </c>
      <c r="AO13" s="348">
        <v>30</v>
      </c>
      <c r="AP13" s="348">
        <v>128</v>
      </c>
      <c r="AQ13" s="348">
        <v>194</v>
      </c>
      <c r="AR13" s="348">
        <v>159</v>
      </c>
      <c r="AS13" s="348">
        <v>105</v>
      </c>
      <c r="AT13" s="348">
        <v>189</v>
      </c>
      <c r="AU13" s="348">
        <v>118</v>
      </c>
      <c r="AV13" s="348">
        <v>13</v>
      </c>
      <c r="AW13" s="348">
        <v>80</v>
      </c>
      <c r="AX13" s="348">
        <v>82</v>
      </c>
      <c r="AY13" s="348">
        <v>170</v>
      </c>
      <c r="AZ13" s="348">
        <v>38</v>
      </c>
      <c r="BA13" s="348">
        <v>184</v>
      </c>
      <c r="BB13" s="348">
        <v>91</v>
      </c>
      <c r="BC13" s="354">
        <v>42</v>
      </c>
      <c r="BD13" s="348">
        <v>185</v>
      </c>
      <c r="BE13" s="348">
        <v>48</v>
      </c>
      <c r="BF13" s="348">
        <v>89</v>
      </c>
      <c r="BG13" s="348">
        <v>33</v>
      </c>
      <c r="BH13" s="348">
        <v>62</v>
      </c>
      <c r="BI13" s="348">
        <v>115</v>
      </c>
      <c r="BJ13" s="354">
        <v>143</v>
      </c>
      <c r="BK13" s="348">
        <v>76</v>
      </c>
      <c r="BL13" s="348">
        <v>95</v>
      </c>
      <c r="BM13" s="348">
        <v>40</v>
      </c>
      <c r="BN13" s="348">
        <v>9</v>
      </c>
      <c r="BO13" s="348">
        <v>3</v>
      </c>
      <c r="BP13" s="348">
        <v>146</v>
      </c>
      <c r="BQ13" s="348">
        <v>92</v>
      </c>
      <c r="BR13" s="348">
        <v>152</v>
      </c>
      <c r="BS13" s="348">
        <v>41</v>
      </c>
      <c r="BT13" s="348">
        <v>137</v>
      </c>
      <c r="BU13" s="348">
        <v>14</v>
      </c>
      <c r="BV13" s="354">
        <v>26</v>
      </c>
      <c r="BW13" s="354">
        <v>136</v>
      </c>
      <c r="BX13" s="348">
        <v>125</v>
      </c>
      <c r="BY13" s="347" t="s">
        <v>8257</v>
      </c>
      <c r="BZ13" s="347"/>
    </row>
    <row r="14" spans="1:78" ht="15">
      <c r="A14" s="346"/>
      <c r="B14" s="350" t="s">
        <v>8256</v>
      </c>
      <c r="C14" s="351" t="s">
        <v>8257</v>
      </c>
      <c r="D14" s="351" t="s">
        <v>8259</v>
      </c>
      <c r="E14" s="351" t="s">
        <v>8258</v>
      </c>
      <c r="F14" s="351" t="s">
        <v>8259</v>
      </c>
      <c r="G14" s="351" t="s">
        <v>8258</v>
      </c>
      <c r="H14" s="351" t="s">
        <v>8259</v>
      </c>
      <c r="I14" s="351" t="s">
        <v>8258</v>
      </c>
      <c r="J14" s="351" t="s">
        <v>8259</v>
      </c>
      <c r="K14" s="351" t="s">
        <v>8258</v>
      </c>
      <c r="L14" s="351" t="s">
        <v>8259</v>
      </c>
      <c r="M14" s="351" t="s">
        <v>8258</v>
      </c>
      <c r="N14" s="351" t="s">
        <v>8259</v>
      </c>
      <c r="O14" s="351" t="s">
        <v>8258</v>
      </c>
      <c r="P14" s="351" t="s">
        <v>8259</v>
      </c>
      <c r="Q14" s="351" t="s">
        <v>8258</v>
      </c>
      <c r="R14" s="351" t="s">
        <v>8259</v>
      </c>
      <c r="S14" s="351" t="s">
        <v>8258</v>
      </c>
      <c r="T14" s="351" t="s">
        <v>8259</v>
      </c>
      <c r="U14" s="351" t="s">
        <v>8258</v>
      </c>
      <c r="V14" s="351" t="s">
        <v>8259</v>
      </c>
      <c r="W14" s="351" t="s">
        <v>8258</v>
      </c>
      <c r="X14" s="351" t="s">
        <v>8259</v>
      </c>
      <c r="Y14" s="351" t="s">
        <v>8258</v>
      </c>
      <c r="Z14" s="351" t="s">
        <v>8259</v>
      </c>
      <c r="AA14" s="351" t="s">
        <v>8258</v>
      </c>
      <c r="AB14" s="351" t="s">
        <v>8259</v>
      </c>
      <c r="AC14" s="351" t="s">
        <v>8258</v>
      </c>
      <c r="AD14" s="351" t="s">
        <v>8259</v>
      </c>
      <c r="AE14" s="351" t="s">
        <v>8258</v>
      </c>
      <c r="AF14" s="351" t="s">
        <v>8259</v>
      </c>
      <c r="AG14" s="351" t="s">
        <v>8258</v>
      </c>
      <c r="AH14" s="351" t="s">
        <v>8259</v>
      </c>
      <c r="AI14" s="351" t="s">
        <v>8258</v>
      </c>
      <c r="AJ14" s="351" t="s">
        <v>8259</v>
      </c>
      <c r="AK14" s="351" t="s">
        <v>8258</v>
      </c>
      <c r="AL14" s="351" t="s">
        <v>8259</v>
      </c>
      <c r="AM14" s="351" t="s">
        <v>8258</v>
      </c>
      <c r="AN14" s="351" t="s">
        <v>8258</v>
      </c>
      <c r="AO14" s="351" t="s">
        <v>8259</v>
      </c>
      <c r="AP14" s="351" t="s">
        <v>8258</v>
      </c>
      <c r="AQ14" s="351" t="s">
        <v>8259</v>
      </c>
      <c r="AR14" s="351" t="s">
        <v>8258</v>
      </c>
      <c r="AS14" s="351" t="s">
        <v>8259</v>
      </c>
      <c r="AT14" s="351" t="s">
        <v>8258</v>
      </c>
      <c r="AU14" s="351" t="s">
        <v>8259</v>
      </c>
      <c r="AV14" s="351" t="s">
        <v>8259</v>
      </c>
      <c r="AW14" s="351" t="s">
        <v>8258</v>
      </c>
      <c r="AX14" s="351" t="s">
        <v>8258</v>
      </c>
      <c r="AY14" s="351" t="s">
        <v>8259</v>
      </c>
      <c r="AZ14" s="351" t="s">
        <v>8258</v>
      </c>
      <c r="BA14" s="351" t="s">
        <v>8259</v>
      </c>
      <c r="BB14" s="351" t="s">
        <v>8258</v>
      </c>
      <c r="BC14" s="351" t="s">
        <v>8259</v>
      </c>
      <c r="BD14" s="351" t="s">
        <v>8258</v>
      </c>
      <c r="BE14" s="351" t="s">
        <v>8259</v>
      </c>
      <c r="BF14" s="351" t="s">
        <v>8258</v>
      </c>
      <c r="BG14" s="351" t="s">
        <v>8259</v>
      </c>
      <c r="BH14" s="351" t="s">
        <v>8258</v>
      </c>
      <c r="BI14" s="351" t="s">
        <v>8259</v>
      </c>
      <c r="BJ14" s="351" t="s">
        <v>8258</v>
      </c>
      <c r="BK14" s="351" t="s">
        <v>8259</v>
      </c>
      <c r="BL14" s="351" t="s">
        <v>8258</v>
      </c>
      <c r="BM14" s="351" t="s">
        <v>8259</v>
      </c>
      <c r="BN14" s="351" t="s">
        <v>8258</v>
      </c>
      <c r="BO14" s="351" t="s">
        <v>8259</v>
      </c>
      <c r="BP14" s="351" t="s">
        <v>8258</v>
      </c>
      <c r="BQ14" s="351" t="s">
        <v>8259</v>
      </c>
      <c r="BR14" s="351" t="s">
        <v>8258</v>
      </c>
      <c r="BS14" s="351" t="s">
        <v>8259</v>
      </c>
      <c r="BT14" s="351" t="s">
        <v>8258</v>
      </c>
      <c r="BU14" s="351" t="s">
        <v>8259</v>
      </c>
      <c r="BV14" s="351" t="s">
        <v>8258</v>
      </c>
      <c r="BW14" s="351" t="s">
        <v>8259</v>
      </c>
      <c r="BX14" s="351" t="s">
        <v>8258</v>
      </c>
      <c r="BY14" s="351" t="s">
        <v>8257</v>
      </c>
      <c r="BZ14" s="347"/>
    </row>
    <row r="15" spans="1:78" ht="15">
      <c r="A15" s="346">
        <v>10</v>
      </c>
      <c r="B15" s="346" t="s">
        <v>8256</v>
      </c>
      <c r="C15" s="347" t="s">
        <v>8257</v>
      </c>
      <c r="D15" s="347">
        <v>186</v>
      </c>
      <c r="E15" s="347">
        <v>195</v>
      </c>
      <c r="F15" s="347">
        <v>150</v>
      </c>
      <c r="G15" s="347">
        <v>164</v>
      </c>
      <c r="H15" s="347">
        <v>23</v>
      </c>
      <c r="I15" s="347">
        <v>163</v>
      </c>
      <c r="J15" s="347">
        <v>4</v>
      </c>
      <c r="K15" s="347">
        <v>196</v>
      </c>
      <c r="L15" s="347">
        <v>17</v>
      </c>
      <c r="M15" s="347">
        <v>171</v>
      </c>
      <c r="N15" s="356">
        <v>207</v>
      </c>
      <c r="O15" s="347">
        <v>111</v>
      </c>
      <c r="P15" s="354">
        <v>144</v>
      </c>
      <c r="Q15" s="347">
        <v>71</v>
      </c>
      <c r="R15" s="347">
        <v>43</v>
      </c>
      <c r="S15" s="347">
        <v>138</v>
      </c>
      <c r="T15" s="347">
        <v>62</v>
      </c>
      <c r="U15" s="347">
        <v>68</v>
      </c>
      <c r="V15" s="347">
        <v>187</v>
      </c>
      <c r="W15" s="347">
        <v>55</v>
      </c>
      <c r="X15" s="347">
        <v>25</v>
      </c>
      <c r="Y15" s="354">
        <v>136</v>
      </c>
      <c r="Z15" s="347">
        <v>133</v>
      </c>
      <c r="AA15" s="347">
        <v>161</v>
      </c>
      <c r="AB15" s="347">
        <v>202</v>
      </c>
      <c r="AC15" s="347">
        <v>80</v>
      </c>
      <c r="AD15" s="347">
        <v>120</v>
      </c>
      <c r="AE15" s="347">
        <v>76</v>
      </c>
      <c r="AF15" s="347">
        <v>56</v>
      </c>
      <c r="AG15" s="347">
        <v>175</v>
      </c>
      <c r="AH15" s="347">
        <v>128</v>
      </c>
      <c r="AI15" s="347">
        <v>66</v>
      </c>
      <c r="AJ15" s="347">
        <v>13</v>
      </c>
      <c r="AK15" s="347">
        <v>69</v>
      </c>
      <c r="AL15" s="347">
        <v>109</v>
      </c>
      <c r="AM15" s="347">
        <v>101</v>
      </c>
      <c r="AN15" s="347" t="s">
        <v>8257</v>
      </c>
      <c r="AO15" s="348">
        <v>147</v>
      </c>
      <c r="AP15" s="348">
        <v>107</v>
      </c>
      <c r="AQ15" s="348">
        <v>122</v>
      </c>
      <c r="AR15" s="348">
        <v>108</v>
      </c>
      <c r="AS15" s="357">
        <v>216</v>
      </c>
      <c r="AT15" s="348">
        <v>191</v>
      </c>
      <c r="AU15" s="348">
        <v>31</v>
      </c>
      <c r="AV15" s="348">
        <v>86</v>
      </c>
      <c r="AW15" s="354">
        <v>144</v>
      </c>
      <c r="AX15" s="348">
        <v>164</v>
      </c>
      <c r="AY15" s="348">
        <v>171</v>
      </c>
      <c r="AZ15" s="356">
        <v>207</v>
      </c>
      <c r="BA15" s="348">
        <v>179</v>
      </c>
      <c r="BB15" s="348">
        <v>2</v>
      </c>
      <c r="BC15" s="348">
        <v>162</v>
      </c>
      <c r="BD15" s="348">
        <v>55</v>
      </c>
      <c r="BE15" s="348">
        <v>131</v>
      </c>
      <c r="BF15" s="348">
        <v>112</v>
      </c>
      <c r="BG15" s="348">
        <v>158</v>
      </c>
      <c r="BH15" s="348">
        <v>106</v>
      </c>
      <c r="BI15" s="348">
        <v>37</v>
      </c>
      <c r="BJ15" s="348">
        <v>21</v>
      </c>
      <c r="BK15" s="348">
        <v>94</v>
      </c>
      <c r="BL15" s="348">
        <v>114</v>
      </c>
      <c r="BM15" s="348">
        <v>1</v>
      </c>
      <c r="BN15" s="348">
        <v>134</v>
      </c>
      <c r="BO15" s="348">
        <v>34</v>
      </c>
      <c r="BP15" s="348">
        <v>182</v>
      </c>
      <c r="BQ15" s="348">
        <v>132</v>
      </c>
      <c r="BR15" s="348">
        <v>180</v>
      </c>
      <c r="BS15" s="348">
        <v>8</v>
      </c>
      <c r="BT15" s="348">
        <v>190</v>
      </c>
      <c r="BU15" s="348">
        <v>193</v>
      </c>
      <c r="BV15" s="348">
        <v>175</v>
      </c>
      <c r="BW15" s="348">
        <v>166</v>
      </c>
      <c r="BX15" s="348">
        <v>43</v>
      </c>
      <c r="BY15" s="347" t="s">
        <v>8257</v>
      </c>
      <c r="BZ15" s="347"/>
    </row>
    <row r="16" spans="1:78" ht="15">
      <c r="A16" s="346">
        <v>11</v>
      </c>
      <c r="B16" s="346" t="s">
        <v>8256</v>
      </c>
      <c r="C16" s="347" t="s">
        <v>8257</v>
      </c>
      <c r="D16" s="347">
        <v>203</v>
      </c>
      <c r="E16" s="347">
        <v>205</v>
      </c>
      <c r="F16" s="347">
        <v>107</v>
      </c>
      <c r="G16" s="347">
        <v>14</v>
      </c>
      <c r="H16" s="347">
        <v>29</v>
      </c>
      <c r="I16" s="347">
        <v>158</v>
      </c>
      <c r="J16" s="347">
        <v>156</v>
      </c>
      <c r="K16" s="347">
        <v>131</v>
      </c>
      <c r="L16" s="347">
        <v>148</v>
      </c>
      <c r="M16" s="347">
        <v>103</v>
      </c>
      <c r="N16" s="347">
        <v>75</v>
      </c>
      <c r="O16" s="347">
        <v>6</v>
      </c>
      <c r="P16" s="347">
        <v>123</v>
      </c>
      <c r="Q16" s="347">
        <v>104</v>
      </c>
      <c r="R16" s="347">
        <v>49</v>
      </c>
      <c r="S16" s="347">
        <v>95</v>
      </c>
      <c r="T16" s="347">
        <v>79</v>
      </c>
      <c r="U16" s="356">
        <v>211</v>
      </c>
      <c r="V16" s="347">
        <v>118</v>
      </c>
      <c r="W16" s="354">
        <v>26</v>
      </c>
      <c r="X16" s="347">
        <v>167</v>
      </c>
      <c r="Y16" s="347">
        <v>32</v>
      </c>
      <c r="Z16" s="347">
        <v>142</v>
      </c>
      <c r="AA16" s="347">
        <v>74</v>
      </c>
      <c r="AB16" s="347">
        <v>134</v>
      </c>
      <c r="AC16" s="347">
        <v>36</v>
      </c>
      <c r="AD16" s="357">
        <v>216</v>
      </c>
      <c r="AE16" s="347">
        <v>184</v>
      </c>
      <c r="AF16" s="347">
        <v>35</v>
      </c>
      <c r="AG16" s="347">
        <v>91</v>
      </c>
      <c r="AH16" s="347">
        <v>106</v>
      </c>
      <c r="AI16" s="347">
        <v>135</v>
      </c>
      <c r="AJ16" s="347">
        <v>7</v>
      </c>
      <c r="AK16" s="355">
        <v>213</v>
      </c>
      <c r="AL16" s="347">
        <v>39</v>
      </c>
      <c r="AM16" s="357">
        <v>215</v>
      </c>
      <c r="AN16" s="347" t="s">
        <v>8257</v>
      </c>
      <c r="AO16" s="348">
        <v>199</v>
      </c>
      <c r="AP16" s="348">
        <v>85</v>
      </c>
      <c r="AQ16" s="348">
        <v>142</v>
      </c>
      <c r="AR16" s="348">
        <v>68</v>
      </c>
      <c r="AS16" s="348">
        <v>141</v>
      </c>
      <c r="AT16" s="348">
        <v>60</v>
      </c>
      <c r="AU16" s="348">
        <v>15</v>
      </c>
      <c r="AV16" s="348">
        <v>173</v>
      </c>
      <c r="AW16" s="352">
        <v>120</v>
      </c>
      <c r="AX16" s="354">
        <v>52</v>
      </c>
      <c r="AY16" s="354">
        <v>18</v>
      </c>
      <c r="AZ16" s="348">
        <v>74</v>
      </c>
      <c r="BA16" s="348">
        <v>127</v>
      </c>
      <c r="BB16" s="348">
        <v>123</v>
      </c>
      <c r="BC16" s="348">
        <v>103</v>
      </c>
      <c r="BD16" s="348">
        <v>196</v>
      </c>
      <c r="BE16" s="348">
        <v>88</v>
      </c>
      <c r="BF16" s="355">
        <v>212</v>
      </c>
      <c r="BG16" s="348">
        <v>81</v>
      </c>
      <c r="BH16" s="356">
        <v>211</v>
      </c>
      <c r="BI16" s="348">
        <v>46</v>
      </c>
      <c r="BJ16" s="348">
        <v>4</v>
      </c>
      <c r="BK16" s="348">
        <v>49</v>
      </c>
      <c r="BL16" s="355">
        <v>213</v>
      </c>
      <c r="BM16" s="348">
        <v>44</v>
      </c>
      <c r="BN16" s="348">
        <v>156</v>
      </c>
      <c r="BO16" s="348">
        <v>10</v>
      </c>
      <c r="BP16" s="348">
        <v>151</v>
      </c>
      <c r="BQ16" s="348">
        <v>56</v>
      </c>
      <c r="BR16" s="348">
        <v>202</v>
      </c>
      <c r="BS16" s="348">
        <v>75</v>
      </c>
      <c r="BT16" s="348">
        <v>121</v>
      </c>
      <c r="BU16" s="354">
        <v>174</v>
      </c>
      <c r="BV16" s="348">
        <v>133</v>
      </c>
      <c r="BW16" s="348">
        <v>129</v>
      </c>
      <c r="BX16" s="354">
        <v>16</v>
      </c>
      <c r="BY16" s="347" t="s">
        <v>8257</v>
      </c>
      <c r="BZ16" s="347"/>
    </row>
    <row r="17" spans="1:78" ht="15">
      <c r="A17" s="346">
        <v>12</v>
      </c>
      <c r="B17" s="346" t="s">
        <v>8256</v>
      </c>
      <c r="C17" s="347" t="s">
        <v>8257</v>
      </c>
      <c r="D17" s="347">
        <v>1</v>
      </c>
      <c r="E17" s="347">
        <v>65</v>
      </c>
      <c r="F17" s="347">
        <v>51</v>
      </c>
      <c r="G17" s="347">
        <v>112</v>
      </c>
      <c r="H17" s="347">
        <v>113</v>
      </c>
      <c r="I17" s="347">
        <v>67</v>
      </c>
      <c r="J17" s="347">
        <v>5</v>
      </c>
      <c r="K17" s="347">
        <v>147</v>
      </c>
      <c r="L17" s="347">
        <v>132</v>
      </c>
      <c r="M17" s="347">
        <v>89</v>
      </c>
      <c r="N17" s="347">
        <v>28</v>
      </c>
      <c r="O17" s="347">
        <v>169</v>
      </c>
      <c r="P17" s="347">
        <v>44</v>
      </c>
      <c r="Q17" s="354">
        <v>143</v>
      </c>
      <c r="R17" s="347">
        <v>152</v>
      </c>
      <c r="S17" s="347">
        <v>46</v>
      </c>
      <c r="T17" s="347">
        <v>204</v>
      </c>
      <c r="U17" s="347">
        <v>199</v>
      </c>
      <c r="V17" s="347">
        <v>96</v>
      </c>
      <c r="W17" s="347">
        <v>201</v>
      </c>
      <c r="X17" s="347">
        <v>182</v>
      </c>
      <c r="Y17" s="347">
        <v>93</v>
      </c>
      <c r="Z17" s="347">
        <v>82</v>
      </c>
      <c r="AA17" s="347">
        <v>116</v>
      </c>
      <c r="AB17" s="347">
        <v>189</v>
      </c>
      <c r="AC17" s="347">
        <v>22</v>
      </c>
      <c r="AD17" s="347">
        <v>54</v>
      </c>
      <c r="AE17" s="347">
        <v>19</v>
      </c>
      <c r="AF17" s="347">
        <v>78</v>
      </c>
      <c r="AG17" s="355">
        <v>212</v>
      </c>
      <c r="AH17" s="347">
        <v>47</v>
      </c>
      <c r="AI17" s="356">
        <v>208</v>
      </c>
      <c r="AJ17" s="347">
        <v>90</v>
      </c>
      <c r="AK17" s="347">
        <v>15</v>
      </c>
      <c r="AL17" s="347">
        <v>50</v>
      </c>
      <c r="AM17" s="347">
        <v>115</v>
      </c>
      <c r="AN17" s="347" t="s">
        <v>8257</v>
      </c>
      <c r="AO17" s="348">
        <v>201</v>
      </c>
      <c r="AP17" s="348">
        <v>54</v>
      </c>
      <c r="AQ17" s="348">
        <v>96</v>
      </c>
      <c r="AR17" s="348">
        <v>97</v>
      </c>
      <c r="AS17" s="348">
        <v>24</v>
      </c>
      <c r="AT17" s="348">
        <v>138</v>
      </c>
      <c r="AU17" s="348">
        <v>149</v>
      </c>
      <c r="AV17" s="348">
        <v>172</v>
      </c>
      <c r="AW17" s="352">
        <v>6</v>
      </c>
      <c r="AX17" s="348">
        <v>178</v>
      </c>
      <c r="AY17" s="348">
        <v>102</v>
      </c>
      <c r="AZ17" s="348">
        <v>113</v>
      </c>
      <c r="BA17" s="348">
        <v>155</v>
      </c>
      <c r="BB17" s="348">
        <v>99</v>
      </c>
      <c r="BC17" s="348">
        <v>93</v>
      </c>
      <c r="BD17" s="348">
        <v>163</v>
      </c>
      <c r="BE17" s="348">
        <v>119</v>
      </c>
      <c r="BF17" s="356">
        <v>209</v>
      </c>
      <c r="BG17" s="348">
        <v>198</v>
      </c>
      <c r="BH17" s="348">
        <v>124</v>
      </c>
      <c r="BI17" s="356">
        <v>208</v>
      </c>
      <c r="BJ17" s="348">
        <v>186</v>
      </c>
      <c r="BK17" s="348">
        <v>161</v>
      </c>
      <c r="BL17" s="357">
        <v>215</v>
      </c>
      <c r="BM17" s="348">
        <v>51</v>
      </c>
      <c r="BN17" s="348">
        <v>12</v>
      </c>
      <c r="BO17" s="348">
        <v>160</v>
      </c>
      <c r="BP17" s="348">
        <v>195</v>
      </c>
      <c r="BQ17" s="348">
        <v>104</v>
      </c>
      <c r="BR17" s="348">
        <v>116</v>
      </c>
      <c r="BS17" s="348">
        <v>157</v>
      </c>
      <c r="BT17" s="348">
        <v>130</v>
      </c>
      <c r="BU17" s="348">
        <v>205</v>
      </c>
      <c r="BV17" s="348">
        <v>181</v>
      </c>
      <c r="BW17" s="348">
        <v>27</v>
      </c>
      <c r="BX17" s="348">
        <v>63</v>
      </c>
      <c r="BY17" s="347" t="s">
        <v>8257</v>
      </c>
      <c r="BZ17" s="347"/>
    </row>
    <row r="18" spans="1:78" ht="15">
      <c r="A18"/>
      <c r="B18"/>
      <c r="C18"/>
      <c r="D18" s="450" t="s">
        <v>8261</v>
      </c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  <c r="P18" s="450"/>
      <c r="Q18" s="450"/>
      <c r="R18" s="450"/>
      <c r="S18" s="450"/>
      <c r="T18" s="450"/>
      <c r="U18" s="450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50"/>
      <c r="AN18"/>
      <c r="AO18" s="450" t="s">
        <v>8262</v>
      </c>
      <c r="AP18" s="450"/>
      <c r="AQ18" s="450"/>
      <c r="AR18" s="450"/>
      <c r="AS18" s="450"/>
      <c r="AT18" s="450"/>
      <c r="AU18" s="450"/>
      <c r="AV18" s="450"/>
      <c r="AW18" s="450"/>
      <c r="AX18" s="450"/>
      <c r="AY18" s="450"/>
      <c r="AZ18" s="450"/>
      <c r="BA18" s="450"/>
      <c r="BB18" s="450"/>
      <c r="BC18" s="450"/>
      <c r="BD18" s="450"/>
      <c r="BE18" s="450"/>
      <c r="BF18" s="450"/>
      <c r="BG18" s="450"/>
      <c r="BH18" s="450"/>
      <c r="BI18" s="450"/>
      <c r="BJ18" s="450"/>
      <c r="BK18" s="450"/>
      <c r="BL18" s="450"/>
      <c r="BM18" s="450"/>
      <c r="BN18" s="450"/>
      <c r="BO18" s="450"/>
      <c r="BP18" s="450"/>
      <c r="BQ18" s="450"/>
      <c r="BR18" s="450"/>
      <c r="BS18" s="450"/>
      <c r="BT18" s="450"/>
      <c r="BU18" s="450"/>
      <c r="BV18" s="450"/>
      <c r="BW18" s="450"/>
      <c r="BX18" s="450"/>
      <c r="BY18"/>
      <c r="BZ18"/>
    </row>
    <row r="19" spans="1:7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353" t="s">
        <v>8263</v>
      </c>
      <c r="AR20"/>
      <c r="AS20"/>
      <c r="AT20"/>
      <c r="AU20"/>
      <c r="AV20"/>
      <c r="AW20" s="353" t="s">
        <v>8264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ht="15">
      <c r="A21" s="448" t="s">
        <v>8265</v>
      </c>
      <c r="B21" s="448"/>
      <c r="C21" s="448"/>
      <c r="D21" s="448"/>
      <c r="E21" s="448"/>
      <c r="F21" s="448"/>
      <c r="G21" s="448"/>
      <c r="H21" s="448"/>
      <c r="I21" s="448"/>
      <c r="J21" s="448"/>
      <c r="K21" s="448"/>
      <c r="L21" s="448"/>
      <c r="M21" s="448"/>
      <c r="N21" s="448"/>
      <c r="O21" s="448"/>
      <c r="P21" s="448"/>
      <c r="Q21" s="448"/>
      <c r="R21" s="448"/>
      <c r="S21" s="448"/>
      <c r="T21" s="448"/>
      <c r="U21" s="448"/>
      <c r="V21" s="448"/>
      <c r="W21" s="448"/>
      <c r="X21" s="448"/>
      <c r="Y21" s="448"/>
      <c r="Z21" s="448"/>
      <c r="AA21" s="448"/>
      <c r="AB21" s="448"/>
      <c r="AC21" s="448"/>
      <c r="AD21" s="448"/>
      <c r="AE21" s="448"/>
      <c r="AF21" s="448"/>
      <c r="AG21" s="448"/>
      <c r="AH21" s="448"/>
      <c r="AI21" s="448"/>
      <c r="AJ21" s="448"/>
      <c r="AK21" s="448"/>
      <c r="AL21" s="448"/>
      <c r="AM21" s="448"/>
      <c r="AN21" s="448"/>
      <c r="AO21" s="448"/>
      <c r="AP21" s="448"/>
      <c r="AQ21" s="448"/>
      <c r="AR21" s="448"/>
      <c r="AS21" s="448"/>
      <c r="AT21" s="448"/>
      <c r="AU21" s="448"/>
      <c r="AV21" s="448"/>
      <c r="AW21" s="448"/>
      <c r="AX21" s="448"/>
      <c r="AY21" s="448"/>
      <c r="AZ21" s="448"/>
      <c r="BA21" s="448"/>
      <c r="BB21" s="448"/>
      <c r="BC21" s="448"/>
      <c r="BD21" s="448"/>
      <c r="BE21" s="448"/>
      <c r="BF21" s="448"/>
      <c r="BG21" s="448"/>
      <c r="BH21" s="448"/>
      <c r="BI21" s="448"/>
      <c r="BJ21" s="448"/>
      <c r="BK21" s="448"/>
      <c r="BL21" s="448"/>
      <c r="BM21" s="448"/>
      <c r="BN21" s="448"/>
      <c r="BO21" s="448"/>
      <c r="BP21" s="448"/>
      <c r="BQ21" s="448"/>
      <c r="BR21" s="448"/>
      <c r="BS21" s="448"/>
      <c r="BT21" s="448"/>
      <c r="BU21" s="448"/>
      <c r="BV21" s="448"/>
      <c r="BW21" s="448"/>
      <c r="BX21" s="448"/>
      <c r="BY21" s="448"/>
      <c r="BZ21" s="448"/>
    </row>
    <row r="23" spans="1:78" ht="15">
      <c r="E23" s="347" t="s">
        <v>8282</v>
      </c>
      <c r="F23"/>
      <c r="G23"/>
      <c r="H23"/>
      <c r="I23"/>
      <c r="J23"/>
      <c r="K23"/>
      <c r="L23"/>
      <c r="M23"/>
      <c r="N23"/>
      <c r="O23">
        <f>274/13.2</f>
        <v>20.757575757575758</v>
      </c>
      <c r="P23" t="s">
        <v>8283</v>
      </c>
      <c r="Q23"/>
      <c r="R23"/>
      <c r="S23"/>
      <c r="T23"/>
      <c r="U23" s="358"/>
      <c r="V23" t="s">
        <v>8288</v>
      </c>
      <c r="AL23" s="197" t="s">
        <v>8257</v>
      </c>
      <c r="AM23" s="197" t="s">
        <v>8814</v>
      </c>
    </row>
    <row r="24" spans="1:78" ht="15">
      <c r="E24" s="347" t="s">
        <v>8284</v>
      </c>
      <c r="F24"/>
      <c r="G24"/>
      <c r="H24"/>
      <c r="I24"/>
      <c r="J24"/>
      <c r="K24"/>
      <c r="L24"/>
      <c r="M24"/>
      <c r="N24"/>
      <c r="O24">
        <f>630/13.2</f>
        <v>47.727272727272727</v>
      </c>
      <c r="P24" t="s">
        <v>8283</v>
      </c>
      <c r="Q24"/>
      <c r="R24"/>
      <c r="S24"/>
      <c r="T24"/>
      <c r="U24" s="359"/>
      <c r="V24" t="s">
        <v>8289</v>
      </c>
      <c r="AL24" s="197" t="s">
        <v>8256</v>
      </c>
      <c r="AM24" s="197" t="s">
        <v>8815</v>
      </c>
    </row>
    <row r="25" spans="1:78" ht="15">
      <c r="E25" s="347" t="s">
        <v>8285</v>
      </c>
      <c r="F25"/>
      <c r="G25"/>
      <c r="H25"/>
      <c r="I25"/>
      <c r="J25"/>
      <c r="K25"/>
      <c r="L25"/>
      <c r="M25"/>
      <c r="N25"/>
      <c r="O25">
        <f>811/13.2</f>
        <v>61.439393939393945</v>
      </c>
      <c r="P25" t="s">
        <v>8283</v>
      </c>
      <c r="Q25"/>
      <c r="R25"/>
      <c r="S25"/>
      <c r="T25"/>
      <c r="U25" s="360"/>
      <c r="V25" t="s">
        <v>8290</v>
      </c>
    </row>
    <row r="26" spans="1:78" ht="15">
      <c r="E26" s="347" t="s">
        <v>8286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s="361"/>
      <c r="V26" t="s">
        <v>8291</v>
      </c>
    </row>
    <row r="27" spans="1:78" ht="15">
      <c r="E27" s="347" t="s">
        <v>8287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</sheetData>
  <sheetProtection selectLockedCells="1" selectUnlockedCells="1"/>
  <mergeCells count="6">
    <mergeCell ref="A21:BZ21"/>
    <mergeCell ref="E1:BZ1"/>
    <mergeCell ref="D3:AM3"/>
    <mergeCell ref="AO3:BX3"/>
    <mergeCell ref="D18:AM18"/>
    <mergeCell ref="AO18:BX18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zoomScaleNormal="100" workbookViewId="0">
      <selection activeCell="A5" sqref="A5:XFD5"/>
    </sheetView>
  </sheetViews>
  <sheetFormatPr baseColWidth="10" defaultRowHeight="12"/>
  <cols>
    <col min="1" max="1" width="36.42578125" style="196" bestFit="1" customWidth="1"/>
    <col min="2" max="2" width="12.140625" style="196" bestFit="1" customWidth="1"/>
    <col min="3" max="3" width="28.28515625" style="196" bestFit="1" customWidth="1"/>
    <col min="4" max="4" width="42" style="196" bestFit="1" customWidth="1"/>
    <col min="5" max="5" width="81.140625" style="196" bestFit="1" customWidth="1"/>
    <col min="6" max="16384" width="11.42578125" style="197"/>
  </cols>
  <sheetData>
    <row r="1" spans="1:5" ht="15.75">
      <c r="A1" s="216" t="s">
        <v>8185</v>
      </c>
      <c r="B1" s="216" t="s">
        <v>213</v>
      </c>
      <c r="C1" s="216" t="s">
        <v>8186</v>
      </c>
      <c r="D1" s="216" t="s">
        <v>8187</v>
      </c>
      <c r="E1" s="216" t="s">
        <v>8188</v>
      </c>
    </row>
    <row r="2" spans="1:5" ht="15.75">
      <c r="A2" s="217" t="s">
        <v>8235</v>
      </c>
      <c r="B2" s="218">
        <v>41519</v>
      </c>
      <c r="C2" s="219" t="s">
        <v>8230</v>
      </c>
      <c r="D2" s="219"/>
      <c r="E2" s="219" t="s">
        <v>8232</v>
      </c>
    </row>
    <row r="3" spans="1:5" ht="15.75">
      <c r="A3" s="217" t="s">
        <v>8279</v>
      </c>
      <c r="B3" s="218">
        <v>41522</v>
      </c>
      <c r="C3" s="219"/>
      <c r="D3" s="219"/>
      <c r="E3" s="219" t="s">
        <v>8276</v>
      </c>
    </row>
    <row r="4" spans="1:5" ht="15.75">
      <c r="A4" s="217" t="s">
        <v>8280</v>
      </c>
      <c r="B4" s="218">
        <v>41523</v>
      </c>
      <c r="C4" s="219"/>
      <c r="D4" s="219"/>
      <c r="E4" s="219" t="s">
        <v>8281</v>
      </c>
    </row>
    <row r="5" spans="1:5" ht="15.75">
      <c r="A5" s="217" t="s">
        <v>8231</v>
      </c>
      <c r="B5" s="218">
        <v>41523</v>
      </c>
      <c r="C5" s="219" t="s">
        <v>8233</v>
      </c>
      <c r="D5" s="219"/>
      <c r="E5" s="219" t="s">
        <v>8234</v>
      </c>
    </row>
    <row r="6" spans="1:5" ht="15.75">
      <c r="A6" s="217" t="s">
        <v>8235</v>
      </c>
      <c r="B6" s="218">
        <v>41526</v>
      </c>
      <c r="C6" s="219" t="s">
        <v>8230</v>
      </c>
      <c r="D6" s="219"/>
      <c r="E6" s="219" t="s">
        <v>8232</v>
      </c>
    </row>
    <row r="7" spans="1:5" ht="15.75">
      <c r="A7" s="217" t="s">
        <v>8235</v>
      </c>
      <c r="B7" s="218">
        <v>41535</v>
      </c>
      <c r="C7" s="219" t="s">
        <v>8230</v>
      </c>
      <c r="D7" s="219"/>
      <c r="E7" s="219" t="s">
        <v>8232</v>
      </c>
    </row>
    <row r="8" spans="1:5" ht="15.75">
      <c r="A8" s="217" t="s">
        <v>8236</v>
      </c>
      <c r="B8" s="218">
        <v>41536</v>
      </c>
      <c r="C8" s="219" t="s">
        <v>8237</v>
      </c>
      <c r="D8" s="219" t="s">
        <v>8266</v>
      </c>
      <c r="E8" s="219" t="s">
        <v>8267</v>
      </c>
    </row>
    <row r="9" spans="1:5" ht="15.75">
      <c r="A9" s="217" t="s">
        <v>8231</v>
      </c>
      <c r="B9" s="218">
        <v>41565</v>
      </c>
      <c r="C9" s="219" t="s">
        <v>8239</v>
      </c>
      <c r="D9" s="219"/>
      <c r="E9" s="219" t="s">
        <v>8240</v>
      </c>
    </row>
    <row r="10" spans="1:5" ht="15.75">
      <c r="A10" s="217" t="s">
        <v>8236</v>
      </c>
      <c r="B10" s="218">
        <v>41576</v>
      </c>
      <c r="C10" s="219" t="s">
        <v>8238</v>
      </c>
      <c r="D10" s="219" t="s">
        <v>8269</v>
      </c>
      <c r="E10" s="219" t="s">
        <v>8268</v>
      </c>
    </row>
    <row r="11" spans="1:5" ht="15.75">
      <c r="A11" s="217" t="s">
        <v>8247</v>
      </c>
      <c r="B11" s="218">
        <v>41695</v>
      </c>
      <c r="C11" s="219" t="s">
        <v>8245</v>
      </c>
      <c r="D11" s="219"/>
      <c r="E11" s="219" t="s">
        <v>8248</v>
      </c>
    </row>
    <row r="12" spans="1:5" ht="15.75">
      <c r="A12" s="217" t="s">
        <v>8247</v>
      </c>
      <c r="B12" s="218">
        <v>41704</v>
      </c>
      <c r="C12" s="219" t="s">
        <v>8246</v>
      </c>
      <c r="D12" s="219"/>
      <c r="E12" s="219" t="s">
        <v>8249</v>
      </c>
    </row>
    <row r="13" spans="1:5" ht="15.75">
      <c r="A13" s="217" t="s">
        <v>8236</v>
      </c>
      <c r="B13" s="218">
        <v>41704</v>
      </c>
      <c r="C13" s="219" t="s">
        <v>8243</v>
      </c>
      <c r="D13" s="219" t="s">
        <v>8270</v>
      </c>
      <c r="E13" s="219" t="s">
        <v>8271</v>
      </c>
    </row>
    <row r="14" spans="1:5" ht="15.75">
      <c r="A14" s="217" t="s">
        <v>8247</v>
      </c>
      <c r="B14" s="218">
        <v>41715</v>
      </c>
      <c r="C14" s="219" t="s">
        <v>8250</v>
      </c>
      <c r="D14" s="219"/>
      <c r="E14" s="219"/>
    </row>
    <row r="15" spans="1:5" ht="15.75">
      <c r="A15" s="217" t="s">
        <v>8236</v>
      </c>
      <c r="B15" s="218">
        <v>41715</v>
      </c>
      <c r="C15" s="220" t="s">
        <v>8244</v>
      </c>
      <c r="D15" s="220" t="s">
        <v>8273</v>
      </c>
      <c r="E15" s="219" t="s">
        <v>8272</v>
      </c>
    </row>
    <row r="16" spans="1:5" ht="15.75">
      <c r="A16" s="217" t="s">
        <v>8247</v>
      </c>
      <c r="B16" s="218">
        <v>41738</v>
      </c>
      <c r="C16" s="220" t="s">
        <v>8245</v>
      </c>
      <c r="D16" s="220"/>
      <c r="E16" s="219" t="s">
        <v>8251</v>
      </c>
    </row>
    <row r="17" spans="1:5" ht="15.75">
      <c r="A17" s="217" t="s">
        <v>8241</v>
      </c>
      <c r="B17" s="218">
        <v>41738</v>
      </c>
      <c r="C17" s="219" t="s">
        <v>8242</v>
      </c>
      <c r="D17" s="219" t="s">
        <v>8275</v>
      </c>
      <c r="E17" s="219" t="s">
        <v>8274</v>
      </c>
    </row>
    <row r="18" spans="1:5" ht="15.75">
      <c r="A18" s="217" t="s">
        <v>8241</v>
      </c>
      <c r="B18" s="218">
        <v>41753</v>
      </c>
      <c r="C18" s="219" t="s">
        <v>8242</v>
      </c>
      <c r="D18" s="219" t="s">
        <v>8275</v>
      </c>
      <c r="E18" s="219" t="s">
        <v>8274</v>
      </c>
    </row>
    <row r="19" spans="1:5" ht="15.75">
      <c r="A19" s="217" t="s">
        <v>8277</v>
      </c>
      <c r="B19" s="218">
        <v>41835</v>
      </c>
      <c r="C19" s="219"/>
      <c r="D19" s="219"/>
      <c r="E19" s="219"/>
    </row>
    <row r="20" spans="1:5" ht="15.75">
      <c r="A20" s="217" t="s">
        <v>8278</v>
      </c>
      <c r="B20" s="218">
        <v>41836</v>
      </c>
      <c r="C20" s="219"/>
      <c r="D20" s="219"/>
      <c r="E20" s="219"/>
    </row>
    <row r="21" spans="1:5" ht="15.75">
      <c r="A21" s="217"/>
      <c r="B21" s="218"/>
      <c r="C21" s="219"/>
      <c r="D21" s="219"/>
      <c r="E21" s="219"/>
    </row>
    <row r="22" spans="1:5" ht="15.75">
      <c r="A22" s="217"/>
      <c r="B22" s="218"/>
      <c r="C22" s="219"/>
      <c r="D22" s="219"/>
      <c r="E22" s="219"/>
    </row>
    <row r="23" spans="1:5" ht="15.75">
      <c r="A23" s="217"/>
      <c r="B23" s="218"/>
      <c r="C23" s="219"/>
      <c r="D23" s="219"/>
      <c r="E23" s="219"/>
    </row>
    <row r="28" spans="1:5">
      <c r="A28" s="197"/>
      <c r="B28" s="197"/>
      <c r="C28" s="197"/>
      <c r="E28" s="221"/>
    </row>
    <row r="29" spans="1:5">
      <c r="A29" s="197"/>
      <c r="B29" s="197"/>
      <c r="C29" s="197"/>
      <c r="E29" s="221"/>
    </row>
    <row r="30" spans="1:5">
      <c r="A30" s="197"/>
      <c r="B30" s="197"/>
      <c r="C30" s="197"/>
      <c r="E30" s="221"/>
    </row>
    <row r="31" spans="1:5">
      <c r="A31" s="197"/>
      <c r="B31" s="222"/>
      <c r="C31" s="222"/>
      <c r="E31" s="22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Tyfanie Bourlet</cp:lastModifiedBy>
  <cp:revision>11</cp:revision>
  <cp:lastPrinted>1601-01-01T00:00:00Z</cp:lastPrinted>
  <dcterms:created xsi:type="dcterms:W3CDTF">2013-10-04T13:51:10Z</dcterms:created>
  <dcterms:modified xsi:type="dcterms:W3CDTF">2015-01-22T09:39:06Z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